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2.xml" ContentType="application/vnd.openxmlformats-officedocument.spreadsheetml.pivot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051a0436fb97214/GITHUB PROECTS/Customer_Support_Analytics/EXCEL/"/>
    </mc:Choice>
  </mc:AlternateContent>
  <xr:revisionPtr revIDLastSave="6" documentId="8_{3E899998-7590-48B3-BCAE-4A9974AB223B}" xr6:coauthVersionLast="47" xr6:coauthVersionMax="47" xr10:uidLastSave="{2AFB6312-2EA2-4100-8CB5-D85820A9AD43}"/>
  <bookViews>
    <workbookView xWindow="-96" yWindow="0" windowWidth="14496" windowHeight="12336" firstSheet="2" activeTab="2" xr2:uid="{011C45E6-BF5E-4F53-B227-166DED376C3A}"/>
  </bookViews>
  <sheets>
    <sheet name="Queue_Priority_1" sheetId="4" r:id="rId1"/>
    <sheet name="Data_Checks" sheetId="5" r:id="rId2"/>
    <sheet name="support-tickets" sheetId="1" r:id="rId3"/>
    <sheet name="Queue_Summary" sheetId="2" r:id="rId4"/>
    <sheet name="Cleaning_Notes" sheetId="8" r:id="rId5"/>
    <sheet name="Charts" sheetId="9" r:id="rId6"/>
  </sheets>
  <definedNames>
    <definedName name="timing_check">'support-tickets'!$L:$L</definedName>
  </definedNames>
  <calcPr calcId="191029" calcCompleted="0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5" l="1"/>
  <c r="B16" i="5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2" i="1"/>
  <c r="K8" i="1"/>
  <c r="B11" i="5"/>
  <c r="B9" i="5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B8" i="5" l="1"/>
  <c r="K3" i="1"/>
  <c r="L3" i="1" s="1"/>
  <c r="N3" i="1" s="1"/>
  <c r="K4" i="1"/>
  <c r="L4" i="1" s="1"/>
  <c r="N4" i="1" s="1"/>
  <c r="K5" i="1"/>
  <c r="L5" i="1" s="1"/>
  <c r="N5" i="1" s="1"/>
  <c r="K6" i="1"/>
  <c r="L6" i="1" s="1"/>
  <c r="N6" i="1" s="1"/>
  <c r="K7" i="1"/>
  <c r="L7" i="1" s="1"/>
  <c r="N7" i="1" s="1"/>
  <c r="L8" i="1"/>
  <c r="N8" i="1" s="1"/>
  <c r="K9" i="1"/>
  <c r="L9" i="1" s="1"/>
  <c r="N9" i="1" s="1"/>
  <c r="K10" i="1"/>
  <c r="L10" i="1" s="1"/>
  <c r="N10" i="1" s="1"/>
  <c r="K11" i="1"/>
  <c r="L11" i="1" s="1"/>
  <c r="N11" i="1" s="1"/>
  <c r="K12" i="1"/>
  <c r="L12" i="1" s="1"/>
  <c r="N12" i="1" s="1"/>
  <c r="K13" i="1"/>
  <c r="L13" i="1" s="1"/>
  <c r="N13" i="1" s="1"/>
  <c r="K14" i="1"/>
  <c r="L14" i="1" s="1"/>
  <c r="N14" i="1" s="1"/>
  <c r="K15" i="1"/>
  <c r="L15" i="1" s="1"/>
  <c r="N15" i="1" s="1"/>
  <c r="K16" i="1"/>
  <c r="L16" i="1" s="1"/>
  <c r="N16" i="1" s="1"/>
  <c r="K17" i="1"/>
  <c r="L17" i="1" s="1"/>
  <c r="N17" i="1" s="1"/>
  <c r="K18" i="1"/>
  <c r="L18" i="1" s="1"/>
  <c r="N18" i="1" s="1"/>
  <c r="K19" i="1"/>
  <c r="L19" i="1" s="1"/>
  <c r="N19" i="1" s="1"/>
  <c r="K20" i="1"/>
  <c r="L20" i="1" s="1"/>
  <c r="N20" i="1" s="1"/>
  <c r="K21" i="1"/>
  <c r="L21" i="1" s="1"/>
  <c r="N21" i="1" s="1"/>
  <c r="K22" i="1"/>
  <c r="L22" i="1" s="1"/>
  <c r="N22" i="1" s="1"/>
  <c r="K23" i="1"/>
  <c r="L23" i="1" s="1"/>
  <c r="N23" i="1" s="1"/>
  <c r="K24" i="1"/>
  <c r="L24" i="1" s="1"/>
  <c r="N24" i="1" s="1"/>
  <c r="K25" i="1"/>
  <c r="L25" i="1" s="1"/>
  <c r="N25" i="1" s="1"/>
  <c r="K26" i="1"/>
  <c r="L26" i="1" s="1"/>
  <c r="N26" i="1" s="1"/>
  <c r="K27" i="1"/>
  <c r="L27" i="1" s="1"/>
  <c r="N27" i="1" s="1"/>
  <c r="K28" i="1"/>
  <c r="L28" i="1" s="1"/>
  <c r="N28" i="1" s="1"/>
  <c r="K29" i="1"/>
  <c r="L29" i="1" s="1"/>
  <c r="N29" i="1" s="1"/>
  <c r="K30" i="1"/>
  <c r="L30" i="1" s="1"/>
  <c r="N30" i="1" s="1"/>
  <c r="K31" i="1"/>
  <c r="L31" i="1" s="1"/>
  <c r="N31" i="1" s="1"/>
  <c r="K32" i="1"/>
  <c r="L32" i="1" s="1"/>
  <c r="N32" i="1" s="1"/>
  <c r="K33" i="1"/>
  <c r="L33" i="1" s="1"/>
  <c r="N33" i="1" s="1"/>
  <c r="K34" i="1"/>
  <c r="L34" i="1" s="1"/>
  <c r="N34" i="1" s="1"/>
  <c r="K35" i="1"/>
  <c r="L35" i="1" s="1"/>
  <c r="N35" i="1" s="1"/>
  <c r="K36" i="1"/>
  <c r="L36" i="1" s="1"/>
  <c r="N36" i="1" s="1"/>
  <c r="K37" i="1"/>
  <c r="L37" i="1" s="1"/>
  <c r="N37" i="1" s="1"/>
  <c r="K38" i="1"/>
  <c r="L38" i="1" s="1"/>
  <c r="N38" i="1" s="1"/>
  <c r="K39" i="1"/>
  <c r="L39" i="1" s="1"/>
  <c r="N39" i="1" s="1"/>
  <c r="K40" i="1"/>
  <c r="L40" i="1" s="1"/>
  <c r="N40" i="1" s="1"/>
  <c r="K41" i="1"/>
  <c r="L41" i="1" s="1"/>
  <c r="N41" i="1" s="1"/>
  <c r="K42" i="1"/>
  <c r="L42" i="1" s="1"/>
  <c r="N42" i="1" s="1"/>
  <c r="K43" i="1"/>
  <c r="L43" i="1" s="1"/>
  <c r="N43" i="1" s="1"/>
  <c r="K44" i="1"/>
  <c r="L44" i="1" s="1"/>
  <c r="N44" i="1" s="1"/>
  <c r="K45" i="1"/>
  <c r="L45" i="1" s="1"/>
  <c r="N45" i="1" s="1"/>
  <c r="K46" i="1"/>
  <c r="L46" i="1" s="1"/>
  <c r="N46" i="1" s="1"/>
  <c r="K47" i="1"/>
  <c r="L47" i="1" s="1"/>
  <c r="N47" i="1" s="1"/>
  <c r="K48" i="1"/>
  <c r="L48" i="1" s="1"/>
  <c r="N48" i="1" s="1"/>
  <c r="K49" i="1"/>
  <c r="L49" i="1" s="1"/>
  <c r="N49" i="1" s="1"/>
  <c r="K50" i="1"/>
  <c r="L50" i="1" s="1"/>
  <c r="N50" i="1" s="1"/>
  <c r="K51" i="1"/>
  <c r="L51" i="1" s="1"/>
  <c r="N51" i="1" s="1"/>
  <c r="K52" i="1"/>
  <c r="L52" i="1" s="1"/>
  <c r="N52" i="1" s="1"/>
  <c r="K53" i="1"/>
  <c r="L53" i="1" s="1"/>
  <c r="N53" i="1" s="1"/>
  <c r="K54" i="1"/>
  <c r="L54" i="1" s="1"/>
  <c r="N54" i="1" s="1"/>
  <c r="K55" i="1"/>
  <c r="L55" i="1" s="1"/>
  <c r="N55" i="1" s="1"/>
  <c r="K56" i="1"/>
  <c r="L56" i="1" s="1"/>
  <c r="N56" i="1" s="1"/>
  <c r="K57" i="1"/>
  <c r="L57" i="1" s="1"/>
  <c r="N57" i="1" s="1"/>
  <c r="K58" i="1"/>
  <c r="L58" i="1" s="1"/>
  <c r="N58" i="1" s="1"/>
  <c r="K59" i="1"/>
  <c r="L59" i="1" s="1"/>
  <c r="N59" i="1" s="1"/>
  <c r="K60" i="1"/>
  <c r="L60" i="1" s="1"/>
  <c r="N60" i="1" s="1"/>
  <c r="K61" i="1"/>
  <c r="L61" i="1" s="1"/>
  <c r="N61" i="1" s="1"/>
  <c r="K62" i="1"/>
  <c r="L62" i="1" s="1"/>
  <c r="N62" i="1" s="1"/>
  <c r="K63" i="1"/>
  <c r="L63" i="1" s="1"/>
  <c r="N63" i="1" s="1"/>
  <c r="K64" i="1"/>
  <c r="L64" i="1" s="1"/>
  <c r="N64" i="1" s="1"/>
  <c r="K65" i="1"/>
  <c r="L65" i="1" s="1"/>
  <c r="N65" i="1" s="1"/>
  <c r="K66" i="1"/>
  <c r="L66" i="1" s="1"/>
  <c r="N66" i="1" s="1"/>
  <c r="K67" i="1"/>
  <c r="L67" i="1" s="1"/>
  <c r="N67" i="1" s="1"/>
  <c r="K68" i="1"/>
  <c r="L68" i="1" s="1"/>
  <c r="N68" i="1" s="1"/>
  <c r="K69" i="1"/>
  <c r="L69" i="1" s="1"/>
  <c r="N69" i="1" s="1"/>
  <c r="K70" i="1"/>
  <c r="L70" i="1" s="1"/>
  <c r="N70" i="1" s="1"/>
  <c r="K71" i="1"/>
  <c r="L71" i="1" s="1"/>
  <c r="N71" i="1" s="1"/>
  <c r="K72" i="1"/>
  <c r="L72" i="1" s="1"/>
  <c r="N72" i="1" s="1"/>
  <c r="K73" i="1"/>
  <c r="L73" i="1" s="1"/>
  <c r="N73" i="1" s="1"/>
  <c r="K74" i="1"/>
  <c r="L74" i="1" s="1"/>
  <c r="N74" i="1" s="1"/>
  <c r="K75" i="1"/>
  <c r="L75" i="1" s="1"/>
  <c r="N75" i="1" s="1"/>
  <c r="K76" i="1"/>
  <c r="L76" i="1" s="1"/>
  <c r="N76" i="1" s="1"/>
  <c r="K77" i="1"/>
  <c r="L77" i="1" s="1"/>
  <c r="N77" i="1" s="1"/>
  <c r="K78" i="1"/>
  <c r="L78" i="1" s="1"/>
  <c r="N78" i="1" s="1"/>
  <c r="K79" i="1"/>
  <c r="L79" i="1" s="1"/>
  <c r="N79" i="1" s="1"/>
  <c r="K80" i="1"/>
  <c r="L80" i="1" s="1"/>
  <c r="N80" i="1" s="1"/>
  <c r="K81" i="1"/>
  <c r="L81" i="1" s="1"/>
  <c r="N81" i="1" s="1"/>
  <c r="K82" i="1"/>
  <c r="L82" i="1" s="1"/>
  <c r="N82" i="1" s="1"/>
  <c r="K83" i="1"/>
  <c r="L83" i="1" s="1"/>
  <c r="N83" i="1" s="1"/>
  <c r="K84" i="1"/>
  <c r="L84" i="1" s="1"/>
  <c r="N84" i="1" s="1"/>
  <c r="K85" i="1"/>
  <c r="L85" i="1" s="1"/>
  <c r="N85" i="1" s="1"/>
  <c r="K86" i="1"/>
  <c r="L86" i="1" s="1"/>
  <c r="N86" i="1" s="1"/>
  <c r="K87" i="1"/>
  <c r="L87" i="1" s="1"/>
  <c r="N87" i="1" s="1"/>
  <c r="K88" i="1"/>
  <c r="L88" i="1" s="1"/>
  <c r="N88" i="1" s="1"/>
  <c r="K89" i="1"/>
  <c r="L89" i="1" s="1"/>
  <c r="N89" i="1" s="1"/>
  <c r="K90" i="1"/>
  <c r="L90" i="1" s="1"/>
  <c r="N90" i="1" s="1"/>
  <c r="K91" i="1"/>
  <c r="L91" i="1" s="1"/>
  <c r="N91" i="1" s="1"/>
  <c r="K92" i="1"/>
  <c r="L92" i="1" s="1"/>
  <c r="N92" i="1" s="1"/>
  <c r="K93" i="1"/>
  <c r="L93" i="1" s="1"/>
  <c r="N93" i="1" s="1"/>
  <c r="K94" i="1"/>
  <c r="L94" i="1" s="1"/>
  <c r="N94" i="1" s="1"/>
  <c r="K95" i="1"/>
  <c r="L95" i="1" s="1"/>
  <c r="N95" i="1" s="1"/>
  <c r="K96" i="1"/>
  <c r="L96" i="1" s="1"/>
  <c r="N96" i="1" s="1"/>
  <c r="K97" i="1"/>
  <c r="L97" i="1" s="1"/>
  <c r="N97" i="1" s="1"/>
  <c r="K98" i="1"/>
  <c r="L98" i="1" s="1"/>
  <c r="N98" i="1" s="1"/>
  <c r="K99" i="1"/>
  <c r="L99" i="1" s="1"/>
  <c r="N99" i="1" s="1"/>
  <c r="K100" i="1"/>
  <c r="L100" i="1" s="1"/>
  <c r="N100" i="1" s="1"/>
  <c r="K101" i="1"/>
  <c r="L101" i="1" s="1"/>
  <c r="N101" i="1" s="1"/>
  <c r="K102" i="1"/>
  <c r="L102" i="1" s="1"/>
  <c r="N102" i="1" s="1"/>
  <c r="K103" i="1"/>
  <c r="L103" i="1" s="1"/>
  <c r="N103" i="1" s="1"/>
  <c r="K104" i="1"/>
  <c r="L104" i="1" s="1"/>
  <c r="N104" i="1" s="1"/>
  <c r="K105" i="1"/>
  <c r="L105" i="1" s="1"/>
  <c r="N105" i="1" s="1"/>
  <c r="K106" i="1"/>
  <c r="L106" i="1" s="1"/>
  <c r="N106" i="1" s="1"/>
  <c r="K107" i="1"/>
  <c r="L107" i="1" s="1"/>
  <c r="N107" i="1" s="1"/>
  <c r="K108" i="1"/>
  <c r="L108" i="1" s="1"/>
  <c r="N108" i="1" s="1"/>
  <c r="K109" i="1"/>
  <c r="L109" i="1" s="1"/>
  <c r="N109" i="1" s="1"/>
  <c r="K110" i="1"/>
  <c r="L110" i="1" s="1"/>
  <c r="N110" i="1" s="1"/>
  <c r="K111" i="1"/>
  <c r="L111" i="1" s="1"/>
  <c r="N111" i="1" s="1"/>
  <c r="K112" i="1"/>
  <c r="L112" i="1" s="1"/>
  <c r="N112" i="1" s="1"/>
  <c r="K113" i="1"/>
  <c r="L113" i="1" s="1"/>
  <c r="N113" i="1" s="1"/>
  <c r="K114" i="1"/>
  <c r="L114" i="1" s="1"/>
  <c r="N114" i="1" s="1"/>
  <c r="K115" i="1"/>
  <c r="L115" i="1" s="1"/>
  <c r="N115" i="1" s="1"/>
  <c r="K116" i="1"/>
  <c r="L116" i="1" s="1"/>
  <c r="N116" i="1" s="1"/>
  <c r="K117" i="1"/>
  <c r="L117" i="1" s="1"/>
  <c r="N117" i="1" s="1"/>
  <c r="K118" i="1"/>
  <c r="L118" i="1" s="1"/>
  <c r="N118" i="1" s="1"/>
  <c r="K119" i="1"/>
  <c r="L119" i="1" s="1"/>
  <c r="N119" i="1" s="1"/>
  <c r="K120" i="1"/>
  <c r="L120" i="1" s="1"/>
  <c r="N120" i="1" s="1"/>
  <c r="K121" i="1"/>
  <c r="L121" i="1" s="1"/>
  <c r="N121" i="1" s="1"/>
  <c r="K122" i="1"/>
  <c r="L122" i="1" s="1"/>
  <c r="N122" i="1" s="1"/>
  <c r="K123" i="1"/>
  <c r="L123" i="1" s="1"/>
  <c r="N123" i="1" s="1"/>
  <c r="K124" i="1"/>
  <c r="L124" i="1" s="1"/>
  <c r="N124" i="1" s="1"/>
  <c r="K125" i="1"/>
  <c r="L125" i="1" s="1"/>
  <c r="N125" i="1" s="1"/>
  <c r="K126" i="1"/>
  <c r="L126" i="1" s="1"/>
  <c r="N126" i="1" s="1"/>
  <c r="K127" i="1"/>
  <c r="L127" i="1" s="1"/>
  <c r="N127" i="1" s="1"/>
  <c r="K128" i="1"/>
  <c r="L128" i="1" s="1"/>
  <c r="N128" i="1" s="1"/>
  <c r="K129" i="1"/>
  <c r="L129" i="1" s="1"/>
  <c r="N129" i="1" s="1"/>
  <c r="K130" i="1"/>
  <c r="L130" i="1" s="1"/>
  <c r="N130" i="1" s="1"/>
  <c r="K131" i="1"/>
  <c r="L131" i="1" s="1"/>
  <c r="N131" i="1" s="1"/>
  <c r="K132" i="1"/>
  <c r="L132" i="1" s="1"/>
  <c r="N132" i="1" s="1"/>
  <c r="K133" i="1"/>
  <c r="L133" i="1" s="1"/>
  <c r="N133" i="1" s="1"/>
  <c r="K134" i="1"/>
  <c r="L134" i="1" s="1"/>
  <c r="N134" i="1" s="1"/>
  <c r="K135" i="1"/>
  <c r="L135" i="1" s="1"/>
  <c r="N135" i="1" s="1"/>
  <c r="K136" i="1"/>
  <c r="L136" i="1" s="1"/>
  <c r="N136" i="1" s="1"/>
  <c r="K137" i="1"/>
  <c r="L137" i="1" s="1"/>
  <c r="N137" i="1" s="1"/>
  <c r="K138" i="1"/>
  <c r="L138" i="1" s="1"/>
  <c r="N138" i="1" s="1"/>
  <c r="K139" i="1"/>
  <c r="L139" i="1" s="1"/>
  <c r="N139" i="1" s="1"/>
  <c r="K140" i="1"/>
  <c r="L140" i="1" s="1"/>
  <c r="N140" i="1" s="1"/>
  <c r="K141" i="1"/>
  <c r="L141" i="1" s="1"/>
  <c r="N141" i="1" s="1"/>
  <c r="K142" i="1"/>
  <c r="L142" i="1" s="1"/>
  <c r="N142" i="1" s="1"/>
  <c r="K143" i="1"/>
  <c r="L143" i="1" s="1"/>
  <c r="N143" i="1" s="1"/>
  <c r="K144" i="1"/>
  <c r="L144" i="1" s="1"/>
  <c r="N144" i="1" s="1"/>
  <c r="K145" i="1"/>
  <c r="L145" i="1" s="1"/>
  <c r="N145" i="1" s="1"/>
  <c r="K146" i="1"/>
  <c r="L146" i="1" s="1"/>
  <c r="N146" i="1" s="1"/>
  <c r="K147" i="1"/>
  <c r="L147" i="1" s="1"/>
  <c r="N147" i="1" s="1"/>
  <c r="K148" i="1"/>
  <c r="L148" i="1" s="1"/>
  <c r="N148" i="1" s="1"/>
  <c r="K149" i="1"/>
  <c r="L149" i="1" s="1"/>
  <c r="N149" i="1" s="1"/>
  <c r="K150" i="1"/>
  <c r="L150" i="1" s="1"/>
  <c r="N150" i="1" s="1"/>
  <c r="K151" i="1"/>
  <c r="L151" i="1" s="1"/>
  <c r="N151" i="1" s="1"/>
  <c r="K152" i="1"/>
  <c r="L152" i="1" s="1"/>
  <c r="N152" i="1" s="1"/>
  <c r="K153" i="1"/>
  <c r="L153" i="1" s="1"/>
  <c r="N153" i="1" s="1"/>
  <c r="K154" i="1"/>
  <c r="L154" i="1" s="1"/>
  <c r="N154" i="1" s="1"/>
  <c r="K155" i="1"/>
  <c r="L155" i="1" s="1"/>
  <c r="N155" i="1" s="1"/>
  <c r="K156" i="1"/>
  <c r="L156" i="1" s="1"/>
  <c r="N156" i="1" s="1"/>
  <c r="K157" i="1"/>
  <c r="L157" i="1" s="1"/>
  <c r="N157" i="1" s="1"/>
  <c r="K158" i="1"/>
  <c r="L158" i="1" s="1"/>
  <c r="N158" i="1" s="1"/>
  <c r="K159" i="1"/>
  <c r="L159" i="1" s="1"/>
  <c r="N159" i="1" s="1"/>
  <c r="K160" i="1"/>
  <c r="L160" i="1" s="1"/>
  <c r="N160" i="1" s="1"/>
  <c r="K161" i="1"/>
  <c r="L161" i="1" s="1"/>
  <c r="N161" i="1" s="1"/>
  <c r="K162" i="1"/>
  <c r="L162" i="1" s="1"/>
  <c r="N162" i="1" s="1"/>
  <c r="K163" i="1"/>
  <c r="L163" i="1" s="1"/>
  <c r="N163" i="1" s="1"/>
  <c r="K164" i="1"/>
  <c r="L164" i="1" s="1"/>
  <c r="N164" i="1" s="1"/>
  <c r="K165" i="1"/>
  <c r="L165" i="1" s="1"/>
  <c r="N165" i="1" s="1"/>
  <c r="K166" i="1"/>
  <c r="L166" i="1" s="1"/>
  <c r="N166" i="1" s="1"/>
  <c r="K167" i="1"/>
  <c r="L167" i="1" s="1"/>
  <c r="N167" i="1" s="1"/>
  <c r="K168" i="1"/>
  <c r="L168" i="1" s="1"/>
  <c r="N168" i="1" s="1"/>
  <c r="K169" i="1"/>
  <c r="L169" i="1" s="1"/>
  <c r="N169" i="1" s="1"/>
  <c r="K170" i="1"/>
  <c r="L170" i="1" s="1"/>
  <c r="N170" i="1" s="1"/>
  <c r="K171" i="1"/>
  <c r="L171" i="1" s="1"/>
  <c r="N171" i="1" s="1"/>
  <c r="K172" i="1"/>
  <c r="L172" i="1" s="1"/>
  <c r="N172" i="1" s="1"/>
  <c r="K173" i="1"/>
  <c r="L173" i="1" s="1"/>
  <c r="N173" i="1" s="1"/>
  <c r="K174" i="1"/>
  <c r="L174" i="1" s="1"/>
  <c r="N174" i="1" s="1"/>
  <c r="K175" i="1"/>
  <c r="L175" i="1" s="1"/>
  <c r="N175" i="1" s="1"/>
  <c r="K176" i="1"/>
  <c r="L176" i="1" s="1"/>
  <c r="N176" i="1" s="1"/>
  <c r="K177" i="1"/>
  <c r="L177" i="1" s="1"/>
  <c r="N177" i="1" s="1"/>
  <c r="K178" i="1"/>
  <c r="L178" i="1" s="1"/>
  <c r="N178" i="1" s="1"/>
  <c r="K179" i="1"/>
  <c r="L179" i="1" s="1"/>
  <c r="N179" i="1" s="1"/>
  <c r="K180" i="1"/>
  <c r="L180" i="1" s="1"/>
  <c r="N180" i="1" s="1"/>
  <c r="K181" i="1"/>
  <c r="L181" i="1" s="1"/>
  <c r="N181" i="1" s="1"/>
  <c r="K182" i="1"/>
  <c r="L182" i="1" s="1"/>
  <c r="N182" i="1" s="1"/>
  <c r="K183" i="1"/>
  <c r="L183" i="1" s="1"/>
  <c r="N183" i="1" s="1"/>
  <c r="K184" i="1"/>
  <c r="L184" i="1" s="1"/>
  <c r="N184" i="1" s="1"/>
  <c r="K185" i="1"/>
  <c r="L185" i="1" s="1"/>
  <c r="N185" i="1" s="1"/>
  <c r="K186" i="1"/>
  <c r="L186" i="1" s="1"/>
  <c r="N186" i="1" s="1"/>
  <c r="K187" i="1"/>
  <c r="L187" i="1" s="1"/>
  <c r="N187" i="1" s="1"/>
  <c r="K188" i="1"/>
  <c r="L188" i="1" s="1"/>
  <c r="N188" i="1" s="1"/>
  <c r="K189" i="1"/>
  <c r="L189" i="1" s="1"/>
  <c r="N189" i="1" s="1"/>
  <c r="K190" i="1"/>
  <c r="L190" i="1" s="1"/>
  <c r="N190" i="1" s="1"/>
  <c r="K191" i="1"/>
  <c r="L191" i="1" s="1"/>
  <c r="N191" i="1" s="1"/>
  <c r="K192" i="1"/>
  <c r="L192" i="1" s="1"/>
  <c r="N192" i="1" s="1"/>
  <c r="K193" i="1"/>
  <c r="L193" i="1" s="1"/>
  <c r="N193" i="1" s="1"/>
  <c r="K194" i="1"/>
  <c r="L194" i="1" s="1"/>
  <c r="N194" i="1" s="1"/>
  <c r="K195" i="1"/>
  <c r="L195" i="1" s="1"/>
  <c r="N195" i="1" s="1"/>
  <c r="K196" i="1"/>
  <c r="L196" i="1" s="1"/>
  <c r="N196" i="1" s="1"/>
  <c r="K197" i="1"/>
  <c r="L197" i="1" s="1"/>
  <c r="N197" i="1" s="1"/>
  <c r="K198" i="1"/>
  <c r="L198" i="1" s="1"/>
  <c r="N198" i="1" s="1"/>
  <c r="K199" i="1"/>
  <c r="L199" i="1" s="1"/>
  <c r="N199" i="1" s="1"/>
  <c r="K200" i="1"/>
  <c r="L200" i="1" s="1"/>
  <c r="N200" i="1" s="1"/>
  <c r="K201" i="1"/>
  <c r="L201" i="1" s="1"/>
  <c r="N201" i="1" s="1"/>
  <c r="K202" i="1"/>
  <c r="L202" i="1" s="1"/>
  <c r="N202" i="1" s="1"/>
  <c r="K203" i="1"/>
  <c r="L203" i="1" s="1"/>
  <c r="N203" i="1" s="1"/>
  <c r="K204" i="1"/>
  <c r="L204" i="1" s="1"/>
  <c r="N204" i="1" s="1"/>
  <c r="K205" i="1"/>
  <c r="L205" i="1" s="1"/>
  <c r="N205" i="1" s="1"/>
  <c r="K206" i="1"/>
  <c r="L206" i="1" s="1"/>
  <c r="N206" i="1" s="1"/>
  <c r="K207" i="1"/>
  <c r="L207" i="1" s="1"/>
  <c r="N207" i="1" s="1"/>
  <c r="K208" i="1"/>
  <c r="L208" i="1" s="1"/>
  <c r="N208" i="1" s="1"/>
  <c r="K209" i="1"/>
  <c r="L209" i="1" s="1"/>
  <c r="N209" i="1" s="1"/>
  <c r="K210" i="1"/>
  <c r="L210" i="1" s="1"/>
  <c r="N210" i="1" s="1"/>
  <c r="K211" i="1"/>
  <c r="L211" i="1" s="1"/>
  <c r="N211" i="1" s="1"/>
  <c r="K212" i="1"/>
  <c r="L212" i="1" s="1"/>
  <c r="N212" i="1" s="1"/>
  <c r="K213" i="1"/>
  <c r="L213" i="1" s="1"/>
  <c r="N213" i="1" s="1"/>
  <c r="K214" i="1"/>
  <c r="L214" i="1" s="1"/>
  <c r="N214" i="1" s="1"/>
  <c r="K215" i="1"/>
  <c r="L215" i="1" s="1"/>
  <c r="N215" i="1" s="1"/>
  <c r="K216" i="1"/>
  <c r="L216" i="1" s="1"/>
  <c r="N216" i="1" s="1"/>
  <c r="K217" i="1"/>
  <c r="L217" i="1" s="1"/>
  <c r="N217" i="1" s="1"/>
  <c r="K218" i="1"/>
  <c r="L218" i="1" s="1"/>
  <c r="N218" i="1" s="1"/>
  <c r="K219" i="1"/>
  <c r="L219" i="1" s="1"/>
  <c r="N219" i="1" s="1"/>
  <c r="K220" i="1"/>
  <c r="L220" i="1" s="1"/>
  <c r="N220" i="1" s="1"/>
  <c r="K221" i="1"/>
  <c r="L221" i="1" s="1"/>
  <c r="N221" i="1" s="1"/>
  <c r="K222" i="1"/>
  <c r="L222" i="1" s="1"/>
  <c r="N222" i="1" s="1"/>
  <c r="K223" i="1"/>
  <c r="L223" i="1" s="1"/>
  <c r="N223" i="1" s="1"/>
  <c r="K224" i="1"/>
  <c r="L224" i="1" s="1"/>
  <c r="N224" i="1" s="1"/>
  <c r="K225" i="1"/>
  <c r="L225" i="1" s="1"/>
  <c r="N225" i="1" s="1"/>
  <c r="K226" i="1"/>
  <c r="L226" i="1" s="1"/>
  <c r="N226" i="1" s="1"/>
  <c r="K227" i="1"/>
  <c r="L227" i="1" s="1"/>
  <c r="N227" i="1" s="1"/>
  <c r="K228" i="1"/>
  <c r="L228" i="1" s="1"/>
  <c r="N228" i="1" s="1"/>
  <c r="K229" i="1"/>
  <c r="L229" i="1" s="1"/>
  <c r="N229" i="1" s="1"/>
  <c r="K230" i="1"/>
  <c r="L230" i="1" s="1"/>
  <c r="N230" i="1" s="1"/>
  <c r="K231" i="1"/>
  <c r="L231" i="1" s="1"/>
  <c r="N231" i="1" s="1"/>
  <c r="K232" i="1"/>
  <c r="L232" i="1" s="1"/>
  <c r="N232" i="1" s="1"/>
  <c r="K233" i="1"/>
  <c r="L233" i="1" s="1"/>
  <c r="N233" i="1" s="1"/>
  <c r="K234" i="1"/>
  <c r="L234" i="1" s="1"/>
  <c r="N234" i="1" s="1"/>
  <c r="K235" i="1"/>
  <c r="L235" i="1" s="1"/>
  <c r="N235" i="1" s="1"/>
  <c r="K236" i="1"/>
  <c r="L236" i="1" s="1"/>
  <c r="N236" i="1" s="1"/>
  <c r="K237" i="1"/>
  <c r="L237" i="1" s="1"/>
  <c r="N237" i="1" s="1"/>
  <c r="K238" i="1"/>
  <c r="L238" i="1" s="1"/>
  <c r="N238" i="1" s="1"/>
  <c r="K239" i="1"/>
  <c r="L239" i="1" s="1"/>
  <c r="N239" i="1" s="1"/>
  <c r="K240" i="1"/>
  <c r="L240" i="1" s="1"/>
  <c r="N240" i="1" s="1"/>
  <c r="K241" i="1"/>
  <c r="L241" i="1" s="1"/>
  <c r="N241" i="1" s="1"/>
  <c r="K242" i="1"/>
  <c r="L242" i="1" s="1"/>
  <c r="N242" i="1" s="1"/>
  <c r="K243" i="1"/>
  <c r="L243" i="1" s="1"/>
  <c r="N243" i="1" s="1"/>
  <c r="K244" i="1"/>
  <c r="L244" i="1" s="1"/>
  <c r="N244" i="1" s="1"/>
  <c r="K245" i="1"/>
  <c r="L245" i="1" s="1"/>
  <c r="N245" i="1" s="1"/>
  <c r="K246" i="1"/>
  <c r="L246" i="1" s="1"/>
  <c r="N246" i="1" s="1"/>
  <c r="K247" i="1"/>
  <c r="L247" i="1" s="1"/>
  <c r="N247" i="1" s="1"/>
  <c r="K248" i="1"/>
  <c r="L248" i="1" s="1"/>
  <c r="N248" i="1" s="1"/>
  <c r="K249" i="1"/>
  <c r="L249" i="1" s="1"/>
  <c r="N249" i="1" s="1"/>
  <c r="K250" i="1"/>
  <c r="L250" i="1" s="1"/>
  <c r="N250" i="1" s="1"/>
  <c r="K251" i="1"/>
  <c r="L251" i="1" s="1"/>
  <c r="N251" i="1" s="1"/>
  <c r="K252" i="1"/>
  <c r="L252" i="1" s="1"/>
  <c r="N252" i="1" s="1"/>
  <c r="K253" i="1"/>
  <c r="L253" i="1" s="1"/>
  <c r="N253" i="1" s="1"/>
  <c r="K254" i="1"/>
  <c r="L254" i="1" s="1"/>
  <c r="N254" i="1" s="1"/>
  <c r="K255" i="1"/>
  <c r="L255" i="1" s="1"/>
  <c r="N255" i="1" s="1"/>
  <c r="K256" i="1"/>
  <c r="L256" i="1" s="1"/>
  <c r="N256" i="1" s="1"/>
  <c r="K257" i="1"/>
  <c r="L257" i="1" s="1"/>
  <c r="N257" i="1" s="1"/>
  <c r="K258" i="1"/>
  <c r="L258" i="1" s="1"/>
  <c r="N258" i="1" s="1"/>
  <c r="K259" i="1"/>
  <c r="L259" i="1" s="1"/>
  <c r="N259" i="1" s="1"/>
  <c r="K260" i="1"/>
  <c r="L260" i="1" s="1"/>
  <c r="N260" i="1" s="1"/>
  <c r="K261" i="1"/>
  <c r="L261" i="1" s="1"/>
  <c r="N261" i="1" s="1"/>
  <c r="K262" i="1"/>
  <c r="L262" i="1" s="1"/>
  <c r="N262" i="1" s="1"/>
  <c r="K263" i="1"/>
  <c r="L263" i="1" s="1"/>
  <c r="N263" i="1" s="1"/>
  <c r="K264" i="1"/>
  <c r="L264" i="1" s="1"/>
  <c r="N264" i="1" s="1"/>
  <c r="K265" i="1"/>
  <c r="L265" i="1" s="1"/>
  <c r="N265" i="1" s="1"/>
  <c r="K266" i="1"/>
  <c r="L266" i="1" s="1"/>
  <c r="N266" i="1" s="1"/>
  <c r="K267" i="1"/>
  <c r="L267" i="1" s="1"/>
  <c r="N267" i="1" s="1"/>
  <c r="K268" i="1"/>
  <c r="L268" i="1" s="1"/>
  <c r="N268" i="1" s="1"/>
  <c r="K269" i="1"/>
  <c r="L269" i="1" s="1"/>
  <c r="N269" i="1" s="1"/>
  <c r="K270" i="1"/>
  <c r="L270" i="1" s="1"/>
  <c r="N270" i="1" s="1"/>
  <c r="K271" i="1"/>
  <c r="L271" i="1" s="1"/>
  <c r="N271" i="1" s="1"/>
  <c r="K272" i="1"/>
  <c r="L272" i="1" s="1"/>
  <c r="N272" i="1" s="1"/>
  <c r="K273" i="1"/>
  <c r="L273" i="1" s="1"/>
  <c r="N273" i="1" s="1"/>
  <c r="K274" i="1"/>
  <c r="L274" i="1" s="1"/>
  <c r="N274" i="1" s="1"/>
  <c r="K275" i="1"/>
  <c r="L275" i="1" s="1"/>
  <c r="N275" i="1" s="1"/>
  <c r="K276" i="1"/>
  <c r="L276" i="1" s="1"/>
  <c r="N276" i="1" s="1"/>
  <c r="K277" i="1"/>
  <c r="L277" i="1" s="1"/>
  <c r="N277" i="1" s="1"/>
  <c r="K278" i="1"/>
  <c r="L278" i="1" s="1"/>
  <c r="N278" i="1" s="1"/>
  <c r="K279" i="1"/>
  <c r="L279" i="1" s="1"/>
  <c r="N279" i="1" s="1"/>
  <c r="K280" i="1"/>
  <c r="L280" i="1" s="1"/>
  <c r="N280" i="1" s="1"/>
  <c r="K281" i="1"/>
  <c r="L281" i="1" s="1"/>
  <c r="N281" i="1" s="1"/>
  <c r="K282" i="1"/>
  <c r="L282" i="1" s="1"/>
  <c r="N282" i="1" s="1"/>
  <c r="K283" i="1"/>
  <c r="L283" i="1" s="1"/>
  <c r="N283" i="1" s="1"/>
  <c r="K284" i="1"/>
  <c r="L284" i="1" s="1"/>
  <c r="N284" i="1" s="1"/>
  <c r="K285" i="1"/>
  <c r="L285" i="1" s="1"/>
  <c r="N285" i="1" s="1"/>
  <c r="K286" i="1"/>
  <c r="L286" i="1" s="1"/>
  <c r="N286" i="1" s="1"/>
  <c r="K287" i="1"/>
  <c r="L287" i="1" s="1"/>
  <c r="N287" i="1" s="1"/>
  <c r="K288" i="1"/>
  <c r="L288" i="1" s="1"/>
  <c r="N288" i="1" s="1"/>
  <c r="K289" i="1"/>
  <c r="L289" i="1" s="1"/>
  <c r="N289" i="1" s="1"/>
  <c r="K290" i="1"/>
  <c r="L290" i="1" s="1"/>
  <c r="N290" i="1" s="1"/>
  <c r="K291" i="1"/>
  <c r="L291" i="1" s="1"/>
  <c r="N291" i="1" s="1"/>
  <c r="K292" i="1"/>
  <c r="L292" i="1" s="1"/>
  <c r="N292" i="1" s="1"/>
  <c r="K293" i="1"/>
  <c r="L293" i="1" s="1"/>
  <c r="N293" i="1" s="1"/>
  <c r="K294" i="1"/>
  <c r="L294" i="1" s="1"/>
  <c r="N294" i="1" s="1"/>
  <c r="K295" i="1"/>
  <c r="L295" i="1" s="1"/>
  <c r="N295" i="1" s="1"/>
  <c r="K296" i="1"/>
  <c r="L296" i="1" s="1"/>
  <c r="N296" i="1" s="1"/>
  <c r="K297" i="1"/>
  <c r="L297" i="1" s="1"/>
  <c r="N297" i="1" s="1"/>
  <c r="K298" i="1"/>
  <c r="L298" i="1" s="1"/>
  <c r="N298" i="1" s="1"/>
  <c r="K299" i="1"/>
  <c r="L299" i="1" s="1"/>
  <c r="N299" i="1" s="1"/>
  <c r="K300" i="1"/>
  <c r="L300" i="1" s="1"/>
  <c r="N300" i="1" s="1"/>
  <c r="K301" i="1"/>
  <c r="L301" i="1" s="1"/>
  <c r="N301" i="1" s="1"/>
  <c r="K302" i="1"/>
  <c r="L302" i="1" s="1"/>
  <c r="N302" i="1" s="1"/>
  <c r="K303" i="1"/>
  <c r="L303" i="1" s="1"/>
  <c r="N303" i="1" s="1"/>
  <c r="K304" i="1"/>
  <c r="L304" i="1" s="1"/>
  <c r="N304" i="1" s="1"/>
  <c r="K305" i="1"/>
  <c r="L305" i="1" s="1"/>
  <c r="N305" i="1" s="1"/>
  <c r="K306" i="1"/>
  <c r="L306" i="1" s="1"/>
  <c r="N306" i="1" s="1"/>
  <c r="K307" i="1"/>
  <c r="L307" i="1" s="1"/>
  <c r="N307" i="1" s="1"/>
  <c r="K308" i="1"/>
  <c r="L308" i="1" s="1"/>
  <c r="N308" i="1" s="1"/>
  <c r="K309" i="1"/>
  <c r="L309" i="1" s="1"/>
  <c r="N309" i="1" s="1"/>
  <c r="K310" i="1"/>
  <c r="L310" i="1" s="1"/>
  <c r="N310" i="1" s="1"/>
  <c r="K311" i="1"/>
  <c r="L311" i="1" s="1"/>
  <c r="N311" i="1" s="1"/>
  <c r="K312" i="1"/>
  <c r="L312" i="1" s="1"/>
  <c r="N312" i="1" s="1"/>
  <c r="K313" i="1"/>
  <c r="L313" i="1" s="1"/>
  <c r="N313" i="1" s="1"/>
  <c r="K314" i="1"/>
  <c r="L314" i="1" s="1"/>
  <c r="N314" i="1" s="1"/>
  <c r="K315" i="1"/>
  <c r="L315" i="1" s="1"/>
  <c r="N315" i="1" s="1"/>
  <c r="K316" i="1"/>
  <c r="L316" i="1" s="1"/>
  <c r="N316" i="1" s="1"/>
  <c r="K317" i="1"/>
  <c r="L317" i="1" s="1"/>
  <c r="N317" i="1" s="1"/>
  <c r="K318" i="1"/>
  <c r="L318" i="1" s="1"/>
  <c r="N318" i="1" s="1"/>
  <c r="K319" i="1"/>
  <c r="L319" i="1" s="1"/>
  <c r="N319" i="1" s="1"/>
  <c r="K320" i="1"/>
  <c r="L320" i="1" s="1"/>
  <c r="N320" i="1" s="1"/>
  <c r="K321" i="1"/>
  <c r="L321" i="1" s="1"/>
  <c r="N321" i="1" s="1"/>
  <c r="K322" i="1"/>
  <c r="L322" i="1" s="1"/>
  <c r="N322" i="1" s="1"/>
  <c r="K323" i="1"/>
  <c r="L323" i="1" s="1"/>
  <c r="N323" i="1" s="1"/>
  <c r="K324" i="1"/>
  <c r="L324" i="1" s="1"/>
  <c r="N324" i="1" s="1"/>
  <c r="K325" i="1"/>
  <c r="L325" i="1" s="1"/>
  <c r="N325" i="1" s="1"/>
  <c r="K326" i="1"/>
  <c r="L326" i="1" s="1"/>
  <c r="N326" i="1" s="1"/>
  <c r="K327" i="1"/>
  <c r="L327" i="1" s="1"/>
  <c r="N327" i="1" s="1"/>
  <c r="K328" i="1"/>
  <c r="L328" i="1" s="1"/>
  <c r="N328" i="1" s="1"/>
  <c r="K329" i="1"/>
  <c r="L329" i="1" s="1"/>
  <c r="N329" i="1" s="1"/>
  <c r="K330" i="1"/>
  <c r="L330" i="1" s="1"/>
  <c r="N330" i="1" s="1"/>
  <c r="K331" i="1"/>
  <c r="L331" i="1" s="1"/>
  <c r="N331" i="1" s="1"/>
  <c r="K332" i="1"/>
  <c r="L332" i="1" s="1"/>
  <c r="N332" i="1" s="1"/>
  <c r="K333" i="1"/>
  <c r="L333" i="1" s="1"/>
  <c r="N333" i="1" s="1"/>
  <c r="K334" i="1"/>
  <c r="L334" i="1" s="1"/>
  <c r="N334" i="1" s="1"/>
  <c r="K335" i="1"/>
  <c r="L335" i="1" s="1"/>
  <c r="N335" i="1" s="1"/>
  <c r="K336" i="1"/>
  <c r="L336" i="1" s="1"/>
  <c r="N336" i="1" s="1"/>
  <c r="K337" i="1"/>
  <c r="L337" i="1" s="1"/>
  <c r="N337" i="1" s="1"/>
  <c r="K338" i="1"/>
  <c r="L338" i="1" s="1"/>
  <c r="N338" i="1" s="1"/>
  <c r="K339" i="1"/>
  <c r="L339" i="1" s="1"/>
  <c r="N339" i="1" s="1"/>
  <c r="K340" i="1"/>
  <c r="L340" i="1" s="1"/>
  <c r="N340" i="1" s="1"/>
  <c r="K341" i="1"/>
  <c r="L341" i="1" s="1"/>
  <c r="N341" i="1" s="1"/>
  <c r="K342" i="1"/>
  <c r="L342" i="1" s="1"/>
  <c r="N342" i="1" s="1"/>
  <c r="K343" i="1"/>
  <c r="L343" i="1" s="1"/>
  <c r="N343" i="1" s="1"/>
  <c r="K344" i="1"/>
  <c r="L344" i="1" s="1"/>
  <c r="N344" i="1" s="1"/>
  <c r="K345" i="1"/>
  <c r="L345" i="1" s="1"/>
  <c r="N345" i="1" s="1"/>
  <c r="K346" i="1"/>
  <c r="L346" i="1" s="1"/>
  <c r="N346" i="1" s="1"/>
  <c r="K347" i="1"/>
  <c r="L347" i="1" s="1"/>
  <c r="N347" i="1" s="1"/>
  <c r="K348" i="1"/>
  <c r="L348" i="1" s="1"/>
  <c r="N348" i="1" s="1"/>
  <c r="K349" i="1"/>
  <c r="L349" i="1" s="1"/>
  <c r="N349" i="1" s="1"/>
  <c r="K350" i="1"/>
  <c r="L350" i="1" s="1"/>
  <c r="N350" i="1" s="1"/>
  <c r="K351" i="1"/>
  <c r="L351" i="1" s="1"/>
  <c r="N351" i="1" s="1"/>
  <c r="K352" i="1"/>
  <c r="L352" i="1" s="1"/>
  <c r="N352" i="1" s="1"/>
  <c r="K353" i="1"/>
  <c r="L353" i="1" s="1"/>
  <c r="N353" i="1" s="1"/>
  <c r="K354" i="1"/>
  <c r="L354" i="1" s="1"/>
  <c r="N354" i="1" s="1"/>
  <c r="K355" i="1"/>
  <c r="L355" i="1" s="1"/>
  <c r="N355" i="1" s="1"/>
  <c r="K356" i="1"/>
  <c r="L356" i="1" s="1"/>
  <c r="N356" i="1" s="1"/>
  <c r="K357" i="1"/>
  <c r="L357" i="1" s="1"/>
  <c r="N357" i="1" s="1"/>
  <c r="K358" i="1"/>
  <c r="L358" i="1" s="1"/>
  <c r="N358" i="1" s="1"/>
  <c r="K359" i="1"/>
  <c r="L359" i="1" s="1"/>
  <c r="N359" i="1" s="1"/>
  <c r="K360" i="1"/>
  <c r="L360" i="1" s="1"/>
  <c r="N360" i="1" s="1"/>
  <c r="K361" i="1"/>
  <c r="L361" i="1" s="1"/>
  <c r="N361" i="1" s="1"/>
  <c r="K362" i="1"/>
  <c r="L362" i="1" s="1"/>
  <c r="N362" i="1" s="1"/>
  <c r="K363" i="1"/>
  <c r="L363" i="1" s="1"/>
  <c r="N363" i="1" s="1"/>
  <c r="K364" i="1"/>
  <c r="L364" i="1" s="1"/>
  <c r="N364" i="1" s="1"/>
  <c r="K365" i="1"/>
  <c r="L365" i="1" s="1"/>
  <c r="N365" i="1" s="1"/>
  <c r="K366" i="1"/>
  <c r="L366" i="1" s="1"/>
  <c r="N366" i="1" s="1"/>
  <c r="K367" i="1"/>
  <c r="L367" i="1" s="1"/>
  <c r="N367" i="1" s="1"/>
  <c r="K368" i="1"/>
  <c r="L368" i="1" s="1"/>
  <c r="N368" i="1" s="1"/>
  <c r="K369" i="1"/>
  <c r="L369" i="1" s="1"/>
  <c r="N369" i="1" s="1"/>
  <c r="K370" i="1"/>
  <c r="L370" i="1" s="1"/>
  <c r="N370" i="1" s="1"/>
  <c r="K371" i="1"/>
  <c r="L371" i="1" s="1"/>
  <c r="N371" i="1" s="1"/>
  <c r="K372" i="1"/>
  <c r="L372" i="1" s="1"/>
  <c r="N372" i="1" s="1"/>
  <c r="K373" i="1"/>
  <c r="L373" i="1" s="1"/>
  <c r="N373" i="1" s="1"/>
  <c r="K374" i="1"/>
  <c r="L374" i="1" s="1"/>
  <c r="N374" i="1" s="1"/>
  <c r="K375" i="1"/>
  <c r="L375" i="1" s="1"/>
  <c r="N375" i="1" s="1"/>
  <c r="K376" i="1"/>
  <c r="L376" i="1" s="1"/>
  <c r="N376" i="1" s="1"/>
  <c r="K377" i="1"/>
  <c r="L377" i="1" s="1"/>
  <c r="N377" i="1" s="1"/>
  <c r="K378" i="1"/>
  <c r="L378" i="1" s="1"/>
  <c r="N378" i="1" s="1"/>
  <c r="K379" i="1"/>
  <c r="L379" i="1" s="1"/>
  <c r="N379" i="1" s="1"/>
  <c r="K380" i="1"/>
  <c r="L380" i="1" s="1"/>
  <c r="N380" i="1" s="1"/>
  <c r="K381" i="1"/>
  <c r="L381" i="1" s="1"/>
  <c r="N381" i="1" s="1"/>
  <c r="K382" i="1"/>
  <c r="L382" i="1" s="1"/>
  <c r="N382" i="1" s="1"/>
  <c r="K383" i="1"/>
  <c r="L383" i="1" s="1"/>
  <c r="N383" i="1" s="1"/>
  <c r="K384" i="1"/>
  <c r="L384" i="1" s="1"/>
  <c r="N384" i="1" s="1"/>
  <c r="K385" i="1"/>
  <c r="L385" i="1" s="1"/>
  <c r="N385" i="1" s="1"/>
  <c r="K386" i="1"/>
  <c r="L386" i="1" s="1"/>
  <c r="N386" i="1" s="1"/>
  <c r="K387" i="1"/>
  <c r="L387" i="1" s="1"/>
  <c r="N387" i="1" s="1"/>
  <c r="K388" i="1"/>
  <c r="L388" i="1" s="1"/>
  <c r="N388" i="1" s="1"/>
  <c r="K389" i="1"/>
  <c r="L389" i="1" s="1"/>
  <c r="N389" i="1" s="1"/>
  <c r="K390" i="1"/>
  <c r="L390" i="1" s="1"/>
  <c r="N390" i="1" s="1"/>
  <c r="K391" i="1"/>
  <c r="L391" i="1" s="1"/>
  <c r="N391" i="1" s="1"/>
  <c r="K392" i="1"/>
  <c r="L392" i="1" s="1"/>
  <c r="N392" i="1" s="1"/>
  <c r="K393" i="1"/>
  <c r="L393" i="1" s="1"/>
  <c r="N393" i="1" s="1"/>
  <c r="K394" i="1"/>
  <c r="L394" i="1" s="1"/>
  <c r="N394" i="1" s="1"/>
  <c r="K395" i="1"/>
  <c r="L395" i="1" s="1"/>
  <c r="N395" i="1" s="1"/>
  <c r="K396" i="1"/>
  <c r="L396" i="1" s="1"/>
  <c r="N396" i="1" s="1"/>
  <c r="K397" i="1"/>
  <c r="L397" i="1" s="1"/>
  <c r="N397" i="1" s="1"/>
  <c r="K398" i="1"/>
  <c r="L398" i="1" s="1"/>
  <c r="N398" i="1" s="1"/>
  <c r="K399" i="1"/>
  <c r="L399" i="1" s="1"/>
  <c r="N399" i="1" s="1"/>
  <c r="K400" i="1"/>
  <c r="L400" i="1" s="1"/>
  <c r="N400" i="1" s="1"/>
  <c r="K401" i="1"/>
  <c r="L401" i="1" s="1"/>
  <c r="N401" i="1" s="1"/>
  <c r="K402" i="1"/>
  <c r="L402" i="1" s="1"/>
  <c r="N402" i="1" s="1"/>
  <c r="K403" i="1"/>
  <c r="L403" i="1" s="1"/>
  <c r="N403" i="1" s="1"/>
  <c r="K404" i="1"/>
  <c r="L404" i="1" s="1"/>
  <c r="N404" i="1" s="1"/>
  <c r="K405" i="1"/>
  <c r="L405" i="1" s="1"/>
  <c r="N405" i="1" s="1"/>
  <c r="K406" i="1"/>
  <c r="L406" i="1" s="1"/>
  <c r="N406" i="1" s="1"/>
  <c r="K407" i="1"/>
  <c r="L407" i="1" s="1"/>
  <c r="N407" i="1" s="1"/>
  <c r="K408" i="1"/>
  <c r="L408" i="1" s="1"/>
  <c r="N408" i="1" s="1"/>
  <c r="K409" i="1"/>
  <c r="L409" i="1" s="1"/>
  <c r="N409" i="1" s="1"/>
  <c r="K410" i="1"/>
  <c r="L410" i="1" s="1"/>
  <c r="N410" i="1" s="1"/>
  <c r="K411" i="1"/>
  <c r="L411" i="1" s="1"/>
  <c r="N411" i="1" s="1"/>
  <c r="K412" i="1"/>
  <c r="L412" i="1" s="1"/>
  <c r="N412" i="1" s="1"/>
  <c r="K413" i="1"/>
  <c r="L413" i="1" s="1"/>
  <c r="N413" i="1" s="1"/>
  <c r="K414" i="1"/>
  <c r="L414" i="1" s="1"/>
  <c r="N414" i="1" s="1"/>
  <c r="K415" i="1"/>
  <c r="L415" i="1" s="1"/>
  <c r="N415" i="1" s="1"/>
  <c r="K416" i="1"/>
  <c r="L416" i="1" s="1"/>
  <c r="N416" i="1" s="1"/>
  <c r="K417" i="1"/>
  <c r="L417" i="1" s="1"/>
  <c r="N417" i="1" s="1"/>
  <c r="K418" i="1"/>
  <c r="L418" i="1" s="1"/>
  <c r="N418" i="1" s="1"/>
  <c r="K419" i="1"/>
  <c r="L419" i="1" s="1"/>
  <c r="N419" i="1" s="1"/>
  <c r="K420" i="1"/>
  <c r="L420" i="1" s="1"/>
  <c r="N420" i="1" s="1"/>
  <c r="K421" i="1"/>
  <c r="L421" i="1" s="1"/>
  <c r="N421" i="1" s="1"/>
  <c r="K422" i="1"/>
  <c r="L422" i="1" s="1"/>
  <c r="N422" i="1" s="1"/>
  <c r="K423" i="1"/>
  <c r="L423" i="1" s="1"/>
  <c r="N423" i="1" s="1"/>
  <c r="K424" i="1"/>
  <c r="L424" i="1" s="1"/>
  <c r="N424" i="1" s="1"/>
  <c r="K425" i="1"/>
  <c r="L425" i="1" s="1"/>
  <c r="N425" i="1" s="1"/>
  <c r="K426" i="1"/>
  <c r="L426" i="1" s="1"/>
  <c r="N426" i="1" s="1"/>
  <c r="K427" i="1"/>
  <c r="L427" i="1" s="1"/>
  <c r="N427" i="1" s="1"/>
  <c r="K428" i="1"/>
  <c r="L428" i="1" s="1"/>
  <c r="N428" i="1" s="1"/>
  <c r="K429" i="1"/>
  <c r="L429" i="1" s="1"/>
  <c r="N429" i="1" s="1"/>
  <c r="K430" i="1"/>
  <c r="L430" i="1" s="1"/>
  <c r="N430" i="1" s="1"/>
  <c r="K431" i="1"/>
  <c r="L431" i="1" s="1"/>
  <c r="N431" i="1" s="1"/>
  <c r="K432" i="1"/>
  <c r="L432" i="1" s="1"/>
  <c r="N432" i="1" s="1"/>
  <c r="K433" i="1"/>
  <c r="L433" i="1" s="1"/>
  <c r="N433" i="1" s="1"/>
  <c r="K434" i="1"/>
  <c r="L434" i="1" s="1"/>
  <c r="N434" i="1" s="1"/>
  <c r="K435" i="1"/>
  <c r="L435" i="1" s="1"/>
  <c r="N435" i="1" s="1"/>
  <c r="K436" i="1"/>
  <c r="L436" i="1" s="1"/>
  <c r="N436" i="1" s="1"/>
  <c r="K437" i="1"/>
  <c r="L437" i="1" s="1"/>
  <c r="N437" i="1" s="1"/>
  <c r="K438" i="1"/>
  <c r="L438" i="1" s="1"/>
  <c r="N438" i="1" s="1"/>
  <c r="K439" i="1"/>
  <c r="L439" i="1" s="1"/>
  <c r="N439" i="1" s="1"/>
  <c r="K440" i="1"/>
  <c r="L440" i="1" s="1"/>
  <c r="N440" i="1" s="1"/>
  <c r="K441" i="1"/>
  <c r="L441" i="1" s="1"/>
  <c r="N441" i="1" s="1"/>
  <c r="K442" i="1"/>
  <c r="L442" i="1" s="1"/>
  <c r="N442" i="1" s="1"/>
  <c r="K443" i="1"/>
  <c r="L443" i="1" s="1"/>
  <c r="N443" i="1" s="1"/>
  <c r="K444" i="1"/>
  <c r="L444" i="1" s="1"/>
  <c r="N444" i="1" s="1"/>
  <c r="K445" i="1"/>
  <c r="L445" i="1" s="1"/>
  <c r="N445" i="1" s="1"/>
  <c r="K446" i="1"/>
  <c r="L446" i="1" s="1"/>
  <c r="N446" i="1" s="1"/>
  <c r="K447" i="1"/>
  <c r="L447" i="1" s="1"/>
  <c r="N447" i="1" s="1"/>
  <c r="K448" i="1"/>
  <c r="L448" i="1" s="1"/>
  <c r="N448" i="1" s="1"/>
  <c r="K449" i="1"/>
  <c r="L449" i="1" s="1"/>
  <c r="N449" i="1" s="1"/>
  <c r="K450" i="1"/>
  <c r="L450" i="1" s="1"/>
  <c r="N450" i="1" s="1"/>
  <c r="K451" i="1"/>
  <c r="L451" i="1" s="1"/>
  <c r="N451" i="1" s="1"/>
  <c r="K452" i="1"/>
  <c r="L452" i="1" s="1"/>
  <c r="N452" i="1" s="1"/>
  <c r="K453" i="1"/>
  <c r="L453" i="1" s="1"/>
  <c r="N453" i="1" s="1"/>
  <c r="K454" i="1"/>
  <c r="L454" i="1" s="1"/>
  <c r="N454" i="1" s="1"/>
  <c r="K455" i="1"/>
  <c r="L455" i="1" s="1"/>
  <c r="N455" i="1" s="1"/>
  <c r="K456" i="1"/>
  <c r="L456" i="1" s="1"/>
  <c r="N456" i="1" s="1"/>
  <c r="K457" i="1"/>
  <c r="L457" i="1" s="1"/>
  <c r="N457" i="1" s="1"/>
  <c r="K458" i="1"/>
  <c r="L458" i="1" s="1"/>
  <c r="N458" i="1" s="1"/>
  <c r="K459" i="1"/>
  <c r="L459" i="1" s="1"/>
  <c r="N459" i="1" s="1"/>
  <c r="K460" i="1"/>
  <c r="L460" i="1" s="1"/>
  <c r="N460" i="1" s="1"/>
  <c r="K461" i="1"/>
  <c r="L461" i="1" s="1"/>
  <c r="N461" i="1" s="1"/>
  <c r="K462" i="1"/>
  <c r="L462" i="1" s="1"/>
  <c r="N462" i="1" s="1"/>
  <c r="K463" i="1"/>
  <c r="L463" i="1" s="1"/>
  <c r="N463" i="1" s="1"/>
  <c r="K464" i="1"/>
  <c r="L464" i="1" s="1"/>
  <c r="N464" i="1" s="1"/>
  <c r="K465" i="1"/>
  <c r="L465" i="1" s="1"/>
  <c r="N465" i="1" s="1"/>
  <c r="K466" i="1"/>
  <c r="L466" i="1" s="1"/>
  <c r="N466" i="1" s="1"/>
  <c r="K467" i="1"/>
  <c r="L467" i="1" s="1"/>
  <c r="N467" i="1" s="1"/>
  <c r="K468" i="1"/>
  <c r="L468" i="1" s="1"/>
  <c r="N468" i="1" s="1"/>
  <c r="K469" i="1"/>
  <c r="L469" i="1" s="1"/>
  <c r="N469" i="1" s="1"/>
  <c r="K470" i="1"/>
  <c r="L470" i="1" s="1"/>
  <c r="N470" i="1" s="1"/>
  <c r="K471" i="1"/>
  <c r="L471" i="1" s="1"/>
  <c r="N471" i="1" s="1"/>
  <c r="K472" i="1"/>
  <c r="L472" i="1" s="1"/>
  <c r="N472" i="1" s="1"/>
  <c r="K473" i="1"/>
  <c r="L473" i="1" s="1"/>
  <c r="N473" i="1" s="1"/>
  <c r="K474" i="1"/>
  <c r="L474" i="1" s="1"/>
  <c r="N474" i="1" s="1"/>
  <c r="K475" i="1"/>
  <c r="L475" i="1" s="1"/>
  <c r="N475" i="1" s="1"/>
  <c r="K476" i="1"/>
  <c r="L476" i="1" s="1"/>
  <c r="N476" i="1" s="1"/>
  <c r="K477" i="1"/>
  <c r="L477" i="1" s="1"/>
  <c r="N477" i="1" s="1"/>
  <c r="K478" i="1"/>
  <c r="L478" i="1" s="1"/>
  <c r="N478" i="1" s="1"/>
  <c r="K479" i="1"/>
  <c r="L479" i="1" s="1"/>
  <c r="N479" i="1" s="1"/>
  <c r="K480" i="1"/>
  <c r="L480" i="1" s="1"/>
  <c r="N480" i="1" s="1"/>
  <c r="K481" i="1"/>
  <c r="L481" i="1" s="1"/>
  <c r="N481" i="1" s="1"/>
  <c r="K482" i="1"/>
  <c r="L482" i="1" s="1"/>
  <c r="N482" i="1" s="1"/>
  <c r="K483" i="1"/>
  <c r="L483" i="1" s="1"/>
  <c r="N483" i="1" s="1"/>
  <c r="K484" i="1"/>
  <c r="L484" i="1" s="1"/>
  <c r="N484" i="1" s="1"/>
  <c r="K485" i="1"/>
  <c r="L485" i="1" s="1"/>
  <c r="N485" i="1" s="1"/>
  <c r="K486" i="1"/>
  <c r="L486" i="1" s="1"/>
  <c r="N486" i="1" s="1"/>
  <c r="K487" i="1"/>
  <c r="L487" i="1" s="1"/>
  <c r="N487" i="1" s="1"/>
  <c r="K488" i="1"/>
  <c r="L488" i="1" s="1"/>
  <c r="N488" i="1" s="1"/>
  <c r="K489" i="1"/>
  <c r="L489" i="1" s="1"/>
  <c r="N489" i="1" s="1"/>
  <c r="K490" i="1"/>
  <c r="L490" i="1" s="1"/>
  <c r="N490" i="1" s="1"/>
  <c r="K491" i="1"/>
  <c r="L491" i="1" s="1"/>
  <c r="N491" i="1" s="1"/>
  <c r="K492" i="1"/>
  <c r="L492" i="1" s="1"/>
  <c r="N492" i="1" s="1"/>
  <c r="K493" i="1"/>
  <c r="L493" i="1" s="1"/>
  <c r="N493" i="1" s="1"/>
  <c r="K494" i="1"/>
  <c r="L494" i="1" s="1"/>
  <c r="N494" i="1" s="1"/>
  <c r="K495" i="1"/>
  <c r="L495" i="1" s="1"/>
  <c r="N495" i="1" s="1"/>
  <c r="K496" i="1"/>
  <c r="L496" i="1" s="1"/>
  <c r="N496" i="1" s="1"/>
  <c r="K497" i="1"/>
  <c r="L497" i="1" s="1"/>
  <c r="N497" i="1" s="1"/>
  <c r="K498" i="1"/>
  <c r="L498" i="1" s="1"/>
  <c r="N498" i="1" s="1"/>
  <c r="K499" i="1"/>
  <c r="L499" i="1" s="1"/>
  <c r="N499" i="1" s="1"/>
  <c r="K500" i="1"/>
  <c r="L500" i="1" s="1"/>
  <c r="N500" i="1" s="1"/>
  <c r="K501" i="1"/>
  <c r="L501" i="1" s="1"/>
  <c r="N501" i="1" s="1"/>
  <c r="K502" i="1"/>
  <c r="L502" i="1" s="1"/>
  <c r="N502" i="1" s="1"/>
  <c r="K503" i="1"/>
  <c r="L503" i="1" s="1"/>
  <c r="N503" i="1" s="1"/>
  <c r="K504" i="1"/>
  <c r="L504" i="1" s="1"/>
  <c r="N504" i="1" s="1"/>
  <c r="K505" i="1"/>
  <c r="L505" i="1" s="1"/>
  <c r="N505" i="1" s="1"/>
  <c r="K506" i="1"/>
  <c r="L506" i="1" s="1"/>
  <c r="N506" i="1" s="1"/>
  <c r="K507" i="1"/>
  <c r="L507" i="1" s="1"/>
  <c r="N507" i="1" s="1"/>
  <c r="K508" i="1"/>
  <c r="L508" i="1" s="1"/>
  <c r="N508" i="1" s="1"/>
  <c r="K509" i="1"/>
  <c r="L509" i="1" s="1"/>
  <c r="N509" i="1" s="1"/>
  <c r="K510" i="1"/>
  <c r="L510" i="1" s="1"/>
  <c r="N510" i="1" s="1"/>
  <c r="K511" i="1"/>
  <c r="L511" i="1" s="1"/>
  <c r="N511" i="1" s="1"/>
  <c r="K512" i="1"/>
  <c r="L512" i="1" s="1"/>
  <c r="N512" i="1" s="1"/>
  <c r="K513" i="1"/>
  <c r="L513" i="1" s="1"/>
  <c r="N513" i="1" s="1"/>
  <c r="K514" i="1"/>
  <c r="L514" i="1" s="1"/>
  <c r="N514" i="1" s="1"/>
  <c r="K515" i="1"/>
  <c r="L515" i="1" s="1"/>
  <c r="N515" i="1" s="1"/>
  <c r="K516" i="1"/>
  <c r="L516" i="1" s="1"/>
  <c r="N516" i="1" s="1"/>
  <c r="K517" i="1"/>
  <c r="L517" i="1" s="1"/>
  <c r="N517" i="1" s="1"/>
  <c r="K518" i="1"/>
  <c r="L518" i="1" s="1"/>
  <c r="N518" i="1" s="1"/>
  <c r="K519" i="1"/>
  <c r="L519" i="1" s="1"/>
  <c r="N519" i="1" s="1"/>
  <c r="K520" i="1"/>
  <c r="L520" i="1" s="1"/>
  <c r="N520" i="1" s="1"/>
  <c r="K521" i="1"/>
  <c r="L521" i="1" s="1"/>
  <c r="N521" i="1" s="1"/>
  <c r="K522" i="1"/>
  <c r="L522" i="1" s="1"/>
  <c r="N522" i="1" s="1"/>
  <c r="K523" i="1"/>
  <c r="L523" i="1" s="1"/>
  <c r="N523" i="1" s="1"/>
  <c r="K524" i="1"/>
  <c r="L524" i="1" s="1"/>
  <c r="N524" i="1" s="1"/>
  <c r="K525" i="1"/>
  <c r="L525" i="1" s="1"/>
  <c r="N525" i="1" s="1"/>
  <c r="K526" i="1"/>
  <c r="L526" i="1" s="1"/>
  <c r="N526" i="1" s="1"/>
  <c r="K527" i="1"/>
  <c r="L527" i="1" s="1"/>
  <c r="N527" i="1" s="1"/>
  <c r="K528" i="1"/>
  <c r="L528" i="1" s="1"/>
  <c r="N528" i="1" s="1"/>
  <c r="K529" i="1"/>
  <c r="L529" i="1" s="1"/>
  <c r="N529" i="1" s="1"/>
  <c r="K530" i="1"/>
  <c r="L530" i="1" s="1"/>
  <c r="N530" i="1" s="1"/>
  <c r="K531" i="1"/>
  <c r="L531" i="1" s="1"/>
  <c r="N531" i="1" s="1"/>
  <c r="K532" i="1"/>
  <c r="L532" i="1" s="1"/>
  <c r="N532" i="1" s="1"/>
  <c r="K533" i="1"/>
  <c r="L533" i="1" s="1"/>
  <c r="N533" i="1" s="1"/>
  <c r="K534" i="1"/>
  <c r="L534" i="1" s="1"/>
  <c r="N534" i="1" s="1"/>
  <c r="K535" i="1"/>
  <c r="L535" i="1" s="1"/>
  <c r="N535" i="1" s="1"/>
  <c r="K536" i="1"/>
  <c r="L536" i="1" s="1"/>
  <c r="N536" i="1" s="1"/>
  <c r="K537" i="1"/>
  <c r="L537" i="1" s="1"/>
  <c r="N537" i="1" s="1"/>
  <c r="K538" i="1"/>
  <c r="L538" i="1" s="1"/>
  <c r="N538" i="1" s="1"/>
  <c r="K539" i="1"/>
  <c r="L539" i="1" s="1"/>
  <c r="N539" i="1" s="1"/>
  <c r="K540" i="1"/>
  <c r="L540" i="1" s="1"/>
  <c r="N540" i="1" s="1"/>
  <c r="K541" i="1"/>
  <c r="L541" i="1" s="1"/>
  <c r="N541" i="1" s="1"/>
  <c r="K542" i="1"/>
  <c r="L542" i="1" s="1"/>
  <c r="N542" i="1" s="1"/>
  <c r="K543" i="1"/>
  <c r="L543" i="1" s="1"/>
  <c r="N543" i="1" s="1"/>
  <c r="K544" i="1"/>
  <c r="L544" i="1" s="1"/>
  <c r="N544" i="1" s="1"/>
  <c r="K545" i="1"/>
  <c r="L545" i="1" s="1"/>
  <c r="N545" i="1" s="1"/>
  <c r="K546" i="1"/>
  <c r="L546" i="1" s="1"/>
  <c r="N546" i="1" s="1"/>
  <c r="K547" i="1"/>
  <c r="L547" i="1" s="1"/>
  <c r="N547" i="1" s="1"/>
  <c r="K548" i="1"/>
  <c r="L548" i="1" s="1"/>
  <c r="N548" i="1" s="1"/>
  <c r="K549" i="1"/>
  <c r="L549" i="1" s="1"/>
  <c r="N549" i="1" s="1"/>
  <c r="K550" i="1"/>
  <c r="L550" i="1" s="1"/>
  <c r="N550" i="1" s="1"/>
  <c r="K551" i="1"/>
  <c r="L551" i="1" s="1"/>
  <c r="N551" i="1" s="1"/>
  <c r="K552" i="1"/>
  <c r="L552" i="1" s="1"/>
  <c r="N552" i="1" s="1"/>
  <c r="K553" i="1"/>
  <c r="L553" i="1" s="1"/>
  <c r="N553" i="1" s="1"/>
  <c r="K554" i="1"/>
  <c r="L554" i="1" s="1"/>
  <c r="N554" i="1" s="1"/>
  <c r="K555" i="1"/>
  <c r="L555" i="1" s="1"/>
  <c r="N555" i="1" s="1"/>
  <c r="K556" i="1"/>
  <c r="L556" i="1" s="1"/>
  <c r="N556" i="1" s="1"/>
  <c r="K557" i="1"/>
  <c r="L557" i="1" s="1"/>
  <c r="N557" i="1" s="1"/>
  <c r="K558" i="1"/>
  <c r="L558" i="1" s="1"/>
  <c r="N558" i="1" s="1"/>
  <c r="K559" i="1"/>
  <c r="L559" i="1" s="1"/>
  <c r="N559" i="1" s="1"/>
  <c r="K560" i="1"/>
  <c r="L560" i="1" s="1"/>
  <c r="N560" i="1" s="1"/>
  <c r="K561" i="1"/>
  <c r="L561" i="1" s="1"/>
  <c r="N561" i="1" s="1"/>
  <c r="K562" i="1"/>
  <c r="L562" i="1" s="1"/>
  <c r="N562" i="1" s="1"/>
  <c r="K563" i="1"/>
  <c r="L563" i="1" s="1"/>
  <c r="N563" i="1" s="1"/>
  <c r="K564" i="1"/>
  <c r="L564" i="1" s="1"/>
  <c r="N564" i="1" s="1"/>
  <c r="K565" i="1"/>
  <c r="L565" i="1" s="1"/>
  <c r="N565" i="1" s="1"/>
  <c r="K566" i="1"/>
  <c r="L566" i="1" s="1"/>
  <c r="N566" i="1" s="1"/>
  <c r="K567" i="1"/>
  <c r="L567" i="1" s="1"/>
  <c r="N567" i="1" s="1"/>
  <c r="K568" i="1"/>
  <c r="L568" i="1" s="1"/>
  <c r="N568" i="1" s="1"/>
  <c r="K569" i="1"/>
  <c r="L569" i="1" s="1"/>
  <c r="N569" i="1" s="1"/>
  <c r="K570" i="1"/>
  <c r="L570" i="1" s="1"/>
  <c r="N570" i="1" s="1"/>
  <c r="K571" i="1"/>
  <c r="L571" i="1" s="1"/>
  <c r="N571" i="1" s="1"/>
  <c r="K572" i="1"/>
  <c r="L572" i="1" s="1"/>
  <c r="N572" i="1" s="1"/>
  <c r="K573" i="1"/>
  <c r="L573" i="1" s="1"/>
  <c r="N573" i="1" s="1"/>
  <c r="K574" i="1"/>
  <c r="L574" i="1" s="1"/>
  <c r="N574" i="1" s="1"/>
  <c r="K575" i="1"/>
  <c r="L575" i="1" s="1"/>
  <c r="N575" i="1" s="1"/>
  <c r="K576" i="1"/>
  <c r="L576" i="1" s="1"/>
  <c r="N576" i="1" s="1"/>
  <c r="K577" i="1"/>
  <c r="L577" i="1" s="1"/>
  <c r="N577" i="1" s="1"/>
  <c r="K578" i="1"/>
  <c r="L578" i="1" s="1"/>
  <c r="N578" i="1" s="1"/>
  <c r="K579" i="1"/>
  <c r="L579" i="1" s="1"/>
  <c r="N579" i="1" s="1"/>
  <c r="K580" i="1"/>
  <c r="L580" i="1" s="1"/>
  <c r="N580" i="1" s="1"/>
  <c r="K581" i="1"/>
  <c r="L581" i="1" s="1"/>
  <c r="N581" i="1" s="1"/>
  <c r="K582" i="1"/>
  <c r="L582" i="1" s="1"/>
  <c r="N582" i="1" s="1"/>
  <c r="K583" i="1"/>
  <c r="L583" i="1" s="1"/>
  <c r="N583" i="1" s="1"/>
  <c r="K584" i="1"/>
  <c r="L584" i="1" s="1"/>
  <c r="N584" i="1" s="1"/>
  <c r="K585" i="1"/>
  <c r="L585" i="1" s="1"/>
  <c r="N585" i="1" s="1"/>
  <c r="K586" i="1"/>
  <c r="L586" i="1" s="1"/>
  <c r="N586" i="1" s="1"/>
  <c r="K587" i="1"/>
  <c r="L587" i="1" s="1"/>
  <c r="N587" i="1" s="1"/>
  <c r="K588" i="1"/>
  <c r="L588" i="1" s="1"/>
  <c r="N588" i="1" s="1"/>
  <c r="K589" i="1"/>
  <c r="L589" i="1" s="1"/>
  <c r="N589" i="1" s="1"/>
  <c r="K590" i="1"/>
  <c r="L590" i="1" s="1"/>
  <c r="N590" i="1" s="1"/>
  <c r="K591" i="1"/>
  <c r="L591" i="1" s="1"/>
  <c r="N591" i="1" s="1"/>
  <c r="K592" i="1"/>
  <c r="L592" i="1" s="1"/>
  <c r="N592" i="1" s="1"/>
  <c r="K593" i="1"/>
  <c r="L593" i="1" s="1"/>
  <c r="N593" i="1" s="1"/>
  <c r="K594" i="1"/>
  <c r="L594" i="1" s="1"/>
  <c r="N594" i="1" s="1"/>
  <c r="K595" i="1"/>
  <c r="L595" i="1" s="1"/>
  <c r="N595" i="1" s="1"/>
  <c r="K596" i="1"/>
  <c r="L596" i="1" s="1"/>
  <c r="N596" i="1" s="1"/>
  <c r="K597" i="1"/>
  <c r="L597" i="1" s="1"/>
  <c r="N597" i="1" s="1"/>
  <c r="K598" i="1"/>
  <c r="L598" i="1" s="1"/>
  <c r="N598" i="1" s="1"/>
  <c r="K599" i="1"/>
  <c r="L599" i="1" s="1"/>
  <c r="N599" i="1" s="1"/>
  <c r="K600" i="1"/>
  <c r="L600" i="1" s="1"/>
  <c r="N600" i="1" s="1"/>
  <c r="K601" i="1"/>
  <c r="L601" i="1" s="1"/>
  <c r="N601" i="1" s="1"/>
  <c r="K602" i="1"/>
  <c r="L602" i="1" s="1"/>
  <c r="N602" i="1" s="1"/>
  <c r="K603" i="1"/>
  <c r="L603" i="1" s="1"/>
  <c r="N603" i="1" s="1"/>
  <c r="K604" i="1"/>
  <c r="L604" i="1" s="1"/>
  <c r="N604" i="1" s="1"/>
  <c r="K605" i="1"/>
  <c r="L605" i="1" s="1"/>
  <c r="N605" i="1" s="1"/>
  <c r="K606" i="1"/>
  <c r="L606" i="1" s="1"/>
  <c r="N606" i="1" s="1"/>
  <c r="K607" i="1"/>
  <c r="L607" i="1" s="1"/>
  <c r="N607" i="1" s="1"/>
  <c r="K608" i="1"/>
  <c r="L608" i="1" s="1"/>
  <c r="N608" i="1" s="1"/>
  <c r="K609" i="1"/>
  <c r="L609" i="1" s="1"/>
  <c r="N609" i="1" s="1"/>
  <c r="K610" i="1"/>
  <c r="L610" i="1" s="1"/>
  <c r="N610" i="1" s="1"/>
  <c r="K611" i="1"/>
  <c r="L611" i="1" s="1"/>
  <c r="N611" i="1" s="1"/>
  <c r="K612" i="1"/>
  <c r="L612" i="1" s="1"/>
  <c r="N612" i="1" s="1"/>
  <c r="K613" i="1"/>
  <c r="L613" i="1" s="1"/>
  <c r="N613" i="1" s="1"/>
  <c r="K614" i="1"/>
  <c r="L614" i="1" s="1"/>
  <c r="N614" i="1" s="1"/>
  <c r="K615" i="1"/>
  <c r="L615" i="1" s="1"/>
  <c r="N615" i="1" s="1"/>
  <c r="K616" i="1"/>
  <c r="L616" i="1" s="1"/>
  <c r="N616" i="1" s="1"/>
  <c r="K617" i="1"/>
  <c r="L617" i="1" s="1"/>
  <c r="N617" i="1" s="1"/>
  <c r="K618" i="1"/>
  <c r="L618" i="1" s="1"/>
  <c r="N618" i="1" s="1"/>
  <c r="K619" i="1"/>
  <c r="L619" i="1" s="1"/>
  <c r="N619" i="1" s="1"/>
  <c r="K620" i="1"/>
  <c r="L620" i="1" s="1"/>
  <c r="N620" i="1" s="1"/>
  <c r="K621" i="1"/>
  <c r="L621" i="1" s="1"/>
  <c r="N621" i="1" s="1"/>
  <c r="K622" i="1"/>
  <c r="L622" i="1" s="1"/>
  <c r="N622" i="1" s="1"/>
  <c r="K623" i="1"/>
  <c r="L623" i="1" s="1"/>
  <c r="N623" i="1" s="1"/>
  <c r="K624" i="1"/>
  <c r="L624" i="1" s="1"/>
  <c r="N624" i="1" s="1"/>
  <c r="K625" i="1"/>
  <c r="L625" i="1" s="1"/>
  <c r="N625" i="1" s="1"/>
  <c r="K626" i="1"/>
  <c r="L626" i="1" s="1"/>
  <c r="N626" i="1" s="1"/>
  <c r="K627" i="1"/>
  <c r="L627" i="1" s="1"/>
  <c r="N627" i="1" s="1"/>
  <c r="K628" i="1"/>
  <c r="L628" i="1" s="1"/>
  <c r="N628" i="1" s="1"/>
  <c r="K629" i="1"/>
  <c r="L629" i="1" s="1"/>
  <c r="N629" i="1" s="1"/>
  <c r="K630" i="1"/>
  <c r="L630" i="1" s="1"/>
  <c r="N630" i="1" s="1"/>
  <c r="K631" i="1"/>
  <c r="L631" i="1" s="1"/>
  <c r="N631" i="1" s="1"/>
  <c r="K632" i="1"/>
  <c r="L632" i="1" s="1"/>
  <c r="N632" i="1" s="1"/>
  <c r="K633" i="1"/>
  <c r="L633" i="1" s="1"/>
  <c r="N633" i="1" s="1"/>
  <c r="K634" i="1"/>
  <c r="L634" i="1" s="1"/>
  <c r="N634" i="1" s="1"/>
  <c r="K635" i="1"/>
  <c r="L635" i="1" s="1"/>
  <c r="N635" i="1" s="1"/>
  <c r="K636" i="1"/>
  <c r="L636" i="1" s="1"/>
  <c r="N636" i="1" s="1"/>
  <c r="K637" i="1"/>
  <c r="L637" i="1" s="1"/>
  <c r="N637" i="1" s="1"/>
  <c r="K638" i="1"/>
  <c r="L638" i="1" s="1"/>
  <c r="N638" i="1" s="1"/>
  <c r="K639" i="1"/>
  <c r="L639" i="1" s="1"/>
  <c r="N639" i="1" s="1"/>
  <c r="K640" i="1"/>
  <c r="L640" i="1" s="1"/>
  <c r="N640" i="1" s="1"/>
  <c r="K641" i="1"/>
  <c r="L641" i="1" s="1"/>
  <c r="N641" i="1" s="1"/>
  <c r="K642" i="1"/>
  <c r="L642" i="1" s="1"/>
  <c r="N642" i="1" s="1"/>
  <c r="K643" i="1"/>
  <c r="L643" i="1" s="1"/>
  <c r="N643" i="1" s="1"/>
  <c r="K644" i="1"/>
  <c r="L644" i="1" s="1"/>
  <c r="N644" i="1" s="1"/>
  <c r="K645" i="1"/>
  <c r="L645" i="1" s="1"/>
  <c r="N645" i="1" s="1"/>
  <c r="K646" i="1"/>
  <c r="L646" i="1" s="1"/>
  <c r="N646" i="1" s="1"/>
  <c r="K647" i="1"/>
  <c r="L647" i="1" s="1"/>
  <c r="N647" i="1" s="1"/>
  <c r="K648" i="1"/>
  <c r="L648" i="1" s="1"/>
  <c r="N648" i="1" s="1"/>
  <c r="K649" i="1"/>
  <c r="L649" i="1" s="1"/>
  <c r="N649" i="1" s="1"/>
  <c r="K650" i="1"/>
  <c r="L650" i="1" s="1"/>
  <c r="N650" i="1" s="1"/>
  <c r="K651" i="1"/>
  <c r="L651" i="1" s="1"/>
  <c r="N651" i="1" s="1"/>
  <c r="K652" i="1"/>
  <c r="L652" i="1" s="1"/>
  <c r="N652" i="1" s="1"/>
  <c r="K653" i="1"/>
  <c r="L653" i="1" s="1"/>
  <c r="N653" i="1" s="1"/>
  <c r="K654" i="1"/>
  <c r="L654" i="1" s="1"/>
  <c r="N654" i="1" s="1"/>
  <c r="K655" i="1"/>
  <c r="L655" i="1" s="1"/>
  <c r="N655" i="1" s="1"/>
  <c r="K656" i="1"/>
  <c r="L656" i="1" s="1"/>
  <c r="N656" i="1" s="1"/>
  <c r="K657" i="1"/>
  <c r="L657" i="1" s="1"/>
  <c r="N657" i="1" s="1"/>
  <c r="K658" i="1"/>
  <c r="L658" i="1" s="1"/>
  <c r="N658" i="1" s="1"/>
  <c r="K659" i="1"/>
  <c r="L659" i="1" s="1"/>
  <c r="N659" i="1" s="1"/>
  <c r="K660" i="1"/>
  <c r="L660" i="1" s="1"/>
  <c r="N660" i="1" s="1"/>
  <c r="K661" i="1"/>
  <c r="L661" i="1" s="1"/>
  <c r="N661" i="1" s="1"/>
  <c r="K662" i="1"/>
  <c r="L662" i="1" s="1"/>
  <c r="N662" i="1" s="1"/>
  <c r="K663" i="1"/>
  <c r="L663" i="1" s="1"/>
  <c r="N663" i="1" s="1"/>
  <c r="K664" i="1"/>
  <c r="L664" i="1" s="1"/>
  <c r="N664" i="1" s="1"/>
  <c r="K665" i="1"/>
  <c r="L665" i="1" s="1"/>
  <c r="N665" i="1" s="1"/>
  <c r="K666" i="1"/>
  <c r="L666" i="1" s="1"/>
  <c r="N666" i="1" s="1"/>
  <c r="K667" i="1"/>
  <c r="L667" i="1" s="1"/>
  <c r="N667" i="1" s="1"/>
  <c r="K668" i="1"/>
  <c r="L668" i="1" s="1"/>
  <c r="N668" i="1" s="1"/>
  <c r="K669" i="1"/>
  <c r="L669" i="1" s="1"/>
  <c r="N669" i="1" s="1"/>
  <c r="K670" i="1"/>
  <c r="L670" i="1" s="1"/>
  <c r="N670" i="1" s="1"/>
  <c r="K671" i="1"/>
  <c r="L671" i="1" s="1"/>
  <c r="N671" i="1" s="1"/>
  <c r="K672" i="1"/>
  <c r="L672" i="1" s="1"/>
  <c r="N672" i="1" s="1"/>
  <c r="K673" i="1"/>
  <c r="L673" i="1" s="1"/>
  <c r="N673" i="1" s="1"/>
  <c r="K674" i="1"/>
  <c r="L674" i="1" s="1"/>
  <c r="N674" i="1" s="1"/>
  <c r="K675" i="1"/>
  <c r="L675" i="1" s="1"/>
  <c r="N675" i="1" s="1"/>
  <c r="K676" i="1"/>
  <c r="L676" i="1" s="1"/>
  <c r="N676" i="1" s="1"/>
  <c r="K677" i="1"/>
  <c r="L677" i="1" s="1"/>
  <c r="N677" i="1" s="1"/>
  <c r="K678" i="1"/>
  <c r="L678" i="1" s="1"/>
  <c r="N678" i="1" s="1"/>
  <c r="K679" i="1"/>
  <c r="L679" i="1" s="1"/>
  <c r="N679" i="1" s="1"/>
  <c r="K680" i="1"/>
  <c r="L680" i="1" s="1"/>
  <c r="N680" i="1" s="1"/>
  <c r="K681" i="1"/>
  <c r="L681" i="1" s="1"/>
  <c r="N681" i="1" s="1"/>
  <c r="K682" i="1"/>
  <c r="L682" i="1" s="1"/>
  <c r="N682" i="1" s="1"/>
  <c r="K683" i="1"/>
  <c r="L683" i="1" s="1"/>
  <c r="N683" i="1" s="1"/>
  <c r="K684" i="1"/>
  <c r="L684" i="1" s="1"/>
  <c r="N684" i="1" s="1"/>
  <c r="K685" i="1"/>
  <c r="L685" i="1" s="1"/>
  <c r="N685" i="1" s="1"/>
  <c r="K686" i="1"/>
  <c r="L686" i="1" s="1"/>
  <c r="N686" i="1" s="1"/>
  <c r="K687" i="1"/>
  <c r="L687" i="1" s="1"/>
  <c r="N687" i="1" s="1"/>
  <c r="K688" i="1"/>
  <c r="L688" i="1" s="1"/>
  <c r="N688" i="1" s="1"/>
  <c r="K689" i="1"/>
  <c r="L689" i="1" s="1"/>
  <c r="N689" i="1" s="1"/>
  <c r="K690" i="1"/>
  <c r="L690" i="1" s="1"/>
  <c r="N690" i="1" s="1"/>
  <c r="K691" i="1"/>
  <c r="L691" i="1" s="1"/>
  <c r="N691" i="1" s="1"/>
  <c r="K692" i="1"/>
  <c r="L692" i="1" s="1"/>
  <c r="N692" i="1" s="1"/>
  <c r="K693" i="1"/>
  <c r="L693" i="1" s="1"/>
  <c r="N693" i="1" s="1"/>
  <c r="K694" i="1"/>
  <c r="L694" i="1" s="1"/>
  <c r="N694" i="1" s="1"/>
  <c r="K695" i="1"/>
  <c r="L695" i="1" s="1"/>
  <c r="N695" i="1" s="1"/>
  <c r="K696" i="1"/>
  <c r="L696" i="1" s="1"/>
  <c r="N696" i="1" s="1"/>
  <c r="K697" i="1"/>
  <c r="L697" i="1" s="1"/>
  <c r="N697" i="1" s="1"/>
  <c r="K698" i="1"/>
  <c r="L698" i="1" s="1"/>
  <c r="N698" i="1" s="1"/>
  <c r="K699" i="1"/>
  <c r="L699" i="1" s="1"/>
  <c r="N699" i="1" s="1"/>
  <c r="K700" i="1"/>
  <c r="L700" i="1" s="1"/>
  <c r="N700" i="1" s="1"/>
  <c r="K701" i="1"/>
  <c r="L701" i="1" s="1"/>
  <c r="N701" i="1" s="1"/>
  <c r="K702" i="1"/>
  <c r="L702" i="1" s="1"/>
  <c r="N702" i="1" s="1"/>
  <c r="K703" i="1"/>
  <c r="L703" i="1" s="1"/>
  <c r="N703" i="1" s="1"/>
  <c r="K704" i="1"/>
  <c r="L704" i="1" s="1"/>
  <c r="N704" i="1" s="1"/>
  <c r="K705" i="1"/>
  <c r="L705" i="1" s="1"/>
  <c r="N705" i="1" s="1"/>
  <c r="K706" i="1"/>
  <c r="L706" i="1" s="1"/>
  <c r="N706" i="1" s="1"/>
  <c r="K707" i="1"/>
  <c r="L707" i="1" s="1"/>
  <c r="N707" i="1" s="1"/>
  <c r="K708" i="1"/>
  <c r="L708" i="1" s="1"/>
  <c r="N708" i="1" s="1"/>
  <c r="K709" i="1"/>
  <c r="L709" i="1" s="1"/>
  <c r="N709" i="1" s="1"/>
  <c r="K710" i="1"/>
  <c r="L710" i="1" s="1"/>
  <c r="N710" i="1" s="1"/>
  <c r="K711" i="1"/>
  <c r="L711" i="1" s="1"/>
  <c r="N711" i="1" s="1"/>
  <c r="K712" i="1"/>
  <c r="L712" i="1" s="1"/>
  <c r="N712" i="1" s="1"/>
  <c r="K713" i="1"/>
  <c r="L713" i="1" s="1"/>
  <c r="N713" i="1" s="1"/>
  <c r="K714" i="1"/>
  <c r="L714" i="1" s="1"/>
  <c r="N714" i="1" s="1"/>
  <c r="K715" i="1"/>
  <c r="L715" i="1" s="1"/>
  <c r="N715" i="1" s="1"/>
  <c r="K716" i="1"/>
  <c r="L716" i="1" s="1"/>
  <c r="N716" i="1" s="1"/>
  <c r="K717" i="1"/>
  <c r="L717" i="1" s="1"/>
  <c r="N717" i="1" s="1"/>
  <c r="K718" i="1"/>
  <c r="L718" i="1" s="1"/>
  <c r="N718" i="1" s="1"/>
  <c r="K719" i="1"/>
  <c r="L719" i="1" s="1"/>
  <c r="N719" i="1" s="1"/>
  <c r="K720" i="1"/>
  <c r="L720" i="1" s="1"/>
  <c r="N720" i="1" s="1"/>
  <c r="K721" i="1"/>
  <c r="L721" i="1" s="1"/>
  <c r="N721" i="1" s="1"/>
  <c r="K722" i="1"/>
  <c r="L722" i="1" s="1"/>
  <c r="N722" i="1" s="1"/>
  <c r="K723" i="1"/>
  <c r="L723" i="1" s="1"/>
  <c r="N723" i="1" s="1"/>
  <c r="K724" i="1"/>
  <c r="L724" i="1" s="1"/>
  <c r="N724" i="1" s="1"/>
  <c r="K725" i="1"/>
  <c r="L725" i="1" s="1"/>
  <c r="N725" i="1" s="1"/>
  <c r="K726" i="1"/>
  <c r="L726" i="1" s="1"/>
  <c r="N726" i="1" s="1"/>
  <c r="K727" i="1"/>
  <c r="L727" i="1" s="1"/>
  <c r="N727" i="1" s="1"/>
  <c r="K728" i="1"/>
  <c r="L728" i="1" s="1"/>
  <c r="N728" i="1" s="1"/>
  <c r="K729" i="1"/>
  <c r="L729" i="1" s="1"/>
  <c r="N729" i="1" s="1"/>
  <c r="K730" i="1"/>
  <c r="L730" i="1" s="1"/>
  <c r="N730" i="1" s="1"/>
  <c r="K731" i="1"/>
  <c r="L731" i="1" s="1"/>
  <c r="N731" i="1" s="1"/>
  <c r="K732" i="1"/>
  <c r="L732" i="1" s="1"/>
  <c r="N732" i="1" s="1"/>
  <c r="K733" i="1"/>
  <c r="L733" i="1" s="1"/>
  <c r="N733" i="1" s="1"/>
  <c r="K734" i="1"/>
  <c r="L734" i="1" s="1"/>
  <c r="N734" i="1" s="1"/>
  <c r="K735" i="1"/>
  <c r="L735" i="1" s="1"/>
  <c r="N735" i="1" s="1"/>
  <c r="K736" i="1"/>
  <c r="L736" i="1" s="1"/>
  <c r="N736" i="1" s="1"/>
  <c r="K737" i="1"/>
  <c r="L737" i="1" s="1"/>
  <c r="N737" i="1" s="1"/>
  <c r="K738" i="1"/>
  <c r="L738" i="1" s="1"/>
  <c r="N738" i="1" s="1"/>
  <c r="K739" i="1"/>
  <c r="L739" i="1" s="1"/>
  <c r="N739" i="1" s="1"/>
  <c r="K740" i="1"/>
  <c r="L740" i="1" s="1"/>
  <c r="N740" i="1" s="1"/>
  <c r="K741" i="1"/>
  <c r="L741" i="1" s="1"/>
  <c r="N741" i="1" s="1"/>
  <c r="K742" i="1"/>
  <c r="L742" i="1" s="1"/>
  <c r="N742" i="1" s="1"/>
  <c r="K743" i="1"/>
  <c r="L743" i="1" s="1"/>
  <c r="N743" i="1" s="1"/>
  <c r="K744" i="1"/>
  <c r="L744" i="1" s="1"/>
  <c r="N744" i="1" s="1"/>
  <c r="K745" i="1"/>
  <c r="L745" i="1" s="1"/>
  <c r="N745" i="1" s="1"/>
  <c r="K746" i="1"/>
  <c r="L746" i="1" s="1"/>
  <c r="N746" i="1" s="1"/>
  <c r="K747" i="1"/>
  <c r="L747" i="1" s="1"/>
  <c r="N747" i="1" s="1"/>
  <c r="K748" i="1"/>
  <c r="L748" i="1" s="1"/>
  <c r="N748" i="1" s="1"/>
  <c r="K749" i="1"/>
  <c r="L749" i="1" s="1"/>
  <c r="N749" i="1" s="1"/>
  <c r="K750" i="1"/>
  <c r="L750" i="1" s="1"/>
  <c r="N750" i="1" s="1"/>
  <c r="K751" i="1"/>
  <c r="L751" i="1" s="1"/>
  <c r="N751" i="1" s="1"/>
  <c r="K752" i="1"/>
  <c r="L752" i="1" s="1"/>
  <c r="N752" i="1" s="1"/>
  <c r="K753" i="1"/>
  <c r="L753" i="1" s="1"/>
  <c r="N753" i="1" s="1"/>
  <c r="K754" i="1"/>
  <c r="L754" i="1" s="1"/>
  <c r="N754" i="1" s="1"/>
  <c r="K755" i="1"/>
  <c r="L755" i="1" s="1"/>
  <c r="N755" i="1" s="1"/>
  <c r="K756" i="1"/>
  <c r="L756" i="1" s="1"/>
  <c r="N756" i="1" s="1"/>
  <c r="K757" i="1"/>
  <c r="L757" i="1" s="1"/>
  <c r="N757" i="1" s="1"/>
  <c r="K758" i="1"/>
  <c r="L758" i="1" s="1"/>
  <c r="N758" i="1" s="1"/>
  <c r="K759" i="1"/>
  <c r="L759" i="1" s="1"/>
  <c r="N759" i="1" s="1"/>
  <c r="K760" i="1"/>
  <c r="L760" i="1" s="1"/>
  <c r="N760" i="1" s="1"/>
  <c r="K761" i="1"/>
  <c r="L761" i="1" s="1"/>
  <c r="N761" i="1" s="1"/>
  <c r="K762" i="1"/>
  <c r="L762" i="1" s="1"/>
  <c r="N762" i="1" s="1"/>
  <c r="K763" i="1"/>
  <c r="L763" i="1" s="1"/>
  <c r="N763" i="1" s="1"/>
  <c r="K764" i="1"/>
  <c r="L764" i="1" s="1"/>
  <c r="N764" i="1" s="1"/>
  <c r="K765" i="1"/>
  <c r="L765" i="1" s="1"/>
  <c r="N765" i="1" s="1"/>
  <c r="K766" i="1"/>
  <c r="L766" i="1" s="1"/>
  <c r="N766" i="1" s="1"/>
  <c r="K767" i="1"/>
  <c r="L767" i="1" s="1"/>
  <c r="N767" i="1" s="1"/>
  <c r="K768" i="1"/>
  <c r="L768" i="1" s="1"/>
  <c r="N768" i="1" s="1"/>
  <c r="K769" i="1"/>
  <c r="L769" i="1" s="1"/>
  <c r="N769" i="1" s="1"/>
  <c r="K770" i="1"/>
  <c r="L770" i="1" s="1"/>
  <c r="N770" i="1" s="1"/>
  <c r="K771" i="1"/>
  <c r="L771" i="1" s="1"/>
  <c r="N771" i="1" s="1"/>
  <c r="K772" i="1"/>
  <c r="L772" i="1" s="1"/>
  <c r="N772" i="1" s="1"/>
  <c r="K773" i="1"/>
  <c r="L773" i="1" s="1"/>
  <c r="N773" i="1" s="1"/>
  <c r="K774" i="1"/>
  <c r="L774" i="1" s="1"/>
  <c r="N774" i="1" s="1"/>
  <c r="K775" i="1"/>
  <c r="L775" i="1" s="1"/>
  <c r="N775" i="1" s="1"/>
  <c r="K776" i="1"/>
  <c r="L776" i="1" s="1"/>
  <c r="N776" i="1" s="1"/>
  <c r="K777" i="1"/>
  <c r="L777" i="1" s="1"/>
  <c r="N777" i="1" s="1"/>
  <c r="K778" i="1"/>
  <c r="L778" i="1" s="1"/>
  <c r="N778" i="1" s="1"/>
  <c r="K779" i="1"/>
  <c r="L779" i="1" s="1"/>
  <c r="N779" i="1" s="1"/>
  <c r="K780" i="1"/>
  <c r="L780" i="1" s="1"/>
  <c r="N780" i="1" s="1"/>
  <c r="K781" i="1"/>
  <c r="L781" i="1" s="1"/>
  <c r="N781" i="1" s="1"/>
  <c r="K782" i="1"/>
  <c r="L782" i="1" s="1"/>
  <c r="N782" i="1" s="1"/>
  <c r="K783" i="1"/>
  <c r="L783" i="1" s="1"/>
  <c r="N783" i="1" s="1"/>
  <c r="K784" i="1"/>
  <c r="L784" i="1" s="1"/>
  <c r="N784" i="1" s="1"/>
  <c r="K785" i="1"/>
  <c r="L785" i="1" s="1"/>
  <c r="N785" i="1" s="1"/>
  <c r="K786" i="1"/>
  <c r="L786" i="1" s="1"/>
  <c r="N786" i="1" s="1"/>
  <c r="K787" i="1"/>
  <c r="L787" i="1" s="1"/>
  <c r="N787" i="1" s="1"/>
  <c r="K788" i="1"/>
  <c r="L788" i="1" s="1"/>
  <c r="N788" i="1" s="1"/>
  <c r="K789" i="1"/>
  <c r="L789" i="1" s="1"/>
  <c r="N789" i="1" s="1"/>
  <c r="K790" i="1"/>
  <c r="L790" i="1" s="1"/>
  <c r="N790" i="1" s="1"/>
  <c r="K791" i="1"/>
  <c r="L791" i="1" s="1"/>
  <c r="N791" i="1" s="1"/>
  <c r="K792" i="1"/>
  <c r="L792" i="1" s="1"/>
  <c r="N792" i="1" s="1"/>
  <c r="K793" i="1"/>
  <c r="L793" i="1" s="1"/>
  <c r="N793" i="1" s="1"/>
  <c r="K794" i="1"/>
  <c r="L794" i="1" s="1"/>
  <c r="N794" i="1" s="1"/>
  <c r="K795" i="1"/>
  <c r="L795" i="1" s="1"/>
  <c r="N795" i="1" s="1"/>
  <c r="K796" i="1"/>
  <c r="L796" i="1" s="1"/>
  <c r="N796" i="1" s="1"/>
  <c r="K797" i="1"/>
  <c r="L797" i="1" s="1"/>
  <c r="N797" i="1" s="1"/>
  <c r="K798" i="1"/>
  <c r="L798" i="1" s="1"/>
  <c r="N798" i="1" s="1"/>
  <c r="K799" i="1"/>
  <c r="L799" i="1" s="1"/>
  <c r="N799" i="1" s="1"/>
  <c r="K800" i="1"/>
  <c r="L800" i="1" s="1"/>
  <c r="N800" i="1" s="1"/>
  <c r="K801" i="1"/>
  <c r="L801" i="1" s="1"/>
  <c r="N801" i="1" s="1"/>
  <c r="K802" i="1"/>
  <c r="L802" i="1" s="1"/>
  <c r="N802" i="1" s="1"/>
  <c r="K803" i="1"/>
  <c r="L803" i="1" s="1"/>
  <c r="N803" i="1" s="1"/>
  <c r="K804" i="1"/>
  <c r="L804" i="1" s="1"/>
  <c r="N804" i="1" s="1"/>
  <c r="K805" i="1"/>
  <c r="L805" i="1" s="1"/>
  <c r="N805" i="1" s="1"/>
  <c r="K806" i="1"/>
  <c r="L806" i="1" s="1"/>
  <c r="N806" i="1" s="1"/>
  <c r="K807" i="1"/>
  <c r="L807" i="1" s="1"/>
  <c r="N807" i="1" s="1"/>
  <c r="K808" i="1"/>
  <c r="L808" i="1" s="1"/>
  <c r="N808" i="1" s="1"/>
  <c r="K809" i="1"/>
  <c r="L809" i="1" s="1"/>
  <c r="N809" i="1" s="1"/>
  <c r="K810" i="1"/>
  <c r="L810" i="1" s="1"/>
  <c r="N810" i="1" s="1"/>
  <c r="K811" i="1"/>
  <c r="L811" i="1" s="1"/>
  <c r="N811" i="1" s="1"/>
  <c r="K812" i="1"/>
  <c r="L812" i="1" s="1"/>
  <c r="N812" i="1" s="1"/>
  <c r="K813" i="1"/>
  <c r="L813" i="1" s="1"/>
  <c r="N813" i="1" s="1"/>
  <c r="K814" i="1"/>
  <c r="L814" i="1" s="1"/>
  <c r="N814" i="1" s="1"/>
  <c r="K815" i="1"/>
  <c r="L815" i="1" s="1"/>
  <c r="N815" i="1" s="1"/>
  <c r="K816" i="1"/>
  <c r="L816" i="1" s="1"/>
  <c r="N816" i="1" s="1"/>
  <c r="K817" i="1"/>
  <c r="L817" i="1" s="1"/>
  <c r="N817" i="1" s="1"/>
  <c r="K818" i="1"/>
  <c r="L818" i="1" s="1"/>
  <c r="N818" i="1" s="1"/>
  <c r="K819" i="1"/>
  <c r="L819" i="1" s="1"/>
  <c r="N819" i="1" s="1"/>
  <c r="K820" i="1"/>
  <c r="L820" i="1" s="1"/>
  <c r="N820" i="1" s="1"/>
  <c r="K821" i="1"/>
  <c r="L821" i="1" s="1"/>
  <c r="N821" i="1" s="1"/>
  <c r="K822" i="1"/>
  <c r="L822" i="1" s="1"/>
  <c r="N822" i="1" s="1"/>
  <c r="K823" i="1"/>
  <c r="L823" i="1" s="1"/>
  <c r="N823" i="1" s="1"/>
  <c r="K824" i="1"/>
  <c r="L824" i="1" s="1"/>
  <c r="N824" i="1" s="1"/>
  <c r="K825" i="1"/>
  <c r="L825" i="1" s="1"/>
  <c r="N825" i="1" s="1"/>
  <c r="K826" i="1"/>
  <c r="L826" i="1" s="1"/>
  <c r="N826" i="1" s="1"/>
  <c r="K827" i="1"/>
  <c r="L827" i="1" s="1"/>
  <c r="N827" i="1" s="1"/>
  <c r="K828" i="1"/>
  <c r="L828" i="1" s="1"/>
  <c r="N828" i="1" s="1"/>
  <c r="K829" i="1"/>
  <c r="L829" i="1" s="1"/>
  <c r="N829" i="1" s="1"/>
  <c r="K830" i="1"/>
  <c r="L830" i="1" s="1"/>
  <c r="N830" i="1" s="1"/>
  <c r="K831" i="1"/>
  <c r="L831" i="1" s="1"/>
  <c r="N831" i="1" s="1"/>
  <c r="K832" i="1"/>
  <c r="L832" i="1" s="1"/>
  <c r="N832" i="1" s="1"/>
  <c r="K833" i="1"/>
  <c r="L833" i="1" s="1"/>
  <c r="N833" i="1" s="1"/>
  <c r="K834" i="1"/>
  <c r="L834" i="1" s="1"/>
  <c r="N834" i="1" s="1"/>
  <c r="K835" i="1"/>
  <c r="L835" i="1" s="1"/>
  <c r="N835" i="1" s="1"/>
  <c r="K836" i="1"/>
  <c r="L836" i="1" s="1"/>
  <c r="N836" i="1" s="1"/>
  <c r="K837" i="1"/>
  <c r="L837" i="1" s="1"/>
  <c r="N837" i="1" s="1"/>
  <c r="K838" i="1"/>
  <c r="L838" i="1" s="1"/>
  <c r="N838" i="1" s="1"/>
  <c r="K839" i="1"/>
  <c r="L839" i="1" s="1"/>
  <c r="N839" i="1" s="1"/>
  <c r="K840" i="1"/>
  <c r="L840" i="1" s="1"/>
  <c r="N840" i="1" s="1"/>
  <c r="K841" i="1"/>
  <c r="L841" i="1" s="1"/>
  <c r="N841" i="1" s="1"/>
  <c r="K842" i="1"/>
  <c r="L842" i="1" s="1"/>
  <c r="N842" i="1" s="1"/>
  <c r="K843" i="1"/>
  <c r="L843" i="1" s="1"/>
  <c r="N843" i="1" s="1"/>
  <c r="K844" i="1"/>
  <c r="L844" i="1" s="1"/>
  <c r="N844" i="1" s="1"/>
  <c r="K845" i="1"/>
  <c r="L845" i="1" s="1"/>
  <c r="N845" i="1" s="1"/>
  <c r="K846" i="1"/>
  <c r="L846" i="1" s="1"/>
  <c r="N846" i="1" s="1"/>
  <c r="K847" i="1"/>
  <c r="L847" i="1" s="1"/>
  <c r="N847" i="1" s="1"/>
  <c r="K848" i="1"/>
  <c r="L848" i="1" s="1"/>
  <c r="N848" i="1" s="1"/>
  <c r="K849" i="1"/>
  <c r="L849" i="1" s="1"/>
  <c r="N849" i="1" s="1"/>
  <c r="K850" i="1"/>
  <c r="L850" i="1" s="1"/>
  <c r="N850" i="1" s="1"/>
  <c r="K851" i="1"/>
  <c r="L851" i="1" s="1"/>
  <c r="N851" i="1" s="1"/>
  <c r="K852" i="1"/>
  <c r="L852" i="1" s="1"/>
  <c r="N852" i="1" s="1"/>
  <c r="K853" i="1"/>
  <c r="L853" i="1" s="1"/>
  <c r="N853" i="1" s="1"/>
  <c r="K854" i="1"/>
  <c r="L854" i="1" s="1"/>
  <c r="N854" i="1" s="1"/>
  <c r="K855" i="1"/>
  <c r="L855" i="1" s="1"/>
  <c r="N855" i="1" s="1"/>
  <c r="K856" i="1"/>
  <c r="L856" i="1" s="1"/>
  <c r="N856" i="1" s="1"/>
  <c r="K857" i="1"/>
  <c r="L857" i="1" s="1"/>
  <c r="N857" i="1" s="1"/>
  <c r="K858" i="1"/>
  <c r="L858" i="1" s="1"/>
  <c r="N858" i="1" s="1"/>
  <c r="K859" i="1"/>
  <c r="L859" i="1" s="1"/>
  <c r="N859" i="1" s="1"/>
  <c r="K860" i="1"/>
  <c r="L860" i="1" s="1"/>
  <c r="N860" i="1" s="1"/>
  <c r="K861" i="1"/>
  <c r="L861" i="1" s="1"/>
  <c r="N861" i="1" s="1"/>
  <c r="K862" i="1"/>
  <c r="L862" i="1" s="1"/>
  <c r="N862" i="1" s="1"/>
  <c r="K863" i="1"/>
  <c r="L863" i="1" s="1"/>
  <c r="N863" i="1" s="1"/>
  <c r="K864" i="1"/>
  <c r="L864" i="1" s="1"/>
  <c r="N864" i="1" s="1"/>
  <c r="K865" i="1"/>
  <c r="L865" i="1" s="1"/>
  <c r="N865" i="1" s="1"/>
  <c r="K866" i="1"/>
  <c r="L866" i="1" s="1"/>
  <c r="N866" i="1" s="1"/>
  <c r="K867" i="1"/>
  <c r="L867" i="1" s="1"/>
  <c r="N867" i="1" s="1"/>
  <c r="K868" i="1"/>
  <c r="L868" i="1" s="1"/>
  <c r="N868" i="1" s="1"/>
  <c r="K869" i="1"/>
  <c r="L869" i="1" s="1"/>
  <c r="N869" i="1" s="1"/>
  <c r="K870" i="1"/>
  <c r="L870" i="1" s="1"/>
  <c r="N870" i="1" s="1"/>
  <c r="K871" i="1"/>
  <c r="L871" i="1" s="1"/>
  <c r="N871" i="1" s="1"/>
  <c r="K872" i="1"/>
  <c r="L872" i="1" s="1"/>
  <c r="N872" i="1" s="1"/>
  <c r="K873" i="1"/>
  <c r="L873" i="1" s="1"/>
  <c r="N873" i="1" s="1"/>
  <c r="K874" i="1"/>
  <c r="L874" i="1" s="1"/>
  <c r="N874" i="1" s="1"/>
  <c r="K875" i="1"/>
  <c r="L875" i="1" s="1"/>
  <c r="N875" i="1" s="1"/>
  <c r="K876" i="1"/>
  <c r="L876" i="1" s="1"/>
  <c r="N876" i="1" s="1"/>
  <c r="K877" i="1"/>
  <c r="L877" i="1" s="1"/>
  <c r="N877" i="1" s="1"/>
  <c r="K878" i="1"/>
  <c r="L878" i="1" s="1"/>
  <c r="N878" i="1" s="1"/>
  <c r="K879" i="1"/>
  <c r="L879" i="1" s="1"/>
  <c r="N879" i="1" s="1"/>
  <c r="K880" i="1"/>
  <c r="L880" i="1" s="1"/>
  <c r="N880" i="1" s="1"/>
  <c r="K881" i="1"/>
  <c r="L881" i="1" s="1"/>
  <c r="N881" i="1" s="1"/>
  <c r="K882" i="1"/>
  <c r="L882" i="1" s="1"/>
  <c r="N882" i="1" s="1"/>
  <c r="K883" i="1"/>
  <c r="L883" i="1" s="1"/>
  <c r="N883" i="1" s="1"/>
  <c r="K884" i="1"/>
  <c r="L884" i="1" s="1"/>
  <c r="N884" i="1" s="1"/>
  <c r="K885" i="1"/>
  <c r="L885" i="1" s="1"/>
  <c r="N885" i="1" s="1"/>
  <c r="K886" i="1"/>
  <c r="L886" i="1" s="1"/>
  <c r="N886" i="1" s="1"/>
  <c r="K887" i="1"/>
  <c r="L887" i="1" s="1"/>
  <c r="N887" i="1" s="1"/>
  <c r="K888" i="1"/>
  <c r="L888" i="1" s="1"/>
  <c r="N888" i="1" s="1"/>
  <c r="K889" i="1"/>
  <c r="L889" i="1" s="1"/>
  <c r="N889" i="1" s="1"/>
  <c r="K890" i="1"/>
  <c r="L890" i="1" s="1"/>
  <c r="N890" i="1" s="1"/>
  <c r="K891" i="1"/>
  <c r="L891" i="1" s="1"/>
  <c r="N891" i="1" s="1"/>
  <c r="K892" i="1"/>
  <c r="L892" i="1" s="1"/>
  <c r="N892" i="1" s="1"/>
  <c r="K893" i="1"/>
  <c r="L893" i="1" s="1"/>
  <c r="N893" i="1" s="1"/>
  <c r="K894" i="1"/>
  <c r="L894" i="1" s="1"/>
  <c r="N894" i="1" s="1"/>
  <c r="K895" i="1"/>
  <c r="L895" i="1" s="1"/>
  <c r="N895" i="1" s="1"/>
  <c r="K896" i="1"/>
  <c r="L896" i="1" s="1"/>
  <c r="N896" i="1" s="1"/>
  <c r="K897" i="1"/>
  <c r="L897" i="1" s="1"/>
  <c r="N897" i="1" s="1"/>
  <c r="K898" i="1"/>
  <c r="L898" i="1" s="1"/>
  <c r="N898" i="1" s="1"/>
  <c r="K899" i="1"/>
  <c r="L899" i="1" s="1"/>
  <c r="N899" i="1" s="1"/>
  <c r="K900" i="1"/>
  <c r="L900" i="1" s="1"/>
  <c r="N900" i="1" s="1"/>
  <c r="K901" i="1"/>
  <c r="L901" i="1" s="1"/>
  <c r="N901" i="1" s="1"/>
  <c r="K902" i="1"/>
  <c r="L902" i="1" s="1"/>
  <c r="N902" i="1" s="1"/>
  <c r="K903" i="1"/>
  <c r="L903" i="1" s="1"/>
  <c r="N903" i="1" s="1"/>
  <c r="K904" i="1"/>
  <c r="L904" i="1" s="1"/>
  <c r="N904" i="1" s="1"/>
  <c r="K905" i="1"/>
  <c r="L905" i="1" s="1"/>
  <c r="N905" i="1" s="1"/>
  <c r="K906" i="1"/>
  <c r="L906" i="1" s="1"/>
  <c r="N906" i="1" s="1"/>
  <c r="K907" i="1"/>
  <c r="L907" i="1" s="1"/>
  <c r="N907" i="1" s="1"/>
  <c r="K908" i="1"/>
  <c r="L908" i="1" s="1"/>
  <c r="N908" i="1" s="1"/>
  <c r="K909" i="1"/>
  <c r="L909" i="1" s="1"/>
  <c r="N909" i="1" s="1"/>
  <c r="K910" i="1"/>
  <c r="L910" i="1" s="1"/>
  <c r="N910" i="1" s="1"/>
  <c r="K911" i="1"/>
  <c r="L911" i="1" s="1"/>
  <c r="N911" i="1" s="1"/>
  <c r="K912" i="1"/>
  <c r="L912" i="1" s="1"/>
  <c r="N912" i="1" s="1"/>
  <c r="K913" i="1"/>
  <c r="L913" i="1" s="1"/>
  <c r="N913" i="1" s="1"/>
  <c r="K914" i="1"/>
  <c r="L914" i="1" s="1"/>
  <c r="N914" i="1" s="1"/>
  <c r="K915" i="1"/>
  <c r="L915" i="1" s="1"/>
  <c r="N915" i="1" s="1"/>
  <c r="K916" i="1"/>
  <c r="L916" i="1" s="1"/>
  <c r="N916" i="1" s="1"/>
  <c r="K917" i="1"/>
  <c r="L917" i="1" s="1"/>
  <c r="N917" i="1" s="1"/>
  <c r="K918" i="1"/>
  <c r="L918" i="1" s="1"/>
  <c r="N918" i="1" s="1"/>
  <c r="K919" i="1"/>
  <c r="L919" i="1" s="1"/>
  <c r="N919" i="1" s="1"/>
  <c r="K920" i="1"/>
  <c r="L920" i="1" s="1"/>
  <c r="N920" i="1" s="1"/>
  <c r="K921" i="1"/>
  <c r="L921" i="1" s="1"/>
  <c r="N921" i="1" s="1"/>
  <c r="K922" i="1"/>
  <c r="L922" i="1" s="1"/>
  <c r="N922" i="1" s="1"/>
  <c r="K923" i="1"/>
  <c r="L923" i="1" s="1"/>
  <c r="N923" i="1" s="1"/>
  <c r="K924" i="1"/>
  <c r="L924" i="1" s="1"/>
  <c r="N924" i="1" s="1"/>
  <c r="K925" i="1"/>
  <c r="L925" i="1" s="1"/>
  <c r="N925" i="1" s="1"/>
  <c r="K926" i="1"/>
  <c r="L926" i="1" s="1"/>
  <c r="N926" i="1" s="1"/>
  <c r="K927" i="1"/>
  <c r="L927" i="1" s="1"/>
  <c r="N927" i="1" s="1"/>
  <c r="K928" i="1"/>
  <c r="L928" i="1" s="1"/>
  <c r="N928" i="1" s="1"/>
  <c r="K929" i="1"/>
  <c r="L929" i="1" s="1"/>
  <c r="N929" i="1" s="1"/>
  <c r="K930" i="1"/>
  <c r="L930" i="1" s="1"/>
  <c r="N930" i="1" s="1"/>
  <c r="K931" i="1"/>
  <c r="L931" i="1" s="1"/>
  <c r="N931" i="1" s="1"/>
  <c r="K932" i="1"/>
  <c r="L932" i="1" s="1"/>
  <c r="N932" i="1" s="1"/>
  <c r="K933" i="1"/>
  <c r="L933" i="1" s="1"/>
  <c r="N933" i="1" s="1"/>
  <c r="K934" i="1"/>
  <c r="L934" i="1" s="1"/>
  <c r="N934" i="1" s="1"/>
  <c r="K935" i="1"/>
  <c r="L935" i="1" s="1"/>
  <c r="N935" i="1" s="1"/>
  <c r="K936" i="1"/>
  <c r="L936" i="1" s="1"/>
  <c r="N936" i="1" s="1"/>
  <c r="K937" i="1"/>
  <c r="L937" i="1" s="1"/>
  <c r="N937" i="1" s="1"/>
  <c r="K938" i="1"/>
  <c r="L938" i="1" s="1"/>
  <c r="N938" i="1" s="1"/>
  <c r="K939" i="1"/>
  <c r="L939" i="1" s="1"/>
  <c r="N939" i="1" s="1"/>
  <c r="K940" i="1"/>
  <c r="L940" i="1" s="1"/>
  <c r="N940" i="1" s="1"/>
  <c r="K941" i="1"/>
  <c r="L941" i="1" s="1"/>
  <c r="N941" i="1" s="1"/>
  <c r="K942" i="1"/>
  <c r="L942" i="1" s="1"/>
  <c r="N942" i="1" s="1"/>
  <c r="K943" i="1"/>
  <c r="L943" i="1" s="1"/>
  <c r="N943" i="1" s="1"/>
  <c r="K944" i="1"/>
  <c r="L944" i="1" s="1"/>
  <c r="N944" i="1" s="1"/>
  <c r="K945" i="1"/>
  <c r="L945" i="1" s="1"/>
  <c r="N945" i="1" s="1"/>
  <c r="K946" i="1"/>
  <c r="L946" i="1" s="1"/>
  <c r="N946" i="1" s="1"/>
  <c r="K947" i="1"/>
  <c r="L947" i="1" s="1"/>
  <c r="N947" i="1" s="1"/>
  <c r="K948" i="1"/>
  <c r="L948" i="1" s="1"/>
  <c r="N948" i="1" s="1"/>
  <c r="K949" i="1"/>
  <c r="L949" i="1" s="1"/>
  <c r="N949" i="1" s="1"/>
  <c r="K950" i="1"/>
  <c r="L950" i="1" s="1"/>
  <c r="N950" i="1" s="1"/>
  <c r="K951" i="1"/>
  <c r="L951" i="1" s="1"/>
  <c r="N951" i="1" s="1"/>
  <c r="K952" i="1"/>
  <c r="L952" i="1" s="1"/>
  <c r="N952" i="1" s="1"/>
  <c r="K953" i="1"/>
  <c r="L953" i="1" s="1"/>
  <c r="N953" i="1" s="1"/>
  <c r="K954" i="1"/>
  <c r="L954" i="1" s="1"/>
  <c r="N954" i="1" s="1"/>
  <c r="K955" i="1"/>
  <c r="L955" i="1" s="1"/>
  <c r="N955" i="1" s="1"/>
  <c r="K956" i="1"/>
  <c r="L956" i="1" s="1"/>
  <c r="N956" i="1" s="1"/>
  <c r="K957" i="1"/>
  <c r="L957" i="1" s="1"/>
  <c r="N957" i="1" s="1"/>
  <c r="K958" i="1"/>
  <c r="L958" i="1" s="1"/>
  <c r="N958" i="1" s="1"/>
  <c r="K959" i="1"/>
  <c r="L959" i="1" s="1"/>
  <c r="N959" i="1" s="1"/>
  <c r="K960" i="1"/>
  <c r="L960" i="1" s="1"/>
  <c r="N960" i="1" s="1"/>
  <c r="K961" i="1"/>
  <c r="L961" i="1" s="1"/>
  <c r="N961" i="1" s="1"/>
  <c r="K962" i="1"/>
  <c r="L962" i="1" s="1"/>
  <c r="N962" i="1" s="1"/>
  <c r="K963" i="1"/>
  <c r="L963" i="1" s="1"/>
  <c r="N963" i="1" s="1"/>
  <c r="K964" i="1"/>
  <c r="L964" i="1" s="1"/>
  <c r="N964" i="1" s="1"/>
  <c r="K965" i="1"/>
  <c r="L965" i="1" s="1"/>
  <c r="N965" i="1" s="1"/>
  <c r="K966" i="1"/>
  <c r="L966" i="1" s="1"/>
  <c r="N966" i="1" s="1"/>
  <c r="K967" i="1"/>
  <c r="L967" i="1" s="1"/>
  <c r="N967" i="1" s="1"/>
  <c r="K968" i="1"/>
  <c r="L968" i="1" s="1"/>
  <c r="N968" i="1" s="1"/>
  <c r="K969" i="1"/>
  <c r="L969" i="1" s="1"/>
  <c r="N969" i="1" s="1"/>
  <c r="K970" i="1"/>
  <c r="L970" i="1" s="1"/>
  <c r="N970" i="1" s="1"/>
  <c r="K971" i="1"/>
  <c r="L971" i="1" s="1"/>
  <c r="N971" i="1" s="1"/>
  <c r="K972" i="1"/>
  <c r="L972" i="1" s="1"/>
  <c r="N972" i="1" s="1"/>
  <c r="K973" i="1"/>
  <c r="L973" i="1" s="1"/>
  <c r="N973" i="1" s="1"/>
  <c r="K974" i="1"/>
  <c r="L974" i="1" s="1"/>
  <c r="N974" i="1" s="1"/>
  <c r="K975" i="1"/>
  <c r="L975" i="1" s="1"/>
  <c r="N975" i="1" s="1"/>
  <c r="K976" i="1"/>
  <c r="L976" i="1" s="1"/>
  <c r="N976" i="1" s="1"/>
  <c r="K977" i="1"/>
  <c r="L977" i="1" s="1"/>
  <c r="N977" i="1" s="1"/>
  <c r="K978" i="1"/>
  <c r="L978" i="1" s="1"/>
  <c r="N978" i="1" s="1"/>
  <c r="K979" i="1"/>
  <c r="L979" i="1" s="1"/>
  <c r="N979" i="1" s="1"/>
  <c r="K980" i="1"/>
  <c r="L980" i="1" s="1"/>
  <c r="N980" i="1" s="1"/>
  <c r="K981" i="1"/>
  <c r="L981" i="1" s="1"/>
  <c r="N981" i="1" s="1"/>
  <c r="K982" i="1"/>
  <c r="L982" i="1" s="1"/>
  <c r="N982" i="1" s="1"/>
  <c r="K983" i="1"/>
  <c r="L983" i="1" s="1"/>
  <c r="N983" i="1" s="1"/>
  <c r="K984" i="1"/>
  <c r="L984" i="1" s="1"/>
  <c r="N984" i="1" s="1"/>
  <c r="K985" i="1"/>
  <c r="L985" i="1" s="1"/>
  <c r="N985" i="1" s="1"/>
  <c r="K986" i="1"/>
  <c r="L986" i="1" s="1"/>
  <c r="N986" i="1" s="1"/>
  <c r="K987" i="1"/>
  <c r="L987" i="1" s="1"/>
  <c r="N987" i="1" s="1"/>
  <c r="K988" i="1"/>
  <c r="L988" i="1" s="1"/>
  <c r="N988" i="1" s="1"/>
  <c r="K989" i="1"/>
  <c r="L989" i="1" s="1"/>
  <c r="N989" i="1" s="1"/>
  <c r="K990" i="1"/>
  <c r="L990" i="1" s="1"/>
  <c r="N990" i="1" s="1"/>
  <c r="K991" i="1"/>
  <c r="L991" i="1" s="1"/>
  <c r="N991" i="1" s="1"/>
  <c r="K992" i="1"/>
  <c r="L992" i="1" s="1"/>
  <c r="N992" i="1" s="1"/>
  <c r="K993" i="1"/>
  <c r="L993" i="1" s="1"/>
  <c r="N993" i="1" s="1"/>
  <c r="K994" i="1"/>
  <c r="L994" i="1" s="1"/>
  <c r="N994" i="1" s="1"/>
  <c r="K995" i="1"/>
  <c r="L995" i="1" s="1"/>
  <c r="N995" i="1" s="1"/>
  <c r="K996" i="1"/>
  <c r="L996" i="1" s="1"/>
  <c r="N996" i="1" s="1"/>
  <c r="K997" i="1"/>
  <c r="L997" i="1" s="1"/>
  <c r="N997" i="1" s="1"/>
  <c r="K998" i="1"/>
  <c r="L998" i="1" s="1"/>
  <c r="N998" i="1" s="1"/>
  <c r="K999" i="1"/>
  <c r="L999" i="1" s="1"/>
  <c r="N999" i="1" s="1"/>
  <c r="K1000" i="1"/>
  <c r="L1000" i="1" s="1"/>
  <c r="N1000" i="1" s="1"/>
  <c r="K1001" i="1"/>
  <c r="L1001" i="1" s="1"/>
  <c r="N1001" i="1" s="1"/>
  <c r="K1002" i="1"/>
  <c r="L1002" i="1" s="1"/>
  <c r="N1002" i="1" s="1"/>
  <c r="K1003" i="1"/>
  <c r="L1003" i="1" s="1"/>
  <c r="N1003" i="1" s="1"/>
  <c r="K1004" i="1"/>
  <c r="L1004" i="1" s="1"/>
  <c r="N1004" i="1" s="1"/>
  <c r="K1005" i="1"/>
  <c r="L1005" i="1" s="1"/>
  <c r="N1005" i="1" s="1"/>
  <c r="K1006" i="1"/>
  <c r="L1006" i="1" s="1"/>
  <c r="N1006" i="1" s="1"/>
  <c r="K1007" i="1"/>
  <c r="L1007" i="1" s="1"/>
  <c r="N1007" i="1" s="1"/>
  <c r="K1008" i="1"/>
  <c r="L1008" i="1" s="1"/>
  <c r="N1008" i="1" s="1"/>
  <c r="K1009" i="1"/>
  <c r="L1009" i="1" s="1"/>
  <c r="N1009" i="1" s="1"/>
  <c r="K1010" i="1"/>
  <c r="L1010" i="1" s="1"/>
  <c r="N1010" i="1" s="1"/>
  <c r="K1011" i="1"/>
  <c r="L1011" i="1" s="1"/>
  <c r="N1011" i="1" s="1"/>
  <c r="K1012" i="1"/>
  <c r="L1012" i="1" s="1"/>
  <c r="N1012" i="1" s="1"/>
  <c r="K1013" i="1"/>
  <c r="L1013" i="1" s="1"/>
  <c r="N1013" i="1" s="1"/>
  <c r="K1014" i="1"/>
  <c r="L1014" i="1" s="1"/>
  <c r="N1014" i="1" s="1"/>
  <c r="K1015" i="1"/>
  <c r="L1015" i="1" s="1"/>
  <c r="N1015" i="1" s="1"/>
  <c r="K1016" i="1"/>
  <c r="L1016" i="1" s="1"/>
  <c r="N1016" i="1" s="1"/>
  <c r="K1017" i="1"/>
  <c r="L1017" i="1" s="1"/>
  <c r="N1017" i="1" s="1"/>
  <c r="K1018" i="1"/>
  <c r="L1018" i="1" s="1"/>
  <c r="N1018" i="1" s="1"/>
  <c r="K1019" i="1"/>
  <c r="L1019" i="1" s="1"/>
  <c r="N1019" i="1" s="1"/>
  <c r="K1020" i="1"/>
  <c r="L1020" i="1" s="1"/>
  <c r="N1020" i="1" s="1"/>
  <c r="K1021" i="1"/>
  <c r="L1021" i="1" s="1"/>
  <c r="N1021" i="1" s="1"/>
  <c r="K1022" i="1"/>
  <c r="L1022" i="1" s="1"/>
  <c r="N1022" i="1" s="1"/>
  <c r="K1023" i="1"/>
  <c r="L1023" i="1" s="1"/>
  <c r="N1023" i="1" s="1"/>
  <c r="K1024" i="1"/>
  <c r="L1024" i="1" s="1"/>
  <c r="N1024" i="1" s="1"/>
  <c r="K1025" i="1"/>
  <c r="L1025" i="1" s="1"/>
  <c r="N1025" i="1" s="1"/>
  <c r="K1026" i="1"/>
  <c r="L1026" i="1" s="1"/>
  <c r="N1026" i="1" s="1"/>
  <c r="K1027" i="1"/>
  <c r="L1027" i="1" s="1"/>
  <c r="N1027" i="1" s="1"/>
  <c r="K1028" i="1"/>
  <c r="L1028" i="1" s="1"/>
  <c r="N1028" i="1" s="1"/>
  <c r="K1029" i="1"/>
  <c r="L1029" i="1" s="1"/>
  <c r="N1029" i="1" s="1"/>
  <c r="K1030" i="1"/>
  <c r="L1030" i="1" s="1"/>
  <c r="N1030" i="1" s="1"/>
  <c r="K1031" i="1"/>
  <c r="L1031" i="1" s="1"/>
  <c r="N1031" i="1" s="1"/>
  <c r="K1032" i="1"/>
  <c r="L1032" i="1" s="1"/>
  <c r="N1032" i="1" s="1"/>
  <c r="K1033" i="1"/>
  <c r="L1033" i="1" s="1"/>
  <c r="N1033" i="1" s="1"/>
  <c r="K1034" i="1"/>
  <c r="L1034" i="1" s="1"/>
  <c r="N1034" i="1" s="1"/>
  <c r="K1035" i="1"/>
  <c r="L1035" i="1" s="1"/>
  <c r="N1035" i="1" s="1"/>
  <c r="K1036" i="1"/>
  <c r="L1036" i="1" s="1"/>
  <c r="N1036" i="1" s="1"/>
  <c r="K1037" i="1"/>
  <c r="L1037" i="1" s="1"/>
  <c r="N1037" i="1" s="1"/>
  <c r="K1038" i="1"/>
  <c r="L1038" i="1" s="1"/>
  <c r="N1038" i="1" s="1"/>
  <c r="K1039" i="1"/>
  <c r="L1039" i="1" s="1"/>
  <c r="N1039" i="1" s="1"/>
  <c r="K1040" i="1"/>
  <c r="L1040" i="1" s="1"/>
  <c r="N1040" i="1" s="1"/>
  <c r="K1041" i="1"/>
  <c r="L1041" i="1" s="1"/>
  <c r="N1041" i="1" s="1"/>
  <c r="K1042" i="1"/>
  <c r="L1042" i="1" s="1"/>
  <c r="N1042" i="1" s="1"/>
  <c r="K1043" i="1"/>
  <c r="L1043" i="1" s="1"/>
  <c r="N1043" i="1" s="1"/>
  <c r="K1044" i="1"/>
  <c r="L1044" i="1" s="1"/>
  <c r="N1044" i="1" s="1"/>
  <c r="K1045" i="1"/>
  <c r="L1045" i="1" s="1"/>
  <c r="N1045" i="1" s="1"/>
  <c r="K1046" i="1"/>
  <c r="L1046" i="1" s="1"/>
  <c r="N1046" i="1" s="1"/>
  <c r="K1047" i="1"/>
  <c r="L1047" i="1" s="1"/>
  <c r="N1047" i="1" s="1"/>
  <c r="K1048" i="1"/>
  <c r="L1048" i="1" s="1"/>
  <c r="N1048" i="1" s="1"/>
  <c r="K1049" i="1"/>
  <c r="L1049" i="1" s="1"/>
  <c r="N1049" i="1" s="1"/>
  <c r="K1050" i="1"/>
  <c r="L1050" i="1" s="1"/>
  <c r="N1050" i="1" s="1"/>
  <c r="K1051" i="1"/>
  <c r="L1051" i="1" s="1"/>
  <c r="N1051" i="1" s="1"/>
  <c r="K1052" i="1"/>
  <c r="L1052" i="1" s="1"/>
  <c r="N1052" i="1" s="1"/>
  <c r="K1053" i="1"/>
  <c r="L1053" i="1" s="1"/>
  <c r="N1053" i="1" s="1"/>
  <c r="K1054" i="1"/>
  <c r="L1054" i="1" s="1"/>
  <c r="N1054" i="1" s="1"/>
  <c r="K1055" i="1"/>
  <c r="L1055" i="1" s="1"/>
  <c r="N1055" i="1" s="1"/>
  <c r="K1056" i="1"/>
  <c r="L1056" i="1" s="1"/>
  <c r="N1056" i="1" s="1"/>
  <c r="K1057" i="1"/>
  <c r="L1057" i="1" s="1"/>
  <c r="N1057" i="1" s="1"/>
  <c r="K1058" i="1"/>
  <c r="L1058" i="1" s="1"/>
  <c r="N1058" i="1" s="1"/>
  <c r="K1059" i="1"/>
  <c r="L1059" i="1" s="1"/>
  <c r="N1059" i="1" s="1"/>
  <c r="K1060" i="1"/>
  <c r="L1060" i="1" s="1"/>
  <c r="N1060" i="1" s="1"/>
  <c r="K1061" i="1"/>
  <c r="L1061" i="1" s="1"/>
  <c r="N1061" i="1" s="1"/>
  <c r="K1062" i="1"/>
  <c r="L1062" i="1" s="1"/>
  <c r="N1062" i="1" s="1"/>
  <c r="K1063" i="1"/>
  <c r="L1063" i="1" s="1"/>
  <c r="N1063" i="1" s="1"/>
  <c r="K1064" i="1"/>
  <c r="L1064" i="1" s="1"/>
  <c r="N1064" i="1" s="1"/>
  <c r="K1065" i="1"/>
  <c r="L1065" i="1" s="1"/>
  <c r="N1065" i="1" s="1"/>
  <c r="K1066" i="1"/>
  <c r="L1066" i="1" s="1"/>
  <c r="N1066" i="1" s="1"/>
  <c r="K1067" i="1"/>
  <c r="L1067" i="1" s="1"/>
  <c r="N1067" i="1" s="1"/>
  <c r="K1068" i="1"/>
  <c r="L1068" i="1" s="1"/>
  <c r="N1068" i="1" s="1"/>
  <c r="K1069" i="1"/>
  <c r="L1069" i="1" s="1"/>
  <c r="N1069" i="1" s="1"/>
  <c r="K1070" i="1"/>
  <c r="L1070" i="1" s="1"/>
  <c r="N1070" i="1" s="1"/>
  <c r="K1071" i="1"/>
  <c r="L1071" i="1" s="1"/>
  <c r="N1071" i="1" s="1"/>
  <c r="K1072" i="1"/>
  <c r="L1072" i="1" s="1"/>
  <c r="N1072" i="1" s="1"/>
  <c r="K1073" i="1"/>
  <c r="L1073" i="1" s="1"/>
  <c r="N1073" i="1" s="1"/>
  <c r="K1074" i="1"/>
  <c r="L1074" i="1" s="1"/>
  <c r="N1074" i="1" s="1"/>
  <c r="K1075" i="1"/>
  <c r="L1075" i="1" s="1"/>
  <c r="N1075" i="1" s="1"/>
  <c r="K1076" i="1"/>
  <c r="L1076" i="1" s="1"/>
  <c r="N1076" i="1" s="1"/>
  <c r="K1077" i="1"/>
  <c r="L1077" i="1" s="1"/>
  <c r="N1077" i="1" s="1"/>
  <c r="K1078" i="1"/>
  <c r="L1078" i="1" s="1"/>
  <c r="N1078" i="1" s="1"/>
  <c r="K1079" i="1"/>
  <c r="L1079" i="1" s="1"/>
  <c r="N1079" i="1" s="1"/>
  <c r="K1080" i="1"/>
  <c r="L1080" i="1" s="1"/>
  <c r="N1080" i="1" s="1"/>
  <c r="K1081" i="1"/>
  <c r="L1081" i="1" s="1"/>
  <c r="N1081" i="1" s="1"/>
  <c r="K1082" i="1"/>
  <c r="L1082" i="1" s="1"/>
  <c r="N1082" i="1" s="1"/>
  <c r="K1083" i="1"/>
  <c r="L1083" i="1" s="1"/>
  <c r="N1083" i="1" s="1"/>
  <c r="K1084" i="1"/>
  <c r="L1084" i="1" s="1"/>
  <c r="N1084" i="1" s="1"/>
  <c r="K1085" i="1"/>
  <c r="L1085" i="1" s="1"/>
  <c r="N1085" i="1" s="1"/>
  <c r="K1086" i="1"/>
  <c r="L1086" i="1" s="1"/>
  <c r="N1086" i="1" s="1"/>
  <c r="K1087" i="1"/>
  <c r="L1087" i="1" s="1"/>
  <c r="N1087" i="1" s="1"/>
  <c r="K1088" i="1"/>
  <c r="L1088" i="1" s="1"/>
  <c r="N1088" i="1" s="1"/>
  <c r="K1089" i="1"/>
  <c r="L1089" i="1" s="1"/>
  <c r="N1089" i="1" s="1"/>
  <c r="K1090" i="1"/>
  <c r="L1090" i="1" s="1"/>
  <c r="N1090" i="1" s="1"/>
  <c r="K1091" i="1"/>
  <c r="L1091" i="1" s="1"/>
  <c r="N1091" i="1" s="1"/>
  <c r="K1092" i="1"/>
  <c r="L1092" i="1" s="1"/>
  <c r="N1092" i="1" s="1"/>
  <c r="K1093" i="1"/>
  <c r="L1093" i="1" s="1"/>
  <c r="N1093" i="1" s="1"/>
  <c r="K1094" i="1"/>
  <c r="L1094" i="1" s="1"/>
  <c r="N1094" i="1" s="1"/>
  <c r="K1095" i="1"/>
  <c r="L1095" i="1" s="1"/>
  <c r="N1095" i="1" s="1"/>
  <c r="K1096" i="1"/>
  <c r="L1096" i="1" s="1"/>
  <c r="N1096" i="1" s="1"/>
  <c r="K1097" i="1"/>
  <c r="L1097" i="1" s="1"/>
  <c r="N1097" i="1" s="1"/>
  <c r="K1098" i="1"/>
  <c r="L1098" i="1" s="1"/>
  <c r="N1098" i="1" s="1"/>
  <c r="K1099" i="1"/>
  <c r="L1099" i="1" s="1"/>
  <c r="N1099" i="1" s="1"/>
  <c r="K1100" i="1"/>
  <c r="L1100" i="1" s="1"/>
  <c r="N1100" i="1" s="1"/>
  <c r="K1101" i="1"/>
  <c r="L1101" i="1" s="1"/>
  <c r="N1101" i="1" s="1"/>
  <c r="K1102" i="1"/>
  <c r="L1102" i="1" s="1"/>
  <c r="N1102" i="1" s="1"/>
  <c r="K1103" i="1"/>
  <c r="L1103" i="1" s="1"/>
  <c r="N1103" i="1" s="1"/>
  <c r="K1104" i="1"/>
  <c r="L1104" i="1" s="1"/>
  <c r="N1104" i="1" s="1"/>
  <c r="K1105" i="1"/>
  <c r="L1105" i="1" s="1"/>
  <c r="N1105" i="1" s="1"/>
  <c r="K1106" i="1"/>
  <c r="L1106" i="1" s="1"/>
  <c r="N1106" i="1" s="1"/>
  <c r="K1107" i="1"/>
  <c r="L1107" i="1" s="1"/>
  <c r="N1107" i="1" s="1"/>
  <c r="K1108" i="1"/>
  <c r="L1108" i="1" s="1"/>
  <c r="N1108" i="1" s="1"/>
  <c r="K1109" i="1"/>
  <c r="L1109" i="1" s="1"/>
  <c r="N1109" i="1" s="1"/>
  <c r="K1110" i="1"/>
  <c r="L1110" i="1" s="1"/>
  <c r="N1110" i="1" s="1"/>
  <c r="K1111" i="1"/>
  <c r="L1111" i="1" s="1"/>
  <c r="N1111" i="1" s="1"/>
  <c r="K1112" i="1"/>
  <c r="L1112" i="1" s="1"/>
  <c r="N1112" i="1" s="1"/>
  <c r="K1113" i="1"/>
  <c r="L1113" i="1" s="1"/>
  <c r="N1113" i="1" s="1"/>
  <c r="K1114" i="1"/>
  <c r="L1114" i="1" s="1"/>
  <c r="N1114" i="1" s="1"/>
  <c r="K1115" i="1"/>
  <c r="L1115" i="1" s="1"/>
  <c r="N1115" i="1" s="1"/>
  <c r="K1116" i="1"/>
  <c r="L1116" i="1" s="1"/>
  <c r="N1116" i="1" s="1"/>
  <c r="K1117" i="1"/>
  <c r="L1117" i="1" s="1"/>
  <c r="N1117" i="1" s="1"/>
  <c r="K1118" i="1"/>
  <c r="L1118" i="1" s="1"/>
  <c r="N1118" i="1" s="1"/>
  <c r="K1119" i="1"/>
  <c r="L1119" i="1" s="1"/>
  <c r="N1119" i="1" s="1"/>
  <c r="K1120" i="1"/>
  <c r="L1120" i="1" s="1"/>
  <c r="N1120" i="1" s="1"/>
  <c r="K1121" i="1"/>
  <c r="L1121" i="1" s="1"/>
  <c r="N1121" i="1" s="1"/>
  <c r="K1122" i="1"/>
  <c r="L1122" i="1" s="1"/>
  <c r="N1122" i="1" s="1"/>
  <c r="K1123" i="1"/>
  <c r="L1123" i="1" s="1"/>
  <c r="N1123" i="1" s="1"/>
  <c r="K1124" i="1"/>
  <c r="L1124" i="1" s="1"/>
  <c r="N1124" i="1" s="1"/>
  <c r="K1125" i="1"/>
  <c r="L1125" i="1" s="1"/>
  <c r="N1125" i="1" s="1"/>
  <c r="K1126" i="1"/>
  <c r="L1126" i="1" s="1"/>
  <c r="N1126" i="1" s="1"/>
  <c r="K1127" i="1"/>
  <c r="L1127" i="1" s="1"/>
  <c r="N1127" i="1" s="1"/>
  <c r="K1128" i="1"/>
  <c r="L1128" i="1" s="1"/>
  <c r="N1128" i="1" s="1"/>
  <c r="K1129" i="1"/>
  <c r="L1129" i="1" s="1"/>
  <c r="N1129" i="1" s="1"/>
  <c r="K1130" i="1"/>
  <c r="L1130" i="1" s="1"/>
  <c r="N1130" i="1" s="1"/>
  <c r="K1131" i="1"/>
  <c r="L1131" i="1" s="1"/>
  <c r="N1131" i="1" s="1"/>
  <c r="K1132" i="1"/>
  <c r="L1132" i="1" s="1"/>
  <c r="N1132" i="1" s="1"/>
  <c r="K1133" i="1"/>
  <c r="L1133" i="1" s="1"/>
  <c r="N1133" i="1" s="1"/>
  <c r="K1134" i="1"/>
  <c r="L1134" i="1" s="1"/>
  <c r="N1134" i="1" s="1"/>
  <c r="K1135" i="1"/>
  <c r="L1135" i="1" s="1"/>
  <c r="N1135" i="1" s="1"/>
  <c r="K1136" i="1"/>
  <c r="L1136" i="1" s="1"/>
  <c r="N1136" i="1" s="1"/>
  <c r="K1137" i="1"/>
  <c r="L1137" i="1" s="1"/>
  <c r="N1137" i="1" s="1"/>
  <c r="K1138" i="1"/>
  <c r="L1138" i="1" s="1"/>
  <c r="N1138" i="1" s="1"/>
  <c r="K1139" i="1"/>
  <c r="L1139" i="1" s="1"/>
  <c r="N1139" i="1" s="1"/>
  <c r="K1140" i="1"/>
  <c r="L1140" i="1" s="1"/>
  <c r="N1140" i="1" s="1"/>
  <c r="K1141" i="1"/>
  <c r="L1141" i="1" s="1"/>
  <c r="N1141" i="1" s="1"/>
  <c r="K1142" i="1"/>
  <c r="L1142" i="1" s="1"/>
  <c r="N1142" i="1" s="1"/>
  <c r="K1143" i="1"/>
  <c r="L1143" i="1" s="1"/>
  <c r="N1143" i="1" s="1"/>
  <c r="K1144" i="1"/>
  <c r="L1144" i="1" s="1"/>
  <c r="N1144" i="1" s="1"/>
  <c r="K1145" i="1"/>
  <c r="L1145" i="1" s="1"/>
  <c r="N1145" i="1" s="1"/>
  <c r="K1146" i="1"/>
  <c r="L1146" i="1" s="1"/>
  <c r="N1146" i="1" s="1"/>
  <c r="K1147" i="1"/>
  <c r="L1147" i="1" s="1"/>
  <c r="N1147" i="1" s="1"/>
  <c r="K1148" i="1"/>
  <c r="L1148" i="1" s="1"/>
  <c r="N1148" i="1" s="1"/>
  <c r="K1149" i="1"/>
  <c r="L1149" i="1" s="1"/>
  <c r="N1149" i="1" s="1"/>
  <c r="K1150" i="1"/>
  <c r="L1150" i="1" s="1"/>
  <c r="N1150" i="1" s="1"/>
  <c r="K1151" i="1"/>
  <c r="L1151" i="1" s="1"/>
  <c r="N1151" i="1" s="1"/>
  <c r="K1152" i="1"/>
  <c r="L1152" i="1" s="1"/>
  <c r="N1152" i="1" s="1"/>
  <c r="K1153" i="1"/>
  <c r="L1153" i="1" s="1"/>
  <c r="N1153" i="1" s="1"/>
  <c r="K1154" i="1"/>
  <c r="L1154" i="1" s="1"/>
  <c r="N1154" i="1" s="1"/>
  <c r="K1155" i="1"/>
  <c r="L1155" i="1" s="1"/>
  <c r="N1155" i="1" s="1"/>
  <c r="K1156" i="1"/>
  <c r="L1156" i="1" s="1"/>
  <c r="N1156" i="1" s="1"/>
  <c r="K1157" i="1"/>
  <c r="L1157" i="1" s="1"/>
  <c r="N1157" i="1" s="1"/>
  <c r="K1158" i="1"/>
  <c r="L1158" i="1" s="1"/>
  <c r="N1158" i="1" s="1"/>
  <c r="K1159" i="1"/>
  <c r="L1159" i="1" s="1"/>
  <c r="N1159" i="1" s="1"/>
  <c r="K1160" i="1"/>
  <c r="L1160" i="1" s="1"/>
  <c r="N1160" i="1" s="1"/>
  <c r="K1161" i="1"/>
  <c r="L1161" i="1" s="1"/>
  <c r="N1161" i="1" s="1"/>
  <c r="K1162" i="1"/>
  <c r="L1162" i="1" s="1"/>
  <c r="N1162" i="1" s="1"/>
  <c r="K1163" i="1"/>
  <c r="L1163" i="1" s="1"/>
  <c r="N1163" i="1" s="1"/>
  <c r="K1164" i="1"/>
  <c r="L1164" i="1" s="1"/>
  <c r="N1164" i="1" s="1"/>
  <c r="K1165" i="1"/>
  <c r="L1165" i="1" s="1"/>
  <c r="N1165" i="1" s="1"/>
  <c r="K1166" i="1"/>
  <c r="L1166" i="1" s="1"/>
  <c r="N1166" i="1" s="1"/>
  <c r="K1167" i="1"/>
  <c r="L1167" i="1" s="1"/>
  <c r="N1167" i="1" s="1"/>
  <c r="K1168" i="1"/>
  <c r="L1168" i="1" s="1"/>
  <c r="N1168" i="1" s="1"/>
  <c r="K1169" i="1"/>
  <c r="L1169" i="1" s="1"/>
  <c r="N1169" i="1" s="1"/>
  <c r="K1170" i="1"/>
  <c r="L1170" i="1" s="1"/>
  <c r="N1170" i="1" s="1"/>
  <c r="K1171" i="1"/>
  <c r="L1171" i="1" s="1"/>
  <c r="N1171" i="1" s="1"/>
  <c r="K1172" i="1"/>
  <c r="L1172" i="1" s="1"/>
  <c r="N1172" i="1" s="1"/>
  <c r="K1173" i="1"/>
  <c r="L1173" i="1" s="1"/>
  <c r="N1173" i="1" s="1"/>
  <c r="K1174" i="1"/>
  <c r="L1174" i="1" s="1"/>
  <c r="N1174" i="1" s="1"/>
  <c r="K1175" i="1"/>
  <c r="L1175" i="1" s="1"/>
  <c r="N1175" i="1" s="1"/>
  <c r="K1176" i="1"/>
  <c r="L1176" i="1" s="1"/>
  <c r="N1176" i="1" s="1"/>
  <c r="K1177" i="1"/>
  <c r="L1177" i="1" s="1"/>
  <c r="N1177" i="1" s="1"/>
  <c r="K1178" i="1"/>
  <c r="L1178" i="1" s="1"/>
  <c r="N1178" i="1" s="1"/>
  <c r="K1179" i="1"/>
  <c r="L1179" i="1" s="1"/>
  <c r="N1179" i="1" s="1"/>
  <c r="K1180" i="1"/>
  <c r="L1180" i="1" s="1"/>
  <c r="N1180" i="1" s="1"/>
  <c r="K1181" i="1"/>
  <c r="L1181" i="1" s="1"/>
  <c r="N1181" i="1" s="1"/>
  <c r="K1182" i="1"/>
  <c r="L1182" i="1" s="1"/>
  <c r="N1182" i="1" s="1"/>
  <c r="K1183" i="1"/>
  <c r="L1183" i="1" s="1"/>
  <c r="N1183" i="1" s="1"/>
  <c r="K1184" i="1"/>
  <c r="L1184" i="1" s="1"/>
  <c r="N1184" i="1" s="1"/>
  <c r="K1185" i="1"/>
  <c r="L1185" i="1" s="1"/>
  <c r="N1185" i="1" s="1"/>
  <c r="K1186" i="1"/>
  <c r="L1186" i="1" s="1"/>
  <c r="N1186" i="1" s="1"/>
  <c r="K1187" i="1"/>
  <c r="L1187" i="1" s="1"/>
  <c r="N1187" i="1" s="1"/>
  <c r="K1188" i="1"/>
  <c r="L1188" i="1" s="1"/>
  <c r="N1188" i="1" s="1"/>
  <c r="K1189" i="1"/>
  <c r="L1189" i="1" s="1"/>
  <c r="N1189" i="1" s="1"/>
  <c r="K1190" i="1"/>
  <c r="L1190" i="1" s="1"/>
  <c r="N1190" i="1" s="1"/>
  <c r="K1191" i="1"/>
  <c r="L1191" i="1" s="1"/>
  <c r="N1191" i="1" s="1"/>
  <c r="K1192" i="1"/>
  <c r="L1192" i="1" s="1"/>
  <c r="N1192" i="1" s="1"/>
  <c r="K1193" i="1"/>
  <c r="L1193" i="1" s="1"/>
  <c r="N1193" i="1" s="1"/>
  <c r="K1194" i="1"/>
  <c r="L1194" i="1" s="1"/>
  <c r="N1194" i="1" s="1"/>
  <c r="K1195" i="1"/>
  <c r="L1195" i="1" s="1"/>
  <c r="N1195" i="1" s="1"/>
  <c r="K1196" i="1"/>
  <c r="L1196" i="1" s="1"/>
  <c r="N1196" i="1" s="1"/>
  <c r="K1197" i="1"/>
  <c r="L1197" i="1" s="1"/>
  <c r="N1197" i="1" s="1"/>
  <c r="K1198" i="1"/>
  <c r="L1198" i="1" s="1"/>
  <c r="N1198" i="1" s="1"/>
  <c r="K1199" i="1"/>
  <c r="L1199" i="1" s="1"/>
  <c r="N1199" i="1" s="1"/>
  <c r="K1200" i="1"/>
  <c r="L1200" i="1" s="1"/>
  <c r="N1200" i="1" s="1"/>
  <c r="K1201" i="1"/>
  <c r="L1201" i="1" s="1"/>
  <c r="N1201" i="1" s="1"/>
  <c r="K1202" i="1"/>
  <c r="L1202" i="1" s="1"/>
  <c r="N1202" i="1" s="1"/>
  <c r="K1203" i="1"/>
  <c r="L1203" i="1" s="1"/>
  <c r="N1203" i="1" s="1"/>
  <c r="K1204" i="1"/>
  <c r="L1204" i="1" s="1"/>
  <c r="N1204" i="1" s="1"/>
  <c r="K1205" i="1"/>
  <c r="L1205" i="1" s="1"/>
  <c r="N1205" i="1" s="1"/>
  <c r="K1206" i="1"/>
  <c r="L1206" i="1" s="1"/>
  <c r="N1206" i="1" s="1"/>
  <c r="K1207" i="1"/>
  <c r="L1207" i="1" s="1"/>
  <c r="N1207" i="1" s="1"/>
  <c r="K1208" i="1"/>
  <c r="L1208" i="1" s="1"/>
  <c r="N1208" i="1" s="1"/>
  <c r="K1209" i="1"/>
  <c r="L1209" i="1" s="1"/>
  <c r="N1209" i="1" s="1"/>
  <c r="K1210" i="1"/>
  <c r="L1210" i="1" s="1"/>
  <c r="N1210" i="1" s="1"/>
  <c r="K1211" i="1"/>
  <c r="L1211" i="1" s="1"/>
  <c r="N1211" i="1" s="1"/>
  <c r="K1212" i="1"/>
  <c r="L1212" i="1" s="1"/>
  <c r="N1212" i="1" s="1"/>
  <c r="K1213" i="1"/>
  <c r="L1213" i="1" s="1"/>
  <c r="N1213" i="1" s="1"/>
  <c r="K1214" i="1"/>
  <c r="L1214" i="1" s="1"/>
  <c r="N1214" i="1" s="1"/>
  <c r="K1215" i="1"/>
  <c r="L1215" i="1" s="1"/>
  <c r="N1215" i="1" s="1"/>
  <c r="K1216" i="1"/>
  <c r="L1216" i="1" s="1"/>
  <c r="N1216" i="1" s="1"/>
  <c r="K1217" i="1"/>
  <c r="L1217" i="1" s="1"/>
  <c r="N1217" i="1" s="1"/>
  <c r="K1218" i="1"/>
  <c r="L1218" i="1" s="1"/>
  <c r="N1218" i="1" s="1"/>
  <c r="K1219" i="1"/>
  <c r="L1219" i="1" s="1"/>
  <c r="N1219" i="1" s="1"/>
  <c r="K1220" i="1"/>
  <c r="L1220" i="1" s="1"/>
  <c r="N1220" i="1" s="1"/>
  <c r="K1221" i="1"/>
  <c r="L1221" i="1" s="1"/>
  <c r="N1221" i="1" s="1"/>
  <c r="K1222" i="1"/>
  <c r="L1222" i="1" s="1"/>
  <c r="N1222" i="1" s="1"/>
  <c r="K1223" i="1"/>
  <c r="L1223" i="1" s="1"/>
  <c r="N1223" i="1" s="1"/>
  <c r="K1224" i="1"/>
  <c r="L1224" i="1" s="1"/>
  <c r="N1224" i="1" s="1"/>
  <c r="K1225" i="1"/>
  <c r="L1225" i="1" s="1"/>
  <c r="N1225" i="1" s="1"/>
  <c r="K1226" i="1"/>
  <c r="L1226" i="1" s="1"/>
  <c r="N1226" i="1" s="1"/>
  <c r="K1227" i="1"/>
  <c r="L1227" i="1" s="1"/>
  <c r="N1227" i="1" s="1"/>
  <c r="K1228" i="1"/>
  <c r="L1228" i="1" s="1"/>
  <c r="N1228" i="1" s="1"/>
  <c r="K1229" i="1"/>
  <c r="L1229" i="1" s="1"/>
  <c r="N1229" i="1" s="1"/>
  <c r="K1230" i="1"/>
  <c r="L1230" i="1" s="1"/>
  <c r="N1230" i="1" s="1"/>
  <c r="K1231" i="1"/>
  <c r="L1231" i="1" s="1"/>
  <c r="N1231" i="1" s="1"/>
  <c r="K1232" i="1"/>
  <c r="L1232" i="1" s="1"/>
  <c r="N1232" i="1" s="1"/>
  <c r="K1233" i="1"/>
  <c r="L1233" i="1" s="1"/>
  <c r="N1233" i="1" s="1"/>
  <c r="K1234" i="1"/>
  <c r="L1234" i="1" s="1"/>
  <c r="N1234" i="1" s="1"/>
  <c r="K1235" i="1"/>
  <c r="L1235" i="1" s="1"/>
  <c r="N1235" i="1" s="1"/>
  <c r="K1236" i="1"/>
  <c r="L1236" i="1" s="1"/>
  <c r="N1236" i="1" s="1"/>
  <c r="K1237" i="1"/>
  <c r="L1237" i="1" s="1"/>
  <c r="N1237" i="1" s="1"/>
  <c r="K1238" i="1"/>
  <c r="L1238" i="1" s="1"/>
  <c r="N1238" i="1" s="1"/>
  <c r="K1239" i="1"/>
  <c r="L1239" i="1" s="1"/>
  <c r="N1239" i="1" s="1"/>
  <c r="K1240" i="1"/>
  <c r="L1240" i="1" s="1"/>
  <c r="N1240" i="1" s="1"/>
  <c r="K1241" i="1"/>
  <c r="L1241" i="1" s="1"/>
  <c r="N1241" i="1" s="1"/>
  <c r="K1242" i="1"/>
  <c r="L1242" i="1" s="1"/>
  <c r="N1242" i="1" s="1"/>
  <c r="K1243" i="1"/>
  <c r="L1243" i="1" s="1"/>
  <c r="N1243" i="1" s="1"/>
  <c r="K1244" i="1"/>
  <c r="L1244" i="1" s="1"/>
  <c r="N1244" i="1" s="1"/>
  <c r="K1245" i="1"/>
  <c r="L1245" i="1" s="1"/>
  <c r="N1245" i="1" s="1"/>
  <c r="K1246" i="1"/>
  <c r="L1246" i="1" s="1"/>
  <c r="N1246" i="1" s="1"/>
  <c r="K1247" i="1"/>
  <c r="L1247" i="1" s="1"/>
  <c r="N1247" i="1" s="1"/>
  <c r="K1248" i="1"/>
  <c r="L1248" i="1" s="1"/>
  <c r="N1248" i="1" s="1"/>
  <c r="K1249" i="1"/>
  <c r="L1249" i="1" s="1"/>
  <c r="N1249" i="1" s="1"/>
  <c r="K1250" i="1"/>
  <c r="L1250" i="1" s="1"/>
  <c r="N1250" i="1" s="1"/>
  <c r="K1251" i="1"/>
  <c r="L1251" i="1" s="1"/>
  <c r="N1251" i="1" s="1"/>
  <c r="K1252" i="1"/>
  <c r="L1252" i="1" s="1"/>
  <c r="N1252" i="1" s="1"/>
  <c r="K1253" i="1"/>
  <c r="L1253" i="1" s="1"/>
  <c r="N1253" i="1" s="1"/>
  <c r="K1254" i="1"/>
  <c r="L1254" i="1" s="1"/>
  <c r="N1254" i="1" s="1"/>
  <c r="K1255" i="1"/>
  <c r="L1255" i="1" s="1"/>
  <c r="N1255" i="1" s="1"/>
  <c r="K1256" i="1"/>
  <c r="L1256" i="1" s="1"/>
  <c r="N1256" i="1" s="1"/>
  <c r="K1257" i="1"/>
  <c r="L1257" i="1" s="1"/>
  <c r="N1257" i="1" s="1"/>
  <c r="K1258" i="1"/>
  <c r="L1258" i="1" s="1"/>
  <c r="N1258" i="1" s="1"/>
  <c r="K1259" i="1"/>
  <c r="L1259" i="1" s="1"/>
  <c r="N1259" i="1" s="1"/>
  <c r="K1260" i="1"/>
  <c r="L1260" i="1" s="1"/>
  <c r="N1260" i="1" s="1"/>
  <c r="K1261" i="1"/>
  <c r="L1261" i="1" s="1"/>
  <c r="N1261" i="1" s="1"/>
  <c r="K1262" i="1"/>
  <c r="L1262" i="1" s="1"/>
  <c r="N1262" i="1" s="1"/>
  <c r="K1263" i="1"/>
  <c r="L1263" i="1" s="1"/>
  <c r="N1263" i="1" s="1"/>
  <c r="K1264" i="1"/>
  <c r="L1264" i="1" s="1"/>
  <c r="N1264" i="1" s="1"/>
  <c r="K1265" i="1"/>
  <c r="L1265" i="1" s="1"/>
  <c r="N1265" i="1" s="1"/>
  <c r="K1266" i="1"/>
  <c r="L1266" i="1" s="1"/>
  <c r="N1266" i="1" s="1"/>
  <c r="K1267" i="1"/>
  <c r="L1267" i="1" s="1"/>
  <c r="N1267" i="1" s="1"/>
  <c r="K1268" i="1"/>
  <c r="L1268" i="1" s="1"/>
  <c r="N1268" i="1" s="1"/>
  <c r="K1269" i="1"/>
  <c r="L1269" i="1" s="1"/>
  <c r="N1269" i="1" s="1"/>
  <c r="K1270" i="1"/>
  <c r="L1270" i="1" s="1"/>
  <c r="N1270" i="1" s="1"/>
  <c r="K1271" i="1"/>
  <c r="L1271" i="1" s="1"/>
  <c r="N1271" i="1" s="1"/>
  <c r="K1272" i="1"/>
  <c r="L1272" i="1" s="1"/>
  <c r="N1272" i="1" s="1"/>
  <c r="K1273" i="1"/>
  <c r="L1273" i="1" s="1"/>
  <c r="N1273" i="1" s="1"/>
  <c r="K1274" i="1"/>
  <c r="L1274" i="1" s="1"/>
  <c r="N1274" i="1" s="1"/>
  <c r="K1275" i="1"/>
  <c r="L1275" i="1" s="1"/>
  <c r="N1275" i="1" s="1"/>
  <c r="K1276" i="1"/>
  <c r="L1276" i="1" s="1"/>
  <c r="N1276" i="1" s="1"/>
  <c r="K1277" i="1"/>
  <c r="L1277" i="1" s="1"/>
  <c r="N1277" i="1" s="1"/>
  <c r="K1278" i="1"/>
  <c r="L1278" i="1" s="1"/>
  <c r="N1278" i="1" s="1"/>
  <c r="K1279" i="1"/>
  <c r="L1279" i="1" s="1"/>
  <c r="N1279" i="1" s="1"/>
  <c r="K1280" i="1"/>
  <c r="L1280" i="1" s="1"/>
  <c r="N1280" i="1" s="1"/>
  <c r="K1281" i="1"/>
  <c r="L1281" i="1" s="1"/>
  <c r="N1281" i="1" s="1"/>
  <c r="K1282" i="1"/>
  <c r="L1282" i="1" s="1"/>
  <c r="N1282" i="1" s="1"/>
  <c r="K1283" i="1"/>
  <c r="L1283" i="1" s="1"/>
  <c r="N1283" i="1" s="1"/>
  <c r="K1284" i="1"/>
  <c r="L1284" i="1" s="1"/>
  <c r="N1284" i="1" s="1"/>
  <c r="K1285" i="1"/>
  <c r="L1285" i="1" s="1"/>
  <c r="N1285" i="1" s="1"/>
  <c r="K1286" i="1"/>
  <c r="L1286" i="1" s="1"/>
  <c r="N1286" i="1" s="1"/>
  <c r="K1287" i="1"/>
  <c r="L1287" i="1" s="1"/>
  <c r="N1287" i="1" s="1"/>
  <c r="K1288" i="1"/>
  <c r="L1288" i="1" s="1"/>
  <c r="N1288" i="1" s="1"/>
  <c r="K1289" i="1"/>
  <c r="L1289" i="1" s="1"/>
  <c r="N1289" i="1" s="1"/>
  <c r="K1290" i="1"/>
  <c r="L1290" i="1" s="1"/>
  <c r="N1290" i="1" s="1"/>
  <c r="K1291" i="1"/>
  <c r="L1291" i="1" s="1"/>
  <c r="N1291" i="1" s="1"/>
  <c r="K1292" i="1"/>
  <c r="L1292" i="1" s="1"/>
  <c r="N1292" i="1" s="1"/>
  <c r="K1293" i="1"/>
  <c r="L1293" i="1" s="1"/>
  <c r="N1293" i="1" s="1"/>
  <c r="K1294" i="1"/>
  <c r="L1294" i="1" s="1"/>
  <c r="N1294" i="1" s="1"/>
  <c r="K1295" i="1"/>
  <c r="L1295" i="1" s="1"/>
  <c r="N1295" i="1" s="1"/>
  <c r="K1296" i="1"/>
  <c r="L1296" i="1" s="1"/>
  <c r="N1296" i="1" s="1"/>
  <c r="K1297" i="1"/>
  <c r="L1297" i="1" s="1"/>
  <c r="N1297" i="1" s="1"/>
  <c r="K1298" i="1"/>
  <c r="L1298" i="1" s="1"/>
  <c r="N1298" i="1" s="1"/>
  <c r="K1299" i="1"/>
  <c r="L1299" i="1" s="1"/>
  <c r="N1299" i="1" s="1"/>
  <c r="K1300" i="1"/>
  <c r="L1300" i="1" s="1"/>
  <c r="N1300" i="1" s="1"/>
  <c r="K1301" i="1"/>
  <c r="L1301" i="1" s="1"/>
  <c r="N1301" i="1" s="1"/>
  <c r="K1302" i="1"/>
  <c r="L1302" i="1" s="1"/>
  <c r="N1302" i="1" s="1"/>
  <c r="K1303" i="1"/>
  <c r="L1303" i="1" s="1"/>
  <c r="N1303" i="1" s="1"/>
  <c r="K1304" i="1"/>
  <c r="L1304" i="1" s="1"/>
  <c r="N1304" i="1" s="1"/>
  <c r="K1305" i="1"/>
  <c r="L1305" i="1" s="1"/>
  <c r="N1305" i="1" s="1"/>
  <c r="K1306" i="1"/>
  <c r="L1306" i="1" s="1"/>
  <c r="N1306" i="1" s="1"/>
  <c r="K1307" i="1"/>
  <c r="L1307" i="1" s="1"/>
  <c r="N1307" i="1" s="1"/>
  <c r="K1308" i="1"/>
  <c r="L1308" i="1" s="1"/>
  <c r="N1308" i="1" s="1"/>
  <c r="K1309" i="1"/>
  <c r="L1309" i="1" s="1"/>
  <c r="N1309" i="1" s="1"/>
  <c r="K1310" i="1"/>
  <c r="L1310" i="1" s="1"/>
  <c r="N1310" i="1" s="1"/>
  <c r="K1311" i="1"/>
  <c r="L1311" i="1" s="1"/>
  <c r="N1311" i="1" s="1"/>
  <c r="K1312" i="1"/>
  <c r="L1312" i="1" s="1"/>
  <c r="N1312" i="1" s="1"/>
  <c r="K1313" i="1"/>
  <c r="L1313" i="1" s="1"/>
  <c r="N1313" i="1" s="1"/>
  <c r="K1314" i="1"/>
  <c r="L1314" i="1" s="1"/>
  <c r="N1314" i="1" s="1"/>
  <c r="K1315" i="1"/>
  <c r="L1315" i="1" s="1"/>
  <c r="N1315" i="1" s="1"/>
  <c r="K1316" i="1"/>
  <c r="L1316" i="1" s="1"/>
  <c r="N1316" i="1" s="1"/>
  <c r="K1317" i="1"/>
  <c r="L1317" i="1" s="1"/>
  <c r="N1317" i="1" s="1"/>
  <c r="K1318" i="1"/>
  <c r="L1318" i="1" s="1"/>
  <c r="N1318" i="1" s="1"/>
  <c r="K1319" i="1"/>
  <c r="L1319" i="1" s="1"/>
  <c r="N1319" i="1" s="1"/>
  <c r="K1320" i="1"/>
  <c r="L1320" i="1" s="1"/>
  <c r="N1320" i="1" s="1"/>
  <c r="K1321" i="1"/>
  <c r="L1321" i="1" s="1"/>
  <c r="N1321" i="1" s="1"/>
  <c r="K1322" i="1"/>
  <c r="L1322" i="1" s="1"/>
  <c r="N1322" i="1" s="1"/>
  <c r="K1323" i="1"/>
  <c r="L1323" i="1" s="1"/>
  <c r="N1323" i="1" s="1"/>
  <c r="K1324" i="1"/>
  <c r="L1324" i="1" s="1"/>
  <c r="N1324" i="1" s="1"/>
  <c r="K1325" i="1"/>
  <c r="L1325" i="1" s="1"/>
  <c r="N1325" i="1" s="1"/>
  <c r="K1326" i="1"/>
  <c r="L1326" i="1" s="1"/>
  <c r="N1326" i="1" s="1"/>
  <c r="K1327" i="1"/>
  <c r="L1327" i="1" s="1"/>
  <c r="N1327" i="1" s="1"/>
  <c r="K1328" i="1"/>
  <c r="L1328" i="1" s="1"/>
  <c r="N1328" i="1" s="1"/>
  <c r="K1329" i="1"/>
  <c r="L1329" i="1" s="1"/>
  <c r="N1329" i="1" s="1"/>
  <c r="K1330" i="1"/>
  <c r="L1330" i="1" s="1"/>
  <c r="N1330" i="1" s="1"/>
  <c r="K1331" i="1"/>
  <c r="L1331" i="1" s="1"/>
  <c r="N1331" i="1" s="1"/>
  <c r="K1332" i="1"/>
  <c r="L1332" i="1" s="1"/>
  <c r="N1332" i="1" s="1"/>
  <c r="K1333" i="1"/>
  <c r="L1333" i="1" s="1"/>
  <c r="N1333" i="1" s="1"/>
  <c r="K1334" i="1"/>
  <c r="L1334" i="1" s="1"/>
  <c r="N1334" i="1" s="1"/>
  <c r="K1335" i="1"/>
  <c r="L1335" i="1" s="1"/>
  <c r="N1335" i="1" s="1"/>
  <c r="K1336" i="1"/>
  <c r="L1336" i="1" s="1"/>
  <c r="N1336" i="1" s="1"/>
  <c r="K1337" i="1"/>
  <c r="L1337" i="1" s="1"/>
  <c r="N1337" i="1" s="1"/>
  <c r="K1338" i="1"/>
  <c r="L1338" i="1" s="1"/>
  <c r="N1338" i="1" s="1"/>
  <c r="K1339" i="1"/>
  <c r="L1339" i="1" s="1"/>
  <c r="N1339" i="1" s="1"/>
  <c r="K1340" i="1"/>
  <c r="L1340" i="1" s="1"/>
  <c r="N1340" i="1" s="1"/>
  <c r="K1341" i="1"/>
  <c r="L1341" i="1" s="1"/>
  <c r="N1341" i="1" s="1"/>
  <c r="K1342" i="1"/>
  <c r="L1342" i="1" s="1"/>
  <c r="N1342" i="1" s="1"/>
  <c r="K1343" i="1"/>
  <c r="L1343" i="1" s="1"/>
  <c r="N1343" i="1" s="1"/>
  <c r="K1344" i="1"/>
  <c r="L1344" i="1" s="1"/>
  <c r="N1344" i="1" s="1"/>
  <c r="K1345" i="1"/>
  <c r="L1345" i="1" s="1"/>
  <c r="N1345" i="1" s="1"/>
  <c r="K1346" i="1"/>
  <c r="L1346" i="1" s="1"/>
  <c r="N1346" i="1" s="1"/>
  <c r="K1347" i="1"/>
  <c r="L1347" i="1" s="1"/>
  <c r="N1347" i="1" s="1"/>
  <c r="K1348" i="1"/>
  <c r="L1348" i="1" s="1"/>
  <c r="N1348" i="1" s="1"/>
  <c r="K1349" i="1"/>
  <c r="L1349" i="1" s="1"/>
  <c r="N1349" i="1" s="1"/>
  <c r="K1350" i="1"/>
  <c r="L1350" i="1" s="1"/>
  <c r="N1350" i="1" s="1"/>
  <c r="K1351" i="1"/>
  <c r="L1351" i="1" s="1"/>
  <c r="N1351" i="1" s="1"/>
  <c r="K1352" i="1"/>
  <c r="L1352" i="1" s="1"/>
  <c r="N1352" i="1" s="1"/>
  <c r="K1353" i="1"/>
  <c r="L1353" i="1" s="1"/>
  <c r="N1353" i="1" s="1"/>
  <c r="K1354" i="1"/>
  <c r="L1354" i="1" s="1"/>
  <c r="N1354" i="1" s="1"/>
  <c r="K1355" i="1"/>
  <c r="L1355" i="1" s="1"/>
  <c r="N1355" i="1" s="1"/>
  <c r="K1356" i="1"/>
  <c r="L1356" i="1" s="1"/>
  <c r="N1356" i="1" s="1"/>
  <c r="K1357" i="1"/>
  <c r="L1357" i="1" s="1"/>
  <c r="N1357" i="1" s="1"/>
  <c r="K1358" i="1"/>
  <c r="L1358" i="1" s="1"/>
  <c r="N1358" i="1" s="1"/>
  <c r="K1359" i="1"/>
  <c r="L1359" i="1" s="1"/>
  <c r="N1359" i="1" s="1"/>
  <c r="K1360" i="1"/>
  <c r="L1360" i="1" s="1"/>
  <c r="N1360" i="1" s="1"/>
  <c r="K1361" i="1"/>
  <c r="L1361" i="1" s="1"/>
  <c r="N1361" i="1" s="1"/>
  <c r="K1362" i="1"/>
  <c r="L1362" i="1" s="1"/>
  <c r="N1362" i="1" s="1"/>
  <c r="K1363" i="1"/>
  <c r="L1363" i="1" s="1"/>
  <c r="N1363" i="1" s="1"/>
  <c r="K1364" i="1"/>
  <c r="L1364" i="1" s="1"/>
  <c r="N1364" i="1" s="1"/>
  <c r="K1365" i="1"/>
  <c r="L1365" i="1" s="1"/>
  <c r="N1365" i="1" s="1"/>
  <c r="K1366" i="1"/>
  <c r="L1366" i="1" s="1"/>
  <c r="N1366" i="1" s="1"/>
  <c r="K1367" i="1"/>
  <c r="L1367" i="1" s="1"/>
  <c r="N1367" i="1" s="1"/>
  <c r="K1368" i="1"/>
  <c r="L1368" i="1" s="1"/>
  <c r="N1368" i="1" s="1"/>
  <c r="K1369" i="1"/>
  <c r="L1369" i="1" s="1"/>
  <c r="N1369" i="1" s="1"/>
  <c r="K1370" i="1"/>
  <c r="L1370" i="1" s="1"/>
  <c r="N1370" i="1" s="1"/>
  <c r="K1371" i="1"/>
  <c r="L1371" i="1" s="1"/>
  <c r="N1371" i="1" s="1"/>
  <c r="K1372" i="1"/>
  <c r="L1372" i="1" s="1"/>
  <c r="N1372" i="1" s="1"/>
  <c r="K1373" i="1"/>
  <c r="L1373" i="1" s="1"/>
  <c r="N1373" i="1" s="1"/>
  <c r="K1374" i="1"/>
  <c r="L1374" i="1" s="1"/>
  <c r="N1374" i="1" s="1"/>
  <c r="K1375" i="1"/>
  <c r="L1375" i="1" s="1"/>
  <c r="N1375" i="1" s="1"/>
  <c r="K1376" i="1"/>
  <c r="L1376" i="1" s="1"/>
  <c r="N1376" i="1" s="1"/>
  <c r="K1377" i="1"/>
  <c r="L1377" i="1" s="1"/>
  <c r="N1377" i="1" s="1"/>
  <c r="K1378" i="1"/>
  <c r="L1378" i="1" s="1"/>
  <c r="N1378" i="1" s="1"/>
  <c r="K1379" i="1"/>
  <c r="L1379" i="1" s="1"/>
  <c r="N1379" i="1" s="1"/>
  <c r="K1380" i="1"/>
  <c r="L1380" i="1" s="1"/>
  <c r="N1380" i="1" s="1"/>
  <c r="K1381" i="1"/>
  <c r="L1381" i="1" s="1"/>
  <c r="N1381" i="1" s="1"/>
  <c r="K1382" i="1"/>
  <c r="L1382" i="1" s="1"/>
  <c r="N1382" i="1" s="1"/>
  <c r="K1383" i="1"/>
  <c r="L1383" i="1" s="1"/>
  <c r="N1383" i="1" s="1"/>
  <c r="K1384" i="1"/>
  <c r="L1384" i="1" s="1"/>
  <c r="N1384" i="1" s="1"/>
  <c r="K1385" i="1"/>
  <c r="L1385" i="1" s="1"/>
  <c r="N1385" i="1" s="1"/>
  <c r="K1386" i="1"/>
  <c r="L1386" i="1" s="1"/>
  <c r="N1386" i="1" s="1"/>
  <c r="K1387" i="1"/>
  <c r="L1387" i="1" s="1"/>
  <c r="N1387" i="1" s="1"/>
  <c r="K1388" i="1"/>
  <c r="L1388" i="1" s="1"/>
  <c r="N1388" i="1" s="1"/>
  <c r="K1389" i="1"/>
  <c r="L1389" i="1" s="1"/>
  <c r="N1389" i="1" s="1"/>
  <c r="K1390" i="1"/>
  <c r="L1390" i="1" s="1"/>
  <c r="N1390" i="1" s="1"/>
  <c r="K1391" i="1"/>
  <c r="L1391" i="1" s="1"/>
  <c r="N1391" i="1" s="1"/>
  <c r="K1392" i="1"/>
  <c r="L1392" i="1" s="1"/>
  <c r="N1392" i="1" s="1"/>
  <c r="K1393" i="1"/>
  <c r="L1393" i="1" s="1"/>
  <c r="N1393" i="1" s="1"/>
  <c r="K1394" i="1"/>
  <c r="L1394" i="1" s="1"/>
  <c r="N1394" i="1" s="1"/>
  <c r="K1395" i="1"/>
  <c r="L1395" i="1" s="1"/>
  <c r="N1395" i="1" s="1"/>
  <c r="K1396" i="1"/>
  <c r="L1396" i="1" s="1"/>
  <c r="N1396" i="1" s="1"/>
  <c r="K1397" i="1"/>
  <c r="L1397" i="1" s="1"/>
  <c r="N1397" i="1" s="1"/>
  <c r="K1398" i="1"/>
  <c r="L1398" i="1" s="1"/>
  <c r="N1398" i="1" s="1"/>
  <c r="K1399" i="1"/>
  <c r="L1399" i="1" s="1"/>
  <c r="N1399" i="1" s="1"/>
  <c r="K1400" i="1"/>
  <c r="L1400" i="1" s="1"/>
  <c r="N1400" i="1" s="1"/>
  <c r="K1401" i="1"/>
  <c r="L1401" i="1" s="1"/>
  <c r="N1401" i="1" s="1"/>
  <c r="K1402" i="1"/>
  <c r="L1402" i="1" s="1"/>
  <c r="N1402" i="1" s="1"/>
  <c r="K1403" i="1"/>
  <c r="L1403" i="1" s="1"/>
  <c r="N1403" i="1" s="1"/>
  <c r="K1404" i="1"/>
  <c r="L1404" i="1" s="1"/>
  <c r="N1404" i="1" s="1"/>
  <c r="K1405" i="1"/>
  <c r="L1405" i="1" s="1"/>
  <c r="N1405" i="1" s="1"/>
  <c r="K1406" i="1"/>
  <c r="L1406" i="1" s="1"/>
  <c r="N1406" i="1" s="1"/>
  <c r="K1407" i="1"/>
  <c r="L1407" i="1" s="1"/>
  <c r="N1407" i="1" s="1"/>
  <c r="K1408" i="1"/>
  <c r="L1408" i="1" s="1"/>
  <c r="N1408" i="1" s="1"/>
  <c r="K1409" i="1"/>
  <c r="L1409" i="1" s="1"/>
  <c r="N1409" i="1" s="1"/>
  <c r="K1410" i="1"/>
  <c r="L1410" i="1" s="1"/>
  <c r="N1410" i="1" s="1"/>
  <c r="K1411" i="1"/>
  <c r="L1411" i="1" s="1"/>
  <c r="N1411" i="1" s="1"/>
  <c r="K1412" i="1"/>
  <c r="L1412" i="1" s="1"/>
  <c r="N1412" i="1" s="1"/>
  <c r="K1413" i="1"/>
  <c r="L1413" i="1" s="1"/>
  <c r="N1413" i="1" s="1"/>
  <c r="K1414" i="1"/>
  <c r="L1414" i="1" s="1"/>
  <c r="N1414" i="1" s="1"/>
  <c r="K1415" i="1"/>
  <c r="L1415" i="1" s="1"/>
  <c r="N1415" i="1" s="1"/>
  <c r="K1416" i="1"/>
  <c r="L1416" i="1" s="1"/>
  <c r="N1416" i="1" s="1"/>
  <c r="K1417" i="1"/>
  <c r="L1417" i="1" s="1"/>
  <c r="N1417" i="1" s="1"/>
  <c r="K1418" i="1"/>
  <c r="L1418" i="1" s="1"/>
  <c r="N1418" i="1" s="1"/>
  <c r="K1419" i="1"/>
  <c r="L1419" i="1" s="1"/>
  <c r="N1419" i="1" s="1"/>
  <c r="K1420" i="1"/>
  <c r="L1420" i="1" s="1"/>
  <c r="N1420" i="1" s="1"/>
  <c r="K1421" i="1"/>
  <c r="L1421" i="1" s="1"/>
  <c r="N1421" i="1" s="1"/>
  <c r="K1422" i="1"/>
  <c r="L1422" i="1" s="1"/>
  <c r="N1422" i="1" s="1"/>
  <c r="K1423" i="1"/>
  <c r="L1423" i="1" s="1"/>
  <c r="N1423" i="1" s="1"/>
  <c r="K1424" i="1"/>
  <c r="L1424" i="1" s="1"/>
  <c r="N1424" i="1" s="1"/>
  <c r="K1425" i="1"/>
  <c r="L1425" i="1" s="1"/>
  <c r="N1425" i="1" s="1"/>
  <c r="K1426" i="1"/>
  <c r="L1426" i="1" s="1"/>
  <c r="N1426" i="1" s="1"/>
  <c r="K1427" i="1"/>
  <c r="L1427" i="1" s="1"/>
  <c r="N1427" i="1" s="1"/>
  <c r="K1428" i="1"/>
  <c r="L1428" i="1" s="1"/>
  <c r="N1428" i="1" s="1"/>
  <c r="K1429" i="1"/>
  <c r="L1429" i="1" s="1"/>
  <c r="N1429" i="1" s="1"/>
  <c r="K1430" i="1"/>
  <c r="L1430" i="1" s="1"/>
  <c r="N1430" i="1" s="1"/>
  <c r="K1431" i="1"/>
  <c r="L1431" i="1" s="1"/>
  <c r="N1431" i="1" s="1"/>
  <c r="K1432" i="1"/>
  <c r="L1432" i="1" s="1"/>
  <c r="N1432" i="1" s="1"/>
  <c r="K1433" i="1"/>
  <c r="L1433" i="1" s="1"/>
  <c r="N1433" i="1" s="1"/>
  <c r="K1434" i="1"/>
  <c r="L1434" i="1" s="1"/>
  <c r="N1434" i="1" s="1"/>
  <c r="K1435" i="1"/>
  <c r="L1435" i="1" s="1"/>
  <c r="N1435" i="1" s="1"/>
  <c r="K1436" i="1"/>
  <c r="L1436" i="1" s="1"/>
  <c r="N1436" i="1" s="1"/>
  <c r="K1437" i="1"/>
  <c r="L1437" i="1" s="1"/>
  <c r="N1437" i="1" s="1"/>
  <c r="K1438" i="1"/>
  <c r="L1438" i="1" s="1"/>
  <c r="N1438" i="1" s="1"/>
  <c r="K1439" i="1"/>
  <c r="L1439" i="1" s="1"/>
  <c r="N1439" i="1" s="1"/>
  <c r="K1440" i="1"/>
  <c r="L1440" i="1" s="1"/>
  <c r="N1440" i="1" s="1"/>
  <c r="K1441" i="1"/>
  <c r="L1441" i="1" s="1"/>
  <c r="N1441" i="1" s="1"/>
  <c r="K1442" i="1"/>
  <c r="L1442" i="1" s="1"/>
  <c r="N1442" i="1" s="1"/>
  <c r="K1443" i="1"/>
  <c r="L1443" i="1" s="1"/>
  <c r="N1443" i="1" s="1"/>
  <c r="K1444" i="1"/>
  <c r="L1444" i="1" s="1"/>
  <c r="N1444" i="1" s="1"/>
  <c r="K1445" i="1"/>
  <c r="L1445" i="1" s="1"/>
  <c r="N1445" i="1" s="1"/>
  <c r="K1446" i="1"/>
  <c r="L1446" i="1" s="1"/>
  <c r="N1446" i="1" s="1"/>
  <c r="K1447" i="1"/>
  <c r="L1447" i="1" s="1"/>
  <c r="N1447" i="1" s="1"/>
  <c r="K1448" i="1"/>
  <c r="L1448" i="1" s="1"/>
  <c r="N1448" i="1" s="1"/>
  <c r="K1449" i="1"/>
  <c r="L1449" i="1" s="1"/>
  <c r="N1449" i="1" s="1"/>
  <c r="K1450" i="1"/>
  <c r="L1450" i="1" s="1"/>
  <c r="N1450" i="1" s="1"/>
  <c r="K1451" i="1"/>
  <c r="L1451" i="1" s="1"/>
  <c r="N1451" i="1" s="1"/>
  <c r="K1452" i="1"/>
  <c r="L1452" i="1" s="1"/>
  <c r="N1452" i="1" s="1"/>
  <c r="K1453" i="1"/>
  <c r="L1453" i="1" s="1"/>
  <c r="N1453" i="1" s="1"/>
  <c r="K1454" i="1"/>
  <c r="L1454" i="1" s="1"/>
  <c r="N1454" i="1" s="1"/>
  <c r="K1455" i="1"/>
  <c r="L1455" i="1" s="1"/>
  <c r="N1455" i="1" s="1"/>
  <c r="K1456" i="1"/>
  <c r="L1456" i="1" s="1"/>
  <c r="N1456" i="1" s="1"/>
  <c r="K1457" i="1"/>
  <c r="L1457" i="1" s="1"/>
  <c r="N1457" i="1" s="1"/>
  <c r="K1458" i="1"/>
  <c r="L1458" i="1" s="1"/>
  <c r="N1458" i="1" s="1"/>
  <c r="K1459" i="1"/>
  <c r="L1459" i="1" s="1"/>
  <c r="N1459" i="1" s="1"/>
  <c r="K1460" i="1"/>
  <c r="L1460" i="1" s="1"/>
  <c r="N1460" i="1" s="1"/>
  <c r="K1461" i="1"/>
  <c r="L1461" i="1" s="1"/>
  <c r="N1461" i="1" s="1"/>
  <c r="K1462" i="1"/>
  <c r="L1462" i="1" s="1"/>
  <c r="N1462" i="1" s="1"/>
  <c r="K1463" i="1"/>
  <c r="L1463" i="1" s="1"/>
  <c r="N1463" i="1" s="1"/>
  <c r="K1464" i="1"/>
  <c r="L1464" i="1" s="1"/>
  <c r="N1464" i="1" s="1"/>
  <c r="K1465" i="1"/>
  <c r="L1465" i="1" s="1"/>
  <c r="N1465" i="1" s="1"/>
  <c r="K1466" i="1"/>
  <c r="L1466" i="1" s="1"/>
  <c r="N1466" i="1" s="1"/>
  <c r="K1467" i="1"/>
  <c r="L1467" i="1" s="1"/>
  <c r="N1467" i="1" s="1"/>
  <c r="K1468" i="1"/>
  <c r="L1468" i="1" s="1"/>
  <c r="N1468" i="1" s="1"/>
  <c r="K1469" i="1"/>
  <c r="L1469" i="1" s="1"/>
  <c r="N1469" i="1" s="1"/>
  <c r="K1470" i="1"/>
  <c r="L1470" i="1" s="1"/>
  <c r="N1470" i="1" s="1"/>
  <c r="K1471" i="1"/>
  <c r="L1471" i="1" s="1"/>
  <c r="N1471" i="1" s="1"/>
  <c r="K1472" i="1"/>
  <c r="L1472" i="1" s="1"/>
  <c r="N1472" i="1" s="1"/>
  <c r="K1473" i="1"/>
  <c r="L1473" i="1" s="1"/>
  <c r="N1473" i="1" s="1"/>
  <c r="K1474" i="1"/>
  <c r="L1474" i="1" s="1"/>
  <c r="N1474" i="1" s="1"/>
  <c r="K1475" i="1"/>
  <c r="L1475" i="1" s="1"/>
  <c r="N1475" i="1" s="1"/>
  <c r="K1476" i="1"/>
  <c r="L1476" i="1" s="1"/>
  <c r="N1476" i="1" s="1"/>
  <c r="K1477" i="1"/>
  <c r="L1477" i="1" s="1"/>
  <c r="N1477" i="1" s="1"/>
  <c r="K1478" i="1"/>
  <c r="L1478" i="1" s="1"/>
  <c r="N1478" i="1" s="1"/>
  <c r="K1479" i="1"/>
  <c r="L1479" i="1" s="1"/>
  <c r="N1479" i="1" s="1"/>
  <c r="K1480" i="1"/>
  <c r="L1480" i="1" s="1"/>
  <c r="N1480" i="1" s="1"/>
  <c r="K1481" i="1"/>
  <c r="L1481" i="1" s="1"/>
  <c r="N1481" i="1" s="1"/>
  <c r="K1482" i="1"/>
  <c r="L1482" i="1" s="1"/>
  <c r="N1482" i="1" s="1"/>
  <c r="K1483" i="1"/>
  <c r="L1483" i="1" s="1"/>
  <c r="N1483" i="1" s="1"/>
  <c r="K1484" i="1"/>
  <c r="L1484" i="1" s="1"/>
  <c r="N1484" i="1" s="1"/>
  <c r="K1485" i="1"/>
  <c r="L1485" i="1" s="1"/>
  <c r="N1485" i="1" s="1"/>
  <c r="K1486" i="1"/>
  <c r="L1486" i="1" s="1"/>
  <c r="N1486" i="1" s="1"/>
  <c r="K1487" i="1"/>
  <c r="L1487" i="1" s="1"/>
  <c r="N1487" i="1" s="1"/>
  <c r="K1488" i="1"/>
  <c r="L1488" i="1" s="1"/>
  <c r="N1488" i="1" s="1"/>
  <c r="K1489" i="1"/>
  <c r="L1489" i="1" s="1"/>
  <c r="N1489" i="1" s="1"/>
  <c r="K1490" i="1"/>
  <c r="L1490" i="1" s="1"/>
  <c r="N1490" i="1" s="1"/>
  <c r="K1491" i="1"/>
  <c r="L1491" i="1" s="1"/>
  <c r="N1491" i="1" s="1"/>
  <c r="K1492" i="1"/>
  <c r="L1492" i="1" s="1"/>
  <c r="N1492" i="1" s="1"/>
  <c r="K1493" i="1"/>
  <c r="L1493" i="1" s="1"/>
  <c r="N1493" i="1" s="1"/>
  <c r="K1494" i="1"/>
  <c r="L1494" i="1" s="1"/>
  <c r="N1494" i="1" s="1"/>
  <c r="K1495" i="1"/>
  <c r="L1495" i="1" s="1"/>
  <c r="N1495" i="1" s="1"/>
  <c r="K1496" i="1"/>
  <c r="L1496" i="1" s="1"/>
  <c r="N1496" i="1" s="1"/>
  <c r="K1497" i="1"/>
  <c r="L1497" i="1" s="1"/>
  <c r="N1497" i="1" s="1"/>
  <c r="K1498" i="1"/>
  <c r="L1498" i="1" s="1"/>
  <c r="N1498" i="1" s="1"/>
  <c r="K1499" i="1"/>
  <c r="L1499" i="1" s="1"/>
  <c r="N1499" i="1" s="1"/>
  <c r="K1500" i="1"/>
  <c r="L1500" i="1" s="1"/>
  <c r="N1500" i="1" s="1"/>
  <c r="K1501" i="1"/>
  <c r="L1501" i="1" s="1"/>
  <c r="N1501" i="1" s="1"/>
  <c r="K1502" i="1"/>
  <c r="L1502" i="1" s="1"/>
  <c r="N1502" i="1" s="1"/>
  <c r="K1503" i="1"/>
  <c r="L1503" i="1" s="1"/>
  <c r="N1503" i="1" s="1"/>
  <c r="K1504" i="1"/>
  <c r="L1504" i="1" s="1"/>
  <c r="N1504" i="1" s="1"/>
  <c r="K1505" i="1"/>
  <c r="L1505" i="1" s="1"/>
  <c r="N1505" i="1" s="1"/>
  <c r="K1506" i="1"/>
  <c r="L1506" i="1" s="1"/>
  <c r="N1506" i="1" s="1"/>
  <c r="K1507" i="1"/>
  <c r="L1507" i="1" s="1"/>
  <c r="N1507" i="1" s="1"/>
  <c r="K1508" i="1"/>
  <c r="L1508" i="1" s="1"/>
  <c r="N1508" i="1" s="1"/>
  <c r="K1509" i="1"/>
  <c r="L1509" i="1" s="1"/>
  <c r="N1509" i="1" s="1"/>
  <c r="K1510" i="1"/>
  <c r="L1510" i="1" s="1"/>
  <c r="N1510" i="1" s="1"/>
  <c r="K1511" i="1"/>
  <c r="L1511" i="1" s="1"/>
  <c r="N1511" i="1" s="1"/>
  <c r="K1512" i="1"/>
  <c r="L1512" i="1" s="1"/>
  <c r="N1512" i="1" s="1"/>
  <c r="K1513" i="1"/>
  <c r="L1513" i="1" s="1"/>
  <c r="N1513" i="1" s="1"/>
  <c r="K1514" i="1"/>
  <c r="L1514" i="1" s="1"/>
  <c r="N1514" i="1" s="1"/>
  <c r="K1515" i="1"/>
  <c r="L1515" i="1" s="1"/>
  <c r="N1515" i="1" s="1"/>
  <c r="K1516" i="1"/>
  <c r="L1516" i="1" s="1"/>
  <c r="N1516" i="1" s="1"/>
  <c r="K1517" i="1"/>
  <c r="L1517" i="1" s="1"/>
  <c r="N1517" i="1" s="1"/>
  <c r="K1518" i="1"/>
  <c r="L1518" i="1" s="1"/>
  <c r="N1518" i="1" s="1"/>
  <c r="K1519" i="1"/>
  <c r="L1519" i="1" s="1"/>
  <c r="N1519" i="1" s="1"/>
  <c r="K1520" i="1"/>
  <c r="L1520" i="1" s="1"/>
  <c r="N1520" i="1" s="1"/>
  <c r="K1521" i="1"/>
  <c r="L1521" i="1" s="1"/>
  <c r="N1521" i="1" s="1"/>
  <c r="K1522" i="1"/>
  <c r="L1522" i="1" s="1"/>
  <c r="N1522" i="1" s="1"/>
  <c r="K1523" i="1"/>
  <c r="L1523" i="1" s="1"/>
  <c r="N1523" i="1" s="1"/>
  <c r="K1524" i="1"/>
  <c r="L1524" i="1" s="1"/>
  <c r="N1524" i="1" s="1"/>
  <c r="K1525" i="1"/>
  <c r="L1525" i="1" s="1"/>
  <c r="N1525" i="1" s="1"/>
  <c r="K1526" i="1"/>
  <c r="L1526" i="1" s="1"/>
  <c r="N1526" i="1" s="1"/>
  <c r="K1527" i="1"/>
  <c r="L1527" i="1" s="1"/>
  <c r="N1527" i="1" s="1"/>
  <c r="K1528" i="1"/>
  <c r="L1528" i="1" s="1"/>
  <c r="N1528" i="1" s="1"/>
  <c r="K1529" i="1"/>
  <c r="L1529" i="1" s="1"/>
  <c r="N1529" i="1" s="1"/>
  <c r="K1530" i="1"/>
  <c r="L1530" i="1" s="1"/>
  <c r="N1530" i="1" s="1"/>
  <c r="K1531" i="1"/>
  <c r="L1531" i="1" s="1"/>
  <c r="N1531" i="1" s="1"/>
  <c r="K1532" i="1"/>
  <c r="L1532" i="1" s="1"/>
  <c r="N1532" i="1" s="1"/>
  <c r="K1533" i="1"/>
  <c r="L1533" i="1" s="1"/>
  <c r="N1533" i="1" s="1"/>
  <c r="K1534" i="1"/>
  <c r="L1534" i="1" s="1"/>
  <c r="N1534" i="1" s="1"/>
  <c r="K1535" i="1"/>
  <c r="L1535" i="1" s="1"/>
  <c r="N1535" i="1" s="1"/>
  <c r="K1536" i="1"/>
  <c r="L1536" i="1" s="1"/>
  <c r="N1536" i="1" s="1"/>
  <c r="K1537" i="1"/>
  <c r="L1537" i="1" s="1"/>
  <c r="N1537" i="1" s="1"/>
  <c r="K1538" i="1"/>
  <c r="L1538" i="1" s="1"/>
  <c r="N1538" i="1" s="1"/>
  <c r="K1539" i="1"/>
  <c r="L1539" i="1" s="1"/>
  <c r="N1539" i="1" s="1"/>
  <c r="K1540" i="1"/>
  <c r="L1540" i="1" s="1"/>
  <c r="N1540" i="1" s="1"/>
  <c r="K1541" i="1"/>
  <c r="L1541" i="1" s="1"/>
  <c r="N1541" i="1" s="1"/>
  <c r="K1542" i="1"/>
  <c r="L1542" i="1" s="1"/>
  <c r="N1542" i="1" s="1"/>
  <c r="K1543" i="1"/>
  <c r="L1543" i="1" s="1"/>
  <c r="N1543" i="1" s="1"/>
  <c r="K1544" i="1"/>
  <c r="L1544" i="1" s="1"/>
  <c r="N1544" i="1" s="1"/>
  <c r="K1545" i="1"/>
  <c r="L1545" i="1" s="1"/>
  <c r="N1545" i="1" s="1"/>
  <c r="K1546" i="1"/>
  <c r="L1546" i="1" s="1"/>
  <c r="N1546" i="1" s="1"/>
  <c r="K1547" i="1"/>
  <c r="L1547" i="1" s="1"/>
  <c r="N1547" i="1" s="1"/>
  <c r="K1548" i="1"/>
  <c r="L1548" i="1" s="1"/>
  <c r="N1548" i="1" s="1"/>
  <c r="K1549" i="1"/>
  <c r="L1549" i="1" s="1"/>
  <c r="N1549" i="1" s="1"/>
  <c r="K1550" i="1"/>
  <c r="L1550" i="1" s="1"/>
  <c r="N1550" i="1" s="1"/>
  <c r="K1551" i="1"/>
  <c r="L1551" i="1" s="1"/>
  <c r="N1551" i="1" s="1"/>
  <c r="K1552" i="1"/>
  <c r="L1552" i="1" s="1"/>
  <c r="N1552" i="1" s="1"/>
  <c r="K1553" i="1"/>
  <c r="L1553" i="1" s="1"/>
  <c r="N1553" i="1" s="1"/>
  <c r="K1554" i="1"/>
  <c r="L1554" i="1" s="1"/>
  <c r="N1554" i="1" s="1"/>
  <c r="K1555" i="1"/>
  <c r="L1555" i="1" s="1"/>
  <c r="N1555" i="1" s="1"/>
  <c r="K1556" i="1"/>
  <c r="L1556" i="1" s="1"/>
  <c r="N1556" i="1" s="1"/>
  <c r="K1557" i="1"/>
  <c r="L1557" i="1" s="1"/>
  <c r="N1557" i="1" s="1"/>
  <c r="K1558" i="1"/>
  <c r="L1558" i="1" s="1"/>
  <c r="N1558" i="1" s="1"/>
  <c r="K1559" i="1"/>
  <c r="L1559" i="1" s="1"/>
  <c r="N1559" i="1" s="1"/>
  <c r="K1560" i="1"/>
  <c r="L1560" i="1" s="1"/>
  <c r="N1560" i="1" s="1"/>
  <c r="K1561" i="1"/>
  <c r="L1561" i="1" s="1"/>
  <c r="N1561" i="1" s="1"/>
  <c r="K1562" i="1"/>
  <c r="L1562" i="1" s="1"/>
  <c r="N1562" i="1" s="1"/>
  <c r="K1563" i="1"/>
  <c r="L1563" i="1" s="1"/>
  <c r="N1563" i="1" s="1"/>
  <c r="K1564" i="1"/>
  <c r="L1564" i="1" s="1"/>
  <c r="N1564" i="1" s="1"/>
  <c r="K1565" i="1"/>
  <c r="L1565" i="1" s="1"/>
  <c r="N1565" i="1" s="1"/>
  <c r="K1566" i="1"/>
  <c r="L1566" i="1" s="1"/>
  <c r="N1566" i="1" s="1"/>
  <c r="K1567" i="1"/>
  <c r="L1567" i="1" s="1"/>
  <c r="N1567" i="1" s="1"/>
  <c r="K1568" i="1"/>
  <c r="L1568" i="1" s="1"/>
  <c r="N1568" i="1" s="1"/>
  <c r="K1569" i="1"/>
  <c r="L1569" i="1" s="1"/>
  <c r="N1569" i="1" s="1"/>
  <c r="K1570" i="1"/>
  <c r="L1570" i="1" s="1"/>
  <c r="N1570" i="1" s="1"/>
  <c r="K1571" i="1"/>
  <c r="L1571" i="1" s="1"/>
  <c r="N1571" i="1" s="1"/>
  <c r="K1572" i="1"/>
  <c r="L1572" i="1" s="1"/>
  <c r="N1572" i="1" s="1"/>
  <c r="K1573" i="1"/>
  <c r="L1573" i="1" s="1"/>
  <c r="N1573" i="1" s="1"/>
  <c r="K1574" i="1"/>
  <c r="L1574" i="1" s="1"/>
  <c r="N1574" i="1" s="1"/>
  <c r="K1575" i="1"/>
  <c r="L1575" i="1" s="1"/>
  <c r="N1575" i="1" s="1"/>
  <c r="K1576" i="1"/>
  <c r="L1576" i="1" s="1"/>
  <c r="N1576" i="1" s="1"/>
  <c r="K1577" i="1"/>
  <c r="L1577" i="1" s="1"/>
  <c r="N1577" i="1" s="1"/>
  <c r="K1578" i="1"/>
  <c r="L1578" i="1" s="1"/>
  <c r="N1578" i="1" s="1"/>
  <c r="K1579" i="1"/>
  <c r="L1579" i="1" s="1"/>
  <c r="N1579" i="1" s="1"/>
  <c r="K1580" i="1"/>
  <c r="L1580" i="1" s="1"/>
  <c r="N1580" i="1" s="1"/>
  <c r="K1581" i="1"/>
  <c r="L1581" i="1" s="1"/>
  <c r="N1581" i="1" s="1"/>
  <c r="K1582" i="1"/>
  <c r="L1582" i="1" s="1"/>
  <c r="N1582" i="1" s="1"/>
  <c r="K1583" i="1"/>
  <c r="L1583" i="1" s="1"/>
  <c r="N1583" i="1" s="1"/>
  <c r="K1584" i="1"/>
  <c r="L1584" i="1" s="1"/>
  <c r="N1584" i="1" s="1"/>
  <c r="K1585" i="1"/>
  <c r="L1585" i="1" s="1"/>
  <c r="N1585" i="1" s="1"/>
  <c r="K1586" i="1"/>
  <c r="L1586" i="1" s="1"/>
  <c r="N1586" i="1" s="1"/>
  <c r="K1587" i="1"/>
  <c r="L1587" i="1" s="1"/>
  <c r="N1587" i="1" s="1"/>
  <c r="K1588" i="1"/>
  <c r="L1588" i="1" s="1"/>
  <c r="N1588" i="1" s="1"/>
  <c r="K1589" i="1"/>
  <c r="L1589" i="1" s="1"/>
  <c r="N1589" i="1" s="1"/>
  <c r="K1590" i="1"/>
  <c r="L1590" i="1" s="1"/>
  <c r="N1590" i="1" s="1"/>
  <c r="K1591" i="1"/>
  <c r="L1591" i="1" s="1"/>
  <c r="N1591" i="1" s="1"/>
  <c r="K1592" i="1"/>
  <c r="L1592" i="1" s="1"/>
  <c r="N1592" i="1" s="1"/>
  <c r="K1593" i="1"/>
  <c r="L1593" i="1" s="1"/>
  <c r="N1593" i="1" s="1"/>
  <c r="K1594" i="1"/>
  <c r="L1594" i="1" s="1"/>
  <c r="N1594" i="1" s="1"/>
  <c r="K1595" i="1"/>
  <c r="L1595" i="1" s="1"/>
  <c r="N1595" i="1" s="1"/>
  <c r="K1596" i="1"/>
  <c r="L1596" i="1" s="1"/>
  <c r="N1596" i="1" s="1"/>
  <c r="K1597" i="1"/>
  <c r="L1597" i="1" s="1"/>
  <c r="N1597" i="1" s="1"/>
  <c r="K1598" i="1"/>
  <c r="L1598" i="1" s="1"/>
  <c r="N1598" i="1" s="1"/>
  <c r="K1599" i="1"/>
  <c r="L1599" i="1" s="1"/>
  <c r="N1599" i="1" s="1"/>
  <c r="K1600" i="1"/>
  <c r="L1600" i="1" s="1"/>
  <c r="N1600" i="1" s="1"/>
  <c r="K1601" i="1"/>
  <c r="L1601" i="1" s="1"/>
  <c r="N1601" i="1" s="1"/>
  <c r="K1602" i="1"/>
  <c r="L1602" i="1" s="1"/>
  <c r="N1602" i="1" s="1"/>
  <c r="K1603" i="1"/>
  <c r="L1603" i="1" s="1"/>
  <c r="N1603" i="1" s="1"/>
  <c r="K1604" i="1"/>
  <c r="L1604" i="1" s="1"/>
  <c r="N1604" i="1" s="1"/>
  <c r="K1605" i="1"/>
  <c r="L1605" i="1" s="1"/>
  <c r="N1605" i="1" s="1"/>
  <c r="K1606" i="1"/>
  <c r="L1606" i="1" s="1"/>
  <c r="N1606" i="1" s="1"/>
  <c r="K1607" i="1"/>
  <c r="L1607" i="1" s="1"/>
  <c r="N1607" i="1" s="1"/>
  <c r="K1608" i="1"/>
  <c r="L1608" i="1" s="1"/>
  <c r="N1608" i="1" s="1"/>
  <c r="K1609" i="1"/>
  <c r="L1609" i="1" s="1"/>
  <c r="N1609" i="1" s="1"/>
  <c r="K1610" i="1"/>
  <c r="L1610" i="1" s="1"/>
  <c r="N1610" i="1" s="1"/>
  <c r="K1611" i="1"/>
  <c r="L1611" i="1" s="1"/>
  <c r="N1611" i="1" s="1"/>
  <c r="K1612" i="1"/>
  <c r="L1612" i="1" s="1"/>
  <c r="N1612" i="1" s="1"/>
  <c r="K1613" i="1"/>
  <c r="L1613" i="1" s="1"/>
  <c r="N1613" i="1" s="1"/>
  <c r="K1614" i="1"/>
  <c r="L1614" i="1" s="1"/>
  <c r="N1614" i="1" s="1"/>
  <c r="K1615" i="1"/>
  <c r="L1615" i="1" s="1"/>
  <c r="N1615" i="1" s="1"/>
  <c r="K1616" i="1"/>
  <c r="L1616" i="1" s="1"/>
  <c r="N1616" i="1" s="1"/>
  <c r="K1617" i="1"/>
  <c r="L1617" i="1" s="1"/>
  <c r="N1617" i="1" s="1"/>
  <c r="K1618" i="1"/>
  <c r="L1618" i="1" s="1"/>
  <c r="N1618" i="1" s="1"/>
  <c r="K1619" i="1"/>
  <c r="L1619" i="1" s="1"/>
  <c r="N1619" i="1" s="1"/>
  <c r="K1620" i="1"/>
  <c r="L1620" i="1" s="1"/>
  <c r="N1620" i="1" s="1"/>
  <c r="K1621" i="1"/>
  <c r="L1621" i="1" s="1"/>
  <c r="N1621" i="1" s="1"/>
  <c r="K1622" i="1"/>
  <c r="L1622" i="1" s="1"/>
  <c r="N1622" i="1" s="1"/>
  <c r="K1623" i="1"/>
  <c r="L1623" i="1" s="1"/>
  <c r="N1623" i="1" s="1"/>
  <c r="K1624" i="1"/>
  <c r="L1624" i="1" s="1"/>
  <c r="N1624" i="1" s="1"/>
  <c r="K1625" i="1"/>
  <c r="L1625" i="1" s="1"/>
  <c r="N1625" i="1" s="1"/>
  <c r="K1626" i="1"/>
  <c r="L1626" i="1" s="1"/>
  <c r="N1626" i="1" s="1"/>
  <c r="K1627" i="1"/>
  <c r="L1627" i="1" s="1"/>
  <c r="N1627" i="1" s="1"/>
  <c r="K1628" i="1"/>
  <c r="L1628" i="1" s="1"/>
  <c r="N1628" i="1" s="1"/>
  <c r="K1629" i="1"/>
  <c r="L1629" i="1" s="1"/>
  <c r="N1629" i="1" s="1"/>
  <c r="K1630" i="1"/>
  <c r="L1630" i="1" s="1"/>
  <c r="N1630" i="1" s="1"/>
  <c r="K1631" i="1"/>
  <c r="L1631" i="1" s="1"/>
  <c r="N1631" i="1" s="1"/>
  <c r="K1632" i="1"/>
  <c r="L1632" i="1" s="1"/>
  <c r="N1632" i="1" s="1"/>
  <c r="K1633" i="1"/>
  <c r="L1633" i="1" s="1"/>
  <c r="N1633" i="1" s="1"/>
  <c r="K1634" i="1"/>
  <c r="L1634" i="1" s="1"/>
  <c r="N1634" i="1" s="1"/>
  <c r="K1635" i="1"/>
  <c r="L1635" i="1" s="1"/>
  <c r="N1635" i="1" s="1"/>
  <c r="K1636" i="1"/>
  <c r="L1636" i="1" s="1"/>
  <c r="N1636" i="1" s="1"/>
  <c r="K1637" i="1"/>
  <c r="L1637" i="1" s="1"/>
  <c r="N1637" i="1" s="1"/>
  <c r="K1638" i="1"/>
  <c r="L1638" i="1" s="1"/>
  <c r="N1638" i="1" s="1"/>
  <c r="K1639" i="1"/>
  <c r="L1639" i="1" s="1"/>
  <c r="N1639" i="1" s="1"/>
  <c r="K1640" i="1"/>
  <c r="L1640" i="1" s="1"/>
  <c r="N1640" i="1" s="1"/>
  <c r="K1641" i="1"/>
  <c r="L1641" i="1" s="1"/>
  <c r="N1641" i="1" s="1"/>
  <c r="K1642" i="1"/>
  <c r="L1642" i="1" s="1"/>
  <c r="N1642" i="1" s="1"/>
  <c r="K1643" i="1"/>
  <c r="L1643" i="1" s="1"/>
  <c r="N1643" i="1" s="1"/>
  <c r="K1644" i="1"/>
  <c r="L1644" i="1" s="1"/>
  <c r="N1644" i="1" s="1"/>
  <c r="K1645" i="1"/>
  <c r="L1645" i="1" s="1"/>
  <c r="N1645" i="1" s="1"/>
  <c r="K1646" i="1"/>
  <c r="L1646" i="1" s="1"/>
  <c r="N1646" i="1" s="1"/>
  <c r="K1647" i="1"/>
  <c r="L1647" i="1" s="1"/>
  <c r="N1647" i="1" s="1"/>
  <c r="K1648" i="1"/>
  <c r="L1648" i="1" s="1"/>
  <c r="N1648" i="1" s="1"/>
  <c r="K1649" i="1"/>
  <c r="L1649" i="1" s="1"/>
  <c r="N1649" i="1" s="1"/>
  <c r="K1650" i="1"/>
  <c r="L1650" i="1" s="1"/>
  <c r="N1650" i="1" s="1"/>
  <c r="K1651" i="1"/>
  <c r="L1651" i="1" s="1"/>
  <c r="N1651" i="1" s="1"/>
  <c r="K1652" i="1"/>
  <c r="L1652" i="1" s="1"/>
  <c r="N1652" i="1" s="1"/>
  <c r="K1653" i="1"/>
  <c r="L1653" i="1" s="1"/>
  <c r="N1653" i="1" s="1"/>
  <c r="K1654" i="1"/>
  <c r="L1654" i="1" s="1"/>
  <c r="N1654" i="1" s="1"/>
  <c r="K1655" i="1"/>
  <c r="L1655" i="1" s="1"/>
  <c r="N1655" i="1" s="1"/>
  <c r="K1656" i="1"/>
  <c r="L1656" i="1" s="1"/>
  <c r="N1656" i="1" s="1"/>
  <c r="K1657" i="1"/>
  <c r="L1657" i="1" s="1"/>
  <c r="N1657" i="1" s="1"/>
  <c r="K1658" i="1"/>
  <c r="L1658" i="1" s="1"/>
  <c r="N1658" i="1" s="1"/>
  <c r="K1659" i="1"/>
  <c r="L1659" i="1" s="1"/>
  <c r="N1659" i="1" s="1"/>
  <c r="K1660" i="1"/>
  <c r="L1660" i="1" s="1"/>
  <c r="N1660" i="1" s="1"/>
  <c r="K1661" i="1"/>
  <c r="L1661" i="1" s="1"/>
  <c r="N1661" i="1" s="1"/>
  <c r="K1662" i="1"/>
  <c r="L1662" i="1" s="1"/>
  <c r="N1662" i="1" s="1"/>
  <c r="K1663" i="1"/>
  <c r="L1663" i="1" s="1"/>
  <c r="N1663" i="1" s="1"/>
  <c r="K1664" i="1"/>
  <c r="L1664" i="1" s="1"/>
  <c r="N1664" i="1" s="1"/>
  <c r="K1665" i="1"/>
  <c r="L1665" i="1" s="1"/>
  <c r="N1665" i="1" s="1"/>
  <c r="K1666" i="1"/>
  <c r="L1666" i="1" s="1"/>
  <c r="N1666" i="1" s="1"/>
  <c r="K1667" i="1"/>
  <c r="L1667" i="1" s="1"/>
  <c r="N1667" i="1" s="1"/>
  <c r="K1668" i="1"/>
  <c r="L1668" i="1" s="1"/>
  <c r="N1668" i="1" s="1"/>
  <c r="K1669" i="1"/>
  <c r="L1669" i="1" s="1"/>
  <c r="N1669" i="1" s="1"/>
  <c r="K1670" i="1"/>
  <c r="L1670" i="1" s="1"/>
  <c r="N1670" i="1" s="1"/>
  <c r="K1671" i="1"/>
  <c r="L1671" i="1" s="1"/>
  <c r="N1671" i="1" s="1"/>
  <c r="K1672" i="1"/>
  <c r="L1672" i="1" s="1"/>
  <c r="N1672" i="1" s="1"/>
  <c r="K1673" i="1"/>
  <c r="L1673" i="1" s="1"/>
  <c r="N1673" i="1" s="1"/>
  <c r="K1674" i="1"/>
  <c r="L1674" i="1" s="1"/>
  <c r="N1674" i="1" s="1"/>
  <c r="K1675" i="1"/>
  <c r="L1675" i="1" s="1"/>
  <c r="N1675" i="1" s="1"/>
  <c r="K1676" i="1"/>
  <c r="L1676" i="1" s="1"/>
  <c r="N1676" i="1" s="1"/>
  <c r="K1677" i="1"/>
  <c r="L1677" i="1" s="1"/>
  <c r="N1677" i="1" s="1"/>
  <c r="K1678" i="1"/>
  <c r="L1678" i="1" s="1"/>
  <c r="N1678" i="1" s="1"/>
  <c r="K1679" i="1"/>
  <c r="L1679" i="1" s="1"/>
  <c r="N1679" i="1" s="1"/>
  <c r="K1680" i="1"/>
  <c r="L1680" i="1" s="1"/>
  <c r="N1680" i="1" s="1"/>
  <c r="K1681" i="1"/>
  <c r="L1681" i="1" s="1"/>
  <c r="N1681" i="1" s="1"/>
  <c r="K1682" i="1"/>
  <c r="L1682" i="1" s="1"/>
  <c r="N1682" i="1" s="1"/>
  <c r="K1683" i="1"/>
  <c r="L1683" i="1" s="1"/>
  <c r="N1683" i="1" s="1"/>
  <c r="K1684" i="1"/>
  <c r="L1684" i="1" s="1"/>
  <c r="N1684" i="1" s="1"/>
  <c r="K1685" i="1"/>
  <c r="L1685" i="1" s="1"/>
  <c r="N1685" i="1" s="1"/>
  <c r="K1686" i="1"/>
  <c r="L1686" i="1" s="1"/>
  <c r="N1686" i="1" s="1"/>
  <c r="K1687" i="1"/>
  <c r="L1687" i="1" s="1"/>
  <c r="N1687" i="1" s="1"/>
  <c r="K1688" i="1"/>
  <c r="L1688" i="1" s="1"/>
  <c r="N1688" i="1" s="1"/>
  <c r="K1689" i="1"/>
  <c r="L1689" i="1" s="1"/>
  <c r="N1689" i="1" s="1"/>
  <c r="K1690" i="1"/>
  <c r="L1690" i="1" s="1"/>
  <c r="N1690" i="1" s="1"/>
  <c r="K1691" i="1"/>
  <c r="L1691" i="1" s="1"/>
  <c r="N1691" i="1" s="1"/>
  <c r="K1692" i="1"/>
  <c r="L1692" i="1" s="1"/>
  <c r="N1692" i="1" s="1"/>
  <c r="K1693" i="1"/>
  <c r="L1693" i="1" s="1"/>
  <c r="N1693" i="1" s="1"/>
  <c r="K1694" i="1"/>
  <c r="L1694" i="1" s="1"/>
  <c r="N1694" i="1" s="1"/>
  <c r="K1695" i="1"/>
  <c r="L1695" i="1" s="1"/>
  <c r="N1695" i="1" s="1"/>
  <c r="K1696" i="1"/>
  <c r="L1696" i="1" s="1"/>
  <c r="N1696" i="1" s="1"/>
  <c r="K1697" i="1"/>
  <c r="L1697" i="1" s="1"/>
  <c r="N1697" i="1" s="1"/>
  <c r="K1698" i="1"/>
  <c r="L1698" i="1" s="1"/>
  <c r="N1698" i="1" s="1"/>
  <c r="K1699" i="1"/>
  <c r="L1699" i="1" s="1"/>
  <c r="N1699" i="1" s="1"/>
  <c r="K1700" i="1"/>
  <c r="L1700" i="1" s="1"/>
  <c r="N1700" i="1" s="1"/>
  <c r="K1701" i="1"/>
  <c r="L1701" i="1" s="1"/>
  <c r="N1701" i="1" s="1"/>
  <c r="K1702" i="1"/>
  <c r="L1702" i="1" s="1"/>
  <c r="N1702" i="1" s="1"/>
  <c r="K1703" i="1"/>
  <c r="L1703" i="1" s="1"/>
  <c r="N1703" i="1" s="1"/>
  <c r="K1704" i="1"/>
  <c r="L1704" i="1" s="1"/>
  <c r="N1704" i="1" s="1"/>
  <c r="K1705" i="1"/>
  <c r="L1705" i="1" s="1"/>
  <c r="N1705" i="1" s="1"/>
  <c r="K1706" i="1"/>
  <c r="L1706" i="1" s="1"/>
  <c r="N1706" i="1" s="1"/>
  <c r="K1707" i="1"/>
  <c r="L1707" i="1" s="1"/>
  <c r="N1707" i="1" s="1"/>
  <c r="K1708" i="1"/>
  <c r="L1708" i="1" s="1"/>
  <c r="N1708" i="1" s="1"/>
  <c r="K1709" i="1"/>
  <c r="L1709" i="1" s="1"/>
  <c r="N1709" i="1" s="1"/>
  <c r="K1710" i="1"/>
  <c r="L1710" i="1" s="1"/>
  <c r="N1710" i="1" s="1"/>
  <c r="K1711" i="1"/>
  <c r="L1711" i="1" s="1"/>
  <c r="N1711" i="1" s="1"/>
  <c r="K1712" i="1"/>
  <c r="L1712" i="1" s="1"/>
  <c r="N1712" i="1" s="1"/>
  <c r="K1713" i="1"/>
  <c r="L1713" i="1" s="1"/>
  <c r="N1713" i="1" s="1"/>
  <c r="K1714" i="1"/>
  <c r="L1714" i="1" s="1"/>
  <c r="N1714" i="1" s="1"/>
  <c r="K1715" i="1"/>
  <c r="L1715" i="1" s="1"/>
  <c r="N1715" i="1" s="1"/>
  <c r="K1716" i="1"/>
  <c r="L1716" i="1" s="1"/>
  <c r="N1716" i="1" s="1"/>
  <c r="K1717" i="1"/>
  <c r="L1717" i="1" s="1"/>
  <c r="N1717" i="1" s="1"/>
  <c r="K1718" i="1"/>
  <c r="L1718" i="1" s="1"/>
  <c r="N1718" i="1" s="1"/>
  <c r="K1719" i="1"/>
  <c r="L1719" i="1" s="1"/>
  <c r="N1719" i="1" s="1"/>
  <c r="K1720" i="1"/>
  <c r="L1720" i="1" s="1"/>
  <c r="N1720" i="1" s="1"/>
  <c r="K1721" i="1"/>
  <c r="L1721" i="1" s="1"/>
  <c r="N1721" i="1" s="1"/>
  <c r="K1722" i="1"/>
  <c r="L1722" i="1" s="1"/>
  <c r="N1722" i="1" s="1"/>
  <c r="K1723" i="1"/>
  <c r="L1723" i="1" s="1"/>
  <c r="N1723" i="1" s="1"/>
  <c r="K1724" i="1"/>
  <c r="L1724" i="1" s="1"/>
  <c r="N1724" i="1" s="1"/>
  <c r="K1725" i="1"/>
  <c r="L1725" i="1" s="1"/>
  <c r="N1725" i="1" s="1"/>
  <c r="K1726" i="1"/>
  <c r="L1726" i="1" s="1"/>
  <c r="N1726" i="1" s="1"/>
  <c r="K1727" i="1"/>
  <c r="L1727" i="1" s="1"/>
  <c r="N1727" i="1" s="1"/>
  <c r="K1728" i="1"/>
  <c r="L1728" i="1" s="1"/>
  <c r="N1728" i="1" s="1"/>
  <c r="K1729" i="1"/>
  <c r="L1729" i="1" s="1"/>
  <c r="N1729" i="1" s="1"/>
  <c r="K1730" i="1"/>
  <c r="L1730" i="1" s="1"/>
  <c r="N1730" i="1" s="1"/>
  <c r="K1731" i="1"/>
  <c r="L1731" i="1" s="1"/>
  <c r="N1731" i="1" s="1"/>
  <c r="K1732" i="1"/>
  <c r="L1732" i="1" s="1"/>
  <c r="N1732" i="1" s="1"/>
  <c r="K1733" i="1"/>
  <c r="L1733" i="1" s="1"/>
  <c r="N1733" i="1" s="1"/>
  <c r="K1734" i="1"/>
  <c r="L1734" i="1" s="1"/>
  <c r="N1734" i="1" s="1"/>
  <c r="K1735" i="1"/>
  <c r="L1735" i="1" s="1"/>
  <c r="N1735" i="1" s="1"/>
  <c r="K1736" i="1"/>
  <c r="L1736" i="1" s="1"/>
  <c r="N1736" i="1" s="1"/>
  <c r="K1737" i="1"/>
  <c r="L1737" i="1" s="1"/>
  <c r="N1737" i="1" s="1"/>
  <c r="K1738" i="1"/>
  <c r="L1738" i="1" s="1"/>
  <c r="N1738" i="1" s="1"/>
  <c r="K1739" i="1"/>
  <c r="L1739" i="1" s="1"/>
  <c r="N1739" i="1" s="1"/>
  <c r="K1740" i="1"/>
  <c r="L1740" i="1" s="1"/>
  <c r="N1740" i="1" s="1"/>
  <c r="K1741" i="1"/>
  <c r="L1741" i="1" s="1"/>
  <c r="N1741" i="1" s="1"/>
  <c r="K1742" i="1"/>
  <c r="L1742" i="1" s="1"/>
  <c r="N1742" i="1" s="1"/>
  <c r="K1743" i="1"/>
  <c r="L1743" i="1" s="1"/>
  <c r="N1743" i="1" s="1"/>
  <c r="K1744" i="1"/>
  <c r="L1744" i="1" s="1"/>
  <c r="N1744" i="1" s="1"/>
  <c r="K1745" i="1"/>
  <c r="L1745" i="1" s="1"/>
  <c r="N1745" i="1" s="1"/>
  <c r="K1746" i="1"/>
  <c r="L1746" i="1" s="1"/>
  <c r="N1746" i="1" s="1"/>
  <c r="K1747" i="1"/>
  <c r="L1747" i="1" s="1"/>
  <c r="N1747" i="1" s="1"/>
  <c r="K1748" i="1"/>
  <c r="L1748" i="1" s="1"/>
  <c r="N1748" i="1" s="1"/>
  <c r="K1749" i="1"/>
  <c r="L1749" i="1" s="1"/>
  <c r="N1749" i="1" s="1"/>
  <c r="K1750" i="1"/>
  <c r="L1750" i="1" s="1"/>
  <c r="N1750" i="1" s="1"/>
  <c r="K1751" i="1"/>
  <c r="L1751" i="1" s="1"/>
  <c r="N1751" i="1" s="1"/>
  <c r="K1752" i="1"/>
  <c r="L1752" i="1" s="1"/>
  <c r="N1752" i="1" s="1"/>
  <c r="K1753" i="1"/>
  <c r="L1753" i="1" s="1"/>
  <c r="N1753" i="1" s="1"/>
  <c r="K1754" i="1"/>
  <c r="L1754" i="1" s="1"/>
  <c r="N1754" i="1" s="1"/>
  <c r="K1755" i="1"/>
  <c r="L1755" i="1" s="1"/>
  <c r="N1755" i="1" s="1"/>
  <c r="K1756" i="1"/>
  <c r="L1756" i="1" s="1"/>
  <c r="N1756" i="1" s="1"/>
  <c r="K1757" i="1"/>
  <c r="L1757" i="1" s="1"/>
  <c r="N1757" i="1" s="1"/>
  <c r="K1758" i="1"/>
  <c r="L1758" i="1" s="1"/>
  <c r="N1758" i="1" s="1"/>
  <c r="K1759" i="1"/>
  <c r="L1759" i="1" s="1"/>
  <c r="N1759" i="1" s="1"/>
  <c r="K1760" i="1"/>
  <c r="L1760" i="1" s="1"/>
  <c r="N1760" i="1" s="1"/>
  <c r="K1761" i="1"/>
  <c r="L1761" i="1" s="1"/>
  <c r="N1761" i="1" s="1"/>
  <c r="K1762" i="1"/>
  <c r="L1762" i="1" s="1"/>
  <c r="N1762" i="1" s="1"/>
  <c r="K1763" i="1"/>
  <c r="L1763" i="1" s="1"/>
  <c r="N1763" i="1" s="1"/>
  <c r="K1764" i="1"/>
  <c r="L1764" i="1" s="1"/>
  <c r="N1764" i="1" s="1"/>
  <c r="K1765" i="1"/>
  <c r="L1765" i="1" s="1"/>
  <c r="N1765" i="1" s="1"/>
  <c r="K1766" i="1"/>
  <c r="L1766" i="1" s="1"/>
  <c r="N1766" i="1" s="1"/>
  <c r="K1767" i="1"/>
  <c r="L1767" i="1" s="1"/>
  <c r="N1767" i="1" s="1"/>
  <c r="K1768" i="1"/>
  <c r="L1768" i="1" s="1"/>
  <c r="N1768" i="1" s="1"/>
  <c r="K1769" i="1"/>
  <c r="L1769" i="1" s="1"/>
  <c r="N1769" i="1" s="1"/>
  <c r="K1770" i="1"/>
  <c r="L1770" i="1" s="1"/>
  <c r="N1770" i="1" s="1"/>
  <c r="K1771" i="1"/>
  <c r="L1771" i="1" s="1"/>
  <c r="N1771" i="1" s="1"/>
  <c r="K1772" i="1"/>
  <c r="L1772" i="1" s="1"/>
  <c r="N1772" i="1" s="1"/>
  <c r="K1773" i="1"/>
  <c r="L1773" i="1" s="1"/>
  <c r="N1773" i="1" s="1"/>
  <c r="K1774" i="1"/>
  <c r="L1774" i="1" s="1"/>
  <c r="N1774" i="1" s="1"/>
  <c r="K1775" i="1"/>
  <c r="L1775" i="1" s="1"/>
  <c r="N1775" i="1" s="1"/>
  <c r="K1776" i="1"/>
  <c r="L1776" i="1" s="1"/>
  <c r="N1776" i="1" s="1"/>
  <c r="K1777" i="1"/>
  <c r="L1777" i="1" s="1"/>
  <c r="N1777" i="1" s="1"/>
  <c r="K1778" i="1"/>
  <c r="L1778" i="1" s="1"/>
  <c r="N1778" i="1" s="1"/>
  <c r="K1779" i="1"/>
  <c r="L1779" i="1" s="1"/>
  <c r="N1779" i="1" s="1"/>
  <c r="K1780" i="1"/>
  <c r="L1780" i="1" s="1"/>
  <c r="N1780" i="1" s="1"/>
  <c r="K1781" i="1"/>
  <c r="L1781" i="1" s="1"/>
  <c r="N1781" i="1" s="1"/>
  <c r="K1782" i="1"/>
  <c r="L1782" i="1" s="1"/>
  <c r="N1782" i="1" s="1"/>
  <c r="K1783" i="1"/>
  <c r="L1783" i="1" s="1"/>
  <c r="N1783" i="1" s="1"/>
  <c r="K1784" i="1"/>
  <c r="L1784" i="1" s="1"/>
  <c r="N1784" i="1" s="1"/>
  <c r="K1785" i="1"/>
  <c r="L1785" i="1" s="1"/>
  <c r="N1785" i="1" s="1"/>
  <c r="K1786" i="1"/>
  <c r="L1786" i="1" s="1"/>
  <c r="N1786" i="1" s="1"/>
  <c r="K1787" i="1"/>
  <c r="L1787" i="1" s="1"/>
  <c r="N1787" i="1" s="1"/>
  <c r="K1788" i="1"/>
  <c r="L1788" i="1" s="1"/>
  <c r="N1788" i="1" s="1"/>
  <c r="K1789" i="1"/>
  <c r="L1789" i="1" s="1"/>
  <c r="N1789" i="1" s="1"/>
  <c r="K1790" i="1"/>
  <c r="L1790" i="1" s="1"/>
  <c r="N1790" i="1" s="1"/>
  <c r="K1791" i="1"/>
  <c r="L1791" i="1" s="1"/>
  <c r="N1791" i="1" s="1"/>
  <c r="K1792" i="1"/>
  <c r="L1792" i="1" s="1"/>
  <c r="N1792" i="1" s="1"/>
  <c r="K1793" i="1"/>
  <c r="L1793" i="1" s="1"/>
  <c r="N1793" i="1" s="1"/>
  <c r="K1794" i="1"/>
  <c r="L1794" i="1" s="1"/>
  <c r="N1794" i="1" s="1"/>
  <c r="K1795" i="1"/>
  <c r="L1795" i="1" s="1"/>
  <c r="N1795" i="1" s="1"/>
  <c r="K1796" i="1"/>
  <c r="L1796" i="1" s="1"/>
  <c r="N1796" i="1" s="1"/>
  <c r="K1797" i="1"/>
  <c r="L1797" i="1" s="1"/>
  <c r="N1797" i="1" s="1"/>
  <c r="K1798" i="1"/>
  <c r="L1798" i="1" s="1"/>
  <c r="N1798" i="1" s="1"/>
  <c r="K1799" i="1"/>
  <c r="L1799" i="1" s="1"/>
  <c r="N1799" i="1" s="1"/>
  <c r="K1800" i="1"/>
  <c r="L1800" i="1" s="1"/>
  <c r="N1800" i="1" s="1"/>
  <c r="K1801" i="1"/>
  <c r="L1801" i="1" s="1"/>
  <c r="N1801" i="1" s="1"/>
  <c r="K1802" i="1"/>
  <c r="L1802" i="1" s="1"/>
  <c r="N1802" i="1" s="1"/>
  <c r="K1803" i="1"/>
  <c r="L1803" i="1" s="1"/>
  <c r="N1803" i="1" s="1"/>
  <c r="K1804" i="1"/>
  <c r="L1804" i="1" s="1"/>
  <c r="N1804" i="1" s="1"/>
  <c r="K1805" i="1"/>
  <c r="L1805" i="1" s="1"/>
  <c r="N1805" i="1" s="1"/>
  <c r="K1806" i="1"/>
  <c r="L1806" i="1" s="1"/>
  <c r="N1806" i="1" s="1"/>
  <c r="K1807" i="1"/>
  <c r="L1807" i="1" s="1"/>
  <c r="N1807" i="1" s="1"/>
  <c r="K1808" i="1"/>
  <c r="L1808" i="1" s="1"/>
  <c r="N1808" i="1" s="1"/>
  <c r="K1809" i="1"/>
  <c r="L1809" i="1" s="1"/>
  <c r="N1809" i="1" s="1"/>
  <c r="K1810" i="1"/>
  <c r="L1810" i="1" s="1"/>
  <c r="N1810" i="1" s="1"/>
  <c r="K1811" i="1"/>
  <c r="L1811" i="1" s="1"/>
  <c r="N1811" i="1" s="1"/>
  <c r="K1812" i="1"/>
  <c r="L1812" i="1" s="1"/>
  <c r="N1812" i="1" s="1"/>
  <c r="K1813" i="1"/>
  <c r="L1813" i="1" s="1"/>
  <c r="N1813" i="1" s="1"/>
  <c r="K1814" i="1"/>
  <c r="L1814" i="1" s="1"/>
  <c r="N1814" i="1" s="1"/>
  <c r="K1815" i="1"/>
  <c r="L1815" i="1" s="1"/>
  <c r="N1815" i="1" s="1"/>
  <c r="K1816" i="1"/>
  <c r="L1816" i="1" s="1"/>
  <c r="N1816" i="1" s="1"/>
  <c r="K1817" i="1"/>
  <c r="L1817" i="1" s="1"/>
  <c r="N1817" i="1" s="1"/>
  <c r="K1818" i="1"/>
  <c r="L1818" i="1" s="1"/>
  <c r="N1818" i="1" s="1"/>
  <c r="K1819" i="1"/>
  <c r="L1819" i="1" s="1"/>
  <c r="N1819" i="1" s="1"/>
  <c r="K1820" i="1"/>
  <c r="L1820" i="1" s="1"/>
  <c r="N1820" i="1" s="1"/>
  <c r="K1821" i="1"/>
  <c r="L1821" i="1" s="1"/>
  <c r="N1821" i="1" s="1"/>
  <c r="K1822" i="1"/>
  <c r="L1822" i="1" s="1"/>
  <c r="N1822" i="1" s="1"/>
  <c r="K1823" i="1"/>
  <c r="L1823" i="1" s="1"/>
  <c r="N1823" i="1" s="1"/>
  <c r="K1824" i="1"/>
  <c r="L1824" i="1" s="1"/>
  <c r="N1824" i="1" s="1"/>
  <c r="K1825" i="1"/>
  <c r="L1825" i="1" s="1"/>
  <c r="N1825" i="1" s="1"/>
  <c r="K1826" i="1"/>
  <c r="L1826" i="1" s="1"/>
  <c r="N1826" i="1" s="1"/>
  <c r="K1827" i="1"/>
  <c r="L1827" i="1" s="1"/>
  <c r="N1827" i="1" s="1"/>
  <c r="K1828" i="1"/>
  <c r="L1828" i="1" s="1"/>
  <c r="N1828" i="1" s="1"/>
  <c r="K1829" i="1"/>
  <c r="L1829" i="1" s="1"/>
  <c r="N1829" i="1" s="1"/>
  <c r="K1830" i="1"/>
  <c r="L1830" i="1" s="1"/>
  <c r="N1830" i="1" s="1"/>
  <c r="K1831" i="1"/>
  <c r="L1831" i="1" s="1"/>
  <c r="N1831" i="1" s="1"/>
  <c r="K1832" i="1"/>
  <c r="L1832" i="1" s="1"/>
  <c r="N1832" i="1" s="1"/>
  <c r="K1833" i="1"/>
  <c r="L1833" i="1" s="1"/>
  <c r="N1833" i="1" s="1"/>
  <c r="K1834" i="1"/>
  <c r="L1834" i="1" s="1"/>
  <c r="N1834" i="1" s="1"/>
  <c r="K1835" i="1"/>
  <c r="L1835" i="1" s="1"/>
  <c r="N1835" i="1" s="1"/>
  <c r="K1836" i="1"/>
  <c r="L1836" i="1" s="1"/>
  <c r="N1836" i="1" s="1"/>
  <c r="K1837" i="1"/>
  <c r="L1837" i="1" s="1"/>
  <c r="N1837" i="1" s="1"/>
  <c r="K1838" i="1"/>
  <c r="L1838" i="1" s="1"/>
  <c r="N1838" i="1" s="1"/>
  <c r="K1839" i="1"/>
  <c r="L1839" i="1" s="1"/>
  <c r="N1839" i="1" s="1"/>
  <c r="K1840" i="1"/>
  <c r="L1840" i="1" s="1"/>
  <c r="N1840" i="1" s="1"/>
  <c r="K1841" i="1"/>
  <c r="L1841" i="1" s="1"/>
  <c r="N1841" i="1" s="1"/>
  <c r="K1842" i="1"/>
  <c r="L1842" i="1" s="1"/>
  <c r="N1842" i="1" s="1"/>
  <c r="K1843" i="1"/>
  <c r="L1843" i="1" s="1"/>
  <c r="N1843" i="1" s="1"/>
  <c r="K1844" i="1"/>
  <c r="L1844" i="1" s="1"/>
  <c r="N1844" i="1" s="1"/>
  <c r="K1845" i="1"/>
  <c r="L1845" i="1" s="1"/>
  <c r="N1845" i="1" s="1"/>
  <c r="K1846" i="1"/>
  <c r="L1846" i="1" s="1"/>
  <c r="N1846" i="1" s="1"/>
  <c r="K1847" i="1"/>
  <c r="L1847" i="1" s="1"/>
  <c r="N1847" i="1" s="1"/>
  <c r="K1848" i="1"/>
  <c r="L1848" i="1" s="1"/>
  <c r="N1848" i="1" s="1"/>
  <c r="K1849" i="1"/>
  <c r="L1849" i="1" s="1"/>
  <c r="N1849" i="1" s="1"/>
  <c r="K1850" i="1"/>
  <c r="L1850" i="1" s="1"/>
  <c r="N1850" i="1" s="1"/>
  <c r="K1851" i="1"/>
  <c r="L1851" i="1" s="1"/>
  <c r="N1851" i="1" s="1"/>
  <c r="K1852" i="1"/>
  <c r="L1852" i="1" s="1"/>
  <c r="N1852" i="1" s="1"/>
  <c r="K1853" i="1"/>
  <c r="L1853" i="1" s="1"/>
  <c r="N1853" i="1" s="1"/>
  <c r="K1854" i="1"/>
  <c r="L1854" i="1" s="1"/>
  <c r="N1854" i="1" s="1"/>
  <c r="K1855" i="1"/>
  <c r="L1855" i="1" s="1"/>
  <c r="N1855" i="1" s="1"/>
  <c r="K1856" i="1"/>
  <c r="L1856" i="1" s="1"/>
  <c r="N1856" i="1" s="1"/>
  <c r="K1857" i="1"/>
  <c r="L1857" i="1" s="1"/>
  <c r="N1857" i="1" s="1"/>
  <c r="K1858" i="1"/>
  <c r="L1858" i="1" s="1"/>
  <c r="N1858" i="1" s="1"/>
  <c r="K1859" i="1"/>
  <c r="L1859" i="1" s="1"/>
  <c r="N1859" i="1" s="1"/>
  <c r="K1860" i="1"/>
  <c r="L1860" i="1" s="1"/>
  <c r="N1860" i="1" s="1"/>
  <c r="K1861" i="1"/>
  <c r="L1861" i="1" s="1"/>
  <c r="N1861" i="1" s="1"/>
  <c r="K1862" i="1"/>
  <c r="L1862" i="1" s="1"/>
  <c r="N1862" i="1" s="1"/>
  <c r="K1863" i="1"/>
  <c r="L1863" i="1" s="1"/>
  <c r="N1863" i="1" s="1"/>
  <c r="K1864" i="1"/>
  <c r="L1864" i="1" s="1"/>
  <c r="N1864" i="1" s="1"/>
  <c r="K1865" i="1"/>
  <c r="L1865" i="1" s="1"/>
  <c r="N1865" i="1" s="1"/>
  <c r="K1866" i="1"/>
  <c r="L1866" i="1" s="1"/>
  <c r="N1866" i="1" s="1"/>
  <c r="K1867" i="1"/>
  <c r="L1867" i="1" s="1"/>
  <c r="N1867" i="1" s="1"/>
  <c r="K1868" i="1"/>
  <c r="L1868" i="1" s="1"/>
  <c r="N1868" i="1" s="1"/>
  <c r="K1869" i="1"/>
  <c r="L1869" i="1" s="1"/>
  <c r="N1869" i="1" s="1"/>
  <c r="K1870" i="1"/>
  <c r="L1870" i="1" s="1"/>
  <c r="N1870" i="1" s="1"/>
  <c r="K1871" i="1"/>
  <c r="L1871" i="1" s="1"/>
  <c r="N1871" i="1" s="1"/>
  <c r="K1872" i="1"/>
  <c r="L1872" i="1" s="1"/>
  <c r="N1872" i="1" s="1"/>
  <c r="K1873" i="1"/>
  <c r="L1873" i="1" s="1"/>
  <c r="N1873" i="1" s="1"/>
  <c r="K1874" i="1"/>
  <c r="L1874" i="1" s="1"/>
  <c r="N1874" i="1" s="1"/>
  <c r="K1875" i="1"/>
  <c r="L1875" i="1" s="1"/>
  <c r="N1875" i="1" s="1"/>
  <c r="K1876" i="1"/>
  <c r="L1876" i="1" s="1"/>
  <c r="N1876" i="1" s="1"/>
  <c r="K1877" i="1"/>
  <c r="L1877" i="1" s="1"/>
  <c r="N1877" i="1" s="1"/>
  <c r="K1878" i="1"/>
  <c r="L1878" i="1" s="1"/>
  <c r="N1878" i="1" s="1"/>
  <c r="K1879" i="1"/>
  <c r="L1879" i="1" s="1"/>
  <c r="N1879" i="1" s="1"/>
  <c r="K1880" i="1"/>
  <c r="L1880" i="1" s="1"/>
  <c r="N1880" i="1" s="1"/>
  <c r="K1881" i="1"/>
  <c r="L1881" i="1" s="1"/>
  <c r="N1881" i="1" s="1"/>
  <c r="K1882" i="1"/>
  <c r="L1882" i="1" s="1"/>
  <c r="N1882" i="1" s="1"/>
  <c r="K1883" i="1"/>
  <c r="L1883" i="1" s="1"/>
  <c r="N1883" i="1" s="1"/>
  <c r="K1884" i="1"/>
  <c r="L1884" i="1" s="1"/>
  <c r="N1884" i="1" s="1"/>
  <c r="K1885" i="1"/>
  <c r="L1885" i="1" s="1"/>
  <c r="N1885" i="1" s="1"/>
  <c r="K1886" i="1"/>
  <c r="L1886" i="1" s="1"/>
  <c r="N1886" i="1" s="1"/>
  <c r="K1887" i="1"/>
  <c r="L1887" i="1" s="1"/>
  <c r="N1887" i="1" s="1"/>
  <c r="K1888" i="1"/>
  <c r="L1888" i="1" s="1"/>
  <c r="N1888" i="1" s="1"/>
  <c r="K1889" i="1"/>
  <c r="L1889" i="1" s="1"/>
  <c r="N1889" i="1" s="1"/>
  <c r="K1890" i="1"/>
  <c r="L1890" i="1" s="1"/>
  <c r="N1890" i="1" s="1"/>
  <c r="K1891" i="1"/>
  <c r="L1891" i="1" s="1"/>
  <c r="N1891" i="1" s="1"/>
  <c r="K1892" i="1"/>
  <c r="L1892" i="1" s="1"/>
  <c r="N1892" i="1" s="1"/>
  <c r="K1893" i="1"/>
  <c r="L1893" i="1" s="1"/>
  <c r="N1893" i="1" s="1"/>
  <c r="K1894" i="1"/>
  <c r="L1894" i="1" s="1"/>
  <c r="N1894" i="1" s="1"/>
  <c r="K1895" i="1"/>
  <c r="L1895" i="1" s="1"/>
  <c r="N1895" i="1" s="1"/>
  <c r="K1896" i="1"/>
  <c r="L1896" i="1" s="1"/>
  <c r="N1896" i="1" s="1"/>
  <c r="K1897" i="1"/>
  <c r="L1897" i="1" s="1"/>
  <c r="N1897" i="1" s="1"/>
  <c r="K1898" i="1"/>
  <c r="L1898" i="1" s="1"/>
  <c r="N1898" i="1" s="1"/>
  <c r="K1899" i="1"/>
  <c r="L1899" i="1" s="1"/>
  <c r="N1899" i="1" s="1"/>
  <c r="K1900" i="1"/>
  <c r="L1900" i="1" s="1"/>
  <c r="N1900" i="1" s="1"/>
  <c r="K1901" i="1"/>
  <c r="L1901" i="1" s="1"/>
  <c r="N1901" i="1" s="1"/>
  <c r="K1902" i="1"/>
  <c r="L1902" i="1" s="1"/>
  <c r="N1902" i="1" s="1"/>
  <c r="K1903" i="1"/>
  <c r="L1903" i="1" s="1"/>
  <c r="N1903" i="1" s="1"/>
  <c r="K1904" i="1"/>
  <c r="L1904" i="1" s="1"/>
  <c r="N1904" i="1" s="1"/>
  <c r="K1905" i="1"/>
  <c r="L1905" i="1" s="1"/>
  <c r="N1905" i="1" s="1"/>
  <c r="K1906" i="1"/>
  <c r="L1906" i="1" s="1"/>
  <c r="N1906" i="1" s="1"/>
  <c r="K1907" i="1"/>
  <c r="L1907" i="1" s="1"/>
  <c r="N1907" i="1" s="1"/>
  <c r="K1908" i="1"/>
  <c r="L1908" i="1" s="1"/>
  <c r="N1908" i="1" s="1"/>
  <c r="K1909" i="1"/>
  <c r="L1909" i="1" s="1"/>
  <c r="N1909" i="1" s="1"/>
  <c r="K1910" i="1"/>
  <c r="L1910" i="1" s="1"/>
  <c r="N1910" i="1" s="1"/>
  <c r="K1911" i="1"/>
  <c r="L1911" i="1" s="1"/>
  <c r="N1911" i="1" s="1"/>
  <c r="K1912" i="1"/>
  <c r="L1912" i="1" s="1"/>
  <c r="N1912" i="1" s="1"/>
  <c r="K1913" i="1"/>
  <c r="L1913" i="1" s="1"/>
  <c r="N1913" i="1" s="1"/>
  <c r="K1914" i="1"/>
  <c r="L1914" i="1" s="1"/>
  <c r="N1914" i="1" s="1"/>
  <c r="K1915" i="1"/>
  <c r="L1915" i="1" s="1"/>
  <c r="N1915" i="1" s="1"/>
  <c r="K1916" i="1"/>
  <c r="L1916" i="1" s="1"/>
  <c r="N1916" i="1" s="1"/>
  <c r="K1917" i="1"/>
  <c r="L1917" i="1" s="1"/>
  <c r="N1917" i="1" s="1"/>
  <c r="K1918" i="1"/>
  <c r="L1918" i="1" s="1"/>
  <c r="N1918" i="1" s="1"/>
  <c r="K1919" i="1"/>
  <c r="L1919" i="1" s="1"/>
  <c r="N1919" i="1" s="1"/>
  <c r="K1920" i="1"/>
  <c r="L1920" i="1" s="1"/>
  <c r="N1920" i="1" s="1"/>
  <c r="K1921" i="1"/>
  <c r="L1921" i="1" s="1"/>
  <c r="N1921" i="1" s="1"/>
  <c r="K1922" i="1"/>
  <c r="L1922" i="1" s="1"/>
  <c r="N1922" i="1" s="1"/>
  <c r="K1923" i="1"/>
  <c r="L1923" i="1" s="1"/>
  <c r="N1923" i="1" s="1"/>
  <c r="K1924" i="1"/>
  <c r="L1924" i="1" s="1"/>
  <c r="N1924" i="1" s="1"/>
  <c r="K1925" i="1"/>
  <c r="L1925" i="1" s="1"/>
  <c r="N1925" i="1" s="1"/>
  <c r="K1926" i="1"/>
  <c r="L1926" i="1" s="1"/>
  <c r="N1926" i="1" s="1"/>
  <c r="K1927" i="1"/>
  <c r="L1927" i="1" s="1"/>
  <c r="N1927" i="1" s="1"/>
  <c r="K1928" i="1"/>
  <c r="L1928" i="1" s="1"/>
  <c r="N1928" i="1" s="1"/>
  <c r="K1929" i="1"/>
  <c r="L1929" i="1" s="1"/>
  <c r="N1929" i="1" s="1"/>
  <c r="K1930" i="1"/>
  <c r="L1930" i="1" s="1"/>
  <c r="N1930" i="1" s="1"/>
  <c r="K1931" i="1"/>
  <c r="L1931" i="1" s="1"/>
  <c r="N1931" i="1" s="1"/>
  <c r="K1932" i="1"/>
  <c r="L1932" i="1" s="1"/>
  <c r="N1932" i="1" s="1"/>
  <c r="K1933" i="1"/>
  <c r="L1933" i="1" s="1"/>
  <c r="N1933" i="1" s="1"/>
  <c r="K1934" i="1"/>
  <c r="L1934" i="1" s="1"/>
  <c r="N1934" i="1" s="1"/>
  <c r="K1935" i="1"/>
  <c r="L1935" i="1" s="1"/>
  <c r="N1935" i="1" s="1"/>
  <c r="K1936" i="1"/>
  <c r="L1936" i="1" s="1"/>
  <c r="N1936" i="1" s="1"/>
  <c r="K1937" i="1"/>
  <c r="L1937" i="1" s="1"/>
  <c r="N1937" i="1" s="1"/>
  <c r="K1938" i="1"/>
  <c r="L1938" i="1" s="1"/>
  <c r="N1938" i="1" s="1"/>
  <c r="K1939" i="1"/>
  <c r="L1939" i="1" s="1"/>
  <c r="N1939" i="1" s="1"/>
  <c r="K1940" i="1"/>
  <c r="L1940" i="1" s="1"/>
  <c r="N1940" i="1" s="1"/>
  <c r="K1941" i="1"/>
  <c r="L1941" i="1" s="1"/>
  <c r="N1941" i="1" s="1"/>
  <c r="K1942" i="1"/>
  <c r="L1942" i="1" s="1"/>
  <c r="N1942" i="1" s="1"/>
  <c r="K1943" i="1"/>
  <c r="L1943" i="1" s="1"/>
  <c r="N1943" i="1" s="1"/>
  <c r="K1944" i="1"/>
  <c r="L1944" i="1" s="1"/>
  <c r="N1944" i="1" s="1"/>
  <c r="K1945" i="1"/>
  <c r="L1945" i="1" s="1"/>
  <c r="N1945" i="1" s="1"/>
  <c r="K1946" i="1"/>
  <c r="L1946" i="1" s="1"/>
  <c r="N1946" i="1" s="1"/>
  <c r="K1947" i="1"/>
  <c r="L1947" i="1" s="1"/>
  <c r="N1947" i="1" s="1"/>
  <c r="K1948" i="1"/>
  <c r="L1948" i="1" s="1"/>
  <c r="N1948" i="1" s="1"/>
  <c r="K1949" i="1"/>
  <c r="L1949" i="1" s="1"/>
  <c r="N1949" i="1" s="1"/>
  <c r="K1950" i="1"/>
  <c r="L1950" i="1" s="1"/>
  <c r="N1950" i="1" s="1"/>
  <c r="K1951" i="1"/>
  <c r="L1951" i="1" s="1"/>
  <c r="N1951" i="1" s="1"/>
  <c r="K1952" i="1"/>
  <c r="L1952" i="1" s="1"/>
  <c r="N1952" i="1" s="1"/>
  <c r="K1953" i="1"/>
  <c r="L1953" i="1" s="1"/>
  <c r="N1953" i="1" s="1"/>
  <c r="K1954" i="1"/>
  <c r="L1954" i="1" s="1"/>
  <c r="N1954" i="1" s="1"/>
  <c r="K1955" i="1"/>
  <c r="L1955" i="1" s="1"/>
  <c r="N1955" i="1" s="1"/>
  <c r="K1956" i="1"/>
  <c r="L1956" i="1" s="1"/>
  <c r="N1956" i="1" s="1"/>
  <c r="K1957" i="1"/>
  <c r="L1957" i="1" s="1"/>
  <c r="N1957" i="1" s="1"/>
  <c r="K1958" i="1"/>
  <c r="L1958" i="1" s="1"/>
  <c r="N1958" i="1" s="1"/>
  <c r="K1959" i="1"/>
  <c r="L1959" i="1" s="1"/>
  <c r="N1959" i="1" s="1"/>
  <c r="K1960" i="1"/>
  <c r="L1960" i="1" s="1"/>
  <c r="N1960" i="1" s="1"/>
  <c r="K1961" i="1"/>
  <c r="L1961" i="1" s="1"/>
  <c r="N1961" i="1" s="1"/>
  <c r="K1962" i="1"/>
  <c r="L1962" i="1" s="1"/>
  <c r="N1962" i="1" s="1"/>
  <c r="K1963" i="1"/>
  <c r="L1963" i="1" s="1"/>
  <c r="N1963" i="1" s="1"/>
  <c r="K1964" i="1"/>
  <c r="L1964" i="1" s="1"/>
  <c r="N1964" i="1" s="1"/>
  <c r="K1965" i="1"/>
  <c r="L1965" i="1" s="1"/>
  <c r="N1965" i="1" s="1"/>
  <c r="K1966" i="1"/>
  <c r="L1966" i="1" s="1"/>
  <c r="N1966" i="1" s="1"/>
  <c r="K1967" i="1"/>
  <c r="L1967" i="1" s="1"/>
  <c r="N1967" i="1" s="1"/>
  <c r="K1968" i="1"/>
  <c r="L1968" i="1" s="1"/>
  <c r="N1968" i="1" s="1"/>
  <c r="K1969" i="1"/>
  <c r="L1969" i="1" s="1"/>
  <c r="N1969" i="1" s="1"/>
  <c r="K1970" i="1"/>
  <c r="L1970" i="1" s="1"/>
  <c r="N1970" i="1" s="1"/>
  <c r="K1971" i="1"/>
  <c r="L1971" i="1" s="1"/>
  <c r="N1971" i="1" s="1"/>
  <c r="K1972" i="1"/>
  <c r="L1972" i="1" s="1"/>
  <c r="N1972" i="1" s="1"/>
  <c r="K1973" i="1"/>
  <c r="L1973" i="1" s="1"/>
  <c r="N1973" i="1" s="1"/>
  <c r="K1974" i="1"/>
  <c r="L1974" i="1" s="1"/>
  <c r="N1974" i="1" s="1"/>
  <c r="K1975" i="1"/>
  <c r="L1975" i="1" s="1"/>
  <c r="N1975" i="1" s="1"/>
  <c r="K1976" i="1"/>
  <c r="L1976" i="1" s="1"/>
  <c r="N1976" i="1" s="1"/>
  <c r="K1977" i="1"/>
  <c r="L1977" i="1" s="1"/>
  <c r="N1977" i="1" s="1"/>
  <c r="K1978" i="1"/>
  <c r="L1978" i="1" s="1"/>
  <c r="N1978" i="1" s="1"/>
  <c r="K1979" i="1"/>
  <c r="L1979" i="1" s="1"/>
  <c r="N1979" i="1" s="1"/>
  <c r="K1980" i="1"/>
  <c r="L1980" i="1" s="1"/>
  <c r="N1980" i="1" s="1"/>
  <c r="K1981" i="1"/>
  <c r="L1981" i="1" s="1"/>
  <c r="N1981" i="1" s="1"/>
  <c r="K1982" i="1"/>
  <c r="L1982" i="1" s="1"/>
  <c r="N1982" i="1" s="1"/>
  <c r="K1983" i="1"/>
  <c r="L1983" i="1" s="1"/>
  <c r="N1983" i="1" s="1"/>
  <c r="K1984" i="1"/>
  <c r="L1984" i="1" s="1"/>
  <c r="N1984" i="1" s="1"/>
  <c r="K1985" i="1"/>
  <c r="L1985" i="1" s="1"/>
  <c r="N1985" i="1" s="1"/>
  <c r="K1986" i="1"/>
  <c r="L1986" i="1" s="1"/>
  <c r="N1986" i="1" s="1"/>
  <c r="K1987" i="1"/>
  <c r="L1987" i="1" s="1"/>
  <c r="N1987" i="1" s="1"/>
  <c r="K1988" i="1"/>
  <c r="L1988" i="1" s="1"/>
  <c r="N1988" i="1" s="1"/>
  <c r="K1989" i="1"/>
  <c r="L1989" i="1" s="1"/>
  <c r="N1989" i="1" s="1"/>
  <c r="K1990" i="1"/>
  <c r="L1990" i="1" s="1"/>
  <c r="N1990" i="1" s="1"/>
  <c r="K1991" i="1"/>
  <c r="L1991" i="1" s="1"/>
  <c r="N1991" i="1" s="1"/>
  <c r="K1992" i="1"/>
  <c r="L1992" i="1" s="1"/>
  <c r="N1992" i="1" s="1"/>
  <c r="K1993" i="1"/>
  <c r="L1993" i="1" s="1"/>
  <c r="N1993" i="1" s="1"/>
  <c r="K1994" i="1"/>
  <c r="L1994" i="1" s="1"/>
  <c r="N1994" i="1" s="1"/>
  <c r="K1995" i="1"/>
  <c r="L1995" i="1" s="1"/>
  <c r="N1995" i="1" s="1"/>
  <c r="K1996" i="1"/>
  <c r="L1996" i="1" s="1"/>
  <c r="N1996" i="1" s="1"/>
  <c r="K1997" i="1"/>
  <c r="L1997" i="1" s="1"/>
  <c r="N1997" i="1" s="1"/>
  <c r="K1998" i="1"/>
  <c r="L1998" i="1" s="1"/>
  <c r="N1998" i="1" s="1"/>
  <c r="K1999" i="1"/>
  <c r="L1999" i="1" s="1"/>
  <c r="N1999" i="1" s="1"/>
  <c r="K2000" i="1"/>
  <c r="L2000" i="1" s="1"/>
  <c r="N2000" i="1" s="1"/>
  <c r="K2001" i="1"/>
  <c r="L2001" i="1" s="1"/>
  <c r="N2001" i="1" s="1"/>
  <c r="K2002" i="1"/>
  <c r="L2002" i="1" s="1"/>
  <c r="N2002" i="1" s="1"/>
  <c r="K2003" i="1"/>
  <c r="L2003" i="1" s="1"/>
  <c r="N2003" i="1" s="1"/>
  <c r="K2004" i="1"/>
  <c r="L2004" i="1" s="1"/>
  <c r="N2004" i="1" s="1"/>
  <c r="K2005" i="1"/>
  <c r="L2005" i="1" s="1"/>
  <c r="N2005" i="1" s="1"/>
  <c r="K2006" i="1"/>
  <c r="L2006" i="1" s="1"/>
  <c r="N2006" i="1" s="1"/>
  <c r="K2007" i="1"/>
  <c r="L2007" i="1" s="1"/>
  <c r="N2007" i="1" s="1"/>
  <c r="K2008" i="1"/>
  <c r="L2008" i="1" s="1"/>
  <c r="N2008" i="1" s="1"/>
  <c r="K2009" i="1"/>
  <c r="L2009" i="1" s="1"/>
  <c r="N2009" i="1" s="1"/>
  <c r="K2010" i="1"/>
  <c r="L2010" i="1" s="1"/>
  <c r="N2010" i="1" s="1"/>
  <c r="K2011" i="1"/>
  <c r="L2011" i="1" s="1"/>
  <c r="N2011" i="1" s="1"/>
  <c r="K2012" i="1"/>
  <c r="L2012" i="1" s="1"/>
  <c r="N2012" i="1" s="1"/>
  <c r="K2013" i="1"/>
  <c r="L2013" i="1" s="1"/>
  <c r="N2013" i="1" s="1"/>
  <c r="K2014" i="1"/>
  <c r="L2014" i="1" s="1"/>
  <c r="N2014" i="1" s="1"/>
  <c r="K2015" i="1"/>
  <c r="L2015" i="1" s="1"/>
  <c r="N2015" i="1" s="1"/>
  <c r="K2016" i="1"/>
  <c r="L2016" i="1" s="1"/>
  <c r="N2016" i="1" s="1"/>
  <c r="K2017" i="1"/>
  <c r="L2017" i="1" s="1"/>
  <c r="N2017" i="1" s="1"/>
  <c r="K2018" i="1"/>
  <c r="L2018" i="1" s="1"/>
  <c r="N2018" i="1" s="1"/>
  <c r="K2019" i="1"/>
  <c r="L2019" i="1" s="1"/>
  <c r="N2019" i="1" s="1"/>
  <c r="K2020" i="1"/>
  <c r="L2020" i="1" s="1"/>
  <c r="N2020" i="1" s="1"/>
  <c r="K2021" i="1"/>
  <c r="L2021" i="1" s="1"/>
  <c r="N2021" i="1" s="1"/>
  <c r="K2022" i="1"/>
  <c r="L2022" i="1" s="1"/>
  <c r="N2022" i="1" s="1"/>
  <c r="K2023" i="1"/>
  <c r="L2023" i="1" s="1"/>
  <c r="N2023" i="1" s="1"/>
  <c r="K2024" i="1"/>
  <c r="L2024" i="1" s="1"/>
  <c r="N2024" i="1" s="1"/>
  <c r="K2025" i="1"/>
  <c r="L2025" i="1" s="1"/>
  <c r="N2025" i="1" s="1"/>
  <c r="K2026" i="1"/>
  <c r="L2026" i="1" s="1"/>
  <c r="N2026" i="1" s="1"/>
  <c r="K2027" i="1"/>
  <c r="L2027" i="1" s="1"/>
  <c r="N2027" i="1" s="1"/>
  <c r="K2028" i="1"/>
  <c r="L2028" i="1" s="1"/>
  <c r="N2028" i="1" s="1"/>
  <c r="K2029" i="1"/>
  <c r="L2029" i="1" s="1"/>
  <c r="N2029" i="1" s="1"/>
  <c r="K2030" i="1"/>
  <c r="L2030" i="1" s="1"/>
  <c r="N2030" i="1" s="1"/>
  <c r="K2031" i="1"/>
  <c r="L2031" i="1" s="1"/>
  <c r="N2031" i="1" s="1"/>
  <c r="K2032" i="1"/>
  <c r="L2032" i="1" s="1"/>
  <c r="N2032" i="1" s="1"/>
  <c r="K2033" i="1"/>
  <c r="L2033" i="1" s="1"/>
  <c r="N2033" i="1" s="1"/>
  <c r="K2034" i="1"/>
  <c r="L2034" i="1" s="1"/>
  <c r="N2034" i="1" s="1"/>
  <c r="K2035" i="1"/>
  <c r="L2035" i="1" s="1"/>
  <c r="N2035" i="1" s="1"/>
  <c r="K2036" i="1"/>
  <c r="L2036" i="1" s="1"/>
  <c r="N2036" i="1" s="1"/>
  <c r="K2037" i="1"/>
  <c r="L2037" i="1" s="1"/>
  <c r="N2037" i="1" s="1"/>
  <c r="K2038" i="1"/>
  <c r="L2038" i="1" s="1"/>
  <c r="N2038" i="1" s="1"/>
  <c r="K2039" i="1"/>
  <c r="L2039" i="1" s="1"/>
  <c r="N2039" i="1" s="1"/>
  <c r="K2040" i="1"/>
  <c r="L2040" i="1" s="1"/>
  <c r="N2040" i="1" s="1"/>
  <c r="K2041" i="1"/>
  <c r="L2041" i="1" s="1"/>
  <c r="N2041" i="1" s="1"/>
  <c r="K2042" i="1"/>
  <c r="L2042" i="1" s="1"/>
  <c r="N2042" i="1" s="1"/>
  <c r="K2043" i="1"/>
  <c r="L2043" i="1" s="1"/>
  <c r="N2043" i="1" s="1"/>
  <c r="K2044" i="1"/>
  <c r="L2044" i="1" s="1"/>
  <c r="N2044" i="1" s="1"/>
  <c r="K2045" i="1"/>
  <c r="L2045" i="1" s="1"/>
  <c r="N2045" i="1" s="1"/>
  <c r="K2046" i="1"/>
  <c r="L2046" i="1" s="1"/>
  <c r="N2046" i="1" s="1"/>
  <c r="K2047" i="1"/>
  <c r="L2047" i="1" s="1"/>
  <c r="N2047" i="1" s="1"/>
  <c r="K2048" i="1"/>
  <c r="L2048" i="1" s="1"/>
  <c r="N2048" i="1" s="1"/>
  <c r="K2049" i="1"/>
  <c r="L2049" i="1" s="1"/>
  <c r="N2049" i="1" s="1"/>
  <c r="K2050" i="1"/>
  <c r="L2050" i="1" s="1"/>
  <c r="N2050" i="1" s="1"/>
  <c r="K2051" i="1"/>
  <c r="L2051" i="1" s="1"/>
  <c r="N2051" i="1" s="1"/>
  <c r="K2052" i="1"/>
  <c r="L2052" i="1" s="1"/>
  <c r="N2052" i="1" s="1"/>
  <c r="K2053" i="1"/>
  <c r="L2053" i="1" s="1"/>
  <c r="N2053" i="1" s="1"/>
  <c r="K2054" i="1"/>
  <c r="L2054" i="1" s="1"/>
  <c r="N2054" i="1" s="1"/>
  <c r="K2055" i="1"/>
  <c r="L2055" i="1" s="1"/>
  <c r="N2055" i="1" s="1"/>
  <c r="K2056" i="1"/>
  <c r="L2056" i="1" s="1"/>
  <c r="N2056" i="1" s="1"/>
  <c r="K2057" i="1"/>
  <c r="L2057" i="1" s="1"/>
  <c r="N2057" i="1" s="1"/>
  <c r="K2058" i="1"/>
  <c r="L2058" i="1" s="1"/>
  <c r="N2058" i="1" s="1"/>
  <c r="K2059" i="1"/>
  <c r="L2059" i="1" s="1"/>
  <c r="N2059" i="1" s="1"/>
  <c r="K2060" i="1"/>
  <c r="L2060" i="1" s="1"/>
  <c r="N2060" i="1" s="1"/>
  <c r="K2061" i="1"/>
  <c r="L2061" i="1" s="1"/>
  <c r="N2061" i="1" s="1"/>
  <c r="K2062" i="1"/>
  <c r="L2062" i="1" s="1"/>
  <c r="N2062" i="1" s="1"/>
  <c r="K2063" i="1"/>
  <c r="L2063" i="1" s="1"/>
  <c r="N2063" i="1" s="1"/>
  <c r="K2064" i="1"/>
  <c r="L2064" i="1" s="1"/>
  <c r="N2064" i="1" s="1"/>
  <c r="K2065" i="1"/>
  <c r="L2065" i="1" s="1"/>
  <c r="N2065" i="1" s="1"/>
  <c r="K2066" i="1"/>
  <c r="L2066" i="1" s="1"/>
  <c r="N2066" i="1" s="1"/>
  <c r="K2067" i="1"/>
  <c r="L2067" i="1" s="1"/>
  <c r="N2067" i="1" s="1"/>
  <c r="K2068" i="1"/>
  <c r="L2068" i="1" s="1"/>
  <c r="N2068" i="1" s="1"/>
  <c r="K2069" i="1"/>
  <c r="L2069" i="1" s="1"/>
  <c r="N2069" i="1" s="1"/>
  <c r="K2070" i="1"/>
  <c r="L2070" i="1" s="1"/>
  <c r="N2070" i="1" s="1"/>
  <c r="K2071" i="1"/>
  <c r="L2071" i="1" s="1"/>
  <c r="N2071" i="1" s="1"/>
  <c r="K2072" i="1"/>
  <c r="L2072" i="1" s="1"/>
  <c r="N2072" i="1" s="1"/>
  <c r="K2073" i="1"/>
  <c r="L2073" i="1" s="1"/>
  <c r="N2073" i="1" s="1"/>
  <c r="K2074" i="1"/>
  <c r="L2074" i="1" s="1"/>
  <c r="N2074" i="1" s="1"/>
  <c r="K2075" i="1"/>
  <c r="L2075" i="1" s="1"/>
  <c r="N2075" i="1" s="1"/>
  <c r="K2076" i="1"/>
  <c r="L2076" i="1" s="1"/>
  <c r="N2076" i="1" s="1"/>
  <c r="K2077" i="1"/>
  <c r="L2077" i="1" s="1"/>
  <c r="N2077" i="1" s="1"/>
  <c r="K2078" i="1"/>
  <c r="L2078" i="1" s="1"/>
  <c r="N2078" i="1" s="1"/>
  <c r="K2079" i="1"/>
  <c r="L2079" i="1" s="1"/>
  <c r="N2079" i="1" s="1"/>
  <c r="K2080" i="1"/>
  <c r="L2080" i="1" s="1"/>
  <c r="N2080" i="1" s="1"/>
  <c r="K2081" i="1"/>
  <c r="L2081" i="1" s="1"/>
  <c r="N2081" i="1" s="1"/>
  <c r="K2082" i="1"/>
  <c r="L2082" i="1" s="1"/>
  <c r="N2082" i="1" s="1"/>
  <c r="K2083" i="1"/>
  <c r="L2083" i="1" s="1"/>
  <c r="N2083" i="1" s="1"/>
  <c r="K2084" i="1"/>
  <c r="L2084" i="1" s="1"/>
  <c r="N2084" i="1" s="1"/>
  <c r="K2085" i="1"/>
  <c r="L2085" i="1" s="1"/>
  <c r="N2085" i="1" s="1"/>
  <c r="K2086" i="1"/>
  <c r="L2086" i="1" s="1"/>
  <c r="N2086" i="1" s="1"/>
  <c r="K2087" i="1"/>
  <c r="L2087" i="1" s="1"/>
  <c r="N2087" i="1" s="1"/>
  <c r="K2088" i="1"/>
  <c r="L2088" i="1" s="1"/>
  <c r="N2088" i="1" s="1"/>
  <c r="K2089" i="1"/>
  <c r="L2089" i="1" s="1"/>
  <c r="N2089" i="1" s="1"/>
  <c r="K2090" i="1"/>
  <c r="L2090" i="1" s="1"/>
  <c r="N2090" i="1" s="1"/>
  <c r="K2091" i="1"/>
  <c r="L2091" i="1" s="1"/>
  <c r="N2091" i="1" s="1"/>
  <c r="K2092" i="1"/>
  <c r="L2092" i="1" s="1"/>
  <c r="N2092" i="1" s="1"/>
  <c r="K2093" i="1"/>
  <c r="L2093" i="1" s="1"/>
  <c r="N2093" i="1" s="1"/>
  <c r="K2094" i="1"/>
  <c r="L2094" i="1" s="1"/>
  <c r="N2094" i="1" s="1"/>
  <c r="K2095" i="1"/>
  <c r="L2095" i="1" s="1"/>
  <c r="N2095" i="1" s="1"/>
  <c r="K2096" i="1"/>
  <c r="L2096" i="1" s="1"/>
  <c r="N2096" i="1" s="1"/>
  <c r="K2097" i="1"/>
  <c r="L2097" i="1" s="1"/>
  <c r="N2097" i="1" s="1"/>
  <c r="K2098" i="1"/>
  <c r="L2098" i="1" s="1"/>
  <c r="N2098" i="1" s="1"/>
  <c r="K2099" i="1"/>
  <c r="L2099" i="1" s="1"/>
  <c r="N2099" i="1" s="1"/>
  <c r="K2100" i="1"/>
  <c r="L2100" i="1" s="1"/>
  <c r="N2100" i="1" s="1"/>
  <c r="K2101" i="1"/>
  <c r="L2101" i="1" s="1"/>
  <c r="N2101" i="1" s="1"/>
  <c r="K2102" i="1"/>
  <c r="L2102" i="1" s="1"/>
  <c r="N2102" i="1" s="1"/>
  <c r="K2103" i="1"/>
  <c r="L2103" i="1" s="1"/>
  <c r="N2103" i="1" s="1"/>
  <c r="K2104" i="1"/>
  <c r="L2104" i="1" s="1"/>
  <c r="N2104" i="1" s="1"/>
  <c r="K2105" i="1"/>
  <c r="L2105" i="1" s="1"/>
  <c r="N2105" i="1" s="1"/>
  <c r="K2106" i="1"/>
  <c r="L2106" i="1" s="1"/>
  <c r="N2106" i="1" s="1"/>
  <c r="K2107" i="1"/>
  <c r="L2107" i="1" s="1"/>
  <c r="N2107" i="1" s="1"/>
  <c r="K2108" i="1"/>
  <c r="L2108" i="1" s="1"/>
  <c r="N2108" i="1" s="1"/>
  <c r="K2109" i="1"/>
  <c r="L2109" i="1" s="1"/>
  <c r="N2109" i="1" s="1"/>
  <c r="K2110" i="1"/>
  <c r="L2110" i="1" s="1"/>
  <c r="N2110" i="1" s="1"/>
  <c r="K2111" i="1"/>
  <c r="L2111" i="1" s="1"/>
  <c r="N2111" i="1" s="1"/>
  <c r="K2112" i="1"/>
  <c r="L2112" i="1" s="1"/>
  <c r="N2112" i="1" s="1"/>
  <c r="K2113" i="1"/>
  <c r="L2113" i="1" s="1"/>
  <c r="N2113" i="1" s="1"/>
  <c r="K2114" i="1"/>
  <c r="L2114" i="1" s="1"/>
  <c r="N2114" i="1" s="1"/>
  <c r="K2115" i="1"/>
  <c r="L2115" i="1" s="1"/>
  <c r="N2115" i="1" s="1"/>
  <c r="K2116" i="1"/>
  <c r="L2116" i="1" s="1"/>
  <c r="N2116" i="1" s="1"/>
  <c r="K2117" i="1"/>
  <c r="L2117" i="1" s="1"/>
  <c r="N2117" i="1" s="1"/>
  <c r="K2118" i="1"/>
  <c r="L2118" i="1" s="1"/>
  <c r="N2118" i="1" s="1"/>
  <c r="K2119" i="1"/>
  <c r="L2119" i="1" s="1"/>
  <c r="N2119" i="1" s="1"/>
  <c r="K2120" i="1"/>
  <c r="L2120" i="1" s="1"/>
  <c r="N2120" i="1" s="1"/>
  <c r="K2121" i="1"/>
  <c r="L2121" i="1" s="1"/>
  <c r="N2121" i="1" s="1"/>
  <c r="K2122" i="1"/>
  <c r="L2122" i="1" s="1"/>
  <c r="N2122" i="1" s="1"/>
  <c r="K2123" i="1"/>
  <c r="L2123" i="1" s="1"/>
  <c r="N2123" i="1" s="1"/>
  <c r="K2124" i="1"/>
  <c r="L2124" i="1" s="1"/>
  <c r="N2124" i="1" s="1"/>
  <c r="K2125" i="1"/>
  <c r="L2125" i="1" s="1"/>
  <c r="N2125" i="1" s="1"/>
  <c r="K2126" i="1"/>
  <c r="L2126" i="1" s="1"/>
  <c r="N2126" i="1" s="1"/>
  <c r="K2127" i="1"/>
  <c r="L2127" i="1" s="1"/>
  <c r="N2127" i="1" s="1"/>
  <c r="K2128" i="1"/>
  <c r="L2128" i="1" s="1"/>
  <c r="N2128" i="1" s="1"/>
  <c r="K2129" i="1"/>
  <c r="L2129" i="1" s="1"/>
  <c r="N2129" i="1" s="1"/>
  <c r="K2130" i="1"/>
  <c r="L2130" i="1" s="1"/>
  <c r="N2130" i="1" s="1"/>
  <c r="K2131" i="1"/>
  <c r="L2131" i="1" s="1"/>
  <c r="N2131" i="1" s="1"/>
  <c r="K2132" i="1"/>
  <c r="L2132" i="1" s="1"/>
  <c r="N2132" i="1" s="1"/>
  <c r="K2133" i="1"/>
  <c r="L2133" i="1" s="1"/>
  <c r="N2133" i="1" s="1"/>
  <c r="K2134" i="1"/>
  <c r="L2134" i="1" s="1"/>
  <c r="N2134" i="1" s="1"/>
  <c r="K2135" i="1"/>
  <c r="L2135" i="1" s="1"/>
  <c r="N2135" i="1" s="1"/>
  <c r="K2136" i="1"/>
  <c r="L2136" i="1" s="1"/>
  <c r="N2136" i="1" s="1"/>
  <c r="K2137" i="1"/>
  <c r="L2137" i="1" s="1"/>
  <c r="N2137" i="1" s="1"/>
  <c r="K2138" i="1"/>
  <c r="L2138" i="1" s="1"/>
  <c r="N2138" i="1" s="1"/>
  <c r="K2139" i="1"/>
  <c r="L2139" i="1" s="1"/>
  <c r="N2139" i="1" s="1"/>
  <c r="K2140" i="1"/>
  <c r="L2140" i="1" s="1"/>
  <c r="N2140" i="1" s="1"/>
  <c r="K2141" i="1"/>
  <c r="L2141" i="1" s="1"/>
  <c r="N2141" i="1" s="1"/>
  <c r="K2142" i="1"/>
  <c r="L2142" i="1" s="1"/>
  <c r="N2142" i="1" s="1"/>
  <c r="K2143" i="1"/>
  <c r="L2143" i="1" s="1"/>
  <c r="N2143" i="1" s="1"/>
  <c r="K2144" i="1"/>
  <c r="L2144" i="1" s="1"/>
  <c r="N2144" i="1" s="1"/>
  <c r="K2145" i="1"/>
  <c r="L2145" i="1" s="1"/>
  <c r="N2145" i="1" s="1"/>
  <c r="K2146" i="1"/>
  <c r="L2146" i="1" s="1"/>
  <c r="N2146" i="1" s="1"/>
  <c r="K2147" i="1"/>
  <c r="L2147" i="1" s="1"/>
  <c r="N2147" i="1" s="1"/>
  <c r="K2148" i="1"/>
  <c r="L2148" i="1" s="1"/>
  <c r="N2148" i="1" s="1"/>
  <c r="K2149" i="1"/>
  <c r="L2149" i="1" s="1"/>
  <c r="N2149" i="1" s="1"/>
  <c r="K2150" i="1"/>
  <c r="L2150" i="1" s="1"/>
  <c r="N2150" i="1" s="1"/>
  <c r="K2151" i="1"/>
  <c r="L2151" i="1" s="1"/>
  <c r="N2151" i="1" s="1"/>
  <c r="K2152" i="1"/>
  <c r="L2152" i="1" s="1"/>
  <c r="N2152" i="1" s="1"/>
  <c r="K2153" i="1"/>
  <c r="L2153" i="1" s="1"/>
  <c r="N2153" i="1" s="1"/>
  <c r="K2154" i="1"/>
  <c r="L2154" i="1" s="1"/>
  <c r="N2154" i="1" s="1"/>
  <c r="K2155" i="1"/>
  <c r="L2155" i="1" s="1"/>
  <c r="N2155" i="1" s="1"/>
  <c r="K2156" i="1"/>
  <c r="L2156" i="1" s="1"/>
  <c r="N2156" i="1" s="1"/>
  <c r="K2157" i="1"/>
  <c r="L2157" i="1" s="1"/>
  <c r="N2157" i="1" s="1"/>
  <c r="K2158" i="1"/>
  <c r="L2158" i="1" s="1"/>
  <c r="N2158" i="1" s="1"/>
  <c r="K2159" i="1"/>
  <c r="L2159" i="1" s="1"/>
  <c r="N2159" i="1" s="1"/>
  <c r="K2160" i="1"/>
  <c r="L2160" i="1" s="1"/>
  <c r="N2160" i="1" s="1"/>
  <c r="K2161" i="1"/>
  <c r="L2161" i="1" s="1"/>
  <c r="N2161" i="1" s="1"/>
  <c r="K2162" i="1"/>
  <c r="L2162" i="1" s="1"/>
  <c r="N2162" i="1" s="1"/>
  <c r="K2163" i="1"/>
  <c r="L2163" i="1" s="1"/>
  <c r="N2163" i="1" s="1"/>
  <c r="K2164" i="1"/>
  <c r="L2164" i="1" s="1"/>
  <c r="N2164" i="1" s="1"/>
  <c r="K2165" i="1"/>
  <c r="L2165" i="1" s="1"/>
  <c r="N2165" i="1" s="1"/>
  <c r="K2166" i="1"/>
  <c r="L2166" i="1" s="1"/>
  <c r="N2166" i="1" s="1"/>
  <c r="K2167" i="1"/>
  <c r="L2167" i="1" s="1"/>
  <c r="N2167" i="1" s="1"/>
  <c r="K2168" i="1"/>
  <c r="L2168" i="1" s="1"/>
  <c r="N2168" i="1" s="1"/>
  <c r="K2169" i="1"/>
  <c r="L2169" i="1" s="1"/>
  <c r="N2169" i="1" s="1"/>
  <c r="K2170" i="1"/>
  <c r="L2170" i="1" s="1"/>
  <c r="N2170" i="1" s="1"/>
  <c r="K2171" i="1"/>
  <c r="L2171" i="1" s="1"/>
  <c r="N2171" i="1" s="1"/>
  <c r="K2172" i="1"/>
  <c r="L2172" i="1" s="1"/>
  <c r="N2172" i="1" s="1"/>
  <c r="K2173" i="1"/>
  <c r="L2173" i="1" s="1"/>
  <c r="N2173" i="1" s="1"/>
  <c r="K2174" i="1"/>
  <c r="L2174" i="1" s="1"/>
  <c r="N2174" i="1" s="1"/>
  <c r="K2175" i="1"/>
  <c r="L2175" i="1" s="1"/>
  <c r="N2175" i="1" s="1"/>
  <c r="K2176" i="1"/>
  <c r="L2176" i="1" s="1"/>
  <c r="N2176" i="1" s="1"/>
  <c r="K2177" i="1"/>
  <c r="L2177" i="1" s="1"/>
  <c r="N2177" i="1" s="1"/>
  <c r="K2178" i="1"/>
  <c r="L2178" i="1" s="1"/>
  <c r="N2178" i="1" s="1"/>
  <c r="K2179" i="1"/>
  <c r="L2179" i="1" s="1"/>
  <c r="N2179" i="1" s="1"/>
  <c r="K2180" i="1"/>
  <c r="L2180" i="1" s="1"/>
  <c r="N2180" i="1" s="1"/>
  <c r="K2181" i="1"/>
  <c r="L2181" i="1" s="1"/>
  <c r="N2181" i="1" s="1"/>
  <c r="K2182" i="1"/>
  <c r="L2182" i="1" s="1"/>
  <c r="N2182" i="1" s="1"/>
  <c r="K2183" i="1"/>
  <c r="L2183" i="1" s="1"/>
  <c r="N2183" i="1" s="1"/>
  <c r="K2184" i="1"/>
  <c r="L2184" i="1" s="1"/>
  <c r="N2184" i="1" s="1"/>
  <c r="K2185" i="1"/>
  <c r="L2185" i="1" s="1"/>
  <c r="N2185" i="1" s="1"/>
  <c r="K2186" i="1"/>
  <c r="L2186" i="1" s="1"/>
  <c r="N2186" i="1" s="1"/>
  <c r="K2187" i="1"/>
  <c r="L2187" i="1" s="1"/>
  <c r="N2187" i="1" s="1"/>
  <c r="K2188" i="1"/>
  <c r="L2188" i="1" s="1"/>
  <c r="N2188" i="1" s="1"/>
  <c r="K2189" i="1"/>
  <c r="L2189" i="1" s="1"/>
  <c r="N2189" i="1" s="1"/>
  <c r="K2190" i="1"/>
  <c r="L2190" i="1" s="1"/>
  <c r="N2190" i="1" s="1"/>
  <c r="K2191" i="1"/>
  <c r="L2191" i="1" s="1"/>
  <c r="N2191" i="1" s="1"/>
  <c r="K2192" i="1"/>
  <c r="L2192" i="1" s="1"/>
  <c r="N2192" i="1" s="1"/>
  <c r="K2193" i="1"/>
  <c r="L2193" i="1" s="1"/>
  <c r="N2193" i="1" s="1"/>
  <c r="K2194" i="1"/>
  <c r="L2194" i="1" s="1"/>
  <c r="N2194" i="1" s="1"/>
  <c r="K2195" i="1"/>
  <c r="L2195" i="1" s="1"/>
  <c r="N2195" i="1" s="1"/>
  <c r="K2196" i="1"/>
  <c r="L2196" i="1" s="1"/>
  <c r="N2196" i="1" s="1"/>
  <c r="K2197" i="1"/>
  <c r="L2197" i="1" s="1"/>
  <c r="N2197" i="1" s="1"/>
  <c r="K2198" i="1"/>
  <c r="L2198" i="1" s="1"/>
  <c r="N2198" i="1" s="1"/>
  <c r="K2199" i="1"/>
  <c r="L2199" i="1" s="1"/>
  <c r="N2199" i="1" s="1"/>
  <c r="K2200" i="1"/>
  <c r="L2200" i="1" s="1"/>
  <c r="N2200" i="1" s="1"/>
  <c r="K2201" i="1"/>
  <c r="L2201" i="1" s="1"/>
  <c r="N2201" i="1" s="1"/>
  <c r="K2202" i="1"/>
  <c r="L2202" i="1" s="1"/>
  <c r="N2202" i="1" s="1"/>
  <c r="K2203" i="1"/>
  <c r="L2203" i="1" s="1"/>
  <c r="N2203" i="1" s="1"/>
  <c r="K2204" i="1"/>
  <c r="L2204" i="1" s="1"/>
  <c r="N2204" i="1" s="1"/>
  <c r="K2205" i="1"/>
  <c r="L2205" i="1" s="1"/>
  <c r="N2205" i="1" s="1"/>
  <c r="K2206" i="1"/>
  <c r="L2206" i="1" s="1"/>
  <c r="N2206" i="1" s="1"/>
  <c r="K2207" i="1"/>
  <c r="L2207" i="1" s="1"/>
  <c r="N2207" i="1" s="1"/>
  <c r="K2208" i="1"/>
  <c r="L2208" i="1" s="1"/>
  <c r="N2208" i="1" s="1"/>
  <c r="K2209" i="1"/>
  <c r="L2209" i="1" s="1"/>
  <c r="N2209" i="1" s="1"/>
  <c r="K2210" i="1"/>
  <c r="L2210" i="1" s="1"/>
  <c r="N2210" i="1" s="1"/>
  <c r="K2211" i="1"/>
  <c r="L2211" i="1" s="1"/>
  <c r="N2211" i="1" s="1"/>
  <c r="K2212" i="1"/>
  <c r="L2212" i="1" s="1"/>
  <c r="N2212" i="1" s="1"/>
  <c r="K2213" i="1"/>
  <c r="L2213" i="1" s="1"/>
  <c r="N2213" i="1" s="1"/>
  <c r="K2214" i="1"/>
  <c r="L2214" i="1" s="1"/>
  <c r="N2214" i="1" s="1"/>
  <c r="K2215" i="1"/>
  <c r="L2215" i="1" s="1"/>
  <c r="N2215" i="1" s="1"/>
  <c r="K2216" i="1"/>
  <c r="L2216" i="1" s="1"/>
  <c r="N2216" i="1" s="1"/>
  <c r="K2217" i="1"/>
  <c r="L2217" i="1" s="1"/>
  <c r="N2217" i="1" s="1"/>
  <c r="K2218" i="1"/>
  <c r="L2218" i="1" s="1"/>
  <c r="N2218" i="1" s="1"/>
  <c r="K2219" i="1"/>
  <c r="L2219" i="1" s="1"/>
  <c r="N2219" i="1" s="1"/>
  <c r="K2220" i="1"/>
  <c r="L2220" i="1" s="1"/>
  <c r="N2220" i="1" s="1"/>
  <c r="K2221" i="1"/>
  <c r="L2221" i="1" s="1"/>
  <c r="N2221" i="1" s="1"/>
  <c r="K2222" i="1"/>
  <c r="L2222" i="1" s="1"/>
  <c r="N2222" i="1" s="1"/>
  <c r="K2223" i="1"/>
  <c r="L2223" i="1" s="1"/>
  <c r="N2223" i="1" s="1"/>
  <c r="K2224" i="1"/>
  <c r="L2224" i="1" s="1"/>
  <c r="N2224" i="1" s="1"/>
  <c r="K2225" i="1"/>
  <c r="L2225" i="1" s="1"/>
  <c r="N2225" i="1" s="1"/>
  <c r="K2226" i="1"/>
  <c r="L2226" i="1" s="1"/>
  <c r="N2226" i="1" s="1"/>
  <c r="K2227" i="1"/>
  <c r="L2227" i="1" s="1"/>
  <c r="N2227" i="1" s="1"/>
  <c r="K2228" i="1"/>
  <c r="L2228" i="1" s="1"/>
  <c r="N2228" i="1" s="1"/>
  <c r="K2229" i="1"/>
  <c r="L2229" i="1" s="1"/>
  <c r="N2229" i="1" s="1"/>
  <c r="K2230" i="1"/>
  <c r="L2230" i="1" s="1"/>
  <c r="N2230" i="1" s="1"/>
  <c r="K2231" i="1"/>
  <c r="L2231" i="1" s="1"/>
  <c r="N2231" i="1" s="1"/>
  <c r="K2232" i="1"/>
  <c r="L2232" i="1" s="1"/>
  <c r="N2232" i="1" s="1"/>
  <c r="K2233" i="1"/>
  <c r="L2233" i="1" s="1"/>
  <c r="N2233" i="1" s="1"/>
  <c r="K2234" i="1"/>
  <c r="L2234" i="1" s="1"/>
  <c r="N2234" i="1" s="1"/>
  <c r="K2235" i="1"/>
  <c r="L2235" i="1" s="1"/>
  <c r="N2235" i="1" s="1"/>
  <c r="K2236" i="1"/>
  <c r="L2236" i="1" s="1"/>
  <c r="N2236" i="1" s="1"/>
  <c r="K2237" i="1"/>
  <c r="L2237" i="1" s="1"/>
  <c r="N2237" i="1" s="1"/>
  <c r="K2238" i="1"/>
  <c r="L2238" i="1" s="1"/>
  <c r="N2238" i="1" s="1"/>
  <c r="K2239" i="1"/>
  <c r="L2239" i="1" s="1"/>
  <c r="N2239" i="1" s="1"/>
  <c r="K2240" i="1"/>
  <c r="L2240" i="1" s="1"/>
  <c r="N2240" i="1" s="1"/>
  <c r="K2241" i="1"/>
  <c r="L2241" i="1" s="1"/>
  <c r="N2241" i="1" s="1"/>
  <c r="K2242" i="1"/>
  <c r="L2242" i="1" s="1"/>
  <c r="N2242" i="1" s="1"/>
  <c r="K2243" i="1"/>
  <c r="L2243" i="1" s="1"/>
  <c r="N2243" i="1" s="1"/>
  <c r="K2244" i="1"/>
  <c r="L2244" i="1" s="1"/>
  <c r="N2244" i="1" s="1"/>
  <c r="K2245" i="1"/>
  <c r="L2245" i="1" s="1"/>
  <c r="N2245" i="1" s="1"/>
  <c r="K2246" i="1"/>
  <c r="L2246" i="1" s="1"/>
  <c r="N2246" i="1" s="1"/>
  <c r="K2247" i="1"/>
  <c r="L2247" i="1" s="1"/>
  <c r="N2247" i="1" s="1"/>
  <c r="K2248" i="1"/>
  <c r="L2248" i="1" s="1"/>
  <c r="N2248" i="1" s="1"/>
  <c r="K2249" i="1"/>
  <c r="L2249" i="1" s="1"/>
  <c r="N2249" i="1" s="1"/>
  <c r="K2250" i="1"/>
  <c r="L2250" i="1" s="1"/>
  <c r="N2250" i="1" s="1"/>
  <c r="K2251" i="1"/>
  <c r="L2251" i="1" s="1"/>
  <c r="N2251" i="1" s="1"/>
  <c r="K2252" i="1"/>
  <c r="L2252" i="1" s="1"/>
  <c r="N2252" i="1" s="1"/>
  <c r="K2253" i="1"/>
  <c r="L2253" i="1" s="1"/>
  <c r="N2253" i="1" s="1"/>
  <c r="K2254" i="1"/>
  <c r="L2254" i="1" s="1"/>
  <c r="N2254" i="1" s="1"/>
  <c r="K2255" i="1"/>
  <c r="L2255" i="1" s="1"/>
  <c r="N2255" i="1" s="1"/>
  <c r="K2256" i="1"/>
  <c r="L2256" i="1" s="1"/>
  <c r="N2256" i="1" s="1"/>
  <c r="K2257" i="1"/>
  <c r="L2257" i="1" s="1"/>
  <c r="N2257" i="1" s="1"/>
  <c r="K2258" i="1"/>
  <c r="L2258" i="1" s="1"/>
  <c r="N2258" i="1" s="1"/>
  <c r="K2259" i="1"/>
  <c r="L2259" i="1" s="1"/>
  <c r="N2259" i="1" s="1"/>
  <c r="K2260" i="1"/>
  <c r="L2260" i="1" s="1"/>
  <c r="N2260" i="1" s="1"/>
  <c r="K2261" i="1"/>
  <c r="L2261" i="1" s="1"/>
  <c r="N2261" i="1" s="1"/>
  <c r="K2262" i="1"/>
  <c r="L2262" i="1" s="1"/>
  <c r="N2262" i="1" s="1"/>
  <c r="K2263" i="1"/>
  <c r="L2263" i="1" s="1"/>
  <c r="N2263" i="1" s="1"/>
  <c r="K2264" i="1"/>
  <c r="L2264" i="1" s="1"/>
  <c r="N2264" i="1" s="1"/>
  <c r="K2265" i="1"/>
  <c r="L2265" i="1" s="1"/>
  <c r="N2265" i="1" s="1"/>
  <c r="K2266" i="1"/>
  <c r="L2266" i="1" s="1"/>
  <c r="N2266" i="1" s="1"/>
  <c r="K2267" i="1"/>
  <c r="L2267" i="1" s="1"/>
  <c r="N2267" i="1" s="1"/>
  <c r="K2268" i="1"/>
  <c r="L2268" i="1" s="1"/>
  <c r="N2268" i="1" s="1"/>
  <c r="K2269" i="1"/>
  <c r="L2269" i="1" s="1"/>
  <c r="N2269" i="1" s="1"/>
  <c r="K2270" i="1"/>
  <c r="L2270" i="1" s="1"/>
  <c r="N2270" i="1" s="1"/>
  <c r="K2271" i="1"/>
  <c r="L2271" i="1" s="1"/>
  <c r="N2271" i="1" s="1"/>
  <c r="K2272" i="1"/>
  <c r="L2272" i="1" s="1"/>
  <c r="N2272" i="1" s="1"/>
  <c r="K2273" i="1"/>
  <c r="L2273" i="1" s="1"/>
  <c r="N2273" i="1" s="1"/>
  <c r="K2274" i="1"/>
  <c r="L2274" i="1" s="1"/>
  <c r="N2274" i="1" s="1"/>
  <c r="K2275" i="1"/>
  <c r="L2275" i="1" s="1"/>
  <c r="N2275" i="1" s="1"/>
  <c r="K2276" i="1"/>
  <c r="L2276" i="1" s="1"/>
  <c r="N2276" i="1" s="1"/>
  <c r="K2277" i="1"/>
  <c r="L2277" i="1" s="1"/>
  <c r="N2277" i="1" s="1"/>
  <c r="K2278" i="1"/>
  <c r="L2278" i="1" s="1"/>
  <c r="N2278" i="1" s="1"/>
  <c r="K2279" i="1"/>
  <c r="L2279" i="1" s="1"/>
  <c r="N2279" i="1" s="1"/>
  <c r="K2280" i="1"/>
  <c r="L2280" i="1" s="1"/>
  <c r="N2280" i="1" s="1"/>
  <c r="K2281" i="1"/>
  <c r="L2281" i="1" s="1"/>
  <c r="N2281" i="1" s="1"/>
  <c r="K2282" i="1"/>
  <c r="L2282" i="1" s="1"/>
  <c r="N2282" i="1" s="1"/>
  <c r="K2283" i="1"/>
  <c r="L2283" i="1" s="1"/>
  <c r="N2283" i="1" s="1"/>
  <c r="K2284" i="1"/>
  <c r="L2284" i="1" s="1"/>
  <c r="N2284" i="1" s="1"/>
  <c r="K2285" i="1"/>
  <c r="L2285" i="1" s="1"/>
  <c r="N2285" i="1" s="1"/>
  <c r="K2286" i="1"/>
  <c r="L2286" i="1" s="1"/>
  <c r="N2286" i="1" s="1"/>
  <c r="K2287" i="1"/>
  <c r="L2287" i="1" s="1"/>
  <c r="N2287" i="1" s="1"/>
  <c r="K2288" i="1"/>
  <c r="L2288" i="1" s="1"/>
  <c r="N2288" i="1" s="1"/>
  <c r="K2289" i="1"/>
  <c r="L2289" i="1" s="1"/>
  <c r="N2289" i="1" s="1"/>
  <c r="K2290" i="1"/>
  <c r="L2290" i="1" s="1"/>
  <c r="N2290" i="1" s="1"/>
  <c r="K2291" i="1"/>
  <c r="L2291" i="1" s="1"/>
  <c r="N2291" i="1" s="1"/>
  <c r="K2292" i="1"/>
  <c r="L2292" i="1" s="1"/>
  <c r="N2292" i="1" s="1"/>
  <c r="K2293" i="1"/>
  <c r="L2293" i="1" s="1"/>
  <c r="N2293" i="1" s="1"/>
  <c r="K2294" i="1"/>
  <c r="L2294" i="1" s="1"/>
  <c r="N2294" i="1" s="1"/>
  <c r="K2295" i="1"/>
  <c r="L2295" i="1" s="1"/>
  <c r="N2295" i="1" s="1"/>
  <c r="K2296" i="1"/>
  <c r="L2296" i="1" s="1"/>
  <c r="N2296" i="1" s="1"/>
  <c r="K2297" i="1"/>
  <c r="L2297" i="1" s="1"/>
  <c r="N2297" i="1" s="1"/>
  <c r="K2298" i="1"/>
  <c r="L2298" i="1" s="1"/>
  <c r="N2298" i="1" s="1"/>
  <c r="K2299" i="1"/>
  <c r="L2299" i="1" s="1"/>
  <c r="N2299" i="1" s="1"/>
  <c r="K2300" i="1"/>
  <c r="L2300" i="1" s="1"/>
  <c r="N2300" i="1" s="1"/>
  <c r="K2301" i="1"/>
  <c r="L2301" i="1" s="1"/>
  <c r="N2301" i="1" s="1"/>
  <c r="K2302" i="1"/>
  <c r="L2302" i="1" s="1"/>
  <c r="N2302" i="1" s="1"/>
  <c r="K2303" i="1"/>
  <c r="L2303" i="1" s="1"/>
  <c r="N2303" i="1" s="1"/>
  <c r="K2304" i="1"/>
  <c r="L2304" i="1" s="1"/>
  <c r="N2304" i="1" s="1"/>
  <c r="K2305" i="1"/>
  <c r="L2305" i="1" s="1"/>
  <c r="N2305" i="1" s="1"/>
  <c r="K2306" i="1"/>
  <c r="L2306" i="1" s="1"/>
  <c r="N2306" i="1" s="1"/>
  <c r="K2307" i="1"/>
  <c r="L2307" i="1" s="1"/>
  <c r="N2307" i="1" s="1"/>
  <c r="K2308" i="1"/>
  <c r="L2308" i="1" s="1"/>
  <c r="N2308" i="1" s="1"/>
  <c r="K2309" i="1"/>
  <c r="L2309" i="1" s="1"/>
  <c r="N2309" i="1" s="1"/>
  <c r="K2310" i="1"/>
  <c r="L2310" i="1" s="1"/>
  <c r="N2310" i="1" s="1"/>
  <c r="K2311" i="1"/>
  <c r="L2311" i="1" s="1"/>
  <c r="N2311" i="1" s="1"/>
  <c r="K2312" i="1"/>
  <c r="L2312" i="1" s="1"/>
  <c r="N2312" i="1" s="1"/>
  <c r="K2313" i="1"/>
  <c r="L2313" i="1" s="1"/>
  <c r="N2313" i="1" s="1"/>
  <c r="K2314" i="1"/>
  <c r="L2314" i="1" s="1"/>
  <c r="N2314" i="1" s="1"/>
  <c r="K2315" i="1"/>
  <c r="L2315" i="1" s="1"/>
  <c r="N2315" i="1" s="1"/>
  <c r="K2316" i="1"/>
  <c r="L2316" i="1" s="1"/>
  <c r="N2316" i="1" s="1"/>
  <c r="K2317" i="1"/>
  <c r="L2317" i="1" s="1"/>
  <c r="N2317" i="1" s="1"/>
  <c r="K2318" i="1"/>
  <c r="L2318" i="1" s="1"/>
  <c r="N2318" i="1" s="1"/>
  <c r="K2319" i="1"/>
  <c r="L2319" i="1" s="1"/>
  <c r="N2319" i="1" s="1"/>
  <c r="K2320" i="1"/>
  <c r="L2320" i="1" s="1"/>
  <c r="N2320" i="1" s="1"/>
  <c r="K2321" i="1"/>
  <c r="L2321" i="1" s="1"/>
  <c r="N2321" i="1" s="1"/>
  <c r="K2322" i="1"/>
  <c r="L2322" i="1" s="1"/>
  <c r="N2322" i="1" s="1"/>
  <c r="K2323" i="1"/>
  <c r="L2323" i="1" s="1"/>
  <c r="N2323" i="1" s="1"/>
  <c r="K2324" i="1"/>
  <c r="L2324" i="1" s="1"/>
  <c r="N2324" i="1" s="1"/>
  <c r="K2325" i="1"/>
  <c r="L2325" i="1" s="1"/>
  <c r="N2325" i="1" s="1"/>
  <c r="K2326" i="1"/>
  <c r="L2326" i="1" s="1"/>
  <c r="N2326" i="1" s="1"/>
  <c r="K2327" i="1"/>
  <c r="L2327" i="1" s="1"/>
  <c r="N2327" i="1" s="1"/>
  <c r="K2328" i="1"/>
  <c r="L2328" i="1" s="1"/>
  <c r="N2328" i="1" s="1"/>
  <c r="K2329" i="1"/>
  <c r="L2329" i="1" s="1"/>
  <c r="N2329" i="1" s="1"/>
  <c r="K2330" i="1"/>
  <c r="L2330" i="1" s="1"/>
  <c r="N2330" i="1" s="1"/>
  <c r="K2331" i="1"/>
  <c r="L2331" i="1" s="1"/>
  <c r="N2331" i="1" s="1"/>
  <c r="K2332" i="1"/>
  <c r="L2332" i="1" s="1"/>
  <c r="N2332" i="1" s="1"/>
  <c r="K2333" i="1"/>
  <c r="L2333" i="1" s="1"/>
  <c r="N2333" i="1" s="1"/>
  <c r="K2334" i="1"/>
  <c r="L2334" i="1" s="1"/>
  <c r="N2334" i="1" s="1"/>
  <c r="K2335" i="1"/>
  <c r="L2335" i="1" s="1"/>
  <c r="N2335" i="1" s="1"/>
  <c r="K2336" i="1"/>
  <c r="L2336" i="1" s="1"/>
  <c r="N2336" i="1" s="1"/>
  <c r="K2337" i="1"/>
  <c r="L2337" i="1" s="1"/>
  <c r="N2337" i="1" s="1"/>
  <c r="K2338" i="1"/>
  <c r="L2338" i="1" s="1"/>
  <c r="N2338" i="1" s="1"/>
  <c r="K2339" i="1"/>
  <c r="L2339" i="1" s="1"/>
  <c r="N2339" i="1" s="1"/>
  <c r="K2340" i="1"/>
  <c r="L2340" i="1" s="1"/>
  <c r="N2340" i="1" s="1"/>
  <c r="K2341" i="1"/>
  <c r="L2341" i="1" s="1"/>
  <c r="N2341" i="1" s="1"/>
  <c r="K2342" i="1"/>
  <c r="L2342" i="1" s="1"/>
  <c r="N2342" i="1" s="1"/>
  <c r="K2343" i="1"/>
  <c r="L2343" i="1" s="1"/>
  <c r="N2343" i="1" s="1"/>
  <c r="K2344" i="1"/>
  <c r="L2344" i="1" s="1"/>
  <c r="N2344" i="1" s="1"/>
  <c r="K2345" i="1"/>
  <c r="L2345" i="1" s="1"/>
  <c r="N2345" i="1" s="1"/>
  <c r="K2346" i="1"/>
  <c r="L2346" i="1" s="1"/>
  <c r="N2346" i="1" s="1"/>
  <c r="K2347" i="1"/>
  <c r="L2347" i="1" s="1"/>
  <c r="N2347" i="1" s="1"/>
  <c r="K2348" i="1"/>
  <c r="L2348" i="1" s="1"/>
  <c r="N2348" i="1" s="1"/>
  <c r="K2349" i="1"/>
  <c r="L2349" i="1" s="1"/>
  <c r="N2349" i="1" s="1"/>
  <c r="K2350" i="1"/>
  <c r="L2350" i="1" s="1"/>
  <c r="N2350" i="1" s="1"/>
  <c r="K2351" i="1"/>
  <c r="L2351" i="1" s="1"/>
  <c r="N2351" i="1" s="1"/>
  <c r="K2352" i="1"/>
  <c r="L2352" i="1" s="1"/>
  <c r="N2352" i="1" s="1"/>
  <c r="K2353" i="1"/>
  <c r="L2353" i="1" s="1"/>
  <c r="N2353" i="1" s="1"/>
  <c r="K2354" i="1"/>
  <c r="L2354" i="1" s="1"/>
  <c r="N2354" i="1" s="1"/>
  <c r="K2355" i="1"/>
  <c r="L2355" i="1" s="1"/>
  <c r="N2355" i="1" s="1"/>
  <c r="K2356" i="1"/>
  <c r="L2356" i="1" s="1"/>
  <c r="N2356" i="1" s="1"/>
  <c r="K2357" i="1"/>
  <c r="L2357" i="1" s="1"/>
  <c r="N2357" i="1" s="1"/>
  <c r="K2358" i="1"/>
  <c r="L2358" i="1" s="1"/>
  <c r="N2358" i="1" s="1"/>
  <c r="K2359" i="1"/>
  <c r="L2359" i="1" s="1"/>
  <c r="N2359" i="1" s="1"/>
  <c r="K2360" i="1"/>
  <c r="L2360" i="1" s="1"/>
  <c r="N2360" i="1" s="1"/>
  <c r="K2361" i="1"/>
  <c r="L2361" i="1" s="1"/>
  <c r="N2361" i="1" s="1"/>
  <c r="K2362" i="1"/>
  <c r="L2362" i="1" s="1"/>
  <c r="N2362" i="1" s="1"/>
  <c r="K2363" i="1"/>
  <c r="L2363" i="1" s="1"/>
  <c r="N2363" i="1" s="1"/>
  <c r="K2364" i="1"/>
  <c r="L2364" i="1" s="1"/>
  <c r="N2364" i="1" s="1"/>
  <c r="K2365" i="1"/>
  <c r="L2365" i="1" s="1"/>
  <c r="N2365" i="1" s="1"/>
  <c r="K2366" i="1"/>
  <c r="L2366" i="1" s="1"/>
  <c r="N2366" i="1" s="1"/>
  <c r="K2367" i="1"/>
  <c r="L2367" i="1" s="1"/>
  <c r="N2367" i="1" s="1"/>
  <c r="K2368" i="1"/>
  <c r="L2368" i="1" s="1"/>
  <c r="N2368" i="1" s="1"/>
  <c r="K2369" i="1"/>
  <c r="L2369" i="1" s="1"/>
  <c r="N2369" i="1" s="1"/>
  <c r="K2370" i="1"/>
  <c r="L2370" i="1" s="1"/>
  <c r="N2370" i="1" s="1"/>
  <c r="K2371" i="1"/>
  <c r="L2371" i="1" s="1"/>
  <c r="N2371" i="1" s="1"/>
  <c r="K2372" i="1"/>
  <c r="L2372" i="1" s="1"/>
  <c r="N2372" i="1" s="1"/>
  <c r="K2373" i="1"/>
  <c r="L2373" i="1" s="1"/>
  <c r="N2373" i="1" s="1"/>
  <c r="K2374" i="1"/>
  <c r="L2374" i="1" s="1"/>
  <c r="N2374" i="1" s="1"/>
  <c r="K2375" i="1"/>
  <c r="L2375" i="1" s="1"/>
  <c r="N2375" i="1" s="1"/>
  <c r="K2376" i="1"/>
  <c r="L2376" i="1" s="1"/>
  <c r="N2376" i="1" s="1"/>
  <c r="K2377" i="1"/>
  <c r="L2377" i="1" s="1"/>
  <c r="N2377" i="1" s="1"/>
  <c r="K2378" i="1"/>
  <c r="L2378" i="1" s="1"/>
  <c r="N2378" i="1" s="1"/>
  <c r="K2379" i="1"/>
  <c r="L2379" i="1" s="1"/>
  <c r="N2379" i="1" s="1"/>
  <c r="K2380" i="1"/>
  <c r="L2380" i="1" s="1"/>
  <c r="N2380" i="1" s="1"/>
  <c r="K2381" i="1"/>
  <c r="L2381" i="1" s="1"/>
  <c r="N2381" i="1" s="1"/>
  <c r="K2382" i="1"/>
  <c r="L2382" i="1" s="1"/>
  <c r="N2382" i="1" s="1"/>
  <c r="K2383" i="1"/>
  <c r="L2383" i="1" s="1"/>
  <c r="N2383" i="1" s="1"/>
  <c r="K2384" i="1"/>
  <c r="L2384" i="1" s="1"/>
  <c r="N2384" i="1" s="1"/>
  <c r="K2385" i="1"/>
  <c r="L2385" i="1" s="1"/>
  <c r="N2385" i="1" s="1"/>
  <c r="K2386" i="1"/>
  <c r="L2386" i="1" s="1"/>
  <c r="N2386" i="1" s="1"/>
  <c r="K2387" i="1"/>
  <c r="L2387" i="1" s="1"/>
  <c r="N2387" i="1" s="1"/>
  <c r="K2388" i="1"/>
  <c r="L2388" i="1" s="1"/>
  <c r="N2388" i="1" s="1"/>
  <c r="K2389" i="1"/>
  <c r="L2389" i="1" s="1"/>
  <c r="N2389" i="1" s="1"/>
  <c r="K2390" i="1"/>
  <c r="L2390" i="1" s="1"/>
  <c r="N2390" i="1" s="1"/>
  <c r="K2391" i="1"/>
  <c r="L2391" i="1" s="1"/>
  <c r="N2391" i="1" s="1"/>
  <c r="K2392" i="1"/>
  <c r="L2392" i="1" s="1"/>
  <c r="N2392" i="1" s="1"/>
  <c r="K2393" i="1"/>
  <c r="L2393" i="1" s="1"/>
  <c r="N2393" i="1" s="1"/>
  <c r="K2394" i="1"/>
  <c r="L2394" i="1" s="1"/>
  <c r="N2394" i="1" s="1"/>
  <c r="K2395" i="1"/>
  <c r="L2395" i="1" s="1"/>
  <c r="N2395" i="1" s="1"/>
  <c r="K2396" i="1"/>
  <c r="L2396" i="1" s="1"/>
  <c r="N2396" i="1" s="1"/>
  <c r="K2397" i="1"/>
  <c r="L2397" i="1" s="1"/>
  <c r="N2397" i="1" s="1"/>
  <c r="K2398" i="1"/>
  <c r="L2398" i="1" s="1"/>
  <c r="N2398" i="1" s="1"/>
  <c r="K2399" i="1"/>
  <c r="L2399" i="1" s="1"/>
  <c r="N2399" i="1" s="1"/>
  <c r="K2400" i="1"/>
  <c r="L2400" i="1" s="1"/>
  <c r="N2400" i="1" s="1"/>
  <c r="K2401" i="1"/>
  <c r="L2401" i="1" s="1"/>
  <c r="N2401" i="1" s="1"/>
  <c r="K2402" i="1"/>
  <c r="L2402" i="1" s="1"/>
  <c r="N2402" i="1" s="1"/>
  <c r="K2403" i="1"/>
  <c r="L2403" i="1" s="1"/>
  <c r="N2403" i="1" s="1"/>
  <c r="K2404" i="1"/>
  <c r="L2404" i="1" s="1"/>
  <c r="N2404" i="1" s="1"/>
  <c r="K2405" i="1"/>
  <c r="L2405" i="1" s="1"/>
  <c r="N2405" i="1" s="1"/>
  <c r="K2406" i="1"/>
  <c r="L2406" i="1" s="1"/>
  <c r="N2406" i="1" s="1"/>
  <c r="K2407" i="1"/>
  <c r="L2407" i="1" s="1"/>
  <c r="N2407" i="1" s="1"/>
  <c r="K2408" i="1"/>
  <c r="L2408" i="1" s="1"/>
  <c r="N2408" i="1" s="1"/>
  <c r="K2409" i="1"/>
  <c r="L2409" i="1" s="1"/>
  <c r="N2409" i="1" s="1"/>
  <c r="K2410" i="1"/>
  <c r="L2410" i="1" s="1"/>
  <c r="N2410" i="1" s="1"/>
  <c r="K2411" i="1"/>
  <c r="L2411" i="1" s="1"/>
  <c r="N2411" i="1" s="1"/>
  <c r="K2412" i="1"/>
  <c r="L2412" i="1" s="1"/>
  <c r="N2412" i="1" s="1"/>
  <c r="K2413" i="1"/>
  <c r="L2413" i="1" s="1"/>
  <c r="N2413" i="1" s="1"/>
  <c r="K2414" i="1"/>
  <c r="L2414" i="1" s="1"/>
  <c r="N2414" i="1" s="1"/>
  <c r="K2415" i="1"/>
  <c r="L2415" i="1" s="1"/>
  <c r="N2415" i="1" s="1"/>
  <c r="K2416" i="1"/>
  <c r="L2416" i="1" s="1"/>
  <c r="N2416" i="1" s="1"/>
  <c r="K2417" i="1"/>
  <c r="L2417" i="1" s="1"/>
  <c r="N2417" i="1" s="1"/>
  <c r="K2418" i="1"/>
  <c r="L2418" i="1" s="1"/>
  <c r="N2418" i="1" s="1"/>
  <c r="K2419" i="1"/>
  <c r="L2419" i="1" s="1"/>
  <c r="N2419" i="1" s="1"/>
  <c r="K2420" i="1"/>
  <c r="L2420" i="1" s="1"/>
  <c r="N2420" i="1" s="1"/>
  <c r="K2421" i="1"/>
  <c r="L2421" i="1" s="1"/>
  <c r="N2421" i="1" s="1"/>
  <c r="K2422" i="1"/>
  <c r="L2422" i="1" s="1"/>
  <c r="N2422" i="1" s="1"/>
  <c r="K2423" i="1"/>
  <c r="L2423" i="1" s="1"/>
  <c r="N2423" i="1" s="1"/>
  <c r="K2424" i="1"/>
  <c r="L2424" i="1" s="1"/>
  <c r="N2424" i="1" s="1"/>
  <c r="K2425" i="1"/>
  <c r="L2425" i="1" s="1"/>
  <c r="N2425" i="1" s="1"/>
  <c r="K2426" i="1"/>
  <c r="L2426" i="1" s="1"/>
  <c r="N2426" i="1" s="1"/>
  <c r="K2427" i="1"/>
  <c r="L2427" i="1" s="1"/>
  <c r="N2427" i="1" s="1"/>
  <c r="K2428" i="1"/>
  <c r="L2428" i="1" s="1"/>
  <c r="N2428" i="1" s="1"/>
  <c r="K2429" i="1"/>
  <c r="L2429" i="1" s="1"/>
  <c r="N2429" i="1" s="1"/>
  <c r="K2430" i="1"/>
  <c r="L2430" i="1" s="1"/>
  <c r="N2430" i="1" s="1"/>
  <c r="K2431" i="1"/>
  <c r="L2431" i="1" s="1"/>
  <c r="N2431" i="1" s="1"/>
  <c r="K2432" i="1"/>
  <c r="L2432" i="1" s="1"/>
  <c r="N2432" i="1" s="1"/>
  <c r="K2433" i="1"/>
  <c r="L2433" i="1" s="1"/>
  <c r="N2433" i="1" s="1"/>
  <c r="K2434" i="1"/>
  <c r="L2434" i="1" s="1"/>
  <c r="N2434" i="1" s="1"/>
  <c r="K2435" i="1"/>
  <c r="L2435" i="1" s="1"/>
  <c r="N2435" i="1" s="1"/>
  <c r="K2436" i="1"/>
  <c r="L2436" i="1" s="1"/>
  <c r="N2436" i="1" s="1"/>
  <c r="K2437" i="1"/>
  <c r="L2437" i="1" s="1"/>
  <c r="N2437" i="1" s="1"/>
  <c r="K2438" i="1"/>
  <c r="L2438" i="1" s="1"/>
  <c r="N2438" i="1" s="1"/>
  <c r="K2439" i="1"/>
  <c r="L2439" i="1" s="1"/>
  <c r="N2439" i="1" s="1"/>
  <c r="K2440" i="1"/>
  <c r="L2440" i="1" s="1"/>
  <c r="N2440" i="1" s="1"/>
  <c r="K2441" i="1"/>
  <c r="L2441" i="1" s="1"/>
  <c r="N2441" i="1" s="1"/>
  <c r="K2442" i="1"/>
  <c r="L2442" i="1" s="1"/>
  <c r="N2442" i="1" s="1"/>
  <c r="K2443" i="1"/>
  <c r="L2443" i="1" s="1"/>
  <c r="N2443" i="1" s="1"/>
  <c r="K2444" i="1"/>
  <c r="L2444" i="1" s="1"/>
  <c r="N2444" i="1" s="1"/>
  <c r="K2445" i="1"/>
  <c r="L2445" i="1" s="1"/>
  <c r="N2445" i="1" s="1"/>
  <c r="K2446" i="1"/>
  <c r="L2446" i="1" s="1"/>
  <c r="N2446" i="1" s="1"/>
  <c r="K2447" i="1"/>
  <c r="L2447" i="1" s="1"/>
  <c r="N2447" i="1" s="1"/>
  <c r="K2448" i="1"/>
  <c r="L2448" i="1" s="1"/>
  <c r="N2448" i="1" s="1"/>
  <c r="K2449" i="1"/>
  <c r="L2449" i="1" s="1"/>
  <c r="N2449" i="1" s="1"/>
  <c r="K2450" i="1"/>
  <c r="L2450" i="1" s="1"/>
  <c r="N2450" i="1" s="1"/>
  <c r="K2451" i="1"/>
  <c r="L2451" i="1" s="1"/>
  <c r="N2451" i="1" s="1"/>
  <c r="K2452" i="1"/>
  <c r="L2452" i="1" s="1"/>
  <c r="N2452" i="1" s="1"/>
  <c r="K2453" i="1"/>
  <c r="L2453" i="1" s="1"/>
  <c r="N2453" i="1" s="1"/>
  <c r="K2454" i="1"/>
  <c r="L2454" i="1" s="1"/>
  <c r="N2454" i="1" s="1"/>
  <c r="K2455" i="1"/>
  <c r="L2455" i="1" s="1"/>
  <c r="N2455" i="1" s="1"/>
  <c r="K2456" i="1"/>
  <c r="L2456" i="1" s="1"/>
  <c r="N2456" i="1" s="1"/>
  <c r="K2457" i="1"/>
  <c r="L2457" i="1" s="1"/>
  <c r="N2457" i="1" s="1"/>
  <c r="K2458" i="1"/>
  <c r="L2458" i="1" s="1"/>
  <c r="N2458" i="1" s="1"/>
  <c r="K2459" i="1"/>
  <c r="L2459" i="1" s="1"/>
  <c r="N2459" i="1" s="1"/>
  <c r="K2460" i="1"/>
  <c r="L2460" i="1" s="1"/>
  <c r="N2460" i="1" s="1"/>
  <c r="K2461" i="1"/>
  <c r="L2461" i="1" s="1"/>
  <c r="N2461" i="1" s="1"/>
  <c r="K2462" i="1"/>
  <c r="L2462" i="1" s="1"/>
  <c r="N2462" i="1" s="1"/>
  <c r="K2463" i="1"/>
  <c r="L2463" i="1" s="1"/>
  <c r="N2463" i="1" s="1"/>
  <c r="K2464" i="1"/>
  <c r="L2464" i="1" s="1"/>
  <c r="N2464" i="1" s="1"/>
  <c r="K2465" i="1"/>
  <c r="L2465" i="1" s="1"/>
  <c r="N2465" i="1" s="1"/>
  <c r="K2466" i="1"/>
  <c r="L2466" i="1" s="1"/>
  <c r="N2466" i="1" s="1"/>
  <c r="K2467" i="1"/>
  <c r="L2467" i="1" s="1"/>
  <c r="N2467" i="1" s="1"/>
  <c r="K2468" i="1"/>
  <c r="L2468" i="1" s="1"/>
  <c r="N2468" i="1" s="1"/>
  <c r="K2469" i="1"/>
  <c r="L2469" i="1" s="1"/>
  <c r="N2469" i="1" s="1"/>
  <c r="K2470" i="1"/>
  <c r="L2470" i="1" s="1"/>
  <c r="N2470" i="1" s="1"/>
  <c r="K2471" i="1"/>
  <c r="L2471" i="1" s="1"/>
  <c r="N2471" i="1" s="1"/>
  <c r="K2472" i="1"/>
  <c r="L2472" i="1" s="1"/>
  <c r="N2472" i="1" s="1"/>
  <c r="K2473" i="1"/>
  <c r="L2473" i="1" s="1"/>
  <c r="N2473" i="1" s="1"/>
  <c r="K2474" i="1"/>
  <c r="L2474" i="1" s="1"/>
  <c r="N2474" i="1" s="1"/>
  <c r="K2475" i="1"/>
  <c r="L2475" i="1" s="1"/>
  <c r="N2475" i="1" s="1"/>
  <c r="K2476" i="1"/>
  <c r="L2476" i="1" s="1"/>
  <c r="N2476" i="1" s="1"/>
  <c r="K2477" i="1"/>
  <c r="L2477" i="1" s="1"/>
  <c r="N2477" i="1" s="1"/>
  <c r="K2478" i="1"/>
  <c r="L2478" i="1" s="1"/>
  <c r="N2478" i="1" s="1"/>
  <c r="K2479" i="1"/>
  <c r="L2479" i="1" s="1"/>
  <c r="N2479" i="1" s="1"/>
  <c r="K2480" i="1"/>
  <c r="L2480" i="1" s="1"/>
  <c r="N2480" i="1" s="1"/>
  <c r="K2481" i="1"/>
  <c r="L2481" i="1" s="1"/>
  <c r="N2481" i="1" s="1"/>
  <c r="K2482" i="1"/>
  <c r="L2482" i="1" s="1"/>
  <c r="N2482" i="1" s="1"/>
  <c r="K2483" i="1"/>
  <c r="L2483" i="1" s="1"/>
  <c r="N2483" i="1" s="1"/>
  <c r="K2484" i="1"/>
  <c r="L2484" i="1" s="1"/>
  <c r="N2484" i="1" s="1"/>
  <c r="K2485" i="1"/>
  <c r="L2485" i="1" s="1"/>
  <c r="N2485" i="1" s="1"/>
  <c r="K2486" i="1"/>
  <c r="L2486" i="1" s="1"/>
  <c r="N2486" i="1" s="1"/>
  <c r="K2487" i="1"/>
  <c r="L2487" i="1" s="1"/>
  <c r="N2487" i="1" s="1"/>
  <c r="K2488" i="1"/>
  <c r="L2488" i="1" s="1"/>
  <c r="N2488" i="1" s="1"/>
  <c r="K2489" i="1"/>
  <c r="L2489" i="1" s="1"/>
  <c r="N2489" i="1" s="1"/>
  <c r="K2490" i="1"/>
  <c r="L2490" i="1" s="1"/>
  <c r="N2490" i="1" s="1"/>
  <c r="K2491" i="1"/>
  <c r="L2491" i="1" s="1"/>
  <c r="N2491" i="1" s="1"/>
  <c r="K2492" i="1"/>
  <c r="L2492" i="1" s="1"/>
  <c r="N2492" i="1" s="1"/>
  <c r="K2493" i="1"/>
  <c r="L2493" i="1" s="1"/>
  <c r="N2493" i="1" s="1"/>
  <c r="K2494" i="1"/>
  <c r="L2494" i="1" s="1"/>
  <c r="N2494" i="1" s="1"/>
  <c r="K2495" i="1"/>
  <c r="L2495" i="1" s="1"/>
  <c r="N2495" i="1" s="1"/>
  <c r="K2496" i="1"/>
  <c r="L2496" i="1" s="1"/>
  <c r="N2496" i="1" s="1"/>
  <c r="K2497" i="1"/>
  <c r="L2497" i="1" s="1"/>
  <c r="N2497" i="1" s="1"/>
  <c r="K2498" i="1"/>
  <c r="L2498" i="1" s="1"/>
  <c r="N2498" i="1" s="1"/>
  <c r="K2499" i="1"/>
  <c r="L2499" i="1" s="1"/>
  <c r="N2499" i="1" s="1"/>
  <c r="K2500" i="1"/>
  <c r="L2500" i="1" s="1"/>
  <c r="N2500" i="1" s="1"/>
  <c r="K2501" i="1"/>
  <c r="L2501" i="1" s="1"/>
  <c r="N2501" i="1" s="1"/>
  <c r="K2502" i="1"/>
  <c r="L2502" i="1" s="1"/>
  <c r="N2502" i="1" s="1"/>
  <c r="K2503" i="1"/>
  <c r="L2503" i="1" s="1"/>
  <c r="N2503" i="1" s="1"/>
  <c r="K2504" i="1"/>
  <c r="L2504" i="1" s="1"/>
  <c r="N2504" i="1" s="1"/>
  <c r="K2505" i="1"/>
  <c r="L2505" i="1" s="1"/>
  <c r="N2505" i="1" s="1"/>
  <c r="K2506" i="1"/>
  <c r="L2506" i="1" s="1"/>
  <c r="N2506" i="1" s="1"/>
  <c r="K2507" i="1"/>
  <c r="L2507" i="1" s="1"/>
  <c r="N2507" i="1" s="1"/>
  <c r="K2508" i="1"/>
  <c r="L2508" i="1" s="1"/>
  <c r="N2508" i="1" s="1"/>
  <c r="K2509" i="1"/>
  <c r="L2509" i="1" s="1"/>
  <c r="N2509" i="1" s="1"/>
  <c r="K2510" i="1"/>
  <c r="L2510" i="1" s="1"/>
  <c r="N2510" i="1" s="1"/>
  <c r="K2511" i="1"/>
  <c r="L2511" i="1" s="1"/>
  <c r="N2511" i="1" s="1"/>
  <c r="K2512" i="1"/>
  <c r="L2512" i="1" s="1"/>
  <c r="N2512" i="1" s="1"/>
  <c r="K2513" i="1"/>
  <c r="L2513" i="1" s="1"/>
  <c r="N2513" i="1" s="1"/>
  <c r="K2514" i="1"/>
  <c r="L2514" i="1" s="1"/>
  <c r="N2514" i="1" s="1"/>
  <c r="K2515" i="1"/>
  <c r="L2515" i="1" s="1"/>
  <c r="N2515" i="1" s="1"/>
  <c r="K2516" i="1"/>
  <c r="L2516" i="1" s="1"/>
  <c r="N2516" i="1" s="1"/>
  <c r="K2517" i="1"/>
  <c r="L2517" i="1" s="1"/>
  <c r="N2517" i="1" s="1"/>
  <c r="K2518" i="1"/>
  <c r="L2518" i="1" s="1"/>
  <c r="N2518" i="1" s="1"/>
  <c r="K2519" i="1"/>
  <c r="L2519" i="1" s="1"/>
  <c r="N2519" i="1" s="1"/>
  <c r="K2520" i="1"/>
  <c r="L2520" i="1" s="1"/>
  <c r="N2520" i="1" s="1"/>
  <c r="K2521" i="1"/>
  <c r="L2521" i="1" s="1"/>
  <c r="N2521" i="1" s="1"/>
  <c r="K2522" i="1"/>
  <c r="L2522" i="1" s="1"/>
  <c r="N2522" i="1" s="1"/>
  <c r="K2523" i="1"/>
  <c r="L2523" i="1" s="1"/>
  <c r="N2523" i="1" s="1"/>
  <c r="K2524" i="1"/>
  <c r="L2524" i="1" s="1"/>
  <c r="N2524" i="1" s="1"/>
  <c r="K2525" i="1"/>
  <c r="L2525" i="1" s="1"/>
  <c r="N2525" i="1" s="1"/>
  <c r="K2526" i="1"/>
  <c r="L2526" i="1" s="1"/>
  <c r="N2526" i="1" s="1"/>
  <c r="K2527" i="1"/>
  <c r="L2527" i="1" s="1"/>
  <c r="N2527" i="1" s="1"/>
  <c r="K2528" i="1"/>
  <c r="L2528" i="1" s="1"/>
  <c r="N2528" i="1" s="1"/>
  <c r="K2529" i="1"/>
  <c r="L2529" i="1" s="1"/>
  <c r="N2529" i="1" s="1"/>
  <c r="K2530" i="1"/>
  <c r="L2530" i="1" s="1"/>
  <c r="N2530" i="1" s="1"/>
  <c r="K2531" i="1"/>
  <c r="L2531" i="1" s="1"/>
  <c r="N2531" i="1" s="1"/>
  <c r="K2532" i="1"/>
  <c r="L2532" i="1" s="1"/>
  <c r="N2532" i="1" s="1"/>
  <c r="K2533" i="1"/>
  <c r="L2533" i="1" s="1"/>
  <c r="N2533" i="1" s="1"/>
  <c r="K2534" i="1"/>
  <c r="L2534" i="1" s="1"/>
  <c r="N2534" i="1" s="1"/>
  <c r="K2535" i="1"/>
  <c r="L2535" i="1" s="1"/>
  <c r="N2535" i="1" s="1"/>
  <c r="K2536" i="1"/>
  <c r="L2536" i="1" s="1"/>
  <c r="N2536" i="1" s="1"/>
  <c r="K2537" i="1"/>
  <c r="L2537" i="1" s="1"/>
  <c r="N2537" i="1" s="1"/>
  <c r="K2538" i="1"/>
  <c r="L2538" i="1" s="1"/>
  <c r="N2538" i="1" s="1"/>
  <c r="K2539" i="1"/>
  <c r="L2539" i="1" s="1"/>
  <c r="N2539" i="1" s="1"/>
  <c r="K2540" i="1"/>
  <c r="L2540" i="1" s="1"/>
  <c r="N2540" i="1" s="1"/>
  <c r="K2541" i="1"/>
  <c r="L2541" i="1" s="1"/>
  <c r="N2541" i="1" s="1"/>
  <c r="K2542" i="1"/>
  <c r="L2542" i="1" s="1"/>
  <c r="N2542" i="1" s="1"/>
  <c r="K2543" i="1"/>
  <c r="L2543" i="1" s="1"/>
  <c r="N2543" i="1" s="1"/>
  <c r="K2544" i="1"/>
  <c r="L2544" i="1" s="1"/>
  <c r="N2544" i="1" s="1"/>
  <c r="K2545" i="1"/>
  <c r="L2545" i="1" s="1"/>
  <c r="N2545" i="1" s="1"/>
  <c r="K2546" i="1"/>
  <c r="L2546" i="1" s="1"/>
  <c r="N2546" i="1" s="1"/>
  <c r="K2547" i="1"/>
  <c r="L2547" i="1" s="1"/>
  <c r="N2547" i="1" s="1"/>
  <c r="K2548" i="1"/>
  <c r="L2548" i="1" s="1"/>
  <c r="N2548" i="1" s="1"/>
  <c r="K2549" i="1"/>
  <c r="L2549" i="1" s="1"/>
  <c r="N2549" i="1" s="1"/>
  <c r="K2550" i="1"/>
  <c r="L2550" i="1" s="1"/>
  <c r="N2550" i="1" s="1"/>
  <c r="K2551" i="1"/>
  <c r="L2551" i="1" s="1"/>
  <c r="N2551" i="1" s="1"/>
  <c r="K2552" i="1"/>
  <c r="L2552" i="1" s="1"/>
  <c r="N2552" i="1" s="1"/>
  <c r="K2553" i="1"/>
  <c r="L2553" i="1" s="1"/>
  <c r="N2553" i="1" s="1"/>
  <c r="K2554" i="1"/>
  <c r="L2554" i="1" s="1"/>
  <c r="N2554" i="1" s="1"/>
  <c r="K2555" i="1"/>
  <c r="L2555" i="1" s="1"/>
  <c r="N2555" i="1" s="1"/>
  <c r="K2556" i="1"/>
  <c r="L2556" i="1" s="1"/>
  <c r="N2556" i="1" s="1"/>
  <c r="K2557" i="1"/>
  <c r="L2557" i="1" s="1"/>
  <c r="N2557" i="1" s="1"/>
  <c r="K2558" i="1"/>
  <c r="L2558" i="1" s="1"/>
  <c r="N2558" i="1" s="1"/>
  <c r="K2559" i="1"/>
  <c r="L2559" i="1" s="1"/>
  <c r="N2559" i="1" s="1"/>
  <c r="K2560" i="1"/>
  <c r="L2560" i="1" s="1"/>
  <c r="N2560" i="1" s="1"/>
  <c r="K2561" i="1"/>
  <c r="L2561" i="1" s="1"/>
  <c r="N2561" i="1" s="1"/>
  <c r="K2562" i="1"/>
  <c r="L2562" i="1" s="1"/>
  <c r="N2562" i="1" s="1"/>
  <c r="K2563" i="1"/>
  <c r="L2563" i="1" s="1"/>
  <c r="N2563" i="1" s="1"/>
  <c r="K2564" i="1"/>
  <c r="L2564" i="1" s="1"/>
  <c r="N2564" i="1" s="1"/>
  <c r="K2565" i="1"/>
  <c r="L2565" i="1" s="1"/>
  <c r="N2565" i="1" s="1"/>
  <c r="K2566" i="1"/>
  <c r="L2566" i="1" s="1"/>
  <c r="N2566" i="1" s="1"/>
  <c r="K2567" i="1"/>
  <c r="L2567" i="1" s="1"/>
  <c r="N2567" i="1" s="1"/>
  <c r="K2568" i="1"/>
  <c r="L2568" i="1" s="1"/>
  <c r="N2568" i="1" s="1"/>
  <c r="K2569" i="1"/>
  <c r="L2569" i="1" s="1"/>
  <c r="N2569" i="1" s="1"/>
  <c r="K2570" i="1"/>
  <c r="L2570" i="1" s="1"/>
  <c r="N2570" i="1" s="1"/>
  <c r="K2571" i="1"/>
  <c r="L2571" i="1" s="1"/>
  <c r="N2571" i="1" s="1"/>
  <c r="K2572" i="1"/>
  <c r="L2572" i="1" s="1"/>
  <c r="N2572" i="1" s="1"/>
  <c r="K2573" i="1"/>
  <c r="L2573" i="1" s="1"/>
  <c r="N2573" i="1" s="1"/>
  <c r="K2574" i="1"/>
  <c r="L2574" i="1" s="1"/>
  <c r="N2574" i="1" s="1"/>
  <c r="K2575" i="1"/>
  <c r="L2575" i="1" s="1"/>
  <c r="N2575" i="1" s="1"/>
  <c r="K2576" i="1"/>
  <c r="L2576" i="1" s="1"/>
  <c r="N2576" i="1" s="1"/>
  <c r="K2577" i="1"/>
  <c r="L2577" i="1" s="1"/>
  <c r="N2577" i="1" s="1"/>
  <c r="K2578" i="1"/>
  <c r="L2578" i="1" s="1"/>
  <c r="N2578" i="1" s="1"/>
  <c r="K2579" i="1"/>
  <c r="L2579" i="1" s="1"/>
  <c r="N2579" i="1" s="1"/>
  <c r="K2580" i="1"/>
  <c r="L2580" i="1" s="1"/>
  <c r="N2580" i="1" s="1"/>
  <c r="K2581" i="1"/>
  <c r="L2581" i="1" s="1"/>
  <c r="N2581" i="1" s="1"/>
  <c r="K2582" i="1"/>
  <c r="L2582" i="1" s="1"/>
  <c r="N2582" i="1" s="1"/>
  <c r="K2583" i="1"/>
  <c r="L2583" i="1" s="1"/>
  <c r="N2583" i="1" s="1"/>
  <c r="K2584" i="1"/>
  <c r="L2584" i="1" s="1"/>
  <c r="N2584" i="1" s="1"/>
  <c r="K2585" i="1"/>
  <c r="L2585" i="1" s="1"/>
  <c r="N2585" i="1" s="1"/>
  <c r="K2586" i="1"/>
  <c r="L2586" i="1" s="1"/>
  <c r="N2586" i="1" s="1"/>
  <c r="K2587" i="1"/>
  <c r="L2587" i="1" s="1"/>
  <c r="N2587" i="1" s="1"/>
  <c r="K2588" i="1"/>
  <c r="L2588" i="1" s="1"/>
  <c r="N2588" i="1" s="1"/>
  <c r="K2589" i="1"/>
  <c r="L2589" i="1" s="1"/>
  <c r="N2589" i="1" s="1"/>
  <c r="K2590" i="1"/>
  <c r="L2590" i="1" s="1"/>
  <c r="N2590" i="1" s="1"/>
  <c r="K2591" i="1"/>
  <c r="L2591" i="1" s="1"/>
  <c r="N2591" i="1" s="1"/>
  <c r="K2592" i="1"/>
  <c r="L2592" i="1" s="1"/>
  <c r="N2592" i="1" s="1"/>
  <c r="K2593" i="1"/>
  <c r="L2593" i="1" s="1"/>
  <c r="N2593" i="1" s="1"/>
  <c r="K2594" i="1"/>
  <c r="L2594" i="1" s="1"/>
  <c r="N2594" i="1" s="1"/>
  <c r="K2595" i="1"/>
  <c r="L2595" i="1" s="1"/>
  <c r="N2595" i="1" s="1"/>
  <c r="K2596" i="1"/>
  <c r="L2596" i="1" s="1"/>
  <c r="N2596" i="1" s="1"/>
  <c r="K2597" i="1"/>
  <c r="L2597" i="1" s="1"/>
  <c r="N2597" i="1" s="1"/>
  <c r="K2598" i="1"/>
  <c r="L2598" i="1" s="1"/>
  <c r="N2598" i="1" s="1"/>
  <c r="K2599" i="1"/>
  <c r="L2599" i="1" s="1"/>
  <c r="N2599" i="1" s="1"/>
  <c r="K2600" i="1"/>
  <c r="L2600" i="1" s="1"/>
  <c r="N2600" i="1" s="1"/>
  <c r="K2601" i="1"/>
  <c r="L2601" i="1" s="1"/>
  <c r="N2601" i="1" s="1"/>
  <c r="K2602" i="1"/>
  <c r="L2602" i="1" s="1"/>
  <c r="N2602" i="1" s="1"/>
  <c r="K2603" i="1"/>
  <c r="L2603" i="1" s="1"/>
  <c r="N2603" i="1" s="1"/>
  <c r="K2604" i="1"/>
  <c r="L2604" i="1" s="1"/>
  <c r="N2604" i="1" s="1"/>
  <c r="K2605" i="1"/>
  <c r="L2605" i="1" s="1"/>
  <c r="N2605" i="1" s="1"/>
  <c r="K2606" i="1"/>
  <c r="L2606" i="1" s="1"/>
  <c r="N2606" i="1" s="1"/>
  <c r="K2607" i="1"/>
  <c r="L2607" i="1" s="1"/>
  <c r="N2607" i="1" s="1"/>
  <c r="K2608" i="1"/>
  <c r="L2608" i="1" s="1"/>
  <c r="N2608" i="1" s="1"/>
  <c r="K2609" i="1"/>
  <c r="L2609" i="1" s="1"/>
  <c r="N2609" i="1" s="1"/>
  <c r="K2610" i="1"/>
  <c r="L2610" i="1" s="1"/>
  <c r="N2610" i="1" s="1"/>
  <c r="K2611" i="1"/>
  <c r="L2611" i="1" s="1"/>
  <c r="N2611" i="1" s="1"/>
  <c r="K2612" i="1"/>
  <c r="L2612" i="1" s="1"/>
  <c r="N2612" i="1" s="1"/>
  <c r="K2613" i="1"/>
  <c r="L2613" i="1" s="1"/>
  <c r="N2613" i="1" s="1"/>
  <c r="K2614" i="1"/>
  <c r="L2614" i="1" s="1"/>
  <c r="N2614" i="1" s="1"/>
  <c r="K2615" i="1"/>
  <c r="L2615" i="1" s="1"/>
  <c r="N2615" i="1" s="1"/>
  <c r="K2616" i="1"/>
  <c r="L2616" i="1" s="1"/>
  <c r="N2616" i="1" s="1"/>
  <c r="K2617" i="1"/>
  <c r="L2617" i="1" s="1"/>
  <c r="N2617" i="1" s="1"/>
  <c r="K2618" i="1"/>
  <c r="L2618" i="1" s="1"/>
  <c r="N2618" i="1" s="1"/>
  <c r="K2619" i="1"/>
  <c r="L2619" i="1" s="1"/>
  <c r="N2619" i="1" s="1"/>
  <c r="K2620" i="1"/>
  <c r="L2620" i="1" s="1"/>
  <c r="N2620" i="1" s="1"/>
  <c r="K2621" i="1"/>
  <c r="L2621" i="1" s="1"/>
  <c r="N2621" i="1" s="1"/>
  <c r="K2622" i="1"/>
  <c r="L2622" i="1" s="1"/>
  <c r="N2622" i="1" s="1"/>
  <c r="K2623" i="1"/>
  <c r="L2623" i="1" s="1"/>
  <c r="N2623" i="1" s="1"/>
  <c r="K2624" i="1"/>
  <c r="L2624" i="1" s="1"/>
  <c r="N2624" i="1" s="1"/>
  <c r="K2625" i="1"/>
  <c r="L2625" i="1" s="1"/>
  <c r="N2625" i="1" s="1"/>
  <c r="K2626" i="1"/>
  <c r="L2626" i="1" s="1"/>
  <c r="N2626" i="1" s="1"/>
  <c r="K2627" i="1"/>
  <c r="L2627" i="1" s="1"/>
  <c r="N2627" i="1" s="1"/>
  <c r="K2628" i="1"/>
  <c r="L2628" i="1" s="1"/>
  <c r="N2628" i="1" s="1"/>
  <c r="K2629" i="1"/>
  <c r="L2629" i="1" s="1"/>
  <c r="N2629" i="1" s="1"/>
  <c r="K2630" i="1"/>
  <c r="L2630" i="1" s="1"/>
  <c r="N2630" i="1" s="1"/>
  <c r="K2631" i="1"/>
  <c r="L2631" i="1" s="1"/>
  <c r="N2631" i="1" s="1"/>
  <c r="K2632" i="1"/>
  <c r="L2632" i="1" s="1"/>
  <c r="N2632" i="1" s="1"/>
  <c r="K2633" i="1"/>
  <c r="L2633" i="1" s="1"/>
  <c r="N2633" i="1" s="1"/>
  <c r="K2634" i="1"/>
  <c r="L2634" i="1" s="1"/>
  <c r="N2634" i="1" s="1"/>
  <c r="K2635" i="1"/>
  <c r="L2635" i="1" s="1"/>
  <c r="N2635" i="1" s="1"/>
  <c r="K2636" i="1"/>
  <c r="L2636" i="1" s="1"/>
  <c r="N2636" i="1" s="1"/>
  <c r="K2637" i="1"/>
  <c r="L2637" i="1" s="1"/>
  <c r="N2637" i="1" s="1"/>
  <c r="K2638" i="1"/>
  <c r="L2638" i="1" s="1"/>
  <c r="N2638" i="1" s="1"/>
  <c r="K2639" i="1"/>
  <c r="L2639" i="1" s="1"/>
  <c r="N2639" i="1" s="1"/>
  <c r="K2640" i="1"/>
  <c r="L2640" i="1" s="1"/>
  <c r="N2640" i="1" s="1"/>
  <c r="K2641" i="1"/>
  <c r="L2641" i="1" s="1"/>
  <c r="N2641" i="1" s="1"/>
  <c r="K2642" i="1"/>
  <c r="L2642" i="1" s="1"/>
  <c r="N2642" i="1" s="1"/>
  <c r="K2643" i="1"/>
  <c r="L2643" i="1" s="1"/>
  <c r="N2643" i="1" s="1"/>
  <c r="K2644" i="1"/>
  <c r="L2644" i="1" s="1"/>
  <c r="N2644" i="1" s="1"/>
  <c r="K2645" i="1"/>
  <c r="L2645" i="1" s="1"/>
  <c r="N2645" i="1" s="1"/>
  <c r="K2646" i="1"/>
  <c r="L2646" i="1" s="1"/>
  <c r="N2646" i="1" s="1"/>
  <c r="K2647" i="1"/>
  <c r="L2647" i="1" s="1"/>
  <c r="N2647" i="1" s="1"/>
  <c r="K2648" i="1"/>
  <c r="L2648" i="1" s="1"/>
  <c r="N2648" i="1" s="1"/>
  <c r="K2649" i="1"/>
  <c r="L2649" i="1" s="1"/>
  <c r="N2649" i="1" s="1"/>
  <c r="K2650" i="1"/>
  <c r="L2650" i="1" s="1"/>
  <c r="N2650" i="1" s="1"/>
  <c r="K2651" i="1"/>
  <c r="L2651" i="1" s="1"/>
  <c r="N2651" i="1" s="1"/>
  <c r="K2652" i="1"/>
  <c r="L2652" i="1" s="1"/>
  <c r="N2652" i="1" s="1"/>
  <c r="K2653" i="1"/>
  <c r="L2653" i="1" s="1"/>
  <c r="N2653" i="1" s="1"/>
  <c r="K2654" i="1"/>
  <c r="L2654" i="1" s="1"/>
  <c r="N2654" i="1" s="1"/>
  <c r="K2655" i="1"/>
  <c r="L2655" i="1" s="1"/>
  <c r="N2655" i="1" s="1"/>
  <c r="K2656" i="1"/>
  <c r="L2656" i="1" s="1"/>
  <c r="N2656" i="1" s="1"/>
  <c r="K2657" i="1"/>
  <c r="L2657" i="1" s="1"/>
  <c r="N2657" i="1" s="1"/>
  <c r="K2658" i="1"/>
  <c r="L2658" i="1" s="1"/>
  <c r="N2658" i="1" s="1"/>
  <c r="K2659" i="1"/>
  <c r="L2659" i="1" s="1"/>
  <c r="N2659" i="1" s="1"/>
  <c r="K2660" i="1"/>
  <c r="L2660" i="1" s="1"/>
  <c r="N2660" i="1" s="1"/>
  <c r="K2661" i="1"/>
  <c r="L2661" i="1" s="1"/>
  <c r="N2661" i="1" s="1"/>
  <c r="K2662" i="1"/>
  <c r="L2662" i="1" s="1"/>
  <c r="N2662" i="1" s="1"/>
  <c r="K2663" i="1"/>
  <c r="L2663" i="1" s="1"/>
  <c r="N2663" i="1" s="1"/>
  <c r="K2664" i="1"/>
  <c r="L2664" i="1" s="1"/>
  <c r="N2664" i="1" s="1"/>
  <c r="K2665" i="1"/>
  <c r="L2665" i="1" s="1"/>
  <c r="N2665" i="1" s="1"/>
  <c r="K2666" i="1"/>
  <c r="L2666" i="1" s="1"/>
  <c r="N2666" i="1" s="1"/>
  <c r="K2667" i="1"/>
  <c r="L2667" i="1" s="1"/>
  <c r="N2667" i="1" s="1"/>
  <c r="K2668" i="1"/>
  <c r="L2668" i="1" s="1"/>
  <c r="N2668" i="1" s="1"/>
  <c r="K2669" i="1"/>
  <c r="L2669" i="1" s="1"/>
  <c r="N2669" i="1" s="1"/>
  <c r="K2670" i="1"/>
  <c r="L2670" i="1" s="1"/>
  <c r="N2670" i="1" s="1"/>
  <c r="K2671" i="1"/>
  <c r="L2671" i="1" s="1"/>
  <c r="N2671" i="1" s="1"/>
  <c r="K2672" i="1"/>
  <c r="L2672" i="1" s="1"/>
  <c r="N2672" i="1" s="1"/>
  <c r="K2673" i="1"/>
  <c r="L2673" i="1" s="1"/>
  <c r="N2673" i="1" s="1"/>
  <c r="K2674" i="1"/>
  <c r="L2674" i="1" s="1"/>
  <c r="N2674" i="1" s="1"/>
  <c r="K2675" i="1"/>
  <c r="L2675" i="1" s="1"/>
  <c r="N2675" i="1" s="1"/>
  <c r="K2676" i="1"/>
  <c r="L2676" i="1" s="1"/>
  <c r="N2676" i="1" s="1"/>
  <c r="K2677" i="1"/>
  <c r="L2677" i="1" s="1"/>
  <c r="N2677" i="1" s="1"/>
  <c r="K2678" i="1"/>
  <c r="L2678" i="1" s="1"/>
  <c r="N2678" i="1" s="1"/>
  <c r="K2679" i="1"/>
  <c r="L2679" i="1" s="1"/>
  <c r="N2679" i="1" s="1"/>
  <c r="K2680" i="1"/>
  <c r="L2680" i="1" s="1"/>
  <c r="N2680" i="1" s="1"/>
  <c r="K2681" i="1"/>
  <c r="L2681" i="1" s="1"/>
  <c r="N2681" i="1" s="1"/>
  <c r="K2682" i="1"/>
  <c r="L2682" i="1" s="1"/>
  <c r="N2682" i="1" s="1"/>
  <c r="K2683" i="1"/>
  <c r="L2683" i="1" s="1"/>
  <c r="N2683" i="1" s="1"/>
  <c r="K2684" i="1"/>
  <c r="L2684" i="1" s="1"/>
  <c r="N2684" i="1" s="1"/>
  <c r="K2685" i="1"/>
  <c r="L2685" i="1" s="1"/>
  <c r="N2685" i="1" s="1"/>
  <c r="K2686" i="1"/>
  <c r="L2686" i="1" s="1"/>
  <c r="N2686" i="1" s="1"/>
  <c r="K2687" i="1"/>
  <c r="L2687" i="1" s="1"/>
  <c r="N2687" i="1" s="1"/>
  <c r="K2688" i="1"/>
  <c r="L2688" i="1" s="1"/>
  <c r="N2688" i="1" s="1"/>
  <c r="K2689" i="1"/>
  <c r="L2689" i="1" s="1"/>
  <c r="N2689" i="1" s="1"/>
  <c r="K2690" i="1"/>
  <c r="L2690" i="1" s="1"/>
  <c r="N2690" i="1" s="1"/>
  <c r="K2691" i="1"/>
  <c r="L2691" i="1" s="1"/>
  <c r="N2691" i="1" s="1"/>
  <c r="K2692" i="1"/>
  <c r="L2692" i="1" s="1"/>
  <c r="N2692" i="1" s="1"/>
  <c r="K2693" i="1"/>
  <c r="L2693" i="1" s="1"/>
  <c r="N2693" i="1" s="1"/>
  <c r="K2694" i="1"/>
  <c r="L2694" i="1" s="1"/>
  <c r="N2694" i="1" s="1"/>
  <c r="K2695" i="1"/>
  <c r="L2695" i="1" s="1"/>
  <c r="N2695" i="1" s="1"/>
  <c r="K2696" i="1"/>
  <c r="L2696" i="1" s="1"/>
  <c r="N2696" i="1" s="1"/>
  <c r="K2697" i="1"/>
  <c r="L2697" i="1" s="1"/>
  <c r="N2697" i="1" s="1"/>
  <c r="K2698" i="1"/>
  <c r="L2698" i="1" s="1"/>
  <c r="N2698" i="1" s="1"/>
  <c r="K2699" i="1"/>
  <c r="L2699" i="1" s="1"/>
  <c r="N2699" i="1" s="1"/>
  <c r="K2700" i="1"/>
  <c r="L2700" i="1" s="1"/>
  <c r="N2700" i="1" s="1"/>
  <c r="K2701" i="1"/>
  <c r="L2701" i="1" s="1"/>
  <c r="N2701" i="1" s="1"/>
  <c r="K2702" i="1"/>
  <c r="L2702" i="1" s="1"/>
  <c r="N2702" i="1" s="1"/>
  <c r="K2703" i="1"/>
  <c r="L2703" i="1" s="1"/>
  <c r="N2703" i="1" s="1"/>
  <c r="K2704" i="1"/>
  <c r="L2704" i="1" s="1"/>
  <c r="N2704" i="1" s="1"/>
  <c r="K2705" i="1"/>
  <c r="L2705" i="1" s="1"/>
  <c r="N2705" i="1" s="1"/>
  <c r="K2706" i="1"/>
  <c r="L2706" i="1" s="1"/>
  <c r="N2706" i="1" s="1"/>
  <c r="K2707" i="1"/>
  <c r="L2707" i="1" s="1"/>
  <c r="N2707" i="1" s="1"/>
  <c r="K2708" i="1"/>
  <c r="L2708" i="1" s="1"/>
  <c r="N2708" i="1" s="1"/>
  <c r="K2709" i="1"/>
  <c r="L2709" i="1" s="1"/>
  <c r="N2709" i="1" s="1"/>
  <c r="K2710" i="1"/>
  <c r="L2710" i="1" s="1"/>
  <c r="N2710" i="1" s="1"/>
  <c r="K2711" i="1"/>
  <c r="L2711" i="1" s="1"/>
  <c r="N2711" i="1" s="1"/>
  <c r="K2712" i="1"/>
  <c r="L2712" i="1" s="1"/>
  <c r="N2712" i="1" s="1"/>
  <c r="K2713" i="1"/>
  <c r="L2713" i="1" s="1"/>
  <c r="N2713" i="1" s="1"/>
  <c r="K2714" i="1"/>
  <c r="L2714" i="1" s="1"/>
  <c r="N2714" i="1" s="1"/>
  <c r="K2715" i="1"/>
  <c r="L2715" i="1" s="1"/>
  <c r="N2715" i="1" s="1"/>
  <c r="K2716" i="1"/>
  <c r="L2716" i="1" s="1"/>
  <c r="N2716" i="1" s="1"/>
  <c r="K2717" i="1"/>
  <c r="L2717" i="1" s="1"/>
  <c r="N2717" i="1" s="1"/>
  <c r="K2718" i="1"/>
  <c r="L2718" i="1" s="1"/>
  <c r="N2718" i="1" s="1"/>
  <c r="K2719" i="1"/>
  <c r="L2719" i="1" s="1"/>
  <c r="N2719" i="1" s="1"/>
  <c r="K2720" i="1"/>
  <c r="L2720" i="1" s="1"/>
  <c r="N2720" i="1" s="1"/>
  <c r="K2721" i="1"/>
  <c r="L2721" i="1" s="1"/>
  <c r="N2721" i="1" s="1"/>
  <c r="K2722" i="1"/>
  <c r="L2722" i="1" s="1"/>
  <c r="N2722" i="1" s="1"/>
  <c r="K2723" i="1"/>
  <c r="L2723" i="1" s="1"/>
  <c r="N2723" i="1" s="1"/>
  <c r="K2724" i="1"/>
  <c r="L2724" i="1" s="1"/>
  <c r="N2724" i="1" s="1"/>
  <c r="K2725" i="1"/>
  <c r="L2725" i="1" s="1"/>
  <c r="N2725" i="1" s="1"/>
  <c r="K2726" i="1"/>
  <c r="L2726" i="1" s="1"/>
  <c r="N2726" i="1" s="1"/>
  <c r="K2727" i="1"/>
  <c r="L2727" i="1" s="1"/>
  <c r="N2727" i="1" s="1"/>
  <c r="K2728" i="1"/>
  <c r="L2728" i="1" s="1"/>
  <c r="N2728" i="1" s="1"/>
  <c r="K2729" i="1"/>
  <c r="L2729" i="1" s="1"/>
  <c r="N2729" i="1" s="1"/>
  <c r="K2730" i="1"/>
  <c r="L2730" i="1" s="1"/>
  <c r="N2730" i="1" s="1"/>
  <c r="K2731" i="1"/>
  <c r="L2731" i="1" s="1"/>
  <c r="N2731" i="1" s="1"/>
  <c r="K2732" i="1"/>
  <c r="L2732" i="1" s="1"/>
  <c r="N2732" i="1" s="1"/>
  <c r="K2733" i="1"/>
  <c r="L2733" i="1" s="1"/>
  <c r="N2733" i="1" s="1"/>
  <c r="K2734" i="1"/>
  <c r="L2734" i="1" s="1"/>
  <c r="N2734" i="1" s="1"/>
  <c r="K2735" i="1"/>
  <c r="L2735" i="1" s="1"/>
  <c r="N2735" i="1" s="1"/>
  <c r="K2736" i="1"/>
  <c r="L2736" i="1" s="1"/>
  <c r="N2736" i="1" s="1"/>
  <c r="K2737" i="1"/>
  <c r="L2737" i="1" s="1"/>
  <c r="N2737" i="1" s="1"/>
  <c r="K2738" i="1"/>
  <c r="L2738" i="1" s="1"/>
  <c r="N2738" i="1" s="1"/>
  <c r="K2739" i="1"/>
  <c r="L2739" i="1" s="1"/>
  <c r="N2739" i="1" s="1"/>
  <c r="K2740" i="1"/>
  <c r="L2740" i="1" s="1"/>
  <c r="N2740" i="1" s="1"/>
  <c r="K2741" i="1"/>
  <c r="L2741" i="1" s="1"/>
  <c r="N2741" i="1" s="1"/>
  <c r="K2742" i="1"/>
  <c r="L2742" i="1" s="1"/>
  <c r="N2742" i="1" s="1"/>
  <c r="K2743" i="1"/>
  <c r="L2743" i="1" s="1"/>
  <c r="N2743" i="1" s="1"/>
  <c r="K2744" i="1"/>
  <c r="L2744" i="1" s="1"/>
  <c r="N2744" i="1" s="1"/>
  <c r="K2745" i="1"/>
  <c r="L2745" i="1" s="1"/>
  <c r="N2745" i="1" s="1"/>
  <c r="K2746" i="1"/>
  <c r="L2746" i="1" s="1"/>
  <c r="N2746" i="1" s="1"/>
  <c r="K2747" i="1"/>
  <c r="L2747" i="1" s="1"/>
  <c r="N2747" i="1" s="1"/>
  <c r="K2748" i="1"/>
  <c r="L2748" i="1" s="1"/>
  <c r="N2748" i="1" s="1"/>
  <c r="K2749" i="1"/>
  <c r="L2749" i="1" s="1"/>
  <c r="N2749" i="1" s="1"/>
  <c r="K2750" i="1"/>
  <c r="L2750" i="1" s="1"/>
  <c r="N2750" i="1" s="1"/>
  <c r="K2751" i="1"/>
  <c r="L2751" i="1" s="1"/>
  <c r="N2751" i="1" s="1"/>
  <c r="K2752" i="1"/>
  <c r="L2752" i="1" s="1"/>
  <c r="N2752" i="1" s="1"/>
  <c r="K2753" i="1"/>
  <c r="L2753" i="1" s="1"/>
  <c r="N2753" i="1" s="1"/>
  <c r="K2754" i="1"/>
  <c r="L2754" i="1" s="1"/>
  <c r="N2754" i="1" s="1"/>
  <c r="K2755" i="1"/>
  <c r="L2755" i="1" s="1"/>
  <c r="N2755" i="1" s="1"/>
  <c r="K2756" i="1"/>
  <c r="L2756" i="1" s="1"/>
  <c r="N2756" i="1" s="1"/>
  <c r="K2757" i="1"/>
  <c r="L2757" i="1" s="1"/>
  <c r="N2757" i="1" s="1"/>
  <c r="K2758" i="1"/>
  <c r="L2758" i="1" s="1"/>
  <c r="N2758" i="1" s="1"/>
  <c r="K2759" i="1"/>
  <c r="L2759" i="1" s="1"/>
  <c r="N2759" i="1" s="1"/>
  <c r="K2760" i="1"/>
  <c r="L2760" i="1" s="1"/>
  <c r="N2760" i="1" s="1"/>
  <c r="K2761" i="1"/>
  <c r="L2761" i="1" s="1"/>
  <c r="N2761" i="1" s="1"/>
  <c r="K2762" i="1"/>
  <c r="L2762" i="1" s="1"/>
  <c r="N2762" i="1" s="1"/>
  <c r="K2763" i="1"/>
  <c r="L2763" i="1" s="1"/>
  <c r="N2763" i="1" s="1"/>
  <c r="K2764" i="1"/>
  <c r="L2764" i="1" s="1"/>
  <c r="N2764" i="1" s="1"/>
  <c r="K2765" i="1"/>
  <c r="L2765" i="1" s="1"/>
  <c r="N2765" i="1" s="1"/>
  <c r="K2766" i="1"/>
  <c r="L2766" i="1" s="1"/>
  <c r="N2766" i="1" s="1"/>
  <c r="K2767" i="1"/>
  <c r="L2767" i="1" s="1"/>
  <c r="N2767" i="1" s="1"/>
  <c r="K2768" i="1"/>
  <c r="L2768" i="1" s="1"/>
  <c r="N2768" i="1" s="1"/>
  <c r="K2769" i="1"/>
  <c r="L2769" i="1" s="1"/>
  <c r="N2769" i="1" s="1"/>
  <c r="K2770" i="1"/>
  <c r="L2770" i="1" s="1"/>
  <c r="N2770" i="1" s="1"/>
  <c r="K2771" i="1"/>
  <c r="L2771" i="1" s="1"/>
  <c r="N2771" i="1" s="1"/>
  <c r="K2772" i="1"/>
  <c r="L2772" i="1" s="1"/>
  <c r="N2772" i="1" s="1"/>
  <c r="K2773" i="1"/>
  <c r="L2773" i="1" s="1"/>
  <c r="N2773" i="1" s="1"/>
  <c r="K2774" i="1"/>
  <c r="L2774" i="1" s="1"/>
  <c r="N2774" i="1" s="1"/>
  <c r="K2775" i="1"/>
  <c r="L2775" i="1" s="1"/>
  <c r="N2775" i="1" s="1"/>
  <c r="K2776" i="1"/>
  <c r="L2776" i="1" s="1"/>
  <c r="N2776" i="1" s="1"/>
  <c r="K2777" i="1"/>
  <c r="L2777" i="1" s="1"/>
  <c r="N2777" i="1" s="1"/>
  <c r="K2778" i="1"/>
  <c r="L2778" i="1" s="1"/>
  <c r="N2778" i="1" s="1"/>
  <c r="K2779" i="1"/>
  <c r="L2779" i="1" s="1"/>
  <c r="N2779" i="1" s="1"/>
  <c r="K2780" i="1"/>
  <c r="L2780" i="1" s="1"/>
  <c r="N2780" i="1" s="1"/>
  <c r="K2781" i="1"/>
  <c r="L2781" i="1" s="1"/>
  <c r="N2781" i="1" s="1"/>
  <c r="K2782" i="1"/>
  <c r="L2782" i="1" s="1"/>
  <c r="N2782" i="1" s="1"/>
  <c r="K2783" i="1"/>
  <c r="L2783" i="1" s="1"/>
  <c r="N2783" i="1" s="1"/>
  <c r="K2784" i="1"/>
  <c r="L2784" i="1" s="1"/>
  <c r="N2784" i="1" s="1"/>
  <c r="K2785" i="1"/>
  <c r="L2785" i="1" s="1"/>
  <c r="N2785" i="1" s="1"/>
  <c r="K2786" i="1"/>
  <c r="L2786" i="1" s="1"/>
  <c r="N2786" i="1" s="1"/>
  <c r="K2787" i="1"/>
  <c r="L2787" i="1" s="1"/>
  <c r="N2787" i="1" s="1"/>
  <c r="K2788" i="1"/>
  <c r="L2788" i="1" s="1"/>
  <c r="N2788" i="1" s="1"/>
  <c r="K2789" i="1"/>
  <c r="L2789" i="1" s="1"/>
  <c r="N2789" i="1" s="1"/>
  <c r="K2790" i="1"/>
  <c r="L2790" i="1" s="1"/>
  <c r="N2790" i="1" s="1"/>
  <c r="K2791" i="1"/>
  <c r="L2791" i="1" s="1"/>
  <c r="N2791" i="1" s="1"/>
  <c r="K2792" i="1"/>
  <c r="L2792" i="1" s="1"/>
  <c r="N2792" i="1" s="1"/>
  <c r="K2793" i="1"/>
  <c r="L2793" i="1" s="1"/>
  <c r="N2793" i="1" s="1"/>
  <c r="K2794" i="1"/>
  <c r="L2794" i="1" s="1"/>
  <c r="N2794" i="1" s="1"/>
  <c r="K2795" i="1"/>
  <c r="L2795" i="1" s="1"/>
  <c r="N2795" i="1" s="1"/>
  <c r="K2796" i="1"/>
  <c r="L2796" i="1" s="1"/>
  <c r="N2796" i="1" s="1"/>
  <c r="K2797" i="1"/>
  <c r="L2797" i="1" s="1"/>
  <c r="N2797" i="1" s="1"/>
  <c r="K2798" i="1"/>
  <c r="L2798" i="1" s="1"/>
  <c r="N2798" i="1" s="1"/>
  <c r="K2799" i="1"/>
  <c r="L2799" i="1" s="1"/>
  <c r="N2799" i="1" s="1"/>
  <c r="K2800" i="1"/>
  <c r="L2800" i="1" s="1"/>
  <c r="N2800" i="1" s="1"/>
  <c r="K2801" i="1"/>
  <c r="L2801" i="1" s="1"/>
  <c r="N2801" i="1" s="1"/>
  <c r="K2802" i="1"/>
  <c r="L2802" i="1" s="1"/>
  <c r="N2802" i="1" s="1"/>
  <c r="K2803" i="1"/>
  <c r="L2803" i="1" s="1"/>
  <c r="N2803" i="1" s="1"/>
  <c r="K2804" i="1"/>
  <c r="L2804" i="1" s="1"/>
  <c r="N2804" i="1" s="1"/>
  <c r="K2805" i="1"/>
  <c r="L2805" i="1" s="1"/>
  <c r="N2805" i="1" s="1"/>
  <c r="K2806" i="1"/>
  <c r="L2806" i="1" s="1"/>
  <c r="N2806" i="1" s="1"/>
  <c r="K2807" i="1"/>
  <c r="L2807" i="1" s="1"/>
  <c r="N2807" i="1" s="1"/>
  <c r="K2808" i="1"/>
  <c r="L2808" i="1" s="1"/>
  <c r="N2808" i="1" s="1"/>
  <c r="K2809" i="1"/>
  <c r="L2809" i="1" s="1"/>
  <c r="N2809" i="1" s="1"/>
  <c r="K2810" i="1"/>
  <c r="L2810" i="1" s="1"/>
  <c r="N2810" i="1" s="1"/>
  <c r="K2811" i="1"/>
  <c r="L2811" i="1" s="1"/>
  <c r="N2811" i="1" s="1"/>
  <c r="K2812" i="1"/>
  <c r="L2812" i="1" s="1"/>
  <c r="N2812" i="1" s="1"/>
  <c r="K2813" i="1"/>
  <c r="L2813" i="1" s="1"/>
  <c r="N2813" i="1" s="1"/>
  <c r="K2814" i="1"/>
  <c r="L2814" i="1" s="1"/>
  <c r="N2814" i="1" s="1"/>
  <c r="K2815" i="1"/>
  <c r="L2815" i="1" s="1"/>
  <c r="N2815" i="1" s="1"/>
  <c r="K2816" i="1"/>
  <c r="L2816" i="1" s="1"/>
  <c r="N2816" i="1" s="1"/>
  <c r="K2817" i="1"/>
  <c r="L2817" i="1" s="1"/>
  <c r="N2817" i="1" s="1"/>
  <c r="K2818" i="1"/>
  <c r="L2818" i="1" s="1"/>
  <c r="N2818" i="1" s="1"/>
  <c r="K2819" i="1"/>
  <c r="L2819" i="1" s="1"/>
  <c r="N2819" i="1" s="1"/>
  <c r="K2820" i="1"/>
  <c r="L2820" i="1" s="1"/>
  <c r="N2820" i="1" s="1"/>
  <c r="K2821" i="1"/>
  <c r="L2821" i="1" s="1"/>
  <c r="N2821" i="1" s="1"/>
  <c r="K2822" i="1"/>
  <c r="L2822" i="1" s="1"/>
  <c r="N2822" i="1" s="1"/>
  <c r="K2823" i="1"/>
  <c r="L2823" i="1" s="1"/>
  <c r="N2823" i="1" s="1"/>
  <c r="K2824" i="1"/>
  <c r="L2824" i="1" s="1"/>
  <c r="N2824" i="1" s="1"/>
  <c r="K2825" i="1"/>
  <c r="L2825" i="1" s="1"/>
  <c r="N2825" i="1" s="1"/>
  <c r="K2826" i="1"/>
  <c r="L2826" i="1" s="1"/>
  <c r="N2826" i="1" s="1"/>
  <c r="K2827" i="1"/>
  <c r="L2827" i="1" s="1"/>
  <c r="N2827" i="1" s="1"/>
  <c r="K2828" i="1"/>
  <c r="L2828" i="1" s="1"/>
  <c r="N2828" i="1" s="1"/>
  <c r="K2829" i="1"/>
  <c r="L2829" i="1" s="1"/>
  <c r="N2829" i="1" s="1"/>
  <c r="K2830" i="1"/>
  <c r="L2830" i="1" s="1"/>
  <c r="N2830" i="1" s="1"/>
  <c r="K2831" i="1"/>
  <c r="L2831" i="1" s="1"/>
  <c r="N2831" i="1" s="1"/>
  <c r="K2832" i="1"/>
  <c r="L2832" i="1" s="1"/>
  <c r="N2832" i="1" s="1"/>
  <c r="K2833" i="1"/>
  <c r="L2833" i="1" s="1"/>
  <c r="N2833" i="1" s="1"/>
  <c r="K2834" i="1"/>
  <c r="L2834" i="1" s="1"/>
  <c r="N2834" i="1" s="1"/>
  <c r="K2835" i="1"/>
  <c r="L2835" i="1" s="1"/>
  <c r="N2835" i="1" s="1"/>
  <c r="K2836" i="1"/>
  <c r="L2836" i="1" s="1"/>
  <c r="N2836" i="1" s="1"/>
  <c r="K2837" i="1"/>
  <c r="L2837" i="1" s="1"/>
  <c r="N2837" i="1" s="1"/>
  <c r="K2838" i="1"/>
  <c r="L2838" i="1" s="1"/>
  <c r="N2838" i="1" s="1"/>
  <c r="K2839" i="1"/>
  <c r="L2839" i="1" s="1"/>
  <c r="N2839" i="1" s="1"/>
  <c r="K2840" i="1"/>
  <c r="L2840" i="1" s="1"/>
  <c r="N2840" i="1" s="1"/>
  <c r="K2841" i="1"/>
  <c r="L2841" i="1" s="1"/>
  <c r="N2841" i="1" s="1"/>
  <c r="K2842" i="1"/>
  <c r="L2842" i="1" s="1"/>
  <c r="N2842" i="1" s="1"/>
  <c r="K2843" i="1"/>
  <c r="L2843" i="1" s="1"/>
  <c r="N2843" i="1" s="1"/>
  <c r="K2844" i="1"/>
  <c r="L2844" i="1" s="1"/>
  <c r="N2844" i="1" s="1"/>
  <c r="K2845" i="1"/>
  <c r="L2845" i="1" s="1"/>
  <c r="N2845" i="1" s="1"/>
  <c r="K2846" i="1"/>
  <c r="L2846" i="1" s="1"/>
  <c r="N2846" i="1" s="1"/>
  <c r="K2847" i="1"/>
  <c r="L2847" i="1" s="1"/>
  <c r="N2847" i="1" s="1"/>
  <c r="K2848" i="1"/>
  <c r="L2848" i="1" s="1"/>
  <c r="N2848" i="1" s="1"/>
  <c r="K2849" i="1"/>
  <c r="L2849" i="1" s="1"/>
  <c r="N2849" i="1" s="1"/>
  <c r="K2850" i="1"/>
  <c r="L2850" i="1" s="1"/>
  <c r="N2850" i="1" s="1"/>
  <c r="K2851" i="1"/>
  <c r="L2851" i="1" s="1"/>
  <c r="N2851" i="1" s="1"/>
  <c r="K2852" i="1"/>
  <c r="L2852" i="1" s="1"/>
  <c r="N2852" i="1" s="1"/>
  <c r="K2853" i="1"/>
  <c r="L2853" i="1" s="1"/>
  <c r="N2853" i="1" s="1"/>
  <c r="K2854" i="1"/>
  <c r="L2854" i="1" s="1"/>
  <c r="N2854" i="1" s="1"/>
  <c r="K2855" i="1"/>
  <c r="L2855" i="1" s="1"/>
  <c r="N2855" i="1" s="1"/>
  <c r="K2856" i="1"/>
  <c r="L2856" i="1" s="1"/>
  <c r="N2856" i="1" s="1"/>
  <c r="K2857" i="1"/>
  <c r="L2857" i="1" s="1"/>
  <c r="N2857" i="1" s="1"/>
  <c r="K2858" i="1"/>
  <c r="L2858" i="1" s="1"/>
  <c r="N2858" i="1" s="1"/>
  <c r="K2859" i="1"/>
  <c r="L2859" i="1" s="1"/>
  <c r="N2859" i="1" s="1"/>
  <c r="K2860" i="1"/>
  <c r="L2860" i="1" s="1"/>
  <c r="N2860" i="1" s="1"/>
  <c r="K2861" i="1"/>
  <c r="L2861" i="1" s="1"/>
  <c r="N2861" i="1" s="1"/>
  <c r="K2862" i="1"/>
  <c r="L2862" i="1" s="1"/>
  <c r="N2862" i="1" s="1"/>
  <c r="K2863" i="1"/>
  <c r="L2863" i="1" s="1"/>
  <c r="N2863" i="1" s="1"/>
  <c r="K2864" i="1"/>
  <c r="L2864" i="1" s="1"/>
  <c r="N2864" i="1" s="1"/>
  <c r="K2865" i="1"/>
  <c r="L2865" i="1" s="1"/>
  <c r="N2865" i="1" s="1"/>
  <c r="K2866" i="1"/>
  <c r="L2866" i="1" s="1"/>
  <c r="N2866" i="1" s="1"/>
  <c r="K2867" i="1"/>
  <c r="L2867" i="1" s="1"/>
  <c r="N2867" i="1" s="1"/>
  <c r="K2868" i="1"/>
  <c r="L2868" i="1" s="1"/>
  <c r="N2868" i="1" s="1"/>
  <c r="K2869" i="1"/>
  <c r="L2869" i="1" s="1"/>
  <c r="N2869" i="1" s="1"/>
  <c r="K2870" i="1"/>
  <c r="L2870" i="1" s="1"/>
  <c r="N2870" i="1" s="1"/>
  <c r="K2871" i="1"/>
  <c r="L2871" i="1" s="1"/>
  <c r="N2871" i="1" s="1"/>
  <c r="K2872" i="1"/>
  <c r="L2872" i="1" s="1"/>
  <c r="N2872" i="1" s="1"/>
  <c r="K2873" i="1"/>
  <c r="L2873" i="1" s="1"/>
  <c r="N2873" i="1" s="1"/>
  <c r="K2874" i="1"/>
  <c r="L2874" i="1" s="1"/>
  <c r="N2874" i="1" s="1"/>
  <c r="K2875" i="1"/>
  <c r="L2875" i="1" s="1"/>
  <c r="N2875" i="1" s="1"/>
  <c r="K2876" i="1"/>
  <c r="L2876" i="1" s="1"/>
  <c r="N2876" i="1" s="1"/>
  <c r="K2877" i="1"/>
  <c r="L2877" i="1" s="1"/>
  <c r="N2877" i="1" s="1"/>
  <c r="K2878" i="1"/>
  <c r="L2878" i="1" s="1"/>
  <c r="N2878" i="1" s="1"/>
  <c r="K2879" i="1"/>
  <c r="L2879" i="1" s="1"/>
  <c r="N2879" i="1" s="1"/>
  <c r="K2880" i="1"/>
  <c r="L2880" i="1" s="1"/>
  <c r="N2880" i="1" s="1"/>
  <c r="K2881" i="1"/>
  <c r="L2881" i="1" s="1"/>
  <c r="N2881" i="1" s="1"/>
  <c r="K2882" i="1"/>
  <c r="L2882" i="1" s="1"/>
  <c r="N2882" i="1" s="1"/>
  <c r="K2883" i="1"/>
  <c r="L2883" i="1" s="1"/>
  <c r="N2883" i="1" s="1"/>
  <c r="K2884" i="1"/>
  <c r="L2884" i="1" s="1"/>
  <c r="N2884" i="1" s="1"/>
  <c r="K2885" i="1"/>
  <c r="L2885" i="1" s="1"/>
  <c r="N2885" i="1" s="1"/>
  <c r="K2886" i="1"/>
  <c r="L2886" i="1" s="1"/>
  <c r="N2886" i="1" s="1"/>
  <c r="K2887" i="1"/>
  <c r="L2887" i="1" s="1"/>
  <c r="N2887" i="1" s="1"/>
  <c r="K2888" i="1"/>
  <c r="L2888" i="1" s="1"/>
  <c r="N2888" i="1" s="1"/>
  <c r="K2889" i="1"/>
  <c r="L2889" i="1" s="1"/>
  <c r="N2889" i="1" s="1"/>
  <c r="K2890" i="1"/>
  <c r="L2890" i="1" s="1"/>
  <c r="N2890" i="1" s="1"/>
  <c r="K2891" i="1"/>
  <c r="L2891" i="1" s="1"/>
  <c r="N2891" i="1" s="1"/>
  <c r="K2892" i="1"/>
  <c r="L2892" i="1" s="1"/>
  <c r="N2892" i="1" s="1"/>
  <c r="K2893" i="1"/>
  <c r="L2893" i="1" s="1"/>
  <c r="N2893" i="1" s="1"/>
  <c r="K2894" i="1"/>
  <c r="L2894" i="1" s="1"/>
  <c r="N2894" i="1" s="1"/>
  <c r="K2895" i="1"/>
  <c r="L2895" i="1" s="1"/>
  <c r="N2895" i="1" s="1"/>
  <c r="K2896" i="1"/>
  <c r="L2896" i="1" s="1"/>
  <c r="N2896" i="1" s="1"/>
  <c r="K2897" i="1"/>
  <c r="L2897" i="1" s="1"/>
  <c r="N2897" i="1" s="1"/>
  <c r="K2898" i="1"/>
  <c r="L2898" i="1" s="1"/>
  <c r="N2898" i="1" s="1"/>
  <c r="K2899" i="1"/>
  <c r="L2899" i="1" s="1"/>
  <c r="N2899" i="1" s="1"/>
  <c r="K2900" i="1"/>
  <c r="L2900" i="1" s="1"/>
  <c r="N2900" i="1" s="1"/>
  <c r="K2901" i="1"/>
  <c r="L2901" i="1" s="1"/>
  <c r="N2901" i="1" s="1"/>
  <c r="K2902" i="1"/>
  <c r="L2902" i="1" s="1"/>
  <c r="N2902" i="1" s="1"/>
  <c r="K2903" i="1"/>
  <c r="L2903" i="1" s="1"/>
  <c r="N2903" i="1" s="1"/>
  <c r="K2904" i="1"/>
  <c r="L2904" i="1" s="1"/>
  <c r="N2904" i="1" s="1"/>
  <c r="K2905" i="1"/>
  <c r="L2905" i="1" s="1"/>
  <c r="N2905" i="1" s="1"/>
  <c r="K2906" i="1"/>
  <c r="L2906" i="1" s="1"/>
  <c r="N2906" i="1" s="1"/>
  <c r="K2907" i="1"/>
  <c r="L2907" i="1" s="1"/>
  <c r="N2907" i="1" s="1"/>
  <c r="K2908" i="1"/>
  <c r="L2908" i="1" s="1"/>
  <c r="N2908" i="1" s="1"/>
  <c r="K2909" i="1"/>
  <c r="L2909" i="1" s="1"/>
  <c r="N2909" i="1" s="1"/>
  <c r="K2910" i="1"/>
  <c r="L2910" i="1" s="1"/>
  <c r="N2910" i="1" s="1"/>
  <c r="K2911" i="1"/>
  <c r="L2911" i="1" s="1"/>
  <c r="N2911" i="1" s="1"/>
  <c r="K2912" i="1"/>
  <c r="L2912" i="1" s="1"/>
  <c r="N2912" i="1" s="1"/>
  <c r="K2913" i="1"/>
  <c r="L2913" i="1" s="1"/>
  <c r="N2913" i="1" s="1"/>
  <c r="K2914" i="1"/>
  <c r="L2914" i="1" s="1"/>
  <c r="N2914" i="1" s="1"/>
  <c r="K2915" i="1"/>
  <c r="L2915" i="1" s="1"/>
  <c r="N2915" i="1" s="1"/>
  <c r="K2916" i="1"/>
  <c r="L2916" i="1" s="1"/>
  <c r="N2916" i="1" s="1"/>
  <c r="K2917" i="1"/>
  <c r="L2917" i="1" s="1"/>
  <c r="N2917" i="1" s="1"/>
  <c r="K2918" i="1"/>
  <c r="L2918" i="1" s="1"/>
  <c r="N2918" i="1" s="1"/>
  <c r="K2919" i="1"/>
  <c r="L2919" i="1" s="1"/>
  <c r="N2919" i="1" s="1"/>
  <c r="K2920" i="1"/>
  <c r="L2920" i="1" s="1"/>
  <c r="N2920" i="1" s="1"/>
  <c r="K2921" i="1"/>
  <c r="L2921" i="1" s="1"/>
  <c r="N2921" i="1" s="1"/>
  <c r="K2922" i="1"/>
  <c r="L2922" i="1" s="1"/>
  <c r="N2922" i="1" s="1"/>
  <c r="K2923" i="1"/>
  <c r="L2923" i="1" s="1"/>
  <c r="N2923" i="1" s="1"/>
  <c r="K2924" i="1"/>
  <c r="L2924" i="1" s="1"/>
  <c r="N2924" i="1" s="1"/>
  <c r="K2925" i="1"/>
  <c r="L2925" i="1" s="1"/>
  <c r="N2925" i="1" s="1"/>
  <c r="K2926" i="1"/>
  <c r="L2926" i="1" s="1"/>
  <c r="N2926" i="1" s="1"/>
  <c r="K2927" i="1"/>
  <c r="L2927" i="1" s="1"/>
  <c r="N2927" i="1" s="1"/>
  <c r="K2928" i="1"/>
  <c r="L2928" i="1" s="1"/>
  <c r="N2928" i="1" s="1"/>
  <c r="K2929" i="1"/>
  <c r="L2929" i="1" s="1"/>
  <c r="N2929" i="1" s="1"/>
  <c r="K2930" i="1"/>
  <c r="L2930" i="1" s="1"/>
  <c r="N2930" i="1" s="1"/>
  <c r="K2931" i="1"/>
  <c r="L2931" i="1" s="1"/>
  <c r="N2931" i="1" s="1"/>
  <c r="K2932" i="1"/>
  <c r="L2932" i="1" s="1"/>
  <c r="N2932" i="1" s="1"/>
  <c r="K2933" i="1"/>
  <c r="L2933" i="1" s="1"/>
  <c r="N2933" i="1" s="1"/>
  <c r="K2934" i="1"/>
  <c r="L2934" i="1" s="1"/>
  <c r="N2934" i="1" s="1"/>
  <c r="K2935" i="1"/>
  <c r="L2935" i="1" s="1"/>
  <c r="N2935" i="1" s="1"/>
  <c r="K2936" i="1"/>
  <c r="L2936" i="1" s="1"/>
  <c r="N2936" i="1" s="1"/>
  <c r="K2937" i="1"/>
  <c r="L2937" i="1" s="1"/>
  <c r="N2937" i="1" s="1"/>
  <c r="K2938" i="1"/>
  <c r="L2938" i="1" s="1"/>
  <c r="N2938" i="1" s="1"/>
  <c r="K2939" i="1"/>
  <c r="L2939" i="1" s="1"/>
  <c r="N2939" i="1" s="1"/>
  <c r="K2940" i="1"/>
  <c r="L2940" i="1" s="1"/>
  <c r="N2940" i="1" s="1"/>
  <c r="K2941" i="1"/>
  <c r="L2941" i="1" s="1"/>
  <c r="N2941" i="1" s="1"/>
  <c r="K2942" i="1"/>
  <c r="L2942" i="1" s="1"/>
  <c r="N2942" i="1" s="1"/>
  <c r="K2943" i="1"/>
  <c r="L2943" i="1" s="1"/>
  <c r="N2943" i="1" s="1"/>
  <c r="K2944" i="1"/>
  <c r="L2944" i="1" s="1"/>
  <c r="N2944" i="1" s="1"/>
  <c r="K2945" i="1"/>
  <c r="L2945" i="1" s="1"/>
  <c r="N2945" i="1" s="1"/>
  <c r="K2946" i="1"/>
  <c r="L2946" i="1" s="1"/>
  <c r="N2946" i="1" s="1"/>
  <c r="K2947" i="1"/>
  <c r="L2947" i="1" s="1"/>
  <c r="N2947" i="1" s="1"/>
  <c r="K2948" i="1"/>
  <c r="L2948" i="1" s="1"/>
  <c r="N2948" i="1" s="1"/>
  <c r="K2949" i="1"/>
  <c r="L2949" i="1" s="1"/>
  <c r="N2949" i="1" s="1"/>
  <c r="K2950" i="1"/>
  <c r="L2950" i="1" s="1"/>
  <c r="N2950" i="1" s="1"/>
  <c r="K2951" i="1"/>
  <c r="L2951" i="1" s="1"/>
  <c r="N2951" i="1" s="1"/>
  <c r="K2952" i="1"/>
  <c r="L2952" i="1" s="1"/>
  <c r="N2952" i="1" s="1"/>
  <c r="K2953" i="1"/>
  <c r="L2953" i="1" s="1"/>
  <c r="N2953" i="1" s="1"/>
  <c r="K2954" i="1"/>
  <c r="L2954" i="1" s="1"/>
  <c r="N2954" i="1" s="1"/>
  <c r="K2955" i="1"/>
  <c r="L2955" i="1" s="1"/>
  <c r="N2955" i="1" s="1"/>
  <c r="K2956" i="1"/>
  <c r="L2956" i="1" s="1"/>
  <c r="N2956" i="1" s="1"/>
  <c r="K2957" i="1"/>
  <c r="L2957" i="1" s="1"/>
  <c r="N2957" i="1" s="1"/>
  <c r="K2958" i="1"/>
  <c r="L2958" i="1" s="1"/>
  <c r="N2958" i="1" s="1"/>
  <c r="K2959" i="1"/>
  <c r="L2959" i="1" s="1"/>
  <c r="N2959" i="1" s="1"/>
  <c r="K2960" i="1"/>
  <c r="L2960" i="1" s="1"/>
  <c r="N2960" i="1" s="1"/>
  <c r="K2961" i="1"/>
  <c r="L2961" i="1" s="1"/>
  <c r="N2961" i="1" s="1"/>
  <c r="K2962" i="1"/>
  <c r="L2962" i="1" s="1"/>
  <c r="N2962" i="1" s="1"/>
  <c r="K2963" i="1"/>
  <c r="L2963" i="1" s="1"/>
  <c r="N2963" i="1" s="1"/>
  <c r="K2964" i="1"/>
  <c r="L2964" i="1" s="1"/>
  <c r="N2964" i="1" s="1"/>
  <c r="K2965" i="1"/>
  <c r="L2965" i="1" s="1"/>
  <c r="N2965" i="1" s="1"/>
  <c r="K2966" i="1"/>
  <c r="L2966" i="1" s="1"/>
  <c r="N2966" i="1" s="1"/>
  <c r="K2967" i="1"/>
  <c r="L2967" i="1" s="1"/>
  <c r="N2967" i="1" s="1"/>
  <c r="K2968" i="1"/>
  <c r="L2968" i="1" s="1"/>
  <c r="N2968" i="1" s="1"/>
  <c r="K2969" i="1"/>
  <c r="L2969" i="1" s="1"/>
  <c r="N2969" i="1" s="1"/>
  <c r="K2970" i="1"/>
  <c r="L2970" i="1" s="1"/>
  <c r="N2970" i="1" s="1"/>
  <c r="K2971" i="1"/>
  <c r="L2971" i="1" s="1"/>
  <c r="N2971" i="1" s="1"/>
  <c r="K2972" i="1"/>
  <c r="L2972" i="1" s="1"/>
  <c r="N2972" i="1" s="1"/>
  <c r="K2973" i="1"/>
  <c r="L2973" i="1" s="1"/>
  <c r="N2973" i="1" s="1"/>
  <c r="K2974" i="1"/>
  <c r="L2974" i="1" s="1"/>
  <c r="N2974" i="1" s="1"/>
  <c r="K2975" i="1"/>
  <c r="L2975" i="1" s="1"/>
  <c r="N2975" i="1" s="1"/>
  <c r="K2976" i="1"/>
  <c r="L2976" i="1" s="1"/>
  <c r="N2976" i="1" s="1"/>
  <c r="K2977" i="1"/>
  <c r="L2977" i="1" s="1"/>
  <c r="N2977" i="1" s="1"/>
  <c r="K2978" i="1"/>
  <c r="L2978" i="1" s="1"/>
  <c r="N2978" i="1" s="1"/>
  <c r="K2979" i="1"/>
  <c r="L2979" i="1" s="1"/>
  <c r="N2979" i="1" s="1"/>
  <c r="K2980" i="1"/>
  <c r="L2980" i="1" s="1"/>
  <c r="N2980" i="1" s="1"/>
  <c r="K2981" i="1"/>
  <c r="L2981" i="1" s="1"/>
  <c r="N2981" i="1" s="1"/>
  <c r="K2982" i="1"/>
  <c r="L2982" i="1" s="1"/>
  <c r="N2982" i="1" s="1"/>
  <c r="K2983" i="1"/>
  <c r="L2983" i="1" s="1"/>
  <c r="N2983" i="1" s="1"/>
  <c r="K2984" i="1"/>
  <c r="L2984" i="1" s="1"/>
  <c r="N2984" i="1" s="1"/>
  <c r="K2985" i="1"/>
  <c r="L2985" i="1" s="1"/>
  <c r="N2985" i="1" s="1"/>
  <c r="K2986" i="1"/>
  <c r="L2986" i="1" s="1"/>
  <c r="N2986" i="1" s="1"/>
  <c r="K2987" i="1"/>
  <c r="L2987" i="1" s="1"/>
  <c r="N2987" i="1" s="1"/>
  <c r="K2988" i="1"/>
  <c r="L2988" i="1" s="1"/>
  <c r="N2988" i="1" s="1"/>
  <c r="K2989" i="1"/>
  <c r="L2989" i="1" s="1"/>
  <c r="N2989" i="1" s="1"/>
  <c r="K2990" i="1"/>
  <c r="L2990" i="1" s="1"/>
  <c r="N2990" i="1" s="1"/>
  <c r="K2991" i="1"/>
  <c r="L2991" i="1" s="1"/>
  <c r="N2991" i="1" s="1"/>
  <c r="K2992" i="1"/>
  <c r="L2992" i="1" s="1"/>
  <c r="N2992" i="1" s="1"/>
  <c r="K2993" i="1"/>
  <c r="L2993" i="1" s="1"/>
  <c r="N2993" i="1" s="1"/>
  <c r="K2994" i="1"/>
  <c r="L2994" i="1" s="1"/>
  <c r="N2994" i="1" s="1"/>
  <c r="K2995" i="1"/>
  <c r="L2995" i="1" s="1"/>
  <c r="N2995" i="1" s="1"/>
  <c r="K2996" i="1"/>
  <c r="L2996" i="1" s="1"/>
  <c r="N2996" i="1" s="1"/>
  <c r="K2997" i="1"/>
  <c r="L2997" i="1" s="1"/>
  <c r="N2997" i="1" s="1"/>
  <c r="K2998" i="1"/>
  <c r="L2998" i="1" s="1"/>
  <c r="N2998" i="1" s="1"/>
  <c r="K2999" i="1"/>
  <c r="L2999" i="1" s="1"/>
  <c r="N2999" i="1" s="1"/>
  <c r="K3000" i="1"/>
  <c r="L3000" i="1" s="1"/>
  <c r="N3000" i="1" s="1"/>
  <c r="K3001" i="1"/>
  <c r="L3001" i="1" s="1"/>
  <c r="N3001" i="1" s="1"/>
  <c r="K3002" i="1"/>
  <c r="L3002" i="1" s="1"/>
  <c r="N3002" i="1" s="1"/>
  <c r="K3003" i="1"/>
  <c r="L3003" i="1" s="1"/>
  <c r="N3003" i="1" s="1"/>
  <c r="K3004" i="1"/>
  <c r="L3004" i="1" s="1"/>
  <c r="N3004" i="1" s="1"/>
  <c r="K3005" i="1"/>
  <c r="L3005" i="1" s="1"/>
  <c r="N3005" i="1" s="1"/>
  <c r="K3006" i="1"/>
  <c r="L3006" i="1" s="1"/>
  <c r="N3006" i="1" s="1"/>
  <c r="K3007" i="1"/>
  <c r="L3007" i="1" s="1"/>
  <c r="N3007" i="1" s="1"/>
  <c r="K3008" i="1"/>
  <c r="L3008" i="1" s="1"/>
  <c r="N3008" i="1" s="1"/>
  <c r="K3009" i="1"/>
  <c r="L3009" i="1" s="1"/>
  <c r="N3009" i="1" s="1"/>
  <c r="K3010" i="1"/>
  <c r="L3010" i="1" s="1"/>
  <c r="N3010" i="1" s="1"/>
  <c r="K3011" i="1"/>
  <c r="L3011" i="1" s="1"/>
  <c r="N3011" i="1" s="1"/>
  <c r="K3012" i="1"/>
  <c r="L3012" i="1" s="1"/>
  <c r="N3012" i="1" s="1"/>
  <c r="K3013" i="1"/>
  <c r="L3013" i="1" s="1"/>
  <c r="N3013" i="1" s="1"/>
  <c r="K3014" i="1"/>
  <c r="L3014" i="1" s="1"/>
  <c r="N3014" i="1" s="1"/>
  <c r="K3015" i="1"/>
  <c r="L3015" i="1" s="1"/>
  <c r="N3015" i="1" s="1"/>
  <c r="K3016" i="1"/>
  <c r="L3016" i="1" s="1"/>
  <c r="N3016" i="1" s="1"/>
  <c r="K3017" i="1"/>
  <c r="L3017" i="1" s="1"/>
  <c r="N3017" i="1" s="1"/>
  <c r="K3018" i="1"/>
  <c r="L3018" i="1" s="1"/>
  <c r="N3018" i="1" s="1"/>
  <c r="K3019" i="1"/>
  <c r="L3019" i="1" s="1"/>
  <c r="N3019" i="1" s="1"/>
  <c r="K3020" i="1"/>
  <c r="L3020" i="1" s="1"/>
  <c r="N3020" i="1" s="1"/>
  <c r="K3021" i="1"/>
  <c r="L3021" i="1" s="1"/>
  <c r="N3021" i="1" s="1"/>
  <c r="K3022" i="1"/>
  <c r="L3022" i="1" s="1"/>
  <c r="N3022" i="1" s="1"/>
  <c r="K3023" i="1"/>
  <c r="L3023" i="1" s="1"/>
  <c r="N3023" i="1" s="1"/>
  <c r="K3024" i="1"/>
  <c r="L3024" i="1" s="1"/>
  <c r="N3024" i="1" s="1"/>
  <c r="K3025" i="1"/>
  <c r="L3025" i="1" s="1"/>
  <c r="N3025" i="1" s="1"/>
  <c r="K3026" i="1"/>
  <c r="L3026" i="1" s="1"/>
  <c r="N3026" i="1" s="1"/>
  <c r="K3027" i="1"/>
  <c r="L3027" i="1" s="1"/>
  <c r="N3027" i="1" s="1"/>
  <c r="K3028" i="1"/>
  <c r="L3028" i="1" s="1"/>
  <c r="N3028" i="1" s="1"/>
  <c r="K3029" i="1"/>
  <c r="L3029" i="1" s="1"/>
  <c r="N3029" i="1" s="1"/>
  <c r="K3030" i="1"/>
  <c r="L3030" i="1" s="1"/>
  <c r="N3030" i="1" s="1"/>
  <c r="K3031" i="1"/>
  <c r="L3031" i="1" s="1"/>
  <c r="N3031" i="1" s="1"/>
  <c r="K3032" i="1"/>
  <c r="L3032" i="1" s="1"/>
  <c r="N3032" i="1" s="1"/>
  <c r="K3033" i="1"/>
  <c r="L3033" i="1" s="1"/>
  <c r="N3033" i="1" s="1"/>
  <c r="K3034" i="1"/>
  <c r="L3034" i="1" s="1"/>
  <c r="N3034" i="1" s="1"/>
  <c r="K3035" i="1"/>
  <c r="L3035" i="1" s="1"/>
  <c r="N3035" i="1" s="1"/>
  <c r="K3036" i="1"/>
  <c r="L3036" i="1" s="1"/>
  <c r="N3036" i="1" s="1"/>
  <c r="K3037" i="1"/>
  <c r="L3037" i="1" s="1"/>
  <c r="N3037" i="1" s="1"/>
  <c r="K3038" i="1"/>
  <c r="L3038" i="1" s="1"/>
  <c r="N3038" i="1" s="1"/>
  <c r="K3039" i="1"/>
  <c r="L3039" i="1" s="1"/>
  <c r="N3039" i="1" s="1"/>
  <c r="K3040" i="1"/>
  <c r="L3040" i="1" s="1"/>
  <c r="N3040" i="1" s="1"/>
  <c r="K3041" i="1"/>
  <c r="L3041" i="1" s="1"/>
  <c r="N3041" i="1" s="1"/>
  <c r="K3042" i="1"/>
  <c r="L3042" i="1" s="1"/>
  <c r="N3042" i="1" s="1"/>
  <c r="K3043" i="1"/>
  <c r="L3043" i="1" s="1"/>
  <c r="N3043" i="1" s="1"/>
  <c r="K3044" i="1"/>
  <c r="L3044" i="1" s="1"/>
  <c r="N3044" i="1" s="1"/>
  <c r="K3045" i="1"/>
  <c r="L3045" i="1" s="1"/>
  <c r="N3045" i="1" s="1"/>
  <c r="K3046" i="1"/>
  <c r="L3046" i="1" s="1"/>
  <c r="N3046" i="1" s="1"/>
  <c r="K3047" i="1"/>
  <c r="L3047" i="1" s="1"/>
  <c r="N3047" i="1" s="1"/>
  <c r="K3048" i="1"/>
  <c r="L3048" i="1" s="1"/>
  <c r="N3048" i="1" s="1"/>
  <c r="K3049" i="1"/>
  <c r="L3049" i="1" s="1"/>
  <c r="N3049" i="1" s="1"/>
  <c r="K3050" i="1"/>
  <c r="L3050" i="1" s="1"/>
  <c r="N3050" i="1" s="1"/>
  <c r="K3051" i="1"/>
  <c r="L3051" i="1" s="1"/>
  <c r="N3051" i="1" s="1"/>
  <c r="K3052" i="1"/>
  <c r="L3052" i="1" s="1"/>
  <c r="N3052" i="1" s="1"/>
  <c r="K3053" i="1"/>
  <c r="L3053" i="1" s="1"/>
  <c r="N3053" i="1" s="1"/>
  <c r="K3054" i="1"/>
  <c r="L3054" i="1" s="1"/>
  <c r="N3054" i="1" s="1"/>
  <c r="K3055" i="1"/>
  <c r="L3055" i="1" s="1"/>
  <c r="N3055" i="1" s="1"/>
  <c r="K3056" i="1"/>
  <c r="L3056" i="1" s="1"/>
  <c r="N3056" i="1" s="1"/>
  <c r="K3057" i="1"/>
  <c r="L3057" i="1" s="1"/>
  <c r="N3057" i="1" s="1"/>
  <c r="K3058" i="1"/>
  <c r="L3058" i="1" s="1"/>
  <c r="N3058" i="1" s="1"/>
  <c r="K3059" i="1"/>
  <c r="L3059" i="1" s="1"/>
  <c r="N3059" i="1" s="1"/>
  <c r="K3060" i="1"/>
  <c r="L3060" i="1" s="1"/>
  <c r="N3060" i="1" s="1"/>
  <c r="K3061" i="1"/>
  <c r="L3061" i="1" s="1"/>
  <c r="N3061" i="1" s="1"/>
  <c r="K3062" i="1"/>
  <c r="L3062" i="1" s="1"/>
  <c r="N3062" i="1" s="1"/>
  <c r="K3063" i="1"/>
  <c r="L3063" i="1" s="1"/>
  <c r="N3063" i="1" s="1"/>
  <c r="K3064" i="1"/>
  <c r="L3064" i="1" s="1"/>
  <c r="N3064" i="1" s="1"/>
  <c r="K3065" i="1"/>
  <c r="L3065" i="1" s="1"/>
  <c r="N3065" i="1" s="1"/>
  <c r="K3066" i="1"/>
  <c r="L3066" i="1" s="1"/>
  <c r="N3066" i="1" s="1"/>
  <c r="K3067" i="1"/>
  <c r="L3067" i="1" s="1"/>
  <c r="N3067" i="1" s="1"/>
  <c r="K3068" i="1"/>
  <c r="L3068" i="1" s="1"/>
  <c r="N3068" i="1" s="1"/>
  <c r="K3069" i="1"/>
  <c r="L3069" i="1" s="1"/>
  <c r="N3069" i="1" s="1"/>
  <c r="K3070" i="1"/>
  <c r="L3070" i="1" s="1"/>
  <c r="N3070" i="1" s="1"/>
  <c r="K3071" i="1"/>
  <c r="L3071" i="1" s="1"/>
  <c r="N3071" i="1" s="1"/>
  <c r="K3072" i="1"/>
  <c r="L3072" i="1" s="1"/>
  <c r="N3072" i="1" s="1"/>
  <c r="K3073" i="1"/>
  <c r="L3073" i="1" s="1"/>
  <c r="N3073" i="1" s="1"/>
  <c r="K3074" i="1"/>
  <c r="L3074" i="1" s="1"/>
  <c r="N3074" i="1" s="1"/>
  <c r="K3075" i="1"/>
  <c r="L3075" i="1" s="1"/>
  <c r="N3075" i="1" s="1"/>
  <c r="K3076" i="1"/>
  <c r="L3076" i="1" s="1"/>
  <c r="N3076" i="1" s="1"/>
  <c r="K3077" i="1"/>
  <c r="L3077" i="1" s="1"/>
  <c r="N3077" i="1" s="1"/>
  <c r="K3078" i="1"/>
  <c r="L3078" i="1" s="1"/>
  <c r="N3078" i="1" s="1"/>
  <c r="K3079" i="1"/>
  <c r="L3079" i="1" s="1"/>
  <c r="N3079" i="1" s="1"/>
  <c r="K3080" i="1"/>
  <c r="L3080" i="1" s="1"/>
  <c r="N3080" i="1" s="1"/>
  <c r="K3081" i="1"/>
  <c r="L3081" i="1" s="1"/>
  <c r="N3081" i="1" s="1"/>
  <c r="K3082" i="1"/>
  <c r="L3082" i="1" s="1"/>
  <c r="N3082" i="1" s="1"/>
  <c r="K3083" i="1"/>
  <c r="L3083" i="1" s="1"/>
  <c r="N3083" i="1" s="1"/>
  <c r="K3084" i="1"/>
  <c r="L3084" i="1" s="1"/>
  <c r="N3084" i="1" s="1"/>
  <c r="K3085" i="1"/>
  <c r="L3085" i="1" s="1"/>
  <c r="N3085" i="1" s="1"/>
  <c r="K3086" i="1"/>
  <c r="L3086" i="1" s="1"/>
  <c r="N3086" i="1" s="1"/>
  <c r="K3087" i="1"/>
  <c r="L3087" i="1" s="1"/>
  <c r="N3087" i="1" s="1"/>
  <c r="K3088" i="1"/>
  <c r="L3088" i="1" s="1"/>
  <c r="N3088" i="1" s="1"/>
  <c r="K3089" i="1"/>
  <c r="L3089" i="1" s="1"/>
  <c r="N3089" i="1" s="1"/>
  <c r="K3090" i="1"/>
  <c r="L3090" i="1" s="1"/>
  <c r="N3090" i="1" s="1"/>
  <c r="K3091" i="1"/>
  <c r="L3091" i="1" s="1"/>
  <c r="N3091" i="1" s="1"/>
  <c r="K3092" i="1"/>
  <c r="L3092" i="1" s="1"/>
  <c r="N3092" i="1" s="1"/>
  <c r="K3093" i="1"/>
  <c r="L3093" i="1" s="1"/>
  <c r="N3093" i="1" s="1"/>
  <c r="K3094" i="1"/>
  <c r="L3094" i="1" s="1"/>
  <c r="N3094" i="1" s="1"/>
  <c r="K3095" i="1"/>
  <c r="L3095" i="1" s="1"/>
  <c r="N3095" i="1" s="1"/>
  <c r="K3096" i="1"/>
  <c r="L3096" i="1" s="1"/>
  <c r="N3096" i="1" s="1"/>
  <c r="K3097" i="1"/>
  <c r="L3097" i="1" s="1"/>
  <c r="N3097" i="1" s="1"/>
  <c r="K3098" i="1"/>
  <c r="L3098" i="1" s="1"/>
  <c r="N3098" i="1" s="1"/>
  <c r="K3099" i="1"/>
  <c r="L3099" i="1" s="1"/>
  <c r="N3099" i="1" s="1"/>
  <c r="K3100" i="1"/>
  <c r="L3100" i="1" s="1"/>
  <c r="N3100" i="1" s="1"/>
  <c r="K3101" i="1"/>
  <c r="L3101" i="1" s="1"/>
  <c r="N3101" i="1" s="1"/>
  <c r="K3102" i="1"/>
  <c r="L3102" i="1" s="1"/>
  <c r="N3102" i="1" s="1"/>
  <c r="K3103" i="1"/>
  <c r="L3103" i="1" s="1"/>
  <c r="N3103" i="1" s="1"/>
  <c r="K3104" i="1"/>
  <c r="L3104" i="1" s="1"/>
  <c r="N3104" i="1" s="1"/>
  <c r="K3105" i="1"/>
  <c r="L3105" i="1" s="1"/>
  <c r="N3105" i="1" s="1"/>
  <c r="K3106" i="1"/>
  <c r="L3106" i="1" s="1"/>
  <c r="N3106" i="1" s="1"/>
  <c r="K3107" i="1"/>
  <c r="L3107" i="1" s="1"/>
  <c r="N3107" i="1" s="1"/>
  <c r="K3108" i="1"/>
  <c r="L3108" i="1" s="1"/>
  <c r="N3108" i="1" s="1"/>
  <c r="K3109" i="1"/>
  <c r="L3109" i="1" s="1"/>
  <c r="N3109" i="1" s="1"/>
  <c r="K3110" i="1"/>
  <c r="L3110" i="1" s="1"/>
  <c r="N3110" i="1" s="1"/>
  <c r="K3111" i="1"/>
  <c r="L3111" i="1" s="1"/>
  <c r="N3111" i="1" s="1"/>
  <c r="K3112" i="1"/>
  <c r="L3112" i="1" s="1"/>
  <c r="N3112" i="1" s="1"/>
  <c r="K3113" i="1"/>
  <c r="L3113" i="1" s="1"/>
  <c r="N3113" i="1" s="1"/>
  <c r="K3114" i="1"/>
  <c r="L3114" i="1" s="1"/>
  <c r="N3114" i="1" s="1"/>
  <c r="K3115" i="1"/>
  <c r="L3115" i="1" s="1"/>
  <c r="N3115" i="1" s="1"/>
  <c r="K3116" i="1"/>
  <c r="L3116" i="1" s="1"/>
  <c r="N3116" i="1" s="1"/>
  <c r="K3117" i="1"/>
  <c r="L3117" i="1" s="1"/>
  <c r="N3117" i="1" s="1"/>
  <c r="K3118" i="1"/>
  <c r="L3118" i="1" s="1"/>
  <c r="N3118" i="1" s="1"/>
  <c r="K3119" i="1"/>
  <c r="L3119" i="1" s="1"/>
  <c r="N3119" i="1" s="1"/>
  <c r="K3120" i="1"/>
  <c r="L3120" i="1" s="1"/>
  <c r="N3120" i="1" s="1"/>
  <c r="K3121" i="1"/>
  <c r="L3121" i="1" s="1"/>
  <c r="N3121" i="1" s="1"/>
  <c r="K3122" i="1"/>
  <c r="L3122" i="1" s="1"/>
  <c r="N3122" i="1" s="1"/>
  <c r="K3123" i="1"/>
  <c r="L3123" i="1" s="1"/>
  <c r="N3123" i="1" s="1"/>
  <c r="K3124" i="1"/>
  <c r="L3124" i="1" s="1"/>
  <c r="N3124" i="1" s="1"/>
  <c r="K3125" i="1"/>
  <c r="L3125" i="1" s="1"/>
  <c r="N3125" i="1" s="1"/>
  <c r="K3126" i="1"/>
  <c r="L3126" i="1" s="1"/>
  <c r="N3126" i="1" s="1"/>
  <c r="K3127" i="1"/>
  <c r="L3127" i="1" s="1"/>
  <c r="N3127" i="1" s="1"/>
  <c r="K3128" i="1"/>
  <c r="L3128" i="1" s="1"/>
  <c r="N3128" i="1" s="1"/>
  <c r="K3129" i="1"/>
  <c r="L3129" i="1" s="1"/>
  <c r="N3129" i="1" s="1"/>
  <c r="K3130" i="1"/>
  <c r="L3130" i="1" s="1"/>
  <c r="N3130" i="1" s="1"/>
  <c r="K3131" i="1"/>
  <c r="L3131" i="1" s="1"/>
  <c r="N3131" i="1" s="1"/>
  <c r="K3132" i="1"/>
  <c r="L3132" i="1" s="1"/>
  <c r="N3132" i="1" s="1"/>
  <c r="K3133" i="1"/>
  <c r="L3133" i="1" s="1"/>
  <c r="N3133" i="1" s="1"/>
  <c r="K3134" i="1"/>
  <c r="L3134" i="1" s="1"/>
  <c r="N3134" i="1" s="1"/>
  <c r="K3135" i="1"/>
  <c r="L3135" i="1" s="1"/>
  <c r="N3135" i="1" s="1"/>
  <c r="K3136" i="1"/>
  <c r="L3136" i="1" s="1"/>
  <c r="N3136" i="1" s="1"/>
  <c r="K3137" i="1"/>
  <c r="L3137" i="1" s="1"/>
  <c r="N3137" i="1" s="1"/>
  <c r="K3138" i="1"/>
  <c r="L3138" i="1" s="1"/>
  <c r="N3138" i="1" s="1"/>
  <c r="K3139" i="1"/>
  <c r="L3139" i="1" s="1"/>
  <c r="N3139" i="1" s="1"/>
  <c r="K3140" i="1"/>
  <c r="L3140" i="1" s="1"/>
  <c r="N3140" i="1" s="1"/>
  <c r="K3141" i="1"/>
  <c r="L3141" i="1" s="1"/>
  <c r="N3141" i="1" s="1"/>
  <c r="K3142" i="1"/>
  <c r="L3142" i="1" s="1"/>
  <c r="N3142" i="1" s="1"/>
  <c r="K3143" i="1"/>
  <c r="L3143" i="1" s="1"/>
  <c r="N3143" i="1" s="1"/>
  <c r="K3144" i="1"/>
  <c r="L3144" i="1" s="1"/>
  <c r="N3144" i="1" s="1"/>
  <c r="K3145" i="1"/>
  <c r="L3145" i="1" s="1"/>
  <c r="N3145" i="1" s="1"/>
  <c r="K3146" i="1"/>
  <c r="L3146" i="1" s="1"/>
  <c r="N3146" i="1" s="1"/>
  <c r="K3147" i="1"/>
  <c r="L3147" i="1" s="1"/>
  <c r="N3147" i="1" s="1"/>
  <c r="K3148" i="1"/>
  <c r="L3148" i="1" s="1"/>
  <c r="N3148" i="1" s="1"/>
  <c r="K3149" i="1"/>
  <c r="L3149" i="1" s="1"/>
  <c r="N3149" i="1" s="1"/>
  <c r="K3150" i="1"/>
  <c r="L3150" i="1" s="1"/>
  <c r="N3150" i="1" s="1"/>
  <c r="K3151" i="1"/>
  <c r="L3151" i="1" s="1"/>
  <c r="N3151" i="1" s="1"/>
  <c r="K3152" i="1"/>
  <c r="L3152" i="1" s="1"/>
  <c r="N3152" i="1" s="1"/>
  <c r="K3153" i="1"/>
  <c r="L3153" i="1" s="1"/>
  <c r="N3153" i="1" s="1"/>
  <c r="K3154" i="1"/>
  <c r="L3154" i="1" s="1"/>
  <c r="N3154" i="1" s="1"/>
  <c r="K3155" i="1"/>
  <c r="L3155" i="1" s="1"/>
  <c r="N3155" i="1" s="1"/>
  <c r="K3156" i="1"/>
  <c r="L3156" i="1" s="1"/>
  <c r="N3156" i="1" s="1"/>
  <c r="K3157" i="1"/>
  <c r="L3157" i="1" s="1"/>
  <c r="N3157" i="1" s="1"/>
  <c r="K3158" i="1"/>
  <c r="L3158" i="1" s="1"/>
  <c r="N3158" i="1" s="1"/>
  <c r="K3159" i="1"/>
  <c r="L3159" i="1" s="1"/>
  <c r="N3159" i="1" s="1"/>
  <c r="K3160" i="1"/>
  <c r="L3160" i="1" s="1"/>
  <c r="N3160" i="1" s="1"/>
  <c r="K3161" i="1"/>
  <c r="L3161" i="1" s="1"/>
  <c r="N3161" i="1" s="1"/>
  <c r="K3162" i="1"/>
  <c r="L3162" i="1" s="1"/>
  <c r="N3162" i="1" s="1"/>
  <c r="K3163" i="1"/>
  <c r="L3163" i="1" s="1"/>
  <c r="N3163" i="1" s="1"/>
  <c r="K3164" i="1"/>
  <c r="L3164" i="1" s="1"/>
  <c r="N3164" i="1" s="1"/>
  <c r="K3165" i="1"/>
  <c r="L3165" i="1" s="1"/>
  <c r="N3165" i="1" s="1"/>
  <c r="K3166" i="1"/>
  <c r="L3166" i="1" s="1"/>
  <c r="N3166" i="1" s="1"/>
  <c r="K3167" i="1"/>
  <c r="L3167" i="1" s="1"/>
  <c r="N3167" i="1" s="1"/>
  <c r="K3168" i="1"/>
  <c r="L3168" i="1" s="1"/>
  <c r="N3168" i="1" s="1"/>
  <c r="K3169" i="1"/>
  <c r="L3169" i="1" s="1"/>
  <c r="N3169" i="1" s="1"/>
  <c r="K3170" i="1"/>
  <c r="L3170" i="1" s="1"/>
  <c r="N3170" i="1" s="1"/>
  <c r="K3171" i="1"/>
  <c r="L3171" i="1" s="1"/>
  <c r="N3171" i="1" s="1"/>
  <c r="K3172" i="1"/>
  <c r="L3172" i="1" s="1"/>
  <c r="N3172" i="1" s="1"/>
  <c r="K3173" i="1"/>
  <c r="L3173" i="1" s="1"/>
  <c r="N3173" i="1" s="1"/>
  <c r="K3174" i="1"/>
  <c r="L3174" i="1" s="1"/>
  <c r="N3174" i="1" s="1"/>
  <c r="K3175" i="1"/>
  <c r="L3175" i="1" s="1"/>
  <c r="N3175" i="1" s="1"/>
  <c r="K3176" i="1"/>
  <c r="L3176" i="1" s="1"/>
  <c r="N3176" i="1" s="1"/>
  <c r="K3177" i="1"/>
  <c r="L3177" i="1" s="1"/>
  <c r="N3177" i="1" s="1"/>
  <c r="K3178" i="1"/>
  <c r="L3178" i="1" s="1"/>
  <c r="N3178" i="1" s="1"/>
  <c r="K3179" i="1"/>
  <c r="L3179" i="1" s="1"/>
  <c r="N3179" i="1" s="1"/>
  <c r="K3180" i="1"/>
  <c r="L3180" i="1" s="1"/>
  <c r="N3180" i="1" s="1"/>
  <c r="K3181" i="1"/>
  <c r="L3181" i="1" s="1"/>
  <c r="N3181" i="1" s="1"/>
  <c r="K3182" i="1"/>
  <c r="L3182" i="1" s="1"/>
  <c r="N3182" i="1" s="1"/>
  <c r="K3183" i="1"/>
  <c r="L3183" i="1" s="1"/>
  <c r="N3183" i="1" s="1"/>
  <c r="K3184" i="1"/>
  <c r="L3184" i="1" s="1"/>
  <c r="N3184" i="1" s="1"/>
  <c r="K3185" i="1"/>
  <c r="L3185" i="1" s="1"/>
  <c r="N3185" i="1" s="1"/>
  <c r="K3186" i="1"/>
  <c r="L3186" i="1" s="1"/>
  <c r="N3186" i="1" s="1"/>
  <c r="K3187" i="1"/>
  <c r="L3187" i="1" s="1"/>
  <c r="N3187" i="1" s="1"/>
  <c r="K3188" i="1"/>
  <c r="L3188" i="1" s="1"/>
  <c r="N3188" i="1" s="1"/>
  <c r="K3189" i="1"/>
  <c r="L3189" i="1" s="1"/>
  <c r="N3189" i="1" s="1"/>
  <c r="K3190" i="1"/>
  <c r="L3190" i="1" s="1"/>
  <c r="N3190" i="1" s="1"/>
  <c r="K3191" i="1"/>
  <c r="L3191" i="1" s="1"/>
  <c r="N3191" i="1" s="1"/>
  <c r="K3192" i="1"/>
  <c r="L3192" i="1" s="1"/>
  <c r="N3192" i="1" s="1"/>
  <c r="K3193" i="1"/>
  <c r="L3193" i="1" s="1"/>
  <c r="N3193" i="1" s="1"/>
  <c r="K3194" i="1"/>
  <c r="L3194" i="1" s="1"/>
  <c r="N3194" i="1" s="1"/>
  <c r="K3195" i="1"/>
  <c r="L3195" i="1" s="1"/>
  <c r="N3195" i="1" s="1"/>
  <c r="K3196" i="1"/>
  <c r="L3196" i="1" s="1"/>
  <c r="N3196" i="1" s="1"/>
  <c r="K3197" i="1"/>
  <c r="L3197" i="1" s="1"/>
  <c r="N3197" i="1" s="1"/>
  <c r="K3198" i="1"/>
  <c r="L3198" i="1" s="1"/>
  <c r="N3198" i="1" s="1"/>
  <c r="K3199" i="1"/>
  <c r="L3199" i="1" s="1"/>
  <c r="N3199" i="1" s="1"/>
  <c r="K3200" i="1"/>
  <c r="L3200" i="1" s="1"/>
  <c r="N3200" i="1" s="1"/>
  <c r="K3201" i="1"/>
  <c r="L3201" i="1" s="1"/>
  <c r="N3201" i="1" s="1"/>
  <c r="K3202" i="1"/>
  <c r="L3202" i="1" s="1"/>
  <c r="N3202" i="1" s="1"/>
  <c r="K3203" i="1"/>
  <c r="L3203" i="1" s="1"/>
  <c r="N3203" i="1" s="1"/>
  <c r="K3204" i="1"/>
  <c r="L3204" i="1" s="1"/>
  <c r="N3204" i="1" s="1"/>
  <c r="K3205" i="1"/>
  <c r="L3205" i="1" s="1"/>
  <c r="N3205" i="1" s="1"/>
  <c r="K3206" i="1"/>
  <c r="L3206" i="1" s="1"/>
  <c r="N3206" i="1" s="1"/>
  <c r="K3207" i="1"/>
  <c r="L3207" i="1" s="1"/>
  <c r="N3207" i="1" s="1"/>
  <c r="K3208" i="1"/>
  <c r="L3208" i="1" s="1"/>
  <c r="N3208" i="1" s="1"/>
  <c r="K3209" i="1"/>
  <c r="L3209" i="1" s="1"/>
  <c r="N3209" i="1" s="1"/>
  <c r="K3210" i="1"/>
  <c r="L3210" i="1" s="1"/>
  <c r="N3210" i="1" s="1"/>
  <c r="K3211" i="1"/>
  <c r="L3211" i="1" s="1"/>
  <c r="N3211" i="1" s="1"/>
  <c r="K3212" i="1"/>
  <c r="L3212" i="1" s="1"/>
  <c r="N3212" i="1" s="1"/>
  <c r="K3213" i="1"/>
  <c r="L3213" i="1" s="1"/>
  <c r="N3213" i="1" s="1"/>
  <c r="K3214" i="1"/>
  <c r="L3214" i="1" s="1"/>
  <c r="N3214" i="1" s="1"/>
  <c r="K3215" i="1"/>
  <c r="L3215" i="1" s="1"/>
  <c r="N3215" i="1" s="1"/>
  <c r="K3216" i="1"/>
  <c r="L3216" i="1" s="1"/>
  <c r="N3216" i="1" s="1"/>
  <c r="K3217" i="1"/>
  <c r="L3217" i="1" s="1"/>
  <c r="N3217" i="1" s="1"/>
  <c r="K3218" i="1"/>
  <c r="L3218" i="1" s="1"/>
  <c r="N3218" i="1" s="1"/>
  <c r="K3219" i="1"/>
  <c r="L3219" i="1" s="1"/>
  <c r="N3219" i="1" s="1"/>
  <c r="K3220" i="1"/>
  <c r="L3220" i="1" s="1"/>
  <c r="N3220" i="1" s="1"/>
  <c r="K3221" i="1"/>
  <c r="L3221" i="1" s="1"/>
  <c r="N3221" i="1" s="1"/>
  <c r="K3222" i="1"/>
  <c r="L3222" i="1" s="1"/>
  <c r="N3222" i="1" s="1"/>
  <c r="K3223" i="1"/>
  <c r="L3223" i="1" s="1"/>
  <c r="N3223" i="1" s="1"/>
  <c r="K3224" i="1"/>
  <c r="L3224" i="1" s="1"/>
  <c r="N3224" i="1" s="1"/>
  <c r="K3225" i="1"/>
  <c r="L3225" i="1" s="1"/>
  <c r="N3225" i="1" s="1"/>
  <c r="K3226" i="1"/>
  <c r="L3226" i="1" s="1"/>
  <c r="N3226" i="1" s="1"/>
  <c r="K3227" i="1"/>
  <c r="L3227" i="1" s="1"/>
  <c r="N3227" i="1" s="1"/>
  <c r="K3228" i="1"/>
  <c r="L3228" i="1" s="1"/>
  <c r="N3228" i="1" s="1"/>
  <c r="K3229" i="1"/>
  <c r="L3229" i="1" s="1"/>
  <c r="N3229" i="1" s="1"/>
  <c r="K3230" i="1"/>
  <c r="L3230" i="1" s="1"/>
  <c r="N3230" i="1" s="1"/>
  <c r="K3231" i="1"/>
  <c r="L3231" i="1" s="1"/>
  <c r="N3231" i="1" s="1"/>
  <c r="K3232" i="1"/>
  <c r="L3232" i="1" s="1"/>
  <c r="N3232" i="1" s="1"/>
  <c r="K3233" i="1"/>
  <c r="L3233" i="1" s="1"/>
  <c r="N3233" i="1" s="1"/>
  <c r="K3234" i="1"/>
  <c r="L3234" i="1" s="1"/>
  <c r="N3234" i="1" s="1"/>
  <c r="K3235" i="1"/>
  <c r="L3235" i="1" s="1"/>
  <c r="N3235" i="1" s="1"/>
  <c r="K3236" i="1"/>
  <c r="L3236" i="1" s="1"/>
  <c r="N3236" i="1" s="1"/>
  <c r="K3237" i="1"/>
  <c r="L3237" i="1" s="1"/>
  <c r="N3237" i="1" s="1"/>
  <c r="K3238" i="1"/>
  <c r="L3238" i="1" s="1"/>
  <c r="N3238" i="1" s="1"/>
  <c r="K3239" i="1"/>
  <c r="L3239" i="1" s="1"/>
  <c r="N3239" i="1" s="1"/>
  <c r="K3240" i="1"/>
  <c r="L3240" i="1" s="1"/>
  <c r="N3240" i="1" s="1"/>
  <c r="K3241" i="1"/>
  <c r="L3241" i="1" s="1"/>
  <c r="N3241" i="1" s="1"/>
  <c r="K3242" i="1"/>
  <c r="L3242" i="1" s="1"/>
  <c r="N3242" i="1" s="1"/>
  <c r="K3243" i="1"/>
  <c r="L3243" i="1" s="1"/>
  <c r="N3243" i="1" s="1"/>
  <c r="K3244" i="1"/>
  <c r="L3244" i="1" s="1"/>
  <c r="N3244" i="1" s="1"/>
  <c r="K3245" i="1"/>
  <c r="L3245" i="1" s="1"/>
  <c r="N3245" i="1" s="1"/>
  <c r="K3246" i="1"/>
  <c r="L3246" i="1" s="1"/>
  <c r="N3246" i="1" s="1"/>
  <c r="K3247" i="1"/>
  <c r="L3247" i="1" s="1"/>
  <c r="N3247" i="1" s="1"/>
  <c r="K3248" i="1"/>
  <c r="L3248" i="1" s="1"/>
  <c r="N3248" i="1" s="1"/>
  <c r="K3249" i="1"/>
  <c r="L3249" i="1" s="1"/>
  <c r="N3249" i="1" s="1"/>
  <c r="K3250" i="1"/>
  <c r="L3250" i="1" s="1"/>
  <c r="N3250" i="1" s="1"/>
  <c r="K3251" i="1"/>
  <c r="L3251" i="1" s="1"/>
  <c r="N3251" i="1" s="1"/>
  <c r="K3252" i="1"/>
  <c r="L3252" i="1" s="1"/>
  <c r="N3252" i="1" s="1"/>
  <c r="K3253" i="1"/>
  <c r="L3253" i="1" s="1"/>
  <c r="N3253" i="1" s="1"/>
  <c r="K3254" i="1"/>
  <c r="L3254" i="1" s="1"/>
  <c r="N3254" i="1" s="1"/>
  <c r="K3255" i="1"/>
  <c r="L3255" i="1" s="1"/>
  <c r="N3255" i="1" s="1"/>
  <c r="K3256" i="1"/>
  <c r="L3256" i="1" s="1"/>
  <c r="N3256" i="1" s="1"/>
  <c r="K3257" i="1"/>
  <c r="L3257" i="1" s="1"/>
  <c r="N3257" i="1" s="1"/>
  <c r="K3258" i="1"/>
  <c r="L3258" i="1" s="1"/>
  <c r="N3258" i="1" s="1"/>
  <c r="K3259" i="1"/>
  <c r="L3259" i="1" s="1"/>
  <c r="N3259" i="1" s="1"/>
  <c r="K3260" i="1"/>
  <c r="L3260" i="1" s="1"/>
  <c r="N3260" i="1" s="1"/>
  <c r="K3261" i="1"/>
  <c r="L3261" i="1" s="1"/>
  <c r="N3261" i="1" s="1"/>
  <c r="K3262" i="1"/>
  <c r="L3262" i="1" s="1"/>
  <c r="N3262" i="1" s="1"/>
  <c r="K3263" i="1"/>
  <c r="L3263" i="1" s="1"/>
  <c r="N3263" i="1" s="1"/>
  <c r="K3264" i="1"/>
  <c r="L3264" i="1" s="1"/>
  <c r="N3264" i="1" s="1"/>
  <c r="K3265" i="1"/>
  <c r="L3265" i="1" s="1"/>
  <c r="N3265" i="1" s="1"/>
  <c r="K3266" i="1"/>
  <c r="L3266" i="1" s="1"/>
  <c r="N3266" i="1" s="1"/>
  <c r="K3267" i="1"/>
  <c r="L3267" i="1" s="1"/>
  <c r="N3267" i="1" s="1"/>
  <c r="K3268" i="1"/>
  <c r="L3268" i="1" s="1"/>
  <c r="N3268" i="1" s="1"/>
  <c r="K3269" i="1"/>
  <c r="L3269" i="1" s="1"/>
  <c r="N3269" i="1" s="1"/>
  <c r="K3270" i="1"/>
  <c r="L3270" i="1" s="1"/>
  <c r="N3270" i="1" s="1"/>
  <c r="K3271" i="1"/>
  <c r="L3271" i="1" s="1"/>
  <c r="N3271" i="1" s="1"/>
  <c r="K3272" i="1"/>
  <c r="L3272" i="1" s="1"/>
  <c r="N3272" i="1" s="1"/>
  <c r="K3273" i="1"/>
  <c r="L3273" i="1" s="1"/>
  <c r="N3273" i="1" s="1"/>
  <c r="K3274" i="1"/>
  <c r="L3274" i="1" s="1"/>
  <c r="N3274" i="1" s="1"/>
  <c r="K3275" i="1"/>
  <c r="L3275" i="1" s="1"/>
  <c r="N3275" i="1" s="1"/>
  <c r="K3276" i="1"/>
  <c r="L3276" i="1" s="1"/>
  <c r="N3276" i="1" s="1"/>
  <c r="K3277" i="1"/>
  <c r="L3277" i="1" s="1"/>
  <c r="N3277" i="1" s="1"/>
  <c r="K3278" i="1"/>
  <c r="L3278" i="1" s="1"/>
  <c r="N3278" i="1" s="1"/>
  <c r="K3279" i="1"/>
  <c r="L3279" i="1" s="1"/>
  <c r="N3279" i="1" s="1"/>
  <c r="K3280" i="1"/>
  <c r="L3280" i="1" s="1"/>
  <c r="N3280" i="1" s="1"/>
  <c r="K3281" i="1"/>
  <c r="L3281" i="1" s="1"/>
  <c r="N3281" i="1" s="1"/>
  <c r="K3282" i="1"/>
  <c r="L3282" i="1" s="1"/>
  <c r="N3282" i="1" s="1"/>
  <c r="K3283" i="1"/>
  <c r="L3283" i="1" s="1"/>
  <c r="N3283" i="1" s="1"/>
  <c r="K3284" i="1"/>
  <c r="L3284" i="1" s="1"/>
  <c r="N3284" i="1" s="1"/>
  <c r="K3285" i="1"/>
  <c r="L3285" i="1" s="1"/>
  <c r="N3285" i="1" s="1"/>
  <c r="K3286" i="1"/>
  <c r="L3286" i="1" s="1"/>
  <c r="N3286" i="1" s="1"/>
  <c r="K3287" i="1"/>
  <c r="L3287" i="1" s="1"/>
  <c r="N3287" i="1" s="1"/>
  <c r="K3288" i="1"/>
  <c r="L3288" i="1" s="1"/>
  <c r="N3288" i="1" s="1"/>
  <c r="K3289" i="1"/>
  <c r="L3289" i="1" s="1"/>
  <c r="N3289" i="1" s="1"/>
  <c r="K3290" i="1"/>
  <c r="L3290" i="1" s="1"/>
  <c r="N3290" i="1" s="1"/>
  <c r="K3291" i="1"/>
  <c r="L3291" i="1" s="1"/>
  <c r="N3291" i="1" s="1"/>
  <c r="K3292" i="1"/>
  <c r="L3292" i="1" s="1"/>
  <c r="N3292" i="1" s="1"/>
  <c r="K3293" i="1"/>
  <c r="L3293" i="1" s="1"/>
  <c r="N3293" i="1" s="1"/>
  <c r="K3294" i="1"/>
  <c r="L3294" i="1" s="1"/>
  <c r="N3294" i="1" s="1"/>
  <c r="K3295" i="1"/>
  <c r="L3295" i="1" s="1"/>
  <c r="N3295" i="1" s="1"/>
  <c r="K3296" i="1"/>
  <c r="L3296" i="1" s="1"/>
  <c r="N3296" i="1" s="1"/>
  <c r="K3297" i="1"/>
  <c r="L3297" i="1" s="1"/>
  <c r="N3297" i="1" s="1"/>
  <c r="K3298" i="1"/>
  <c r="L3298" i="1" s="1"/>
  <c r="N3298" i="1" s="1"/>
  <c r="K3299" i="1"/>
  <c r="L3299" i="1" s="1"/>
  <c r="N3299" i="1" s="1"/>
  <c r="K3300" i="1"/>
  <c r="L3300" i="1" s="1"/>
  <c r="N3300" i="1" s="1"/>
  <c r="K3301" i="1"/>
  <c r="L3301" i="1" s="1"/>
  <c r="N3301" i="1" s="1"/>
  <c r="K3302" i="1"/>
  <c r="L3302" i="1" s="1"/>
  <c r="N3302" i="1" s="1"/>
  <c r="K3303" i="1"/>
  <c r="L3303" i="1" s="1"/>
  <c r="N3303" i="1" s="1"/>
  <c r="K3304" i="1"/>
  <c r="L3304" i="1" s="1"/>
  <c r="N3304" i="1" s="1"/>
  <c r="K3305" i="1"/>
  <c r="L3305" i="1" s="1"/>
  <c r="N3305" i="1" s="1"/>
  <c r="K3306" i="1"/>
  <c r="L3306" i="1" s="1"/>
  <c r="N3306" i="1" s="1"/>
  <c r="K3307" i="1"/>
  <c r="L3307" i="1" s="1"/>
  <c r="N3307" i="1" s="1"/>
  <c r="K3308" i="1"/>
  <c r="L3308" i="1" s="1"/>
  <c r="N3308" i="1" s="1"/>
  <c r="K3309" i="1"/>
  <c r="L3309" i="1" s="1"/>
  <c r="N3309" i="1" s="1"/>
  <c r="K3310" i="1"/>
  <c r="L3310" i="1" s="1"/>
  <c r="N3310" i="1" s="1"/>
  <c r="K3311" i="1"/>
  <c r="L3311" i="1" s="1"/>
  <c r="N3311" i="1" s="1"/>
  <c r="K3312" i="1"/>
  <c r="L3312" i="1" s="1"/>
  <c r="N3312" i="1" s="1"/>
  <c r="K3313" i="1"/>
  <c r="L3313" i="1" s="1"/>
  <c r="N3313" i="1" s="1"/>
  <c r="K3314" i="1"/>
  <c r="L3314" i="1" s="1"/>
  <c r="N3314" i="1" s="1"/>
  <c r="K3315" i="1"/>
  <c r="L3315" i="1" s="1"/>
  <c r="N3315" i="1" s="1"/>
  <c r="K3316" i="1"/>
  <c r="L3316" i="1" s="1"/>
  <c r="N3316" i="1" s="1"/>
  <c r="K3317" i="1"/>
  <c r="L3317" i="1" s="1"/>
  <c r="N3317" i="1" s="1"/>
  <c r="K3318" i="1"/>
  <c r="L3318" i="1" s="1"/>
  <c r="N3318" i="1" s="1"/>
  <c r="K3319" i="1"/>
  <c r="L3319" i="1" s="1"/>
  <c r="N3319" i="1" s="1"/>
  <c r="K3320" i="1"/>
  <c r="L3320" i="1" s="1"/>
  <c r="N3320" i="1" s="1"/>
  <c r="K3321" i="1"/>
  <c r="L3321" i="1" s="1"/>
  <c r="N3321" i="1" s="1"/>
  <c r="K3322" i="1"/>
  <c r="L3322" i="1" s="1"/>
  <c r="N3322" i="1" s="1"/>
  <c r="K3323" i="1"/>
  <c r="L3323" i="1" s="1"/>
  <c r="N3323" i="1" s="1"/>
  <c r="K3324" i="1"/>
  <c r="L3324" i="1" s="1"/>
  <c r="N3324" i="1" s="1"/>
  <c r="K3325" i="1"/>
  <c r="L3325" i="1" s="1"/>
  <c r="N3325" i="1" s="1"/>
  <c r="K3326" i="1"/>
  <c r="L3326" i="1" s="1"/>
  <c r="N3326" i="1" s="1"/>
  <c r="K3327" i="1"/>
  <c r="L3327" i="1" s="1"/>
  <c r="N3327" i="1" s="1"/>
  <c r="K3328" i="1"/>
  <c r="L3328" i="1" s="1"/>
  <c r="N3328" i="1" s="1"/>
  <c r="K3329" i="1"/>
  <c r="L3329" i="1" s="1"/>
  <c r="N3329" i="1" s="1"/>
  <c r="K3330" i="1"/>
  <c r="L3330" i="1" s="1"/>
  <c r="N3330" i="1" s="1"/>
  <c r="K3331" i="1"/>
  <c r="L3331" i="1" s="1"/>
  <c r="N3331" i="1" s="1"/>
  <c r="K3332" i="1"/>
  <c r="L3332" i="1" s="1"/>
  <c r="N3332" i="1" s="1"/>
  <c r="K3333" i="1"/>
  <c r="L3333" i="1" s="1"/>
  <c r="N3333" i="1" s="1"/>
  <c r="K3334" i="1"/>
  <c r="L3334" i="1" s="1"/>
  <c r="N3334" i="1" s="1"/>
  <c r="K3335" i="1"/>
  <c r="L3335" i="1" s="1"/>
  <c r="N3335" i="1" s="1"/>
  <c r="K3336" i="1"/>
  <c r="L3336" i="1" s="1"/>
  <c r="N3336" i="1" s="1"/>
  <c r="K3337" i="1"/>
  <c r="L3337" i="1" s="1"/>
  <c r="N3337" i="1" s="1"/>
  <c r="K3338" i="1"/>
  <c r="L3338" i="1" s="1"/>
  <c r="N3338" i="1" s="1"/>
  <c r="K3339" i="1"/>
  <c r="L3339" i="1" s="1"/>
  <c r="N3339" i="1" s="1"/>
  <c r="K3340" i="1"/>
  <c r="L3340" i="1" s="1"/>
  <c r="N3340" i="1" s="1"/>
  <c r="K3341" i="1"/>
  <c r="L3341" i="1" s="1"/>
  <c r="N3341" i="1" s="1"/>
  <c r="K3342" i="1"/>
  <c r="L3342" i="1" s="1"/>
  <c r="N3342" i="1" s="1"/>
  <c r="K3343" i="1"/>
  <c r="L3343" i="1" s="1"/>
  <c r="N3343" i="1" s="1"/>
  <c r="K3344" i="1"/>
  <c r="L3344" i="1" s="1"/>
  <c r="N3344" i="1" s="1"/>
  <c r="K3345" i="1"/>
  <c r="L3345" i="1" s="1"/>
  <c r="N3345" i="1" s="1"/>
  <c r="K3346" i="1"/>
  <c r="L3346" i="1" s="1"/>
  <c r="N3346" i="1" s="1"/>
  <c r="K3347" i="1"/>
  <c r="L3347" i="1" s="1"/>
  <c r="N3347" i="1" s="1"/>
  <c r="K3348" i="1"/>
  <c r="L3348" i="1" s="1"/>
  <c r="N3348" i="1" s="1"/>
  <c r="K3349" i="1"/>
  <c r="L3349" i="1" s="1"/>
  <c r="N3349" i="1" s="1"/>
  <c r="K3350" i="1"/>
  <c r="L3350" i="1" s="1"/>
  <c r="N3350" i="1" s="1"/>
  <c r="K3351" i="1"/>
  <c r="L3351" i="1" s="1"/>
  <c r="N3351" i="1" s="1"/>
  <c r="K3352" i="1"/>
  <c r="L3352" i="1" s="1"/>
  <c r="N3352" i="1" s="1"/>
  <c r="K3353" i="1"/>
  <c r="L3353" i="1" s="1"/>
  <c r="N3353" i="1" s="1"/>
  <c r="K3354" i="1"/>
  <c r="L3354" i="1" s="1"/>
  <c r="N3354" i="1" s="1"/>
  <c r="K3355" i="1"/>
  <c r="L3355" i="1" s="1"/>
  <c r="N3355" i="1" s="1"/>
  <c r="K3356" i="1"/>
  <c r="L3356" i="1" s="1"/>
  <c r="N3356" i="1" s="1"/>
  <c r="K3357" i="1"/>
  <c r="L3357" i="1" s="1"/>
  <c r="N3357" i="1" s="1"/>
  <c r="K3358" i="1"/>
  <c r="L3358" i="1" s="1"/>
  <c r="N3358" i="1" s="1"/>
  <c r="K3359" i="1"/>
  <c r="L3359" i="1" s="1"/>
  <c r="N3359" i="1" s="1"/>
  <c r="K3360" i="1"/>
  <c r="L3360" i="1" s="1"/>
  <c r="N3360" i="1" s="1"/>
  <c r="K3361" i="1"/>
  <c r="L3361" i="1" s="1"/>
  <c r="N3361" i="1" s="1"/>
  <c r="K3362" i="1"/>
  <c r="L3362" i="1" s="1"/>
  <c r="N3362" i="1" s="1"/>
  <c r="K3363" i="1"/>
  <c r="L3363" i="1" s="1"/>
  <c r="N3363" i="1" s="1"/>
  <c r="K3364" i="1"/>
  <c r="L3364" i="1" s="1"/>
  <c r="N3364" i="1" s="1"/>
  <c r="K3365" i="1"/>
  <c r="L3365" i="1" s="1"/>
  <c r="N3365" i="1" s="1"/>
  <c r="K3366" i="1"/>
  <c r="L3366" i="1" s="1"/>
  <c r="N3366" i="1" s="1"/>
  <c r="K3367" i="1"/>
  <c r="L3367" i="1" s="1"/>
  <c r="N3367" i="1" s="1"/>
  <c r="K3368" i="1"/>
  <c r="L3368" i="1" s="1"/>
  <c r="N3368" i="1" s="1"/>
  <c r="K3369" i="1"/>
  <c r="L3369" i="1" s="1"/>
  <c r="N3369" i="1" s="1"/>
  <c r="K3370" i="1"/>
  <c r="L3370" i="1" s="1"/>
  <c r="N3370" i="1" s="1"/>
  <c r="K3371" i="1"/>
  <c r="L3371" i="1" s="1"/>
  <c r="N3371" i="1" s="1"/>
  <c r="K3372" i="1"/>
  <c r="L3372" i="1" s="1"/>
  <c r="N3372" i="1" s="1"/>
  <c r="K3373" i="1"/>
  <c r="L3373" i="1" s="1"/>
  <c r="N3373" i="1" s="1"/>
  <c r="K3374" i="1"/>
  <c r="L3374" i="1" s="1"/>
  <c r="N3374" i="1" s="1"/>
  <c r="K3375" i="1"/>
  <c r="L3375" i="1" s="1"/>
  <c r="N3375" i="1" s="1"/>
  <c r="K3376" i="1"/>
  <c r="L3376" i="1" s="1"/>
  <c r="N3376" i="1" s="1"/>
  <c r="K3377" i="1"/>
  <c r="L3377" i="1" s="1"/>
  <c r="N3377" i="1" s="1"/>
  <c r="K3378" i="1"/>
  <c r="L3378" i="1" s="1"/>
  <c r="N3378" i="1" s="1"/>
  <c r="K3379" i="1"/>
  <c r="L3379" i="1" s="1"/>
  <c r="N3379" i="1" s="1"/>
  <c r="K3380" i="1"/>
  <c r="L3380" i="1" s="1"/>
  <c r="N3380" i="1" s="1"/>
  <c r="K3381" i="1"/>
  <c r="L3381" i="1" s="1"/>
  <c r="N3381" i="1" s="1"/>
  <c r="K3382" i="1"/>
  <c r="L3382" i="1" s="1"/>
  <c r="N3382" i="1" s="1"/>
  <c r="K3383" i="1"/>
  <c r="L3383" i="1" s="1"/>
  <c r="N3383" i="1" s="1"/>
  <c r="K3384" i="1"/>
  <c r="L3384" i="1" s="1"/>
  <c r="N3384" i="1" s="1"/>
  <c r="K3385" i="1"/>
  <c r="L3385" i="1" s="1"/>
  <c r="N3385" i="1" s="1"/>
  <c r="K3386" i="1"/>
  <c r="L3386" i="1" s="1"/>
  <c r="N3386" i="1" s="1"/>
  <c r="K3387" i="1"/>
  <c r="L3387" i="1" s="1"/>
  <c r="N3387" i="1" s="1"/>
  <c r="K3388" i="1"/>
  <c r="L3388" i="1" s="1"/>
  <c r="N3388" i="1" s="1"/>
  <c r="K3389" i="1"/>
  <c r="L3389" i="1" s="1"/>
  <c r="N3389" i="1" s="1"/>
  <c r="K3390" i="1"/>
  <c r="L3390" i="1" s="1"/>
  <c r="N3390" i="1" s="1"/>
  <c r="K3391" i="1"/>
  <c r="L3391" i="1" s="1"/>
  <c r="N3391" i="1" s="1"/>
  <c r="K3392" i="1"/>
  <c r="L3392" i="1" s="1"/>
  <c r="N3392" i="1" s="1"/>
  <c r="K3393" i="1"/>
  <c r="L3393" i="1" s="1"/>
  <c r="N3393" i="1" s="1"/>
  <c r="K3394" i="1"/>
  <c r="L3394" i="1" s="1"/>
  <c r="N3394" i="1" s="1"/>
  <c r="K3395" i="1"/>
  <c r="L3395" i="1" s="1"/>
  <c r="N3395" i="1" s="1"/>
  <c r="K3396" i="1"/>
  <c r="L3396" i="1" s="1"/>
  <c r="N3396" i="1" s="1"/>
  <c r="K3397" i="1"/>
  <c r="L3397" i="1" s="1"/>
  <c r="N3397" i="1" s="1"/>
  <c r="K3398" i="1"/>
  <c r="L3398" i="1" s="1"/>
  <c r="N3398" i="1" s="1"/>
  <c r="K3399" i="1"/>
  <c r="L3399" i="1" s="1"/>
  <c r="N3399" i="1" s="1"/>
  <c r="K3400" i="1"/>
  <c r="L3400" i="1" s="1"/>
  <c r="N3400" i="1" s="1"/>
  <c r="K3401" i="1"/>
  <c r="L3401" i="1" s="1"/>
  <c r="N3401" i="1" s="1"/>
  <c r="K3402" i="1"/>
  <c r="L3402" i="1" s="1"/>
  <c r="N3402" i="1" s="1"/>
  <c r="K3403" i="1"/>
  <c r="L3403" i="1" s="1"/>
  <c r="N3403" i="1" s="1"/>
  <c r="K3404" i="1"/>
  <c r="L3404" i="1" s="1"/>
  <c r="N3404" i="1" s="1"/>
  <c r="K3405" i="1"/>
  <c r="L3405" i="1" s="1"/>
  <c r="N3405" i="1" s="1"/>
  <c r="K3406" i="1"/>
  <c r="L3406" i="1" s="1"/>
  <c r="N3406" i="1" s="1"/>
  <c r="K3407" i="1"/>
  <c r="L3407" i="1" s="1"/>
  <c r="N3407" i="1" s="1"/>
  <c r="K3408" i="1"/>
  <c r="L3408" i="1" s="1"/>
  <c r="N3408" i="1" s="1"/>
  <c r="K3409" i="1"/>
  <c r="L3409" i="1" s="1"/>
  <c r="N3409" i="1" s="1"/>
  <c r="K3410" i="1"/>
  <c r="L3410" i="1" s="1"/>
  <c r="N3410" i="1" s="1"/>
  <c r="K3411" i="1"/>
  <c r="L3411" i="1" s="1"/>
  <c r="N3411" i="1" s="1"/>
  <c r="K3412" i="1"/>
  <c r="L3412" i="1" s="1"/>
  <c r="N3412" i="1" s="1"/>
  <c r="K3413" i="1"/>
  <c r="L3413" i="1" s="1"/>
  <c r="N3413" i="1" s="1"/>
  <c r="K3414" i="1"/>
  <c r="L3414" i="1" s="1"/>
  <c r="N3414" i="1" s="1"/>
  <c r="K3415" i="1"/>
  <c r="L3415" i="1" s="1"/>
  <c r="N3415" i="1" s="1"/>
  <c r="K3416" i="1"/>
  <c r="L3416" i="1" s="1"/>
  <c r="N3416" i="1" s="1"/>
  <c r="K3417" i="1"/>
  <c r="L3417" i="1" s="1"/>
  <c r="N3417" i="1" s="1"/>
  <c r="K3418" i="1"/>
  <c r="L3418" i="1" s="1"/>
  <c r="N3418" i="1" s="1"/>
  <c r="K3419" i="1"/>
  <c r="L3419" i="1" s="1"/>
  <c r="N3419" i="1" s="1"/>
  <c r="K3420" i="1"/>
  <c r="L3420" i="1" s="1"/>
  <c r="N3420" i="1" s="1"/>
  <c r="K3421" i="1"/>
  <c r="L3421" i="1" s="1"/>
  <c r="N3421" i="1" s="1"/>
  <c r="K3422" i="1"/>
  <c r="L3422" i="1" s="1"/>
  <c r="N3422" i="1" s="1"/>
  <c r="K3423" i="1"/>
  <c r="L3423" i="1" s="1"/>
  <c r="N3423" i="1" s="1"/>
  <c r="K3424" i="1"/>
  <c r="L3424" i="1" s="1"/>
  <c r="N3424" i="1" s="1"/>
  <c r="K3425" i="1"/>
  <c r="L3425" i="1" s="1"/>
  <c r="N3425" i="1" s="1"/>
  <c r="K3426" i="1"/>
  <c r="L3426" i="1" s="1"/>
  <c r="N3426" i="1" s="1"/>
  <c r="K3427" i="1"/>
  <c r="L3427" i="1" s="1"/>
  <c r="N3427" i="1" s="1"/>
  <c r="K3428" i="1"/>
  <c r="L3428" i="1" s="1"/>
  <c r="N3428" i="1" s="1"/>
  <c r="K3429" i="1"/>
  <c r="L3429" i="1" s="1"/>
  <c r="N3429" i="1" s="1"/>
  <c r="K3430" i="1"/>
  <c r="L3430" i="1" s="1"/>
  <c r="N3430" i="1" s="1"/>
  <c r="K3431" i="1"/>
  <c r="L3431" i="1" s="1"/>
  <c r="N3431" i="1" s="1"/>
  <c r="K3432" i="1"/>
  <c r="L3432" i="1" s="1"/>
  <c r="N3432" i="1" s="1"/>
  <c r="K3433" i="1"/>
  <c r="L3433" i="1" s="1"/>
  <c r="N3433" i="1" s="1"/>
  <c r="K3434" i="1"/>
  <c r="L3434" i="1" s="1"/>
  <c r="N3434" i="1" s="1"/>
  <c r="K3435" i="1"/>
  <c r="L3435" i="1" s="1"/>
  <c r="N3435" i="1" s="1"/>
  <c r="K3436" i="1"/>
  <c r="L3436" i="1" s="1"/>
  <c r="N3436" i="1" s="1"/>
  <c r="K3437" i="1"/>
  <c r="L3437" i="1" s="1"/>
  <c r="N3437" i="1" s="1"/>
  <c r="K3438" i="1"/>
  <c r="L3438" i="1" s="1"/>
  <c r="N3438" i="1" s="1"/>
  <c r="K3439" i="1"/>
  <c r="L3439" i="1" s="1"/>
  <c r="N3439" i="1" s="1"/>
  <c r="K3440" i="1"/>
  <c r="L3440" i="1" s="1"/>
  <c r="N3440" i="1" s="1"/>
  <c r="K3441" i="1"/>
  <c r="L3441" i="1" s="1"/>
  <c r="N3441" i="1" s="1"/>
  <c r="K3442" i="1"/>
  <c r="L3442" i="1" s="1"/>
  <c r="N3442" i="1" s="1"/>
  <c r="K3443" i="1"/>
  <c r="L3443" i="1" s="1"/>
  <c r="N3443" i="1" s="1"/>
  <c r="K3444" i="1"/>
  <c r="L3444" i="1" s="1"/>
  <c r="N3444" i="1" s="1"/>
  <c r="K3445" i="1"/>
  <c r="L3445" i="1" s="1"/>
  <c r="N3445" i="1" s="1"/>
  <c r="K3446" i="1"/>
  <c r="L3446" i="1" s="1"/>
  <c r="N3446" i="1" s="1"/>
  <c r="K3447" i="1"/>
  <c r="L3447" i="1" s="1"/>
  <c r="N3447" i="1" s="1"/>
  <c r="K3448" i="1"/>
  <c r="L3448" i="1" s="1"/>
  <c r="N3448" i="1" s="1"/>
  <c r="K3449" i="1"/>
  <c r="L3449" i="1" s="1"/>
  <c r="N3449" i="1" s="1"/>
  <c r="K3450" i="1"/>
  <c r="L3450" i="1" s="1"/>
  <c r="N3450" i="1" s="1"/>
  <c r="K3451" i="1"/>
  <c r="L3451" i="1" s="1"/>
  <c r="N3451" i="1" s="1"/>
  <c r="K3452" i="1"/>
  <c r="L3452" i="1" s="1"/>
  <c r="N3452" i="1" s="1"/>
  <c r="K3453" i="1"/>
  <c r="L3453" i="1" s="1"/>
  <c r="N3453" i="1" s="1"/>
  <c r="K3454" i="1"/>
  <c r="L3454" i="1" s="1"/>
  <c r="N3454" i="1" s="1"/>
  <c r="K3455" i="1"/>
  <c r="L3455" i="1" s="1"/>
  <c r="N3455" i="1" s="1"/>
  <c r="K3456" i="1"/>
  <c r="L3456" i="1" s="1"/>
  <c r="N3456" i="1" s="1"/>
  <c r="K3457" i="1"/>
  <c r="L3457" i="1" s="1"/>
  <c r="N3457" i="1" s="1"/>
  <c r="K3458" i="1"/>
  <c r="L3458" i="1" s="1"/>
  <c r="N3458" i="1" s="1"/>
  <c r="K3459" i="1"/>
  <c r="L3459" i="1" s="1"/>
  <c r="N3459" i="1" s="1"/>
  <c r="K3460" i="1"/>
  <c r="L3460" i="1" s="1"/>
  <c r="N3460" i="1" s="1"/>
  <c r="K3461" i="1"/>
  <c r="L3461" i="1" s="1"/>
  <c r="N3461" i="1" s="1"/>
  <c r="K3462" i="1"/>
  <c r="L3462" i="1" s="1"/>
  <c r="N3462" i="1" s="1"/>
  <c r="K3463" i="1"/>
  <c r="L3463" i="1" s="1"/>
  <c r="N3463" i="1" s="1"/>
  <c r="K3464" i="1"/>
  <c r="L3464" i="1" s="1"/>
  <c r="N3464" i="1" s="1"/>
  <c r="K3465" i="1"/>
  <c r="L3465" i="1" s="1"/>
  <c r="N3465" i="1" s="1"/>
  <c r="K3466" i="1"/>
  <c r="L3466" i="1" s="1"/>
  <c r="N3466" i="1" s="1"/>
  <c r="K3467" i="1"/>
  <c r="L3467" i="1" s="1"/>
  <c r="N3467" i="1" s="1"/>
  <c r="K3468" i="1"/>
  <c r="L3468" i="1" s="1"/>
  <c r="N3468" i="1" s="1"/>
  <c r="K3469" i="1"/>
  <c r="L3469" i="1" s="1"/>
  <c r="N3469" i="1" s="1"/>
  <c r="K3470" i="1"/>
  <c r="L3470" i="1" s="1"/>
  <c r="N3470" i="1" s="1"/>
  <c r="K3471" i="1"/>
  <c r="L3471" i="1" s="1"/>
  <c r="N3471" i="1" s="1"/>
  <c r="K3472" i="1"/>
  <c r="L3472" i="1" s="1"/>
  <c r="N3472" i="1" s="1"/>
  <c r="K3473" i="1"/>
  <c r="L3473" i="1" s="1"/>
  <c r="N3473" i="1" s="1"/>
  <c r="K3474" i="1"/>
  <c r="L3474" i="1" s="1"/>
  <c r="N3474" i="1" s="1"/>
  <c r="K3475" i="1"/>
  <c r="L3475" i="1" s="1"/>
  <c r="N3475" i="1" s="1"/>
  <c r="K3476" i="1"/>
  <c r="L3476" i="1" s="1"/>
  <c r="N3476" i="1" s="1"/>
  <c r="K3477" i="1"/>
  <c r="L3477" i="1" s="1"/>
  <c r="N3477" i="1" s="1"/>
  <c r="K3478" i="1"/>
  <c r="L3478" i="1" s="1"/>
  <c r="N3478" i="1" s="1"/>
  <c r="K3479" i="1"/>
  <c r="L3479" i="1" s="1"/>
  <c r="N3479" i="1" s="1"/>
  <c r="K3480" i="1"/>
  <c r="L3480" i="1" s="1"/>
  <c r="N3480" i="1" s="1"/>
  <c r="K3481" i="1"/>
  <c r="L3481" i="1" s="1"/>
  <c r="N3481" i="1" s="1"/>
  <c r="K3482" i="1"/>
  <c r="L3482" i="1" s="1"/>
  <c r="N3482" i="1" s="1"/>
  <c r="K3483" i="1"/>
  <c r="L3483" i="1" s="1"/>
  <c r="N3483" i="1" s="1"/>
  <c r="K3484" i="1"/>
  <c r="L3484" i="1" s="1"/>
  <c r="N3484" i="1" s="1"/>
  <c r="K3485" i="1"/>
  <c r="L3485" i="1" s="1"/>
  <c r="N3485" i="1" s="1"/>
  <c r="K3486" i="1"/>
  <c r="L3486" i="1" s="1"/>
  <c r="N3486" i="1" s="1"/>
  <c r="K3487" i="1"/>
  <c r="L3487" i="1" s="1"/>
  <c r="N3487" i="1" s="1"/>
  <c r="K3488" i="1"/>
  <c r="L3488" i="1" s="1"/>
  <c r="N3488" i="1" s="1"/>
  <c r="K3489" i="1"/>
  <c r="L3489" i="1" s="1"/>
  <c r="N3489" i="1" s="1"/>
  <c r="K3490" i="1"/>
  <c r="L3490" i="1" s="1"/>
  <c r="N3490" i="1" s="1"/>
  <c r="K3491" i="1"/>
  <c r="L3491" i="1" s="1"/>
  <c r="N3491" i="1" s="1"/>
  <c r="K3492" i="1"/>
  <c r="L3492" i="1" s="1"/>
  <c r="N3492" i="1" s="1"/>
  <c r="K3493" i="1"/>
  <c r="L3493" i="1" s="1"/>
  <c r="N3493" i="1" s="1"/>
  <c r="K3494" i="1"/>
  <c r="L3494" i="1" s="1"/>
  <c r="N3494" i="1" s="1"/>
  <c r="K3495" i="1"/>
  <c r="L3495" i="1" s="1"/>
  <c r="N3495" i="1" s="1"/>
  <c r="K3496" i="1"/>
  <c r="L3496" i="1" s="1"/>
  <c r="N3496" i="1" s="1"/>
  <c r="K3497" i="1"/>
  <c r="L3497" i="1" s="1"/>
  <c r="N3497" i="1" s="1"/>
  <c r="K3498" i="1"/>
  <c r="L3498" i="1" s="1"/>
  <c r="N3498" i="1" s="1"/>
  <c r="K3499" i="1"/>
  <c r="L3499" i="1" s="1"/>
  <c r="N3499" i="1" s="1"/>
  <c r="K3500" i="1"/>
  <c r="L3500" i="1" s="1"/>
  <c r="N3500" i="1" s="1"/>
  <c r="K3501" i="1"/>
  <c r="L3501" i="1" s="1"/>
  <c r="N3501" i="1" s="1"/>
  <c r="K3502" i="1"/>
  <c r="L3502" i="1" s="1"/>
  <c r="N3502" i="1" s="1"/>
  <c r="K3503" i="1"/>
  <c r="L3503" i="1" s="1"/>
  <c r="N3503" i="1" s="1"/>
  <c r="K3504" i="1"/>
  <c r="L3504" i="1" s="1"/>
  <c r="N3504" i="1" s="1"/>
  <c r="K3505" i="1"/>
  <c r="L3505" i="1" s="1"/>
  <c r="N3505" i="1" s="1"/>
  <c r="K3506" i="1"/>
  <c r="L3506" i="1" s="1"/>
  <c r="N3506" i="1" s="1"/>
  <c r="K3507" i="1"/>
  <c r="L3507" i="1" s="1"/>
  <c r="N3507" i="1" s="1"/>
  <c r="K3508" i="1"/>
  <c r="L3508" i="1" s="1"/>
  <c r="N3508" i="1" s="1"/>
  <c r="K3509" i="1"/>
  <c r="L3509" i="1" s="1"/>
  <c r="N3509" i="1" s="1"/>
  <c r="K3510" i="1"/>
  <c r="L3510" i="1" s="1"/>
  <c r="N3510" i="1" s="1"/>
  <c r="K3511" i="1"/>
  <c r="L3511" i="1" s="1"/>
  <c r="N3511" i="1" s="1"/>
  <c r="K3512" i="1"/>
  <c r="L3512" i="1" s="1"/>
  <c r="N3512" i="1" s="1"/>
  <c r="K3513" i="1"/>
  <c r="L3513" i="1" s="1"/>
  <c r="N3513" i="1" s="1"/>
  <c r="K3514" i="1"/>
  <c r="L3514" i="1" s="1"/>
  <c r="N3514" i="1" s="1"/>
  <c r="K3515" i="1"/>
  <c r="L3515" i="1" s="1"/>
  <c r="N3515" i="1" s="1"/>
  <c r="K3516" i="1"/>
  <c r="L3516" i="1" s="1"/>
  <c r="N3516" i="1" s="1"/>
  <c r="K3517" i="1"/>
  <c r="L3517" i="1" s="1"/>
  <c r="N3517" i="1" s="1"/>
  <c r="K3518" i="1"/>
  <c r="L3518" i="1" s="1"/>
  <c r="N3518" i="1" s="1"/>
  <c r="K3519" i="1"/>
  <c r="L3519" i="1" s="1"/>
  <c r="N3519" i="1" s="1"/>
  <c r="K3520" i="1"/>
  <c r="L3520" i="1" s="1"/>
  <c r="N3520" i="1" s="1"/>
  <c r="K3521" i="1"/>
  <c r="L3521" i="1" s="1"/>
  <c r="N3521" i="1" s="1"/>
  <c r="K3522" i="1"/>
  <c r="L3522" i="1" s="1"/>
  <c r="N3522" i="1" s="1"/>
  <c r="K3523" i="1"/>
  <c r="L3523" i="1" s="1"/>
  <c r="N3523" i="1" s="1"/>
  <c r="K3524" i="1"/>
  <c r="L3524" i="1" s="1"/>
  <c r="N3524" i="1" s="1"/>
  <c r="K3525" i="1"/>
  <c r="L3525" i="1" s="1"/>
  <c r="N3525" i="1" s="1"/>
  <c r="K3526" i="1"/>
  <c r="L3526" i="1" s="1"/>
  <c r="N3526" i="1" s="1"/>
  <c r="K3527" i="1"/>
  <c r="L3527" i="1" s="1"/>
  <c r="N3527" i="1" s="1"/>
  <c r="K3528" i="1"/>
  <c r="L3528" i="1" s="1"/>
  <c r="N3528" i="1" s="1"/>
  <c r="K3529" i="1"/>
  <c r="L3529" i="1" s="1"/>
  <c r="N3529" i="1" s="1"/>
  <c r="K3530" i="1"/>
  <c r="L3530" i="1" s="1"/>
  <c r="N3530" i="1" s="1"/>
  <c r="K3531" i="1"/>
  <c r="L3531" i="1" s="1"/>
  <c r="N3531" i="1" s="1"/>
  <c r="K3532" i="1"/>
  <c r="L3532" i="1" s="1"/>
  <c r="N3532" i="1" s="1"/>
  <c r="K3533" i="1"/>
  <c r="L3533" i="1" s="1"/>
  <c r="N3533" i="1" s="1"/>
  <c r="K3534" i="1"/>
  <c r="L3534" i="1" s="1"/>
  <c r="N3534" i="1" s="1"/>
  <c r="K3535" i="1"/>
  <c r="L3535" i="1" s="1"/>
  <c r="N3535" i="1" s="1"/>
  <c r="K3536" i="1"/>
  <c r="L3536" i="1" s="1"/>
  <c r="N3536" i="1" s="1"/>
  <c r="K3537" i="1"/>
  <c r="L3537" i="1" s="1"/>
  <c r="N3537" i="1" s="1"/>
  <c r="K3538" i="1"/>
  <c r="L3538" i="1" s="1"/>
  <c r="N3538" i="1" s="1"/>
  <c r="K3539" i="1"/>
  <c r="L3539" i="1" s="1"/>
  <c r="N3539" i="1" s="1"/>
  <c r="K3540" i="1"/>
  <c r="L3540" i="1" s="1"/>
  <c r="N3540" i="1" s="1"/>
  <c r="K3541" i="1"/>
  <c r="L3541" i="1" s="1"/>
  <c r="N3541" i="1" s="1"/>
  <c r="K3542" i="1"/>
  <c r="L3542" i="1" s="1"/>
  <c r="N3542" i="1" s="1"/>
  <c r="K3543" i="1"/>
  <c r="L3543" i="1" s="1"/>
  <c r="N3543" i="1" s="1"/>
  <c r="K3544" i="1"/>
  <c r="L3544" i="1" s="1"/>
  <c r="N3544" i="1" s="1"/>
  <c r="K3545" i="1"/>
  <c r="L3545" i="1" s="1"/>
  <c r="N3545" i="1" s="1"/>
  <c r="K3546" i="1"/>
  <c r="L3546" i="1" s="1"/>
  <c r="N3546" i="1" s="1"/>
  <c r="K3547" i="1"/>
  <c r="L3547" i="1" s="1"/>
  <c r="N3547" i="1" s="1"/>
  <c r="K3548" i="1"/>
  <c r="L3548" i="1" s="1"/>
  <c r="N3548" i="1" s="1"/>
  <c r="K3549" i="1"/>
  <c r="L3549" i="1" s="1"/>
  <c r="N3549" i="1" s="1"/>
  <c r="K3550" i="1"/>
  <c r="L3550" i="1" s="1"/>
  <c r="N3550" i="1" s="1"/>
  <c r="K3551" i="1"/>
  <c r="L3551" i="1" s="1"/>
  <c r="N3551" i="1" s="1"/>
  <c r="K3552" i="1"/>
  <c r="L3552" i="1" s="1"/>
  <c r="N3552" i="1" s="1"/>
  <c r="K3553" i="1"/>
  <c r="L3553" i="1" s="1"/>
  <c r="N3553" i="1" s="1"/>
  <c r="K3554" i="1"/>
  <c r="L3554" i="1" s="1"/>
  <c r="N3554" i="1" s="1"/>
  <c r="K3555" i="1"/>
  <c r="L3555" i="1" s="1"/>
  <c r="N3555" i="1" s="1"/>
  <c r="K3556" i="1"/>
  <c r="L3556" i="1" s="1"/>
  <c r="N3556" i="1" s="1"/>
  <c r="K3557" i="1"/>
  <c r="L3557" i="1" s="1"/>
  <c r="N3557" i="1" s="1"/>
  <c r="K3558" i="1"/>
  <c r="L3558" i="1" s="1"/>
  <c r="N3558" i="1" s="1"/>
  <c r="K3559" i="1"/>
  <c r="L3559" i="1" s="1"/>
  <c r="N3559" i="1" s="1"/>
  <c r="K3560" i="1"/>
  <c r="L3560" i="1" s="1"/>
  <c r="N3560" i="1" s="1"/>
  <c r="K3561" i="1"/>
  <c r="L3561" i="1" s="1"/>
  <c r="N3561" i="1" s="1"/>
  <c r="K3562" i="1"/>
  <c r="L3562" i="1" s="1"/>
  <c r="N3562" i="1" s="1"/>
  <c r="K3563" i="1"/>
  <c r="L3563" i="1" s="1"/>
  <c r="N3563" i="1" s="1"/>
  <c r="K3564" i="1"/>
  <c r="L3564" i="1" s="1"/>
  <c r="N3564" i="1" s="1"/>
  <c r="K3565" i="1"/>
  <c r="L3565" i="1" s="1"/>
  <c r="N3565" i="1" s="1"/>
  <c r="K3566" i="1"/>
  <c r="L3566" i="1" s="1"/>
  <c r="N3566" i="1" s="1"/>
  <c r="K3567" i="1"/>
  <c r="L3567" i="1" s="1"/>
  <c r="N3567" i="1" s="1"/>
  <c r="K3568" i="1"/>
  <c r="L3568" i="1" s="1"/>
  <c r="N3568" i="1" s="1"/>
  <c r="K3569" i="1"/>
  <c r="L3569" i="1" s="1"/>
  <c r="N3569" i="1" s="1"/>
  <c r="K3570" i="1"/>
  <c r="L3570" i="1" s="1"/>
  <c r="N3570" i="1" s="1"/>
  <c r="K3571" i="1"/>
  <c r="L3571" i="1" s="1"/>
  <c r="N3571" i="1" s="1"/>
  <c r="K3572" i="1"/>
  <c r="L3572" i="1" s="1"/>
  <c r="N3572" i="1" s="1"/>
  <c r="K3573" i="1"/>
  <c r="L3573" i="1" s="1"/>
  <c r="N3573" i="1" s="1"/>
  <c r="K3574" i="1"/>
  <c r="L3574" i="1" s="1"/>
  <c r="N3574" i="1" s="1"/>
  <c r="K3575" i="1"/>
  <c r="L3575" i="1" s="1"/>
  <c r="N3575" i="1" s="1"/>
  <c r="K3576" i="1"/>
  <c r="L3576" i="1" s="1"/>
  <c r="N3576" i="1" s="1"/>
  <c r="K3577" i="1"/>
  <c r="L3577" i="1" s="1"/>
  <c r="N3577" i="1" s="1"/>
  <c r="K3578" i="1"/>
  <c r="L3578" i="1" s="1"/>
  <c r="N3578" i="1" s="1"/>
  <c r="K3579" i="1"/>
  <c r="L3579" i="1" s="1"/>
  <c r="N3579" i="1" s="1"/>
  <c r="K3580" i="1"/>
  <c r="L3580" i="1" s="1"/>
  <c r="N3580" i="1" s="1"/>
  <c r="K3581" i="1"/>
  <c r="L3581" i="1" s="1"/>
  <c r="N3581" i="1" s="1"/>
  <c r="K3582" i="1"/>
  <c r="L3582" i="1" s="1"/>
  <c r="N3582" i="1" s="1"/>
  <c r="K3583" i="1"/>
  <c r="L3583" i="1" s="1"/>
  <c r="N3583" i="1" s="1"/>
  <c r="K3584" i="1"/>
  <c r="L3584" i="1" s="1"/>
  <c r="N3584" i="1" s="1"/>
  <c r="K3585" i="1"/>
  <c r="L3585" i="1" s="1"/>
  <c r="N3585" i="1" s="1"/>
  <c r="K3586" i="1"/>
  <c r="L3586" i="1" s="1"/>
  <c r="N3586" i="1" s="1"/>
  <c r="K3587" i="1"/>
  <c r="L3587" i="1" s="1"/>
  <c r="N3587" i="1" s="1"/>
  <c r="K3588" i="1"/>
  <c r="L3588" i="1" s="1"/>
  <c r="N3588" i="1" s="1"/>
  <c r="K3589" i="1"/>
  <c r="L3589" i="1" s="1"/>
  <c r="N3589" i="1" s="1"/>
  <c r="K3590" i="1"/>
  <c r="L3590" i="1" s="1"/>
  <c r="N3590" i="1" s="1"/>
  <c r="K3591" i="1"/>
  <c r="L3591" i="1" s="1"/>
  <c r="N3591" i="1" s="1"/>
  <c r="K3592" i="1"/>
  <c r="L3592" i="1" s="1"/>
  <c r="N3592" i="1" s="1"/>
  <c r="K3593" i="1"/>
  <c r="L3593" i="1" s="1"/>
  <c r="N3593" i="1" s="1"/>
  <c r="K3594" i="1"/>
  <c r="L3594" i="1" s="1"/>
  <c r="N3594" i="1" s="1"/>
  <c r="K3595" i="1"/>
  <c r="L3595" i="1" s="1"/>
  <c r="N3595" i="1" s="1"/>
  <c r="K3596" i="1"/>
  <c r="L3596" i="1" s="1"/>
  <c r="N3596" i="1" s="1"/>
  <c r="K3597" i="1"/>
  <c r="L3597" i="1" s="1"/>
  <c r="N3597" i="1" s="1"/>
  <c r="K3598" i="1"/>
  <c r="L3598" i="1" s="1"/>
  <c r="N3598" i="1" s="1"/>
  <c r="K3599" i="1"/>
  <c r="L3599" i="1" s="1"/>
  <c r="N3599" i="1" s="1"/>
  <c r="K3600" i="1"/>
  <c r="L3600" i="1" s="1"/>
  <c r="N3600" i="1" s="1"/>
  <c r="K3601" i="1"/>
  <c r="L3601" i="1" s="1"/>
  <c r="N3601" i="1" s="1"/>
  <c r="K3602" i="1"/>
  <c r="L3602" i="1" s="1"/>
  <c r="N3602" i="1" s="1"/>
  <c r="K3603" i="1"/>
  <c r="L3603" i="1" s="1"/>
  <c r="N3603" i="1" s="1"/>
  <c r="K3604" i="1"/>
  <c r="L3604" i="1" s="1"/>
  <c r="N3604" i="1" s="1"/>
  <c r="K3605" i="1"/>
  <c r="L3605" i="1" s="1"/>
  <c r="N3605" i="1" s="1"/>
  <c r="K3606" i="1"/>
  <c r="L3606" i="1" s="1"/>
  <c r="N3606" i="1" s="1"/>
  <c r="K3607" i="1"/>
  <c r="L3607" i="1" s="1"/>
  <c r="N3607" i="1" s="1"/>
  <c r="K3608" i="1"/>
  <c r="L3608" i="1" s="1"/>
  <c r="N3608" i="1" s="1"/>
  <c r="K3609" i="1"/>
  <c r="L3609" i="1" s="1"/>
  <c r="N3609" i="1" s="1"/>
  <c r="K3610" i="1"/>
  <c r="L3610" i="1" s="1"/>
  <c r="N3610" i="1" s="1"/>
  <c r="K3611" i="1"/>
  <c r="L3611" i="1" s="1"/>
  <c r="N3611" i="1" s="1"/>
  <c r="K3612" i="1"/>
  <c r="L3612" i="1" s="1"/>
  <c r="N3612" i="1" s="1"/>
  <c r="K3613" i="1"/>
  <c r="L3613" i="1" s="1"/>
  <c r="N3613" i="1" s="1"/>
  <c r="K3614" i="1"/>
  <c r="L3614" i="1" s="1"/>
  <c r="N3614" i="1" s="1"/>
  <c r="K3615" i="1"/>
  <c r="L3615" i="1" s="1"/>
  <c r="N3615" i="1" s="1"/>
  <c r="K3616" i="1"/>
  <c r="L3616" i="1" s="1"/>
  <c r="N3616" i="1" s="1"/>
  <c r="K3617" i="1"/>
  <c r="L3617" i="1" s="1"/>
  <c r="N3617" i="1" s="1"/>
  <c r="K3618" i="1"/>
  <c r="L3618" i="1" s="1"/>
  <c r="N3618" i="1" s="1"/>
  <c r="K3619" i="1"/>
  <c r="L3619" i="1" s="1"/>
  <c r="N3619" i="1" s="1"/>
  <c r="K3620" i="1"/>
  <c r="L3620" i="1" s="1"/>
  <c r="N3620" i="1" s="1"/>
  <c r="K3621" i="1"/>
  <c r="L3621" i="1" s="1"/>
  <c r="N3621" i="1" s="1"/>
  <c r="K3622" i="1"/>
  <c r="L3622" i="1" s="1"/>
  <c r="N3622" i="1" s="1"/>
  <c r="K3623" i="1"/>
  <c r="L3623" i="1" s="1"/>
  <c r="N3623" i="1" s="1"/>
  <c r="K3624" i="1"/>
  <c r="L3624" i="1" s="1"/>
  <c r="N3624" i="1" s="1"/>
  <c r="K3625" i="1"/>
  <c r="L3625" i="1" s="1"/>
  <c r="N3625" i="1" s="1"/>
  <c r="K3626" i="1"/>
  <c r="L3626" i="1" s="1"/>
  <c r="N3626" i="1" s="1"/>
  <c r="K3627" i="1"/>
  <c r="L3627" i="1" s="1"/>
  <c r="N3627" i="1" s="1"/>
  <c r="K3628" i="1"/>
  <c r="L3628" i="1" s="1"/>
  <c r="N3628" i="1" s="1"/>
  <c r="K3629" i="1"/>
  <c r="L3629" i="1" s="1"/>
  <c r="N3629" i="1" s="1"/>
  <c r="K3630" i="1"/>
  <c r="L3630" i="1" s="1"/>
  <c r="N3630" i="1" s="1"/>
  <c r="K3631" i="1"/>
  <c r="L3631" i="1" s="1"/>
  <c r="N3631" i="1" s="1"/>
  <c r="K3632" i="1"/>
  <c r="L3632" i="1" s="1"/>
  <c r="N3632" i="1" s="1"/>
  <c r="K3633" i="1"/>
  <c r="L3633" i="1" s="1"/>
  <c r="N3633" i="1" s="1"/>
  <c r="K3634" i="1"/>
  <c r="L3634" i="1" s="1"/>
  <c r="N3634" i="1" s="1"/>
  <c r="K3635" i="1"/>
  <c r="L3635" i="1" s="1"/>
  <c r="N3635" i="1" s="1"/>
  <c r="K3636" i="1"/>
  <c r="L3636" i="1" s="1"/>
  <c r="N3636" i="1" s="1"/>
  <c r="K3637" i="1"/>
  <c r="L3637" i="1" s="1"/>
  <c r="N3637" i="1" s="1"/>
  <c r="K3638" i="1"/>
  <c r="L3638" i="1" s="1"/>
  <c r="N3638" i="1" s="1"/>
  <c r="K3639" i="1"/>
  <c r="L3639" i="1" s="1"/>
  <c r="N3639" i="1" s="1"/>
  <c r="K3640" i="1"/>
  <c r="L3640" i="1" s="1"/>
  <c r="N3640" i="1" s="1"/>
  <c r="K3641" i="1"/>
  <c r="L3641" i="1" s="1"/>
  <c r="N3641" i="1" s="1"/>
  <c r="K3642" i="1"/>
  <c r="L3642" i="1" s="1"/>
  <c r="N3642" i="1" s="1"/>
  <c r="K3643" i="1"/>
  <c r="L3643" i="1" s="1"/>
  <c r="N3643" i="1" s="1"/>
  <c r="K3644" i="1"/>
  <c r="L3644" i="1" s="1"/>
  <c r="N3644" i="1" s="1"/>
  <c r="K3645" i="1"/>
  <c r="L3645" i="1" s="1"/>
  <c r="N3645" i="1" s="1"/>
  <c r="K3646" i="1"/>
  <c r="L3646" i="1" s="1"/>
  <c r="N3646" i="1" s="1"/>
  <c r="K3647" i="1"/>
  <c r="L3647" i="1" s="1"/>
  <c r="N3647" i="1" s="1"/>
  <c r="K3648" i="1"/>
  <c r="L3648" i="1" s="1"/>
  <c r="N3648" i="1" s="1"/>
  <c r="K3649" i="1"/>
  <c r="L3649" i="1" s="1"/>
  <c r="N3649" i="1" s="1"/>
  <c r="K3650" i="1"/>
  <c r="L3650" i="1" s="1"/>
  <c r="N3650" i="1" s="1"/>
  <c r="K3651" i="1"/>
  <c r="L3651" i="1" s="1"/>
  <c r="N3651" i="1" s="1"/>
  <c r="K3652" i="1"/>
  <c r="L3652" i="1" s="1"/>
  <c r="N3652" i="1" s="1"/>
  <c r="K3653" i="1"/>
  <c r="L3653" i="1" s="1"/>
  <c r="N3653" i="1" s="1"/>
  <c r="K3654" i="1"/>
  <c r="L3654" i="1" s="1"/>
  <c r="N3654" i="1" s="1"/>
  <c r="K3655" i="1"/>
  <c r="L3655" i="1" s="1"/>
  <c r="N3655" i="1" s="1"/>
  <c r="K3656" i="1"/>
  <c r="L3656" i="1" s="1"/>
  <c r="N3656" i="1" s="1"/>
  <c r="K3657" i="1"/>
  <c r="L3657" i="1" s="1"/>
  <c r="N3657" i="1" s="1"/>
  <c r="K3658" i="1"/>
  <c r="L3658" i="1" s="1"/>
  <c r="N3658" i="1" s="1"/>
  <c r="K3659" i="1"/>
  <c r="L3659" i="1" s="1"/>
  <c r="N3659" i="1" s="1"/>
  <c r="K3660" i="1"/>
  <c r="L3660" i="1" s="1"/>
  <c r="N3660" i="1" s="1"/>
  <c r="K3661" i="1"/>
  <c r="L3661" i="1" s="1"/>
  <c r="N3661" i="1" s="1"/>
  <c r="K3662" i="1"/>
  <c r="L3662" i="1" s="1"/>
  <c r="N3662" i="1" s="1"/>
  <c r="K3663" i="1"/>
  <c r="L3663" i="1" s="1"/>
  <c r="N3663" i="1" s="1"/>
  <c r="K3664" i="1"/>
  <c r="L3664" i="1" s="1"/>
  <c r="N3664" i="1" s="1"/>
  <c r="K3665" i="1"/>
  <c r="L3665" i="1" s="1"/>
  <c r="N3665" i="1" s="1"/>
  <c r="K3666" i="1"/>
  <c r="L3666" i="1" s="1"/>
  <c r="N3666" i="1" s="1"/>
  <c r="K3667" i="1"/>
  <c r="L3667" i="1" s="1"/>
  <c r="N3667" i="1" s="1"/>
  <c r="K3668" i="1"/>
  <c r="L3668" i="1" s="1"/>
  <c r="N3668" i="1" s="1"/>
  <c r="K3669" i="1"/>
  <c r="L3669" i="1" s="1"/>
  <c r="N3669" i="1" s="1"/>
  <c r="K3670" i="1"/>
  <c r="L3670" i="1" s="1"/>
  <c r="N3670" i="1" s="1"/>
  <c r="K3671" i="1"/>
  <c r="L3671" i="1" s="1"/>
  <c r="N3671" i="1" s="1"/>
  <c r="K3672" i="1"/>
  <c r="L3672" i="1" s="1"/>
  <c r="N3672" i="1" s="1"/>
  <c r="K3673" i="1"/>
  <c r="L3673" i="1" s="1"/>
  <c r="N3673" i="1" s="1"/>
  <c r="K3674" i="1"/>
  <c r="L3674" i="1" s="1"/>
  <c r="N3674" i="1" s="1"/>
  <c r="K3675" i="1"/>
  <c r="L3675" i="1" s="1"/>
  <c r="N3675" i="1" s="1"/>
  <c r="K3676" i="1"/>
  <c r="L3676" i="1" s="1"/>
  <c r="N3676" i="1" s="1"/>
  <c r="K3677" i="1"/>
  <c r="L3677" i="1" s="1"/>
  <c r="N3677" i="1" s="1"/>
  <c r="K3678" i="1"/>
  <c r="L3678" i="1" s="1"/>
  <c r="N3678" i="1" s="1"/>
  <c r="K3679" i="1"/>
  <c r="L3679" i="1" s="1"/>
  <c r="N3679" i="1" s="1"/>
  <c r="K3680" i="1"/>
  <c r="L3680" i="1" s="1"/>
  <c r="N3680" i="1" s="1"/>
  <c r="K3681" i="1"/>
  <c r="L3681" i="1" s="1"/>
  <c r="N3681" i="1" s="1"/>
  <c r="K3682" i="1"/>
  <c r="L3682" i="1" s="1"/>
  <c r="N3682" i="1" s="1"/>
  <c r="K3683" i="1"/>
  <c r="L3683" i="1" s="1"/>
  <c r="N3683" i="1" s="1"/>
  <c r="K3684" i="1"/>
  <c r="L3684" i="1" s="1"/>
  <c r="N3684" i="1" s="1"/>
  <c r="K3685" i="1"/>
  <c r="L3685" i="1" s="1"/>
  <c r="N3685" i="1" s="1"/>
  <c r="K3686" i="1"/>
  <c r="L3686" i="1" s="1"/>
  <c r="N3686" i="1" s="1"/>
  <c r="K3687" i="1"/>
  <c r="L3687" i="1" s="1"/>
  <c r="N3687" i="1" s="1"/>
  <c r="K3688" i="1"/>
  <c r="L3688" i="1" s="1"/>
  <c r="N3688" i="1" s="1"/>
  <c r="K3689" i="1"/>
  <c r="L3689" i="1" s="1"/>
  <c r="N3689" i="1" s="1"/>
  <c r="K3690" i="1"/>
  <c r="L3690" i="1" s="1"/>
  <c r="N3690" i="1" s="1"/>
  <c r="K3691" i="1"/>
  <c r="L3691" i="1" s="1"/>
  <c r="N3691" i="1" s="1"/>
  <c r="K3692" i="1"/>
  <c r="L3692" i="1" s="1"/>
  <c r="N3692" i="1" s="1"/>
  <c r="K3693" i="1"/>
  <c r="L3693" i="1" s="1"/>
  <c r="N3693" i="1" s="1"/>
  <c r="K3694" i="1"/>
  <c r="L3694" i="1" s="1"/>
  <c r="N3694" i="1" s="1"/>
  <c r="K3695" i="1"/>
  <c r="L3695" i="1" s="1"/>
  <c r="N3695" i="1" s="1"/>
  <c r="K3696" i="1"/>
  <c r="L3696" i="1" s="1"/>
  <c r="N3696" i="1" s="1"/>
  <c r="K3697" i="1"/>
  <c r="L3697" i="1" s="1"/>
  <c r="N3697" i="1" s="1"/>
  <c r="K3698" i="1"/>
  <c r="L3698" i="1" s="1"/>
  <c r="N3698" i="1" s="1"/>
  <c r="K3699" i="1"/>
  <c r="L3699" i="1" s="1"/>
  <c r="N3699" i="1" s="1"/>
  <c r="K3700" i="1"/>
  <c r="L3700" i="1" s="1"/>
  <c r="N3700" i="1" s="1"/>
  <c r="K3701" i="1"/>
  <c r="L3701" i="1" s="1"/>
  <c r="N3701" i="1" s="1"/>
  <c r="K3702" i="1"/>
  <c r="L3702" i="1" s="1"/>
  <c r="N3702" i="1" s="1"/>
  <c r="K3703" i="1"/>
  <c r="L3703" i="1" s="1"/>
  <c r="N3703" i="1" s="1"/>
  <c r="K3704" i="1"/>
  <c r="L3704" i="1" s="1"/>
  <c r="N3704" i="1" s="1"/>
  <c r="K3705" i="1"/>
  <c r="L3705" i="1" s="1"/>
  <c r="N3705" i="1" s="1"/>
  <c r="K3706" i="1"/>
  <c r="L3706" i="1" s="1"/>
  <c r="N3706" i="1" s="1"/>
  <c r="K3707" i="1"/>
  <c r="L3707" i="1" s="1"/>
  <c r="N3707" i="1" s="1"/>
  <c r="K3708" i="1"/>
  <c r="L3708" i="1" s="1"/>
  <c r="N3708" i="1" s="1"/>
  <c r="K3709" i="1"/>
  <c r="L3709" i="1" s="1"/>
  <c r="N3709" i="1" s="1"/>
  <c r="K3710" i="1"/>
  <c r="L3710" i="1" s="1"/>
  <c r="N3710" i="1" s="1"/>
  <c r="K3711" i="1"/>
  <c r="L3711" i="1" s="1"/>
  <c r="N3711" i="1" s="1"/>
  <c r="K3712" i="1"/>
  <c r="L3712" i="1" s="1"/>
  <c r="N3712" i="1" s="1"/>
  <c r="K3713" i="1"/>
  <c r="L3713" i="1" s="1"/>
  <c r="N3713" i="1" s="1"/>
  <c r="K3714" i="1"/>
  <c r="L3714" i="1" s="1"/>
  <c r="N3714" i="1" s="1"/>
  <c r="K3715" i="1"/>
  <c r="L3715" i="1" s="1"/>
  <c r="N3715" i="1" s="1"/>
  <c r="K3716" i="1"/>
  <c r="L3716" i="1" s="1"/>
  <c r="N3716" i="1" s="1"/>
  <c r="K3717" i="1"/>
  <c r="L3717" i="1" s="1"/>
  <c r="N3717" i="1" s="1"/>
  <c r="K3718" i="1"/>
  <c r="L3718" i="1" s="1"/>
  <c r="N3718" i="1" s="1"/>
  <c r="K3719" i="1"/>
  <c r="L3719" i="1" s="1"/>
  <c r="N3719" i="1" s="1"/>
  <c r="K3720" i="1"/>
  <c r="L3720" i="1" s="1"/>
  <c r="N3720" i="1" s="1"/>
  <c r="K3721" i="1"/>
  <c r="L3721" i="1" s="1"/>
  <c r="N3721" i="1" s="1"/>
  <c r="K3722" i="1"/>
  <c r="L3722" i="1" s="1"/>
  <c r="N3722" i="1" s="1"/>
  <c r="K3723" i="1"/>
  <c r="L3723" i="1" s="1"/>
  <c r="N3723" i="1" s="1"/>
  <c r="K3724" i="1"/>
  <c r="L3724" i="1" s="1"/>
  <c r="N3724" i="1" s="1"/>
  <c r="K3725" i="1"/>
  <c r="L3725" i="1" s="1"/>
  <c r="N3725" i="1" s="1"/>
  <c r="K3726" i="1"/>
  <c r="L3726" i="1" s="1"/>
  <c r="N3726" i="1" s="1"/>
  <c r="K3727" i="1"/>
  <c r="L3727" i="1" s="1"/>
  <c r="N3727" i="1" s="1"/>
  <c r="K3728" i="1"/>
  <c r="L3728" i="1" s="1"/>
  <c r="N3728" i="1" s="1"/>
  <c r="K3729" i="1"/>
  <c r="L3729" i="1" s="1"/>
  <c r="N3729" i="1" s="1"/>
  <c r="K3730" i="1"/>
  <c r="L3730" i="1" s="1"/>
  <c r="N3730" i="1" s="1"/>
  <c r="K3731" i="1"/>
  <c r="L3731" i="1" s="1"/>
  <c r="N3731" i="1" s="1"/>
  <c r="K3732" i="1"/>
  <c r="L3732" i="1" s="1"/>
  <c r="N3732" i="1" s="1"/>
  <c r="K3733" i="1"/>
  <c r="L3733" i="1" s="1"/>
  <c r="N3733" i="1" s="1"/>
  <c r="K3734" i="1"/>
  <c r="L3734" i="1" s="1"/>
  <c r="N3734" i="1" s="1"/>
  <c r="K3735" i="1"/>
  <c r="L3735" i="1" s="1"/>
  <c r="N3735" i="1" s="1"/>
  <c r="K3736" i="1"/>
  <c r="L3736" i="1" s="1"/>
  <c r="N3736" i="1" s="1"/>
  <c r="K3737" i="1"/>
  <c r="L3737" i="1" s="1"/>
  <c r="N3737" i="1" s="1"/>
  <c r="K3738" i="1"/>
  <c r="L3738" i="1" s="1"/>
  <c r="N3738" i="1" s="1"/>
  <c r="K3739" i="1"/>
  <c r="L3739" i="1" s="1"/>
  <c r="N3739" i="1" s="1"/>
  <c r="K3740" i="1"/>
  <c r="L3740" i="1" s="1"/>
  <c r="N3740" i="1" s="1"/>
  <c r="K3741" i="1"/>
  <c r="L3741" i="1" s="1"/>
  <c r="N3741" i="1" s="1"/>
  <c r="K3742" i="1"/>
  <c r="L3742" i="1" s="1"/>
  <c r="N3742" i="1" s="1"/>
  <c r="K3743" i="1"/>
  <c r="L3743" i="1" s="1"/>
  <c r="N3743" i="1" s="1"/>
  <c r="K3744" i="1"/>
  <c r="L3744" i="1" s="1"/>
  <c r="N3744" i="1" s="1"/>
  <c r="K3745" i="1"/>
  <c r="L3745" i="1" s="1"/>
  <c r="N3745" i="1" s="1"/>
  <c r="K3746" i="1"/>
  <c r="L3746" i="1" s="1"/>
  <c r="N3746" i="1" s="1"/>
  <c r="K3747" i="1"/>
  <c r="L3747" i="1" s="1"/>
  <c r="N3747" i="1" s="1"/>
  <c r="K3748" i="1"/>
  <c r="L3748" i="1" s="1"/>
  <c r="N3748" i="1" s="1"/>
  <c r="K3749" i="1"/>
  <c r="L3749" i="1" s="1"/>
  <c r="N3749" i="1" s="1"/>
  <c r="K3750" i="1"/>
  <c r="L3750" i="1" s="1"/>
  <c r="N3750" i="1" s="1"/>
  <c r="K3751" i="1"/>
  <c r="L3751" i="1" s="1"/>
  <c r="N3751" i="1" s="1"/>
  <c r="K3752" i="1"/>
  <c r="L3752" i="1" s="1"/>
  <c r="N3752" i="1" s="1"/>
  <c r="K3753" i="1"/>
  <c r="L3753" i="1" s="1"/>
  <c r="N3753" i="1" s="1"/>
  <c r="K3754" i="1"/>
  <c r="L3754" i="1" s="1"/>
  <c r="N3754" i="1" s="1"/>
  <c r="K3755" i="1"/>
  <c r="L3755" i="1" s="1"/>
  <c r="N3755" i="1" s="1"/>
  <c r="K3756" i="1"/>
  <c r="L3756" i="1" s="1"/>
  <c r="N3756" i="1" s="1"/>
  <c r="K3757" i="1"/>
  <c r="L3757" i="1" s="1"/>
  <c r="N3757" i="1" s="1"/>
  <c r="K3758" i="1"/>
  <c r="L3758" i="1" s="1"/>
  <c r="N3758" i="1" s="1"/>
  <c r="K3759" i="1"/>
  <c r="L3759" i="1" s="1"/>
  <c r="N3759" i="1" s="1"/>
  <c r="K3760" i="1"/>
  <c r="L3760" i="1" s="1"/>
  <c r="N3760" i="1" s="1"/>
  <c r="K3761" i="1"/>
  <c r="L3761" i="1" s="1"/>
  <c r="N3761" i="1" s="1"/>
  <c r="K3762" i="1"/>
  <c r="L3762" i="1" s="1"/>
  <c r="N3762" i="1" s="1"/>
  <c r="K3763" i="1"/>
  <c r="L3763" i="1" s="1"/>
  <c r="N3763" i="1" s="1"/>
  <c r="K3764" i="1"/>
  <c r="L3764" i="1" s="1"/>
  <c r="N3764" i="1" s="1"/>
  <c r="K3765" i="1"/>
  <c r="L3765" i="1" s="1"/>
  <c r="N3765" i="1" s="1"/>
  <c r="K3766" i="1"/>
  <c r="L3766" i="1" s="1"/>
  <c r="N3766" i="1" s="1"/>
  <c r="K3767" i="1"/>
  <c r="L3767" i="1" s="1"/>
  <c r="N3767" i="1" s="1"/>
  <c r="K3768" i="1"/>
  <c r="L3768" i="1" s="1"/>
  <c r="N3768" i="1" s="1"/>
  <c r="K3769" i="1"/>
  <c r="L3769" i="1" s="1"/>
  <c r="N3769" i="1" s="1"/>
  <c r="K3770" i="1"/>
  <c r="L3770" i="1" s="1"/>
  <c r="N3770" i="1" s="1"/>
  <c r="K3771" i="1"/>
  <c r="L3771" i="1" s="1"/>
  <c r="N3771" i="1" s="1"/>
  <c r="K3772" i="1"/>
  <c r="L3772" i="1" s="1"/>
  <c r="N3772" i="1" s="1"/>
  <c r="K3773" i="1"/>
  <c r="L3773" i="1" s="1"/>
  <c r="N3773" i="1" s="1"/>
  <c r="K3774" i="1"/>
  <c r="L3774" i="1" s="1"/>
  <c r="N3774" i="1" s="1"/>
  <c r="K3775" i="1"/>
  <c r="L3775" i="1" s="1"/>
  <c r="N3775" i="1" s="1"/>
  <c r="K3776" i="1"/>
  <c r="L3776" i="1" s="1"/>
  <c r="N3776" i="1" s="1"/>
  <c r="K3777" i="1"/>
  <c r="L3777" i="1" s="1"/>
  <c r="N3777" i="1" s="1"/>
  <c r="K3778" i="1"/>
  <c r="L3778" i="1" s="1"/>
  <c r="N3778" i="1" s="1"/>
  <c r="K3779" i="1"/>
  <c r="L3779" i="1" s="1"/>
  <c r="N3779" i="1" s="1"/>
  <c r="K3780" i="1"/>
  <c r="L3780" i="1" s="1"/>
  <c r="N3780" i="1" s="1"/>
  <c r="K3781" i="1"/>
  <c r="L3781" i="1" s="1"/>
  <c r="N3781" i="1" s="1"/>
  <c r="K3782" i="1"/>
  <c r="L3782" i="1" s="1"/>
  <c r="N3782" i="1" s="1"/>
  <c r="K3783" i="1"/>
  <c r="L3783" i="1" s="1"/>
  <c r="N3783" i="1" s="1"/>
  <c r="K3784" i="1"/>
  <c r="L3784" i="1" s="1"/>
  <c r="N3784" i="1" s="1"/>
  <c r="K3785" i="1"/>
  <c r="L3785" i="1" s="1"/>
  <c r="N3785" i="1" s="1"/>
  <c r="K3786" i="1"/>
  <c r="L3786" i="1" s="1"/>
  <c r="N3786" i="1" s="1"/>
  <c r="K3787" i="1"/>
  <c r="L3787" i="1" s="1"/>
  <c r="N3787" i="1" s="1"/>
  <c r="K3788" i="1"/>
  <c r="L3788" i="1" s="1"/>
  <c r="N3788" i="1" s="1"/>
  <c r="K3789" i="1"/>
  <c r="L3789" i="1" s="1"/>
  <c r="N3789" i="1" s="1"/>
  <c r="K3790" i="1"/>
  <c r="L3790" i="1" s="1"/>
  <c r="N3790" i="1" s="1"/>
  <c r="K3791" i="1"/>
  <c r="L3791" i="1" s="1"/>
  <c r="N3791" i="1" s="1"/>
  <c r="K3792" i="1"/>
  <c r="L3792" i="1" s="1"/>
  <c r="N3792" i="1" s="1"/>
  <c r="K3793" i="1"/>
  <c r="L3793" i="1" s="1"/>
  <c r="N3793" i="1" s="1"/>
  <c r="K3794" i="1"/>
  <c r="L3794" i="1" s="1"/>
  <c r="N3794" i="1" s="1"/>
  <c r="K3795" i="1"/>
  <c r="L3795" i="1" s="1"/>
  <c r="N3795" i="1" s="1"/>
  <c r="K3796" i="1"/>
  <c r="L3796" i="1" s="1"/>
  <c r="N3796" i="1" s="1"/>
  <c r="K3797" i="1"/>
  <c r="L3797" i="1" s="1"/>
  <c r="N3797" i="1" s="1"/>
  <c r="K3798" i="1"/>
  <c r="L3798" i="1" s="1"/>
  <c r="N3798" i="1" s="1"/>
  <c r="K3799" i="1"/>
  <c r="L3799" i="1" s="1"/>
  <c r="N3799" i="1" s="1"/>
  <c r="K3800" i="1"/>
  <c r="L3800" i="1" s="1"/>
  <c r="N3800" i="1" s="1"/>
  <c r="K3801" i="1"/>
  <c r="L3801" i="1" s="1"/>
  <c r="N3801" i="1" s="1"/>
  <c r="K3802" i="1"/>
  <c r="L3802" i="1" s="1"/>
  <c r="N3802" i="1" s="1"/>
  <c r="K3803" i="1"/>
  <c r="L3803" i="1" s="1"/>
  <c r="N3803" i="1" s="1"/>
  <c r="K3804" i="1"/>
  <c r="L3804" i="1" s="1"/>
  <c r="N3804" i="1" s="1"/>
  <c r="K3805" i="1"/>
  <c r="L3805" i="1" s="1"/>
  <c r="N3805" i="1" s="1"/>
  <c r="K3806" i="1"/>
  <c r="L3806" i="1" s="1"/>
  <c r="N3806" i="1" s="1"/>
  <c r="K3807" i="1"/>
  <c r="L3807" i="1" s="1"/>
  <c r="N3807" i="1" s="1"/>
  <c r="K3808" i="1"/>
  <c r="L3808" i="1" s="1"/>
  <c r="N3808" i="1" s="1"/>
  <c r="K3809" i="1"/>
  <c r="L3809" i="1" s="1"/>
  <c r="N3809" i="1" s="1"/>
  <c r="K3810" i="1"/>
  <c r="L3810" i="1" s="1"/>
  <c r="N3810" i="1" s="1"/>
  <c r="K3811" i="1"/>
  <c r="L3811" i="1" s="1"/>
  <c r="N3811" i="1" s="1"/>
  <c r="K3812" i="1"/>
  <c r="L3812" i="1" s="1"/>
  <c r="N3812" i="1" s="1"/>
  <c r="K3813" i="1"/>
  <c r="L3813" i="1" s="1"/>
  <c r="N3813" i="1" s="1"/>
  <c r="K3814" i="1"/>
  <c r="L3814" i="1" s="1"/>
  <c r="N3814" i="1" s="1"/>
  <c r="K3815" i="1"/>
  <c r="L3815" i="1" s="1"/>
  <c r="N3815" i="1" s="1"/>
  <c r="K3816" i="1"/>
  <c r="L3816" i="1" s="1"/>
  <c r="N3816" i="1" s="1"/>
  <c r="K3817" i="1"/>
  <c r="L3817" i="1" s="1"/>
  <c r="N3817" i="1" s="1"/>
  <c r="K3818" i="1"/>
  <c r="L3818" i="1" s="1"/>
  <c r="N3818" i="1" s="1"/>
  <c r="K3819" i="1"/>
  <c r="L3819" i="1" s="1"/>
  <c r="N3819" i="1" s="1"/>
  <c r="K3820" i="1"/>
  <c r="L3820" i="1" s="1"/>
  <c r="N3820" i="1" s="1"/>
  <c r="K3821" i="1"/>
  <c r="L3821" i="1" s="1"/>
  <c r="N3821" i="1" s="1"/>
  <c r="K3822" i="1"/>
  <c r="L3822" i="1" s="1"/>
  <c r="N3822" i="1" s="1"/>
  <c r="K3823" i="1"/>
  <c r="L3823" i="1" s="1"/>
  <c r="N3823" i="1" s="1"/>
  <c r="K3824" i="1"/>
  <c r="L3824" i="1" s="1"/>
  <c r="N3824" i="1" s="1"/>
  <c r="K3825" i="1"/>
  <c r="L3825" i="1" s="1"/>
  <c r="N3825" i="1" s="1"/>
  <c r="K3826" i="1"/>
  <c r="L3826" i="1" s="1"/>
  <c r="N3826" i="1" s="1"/>
  <c r="K3827" i="1"/>
  <c r="L3827" i="1" s="1"/>
  <c r="N3827" i="1" s="1"/>
  <c r="K3828" i="1"/>
  <c r="L3828" i="1" s="1"/>
  <c r="N3828" i="1" s="1"/>
  <c r="K3829" i="1"/>
  <c r="L3829" i="1" s="1"/>
  <c r="N3829" i="1" s="1"/>
  <c r="K3830" i="1"/>
  <c r="L3830" i="1" s="1"/>
  <c r="N3830" i="1" s="1"/>
  <c r="K3831" i="1"/>
  <c r="L3831" i="1" s="1"/>
  <c r="N3831" i="1" s="1"/>
  <c r="K3832" i="1"/>
  <c r="L3832" i="1" s="1"/>
  <c r="N3832" i="1" s="1"/>
  <c r="K3833" i="1"/>
  <c r="L3833" i="1" s="1"/>
  <c r="N3833" i="1" s="1"/>
  <c r="K3834" i="1"/>
  <c r="L3834" i="1" s="1"/>
  <c r="N3834" i="1" s="1"/>
  <c r="K3835" i="1"/>
  <c r="L3835" i="1" s="1"/>
  <c r="N3835" i="1" s="1"/>
  <c r="K3836" i="1"/>
  <c r="L3836" i="1" s="1"/>
  <c r="N3836" i="1" s="1"/>
  <c r="K3837" i="1"/>
  <c r="L3837" i="1" s="1"/>
  <c r="N3837" i="1" s="1"/>
  <c r="K3838" i="1"/>
  <c r="L3838" i="1" s="1"/>
  <c r="N3838" i="1" s="1"/>
  <c r="K3839" i="1"/>
  <c r="L3839" i="1" s="1"/>
  <c r="N3839" i="1" s="1"/>
  <c r="K3840" i="1"/>
  <c r="L3840" i="1" s="1"/>
  <c r="N3840" i="1" s="1"/>
  <c r="K3841" i="1"/>
  <c r="L3841" i="1" s="1"/>
  <c r="N3841" i="1" s="1"/>
  <c r="K3842" i="1"/>
  <c r="L3842" i="1" s="1"/>
  <c r="N3842" i="1" s="1"/>
  <c r="K3843" i="1"/>
  <c r="L3843" i="1" s="1"/>
  <c r="N3843" i="1" s="1"/>
  <c r="K3844" i="1"/>
  <c r="L3844" i="1" s="1"/>
  <c r="N3844" i="1" s="1"/>
  <c r="K3845" i="1"/>
  <c r="L3845" i="1" s="1"/>
  <c r="N3845" i="1" s="1"/>
  <c r="K3846" i="1"/>
  <c r="L3846" i="1" s="1"/>
  <c r="N3846" i="1" s="1"/>
  <c r="K3847" i="1"/>
  <c r="L3847" i="1" s="1"/>
  <c r="N3847" i="1" s="1"/>
  <c r="K3848" i="1"/>
  <c r="L3848" i="1" s="1"/>
  <c r="N3848" i="1" s="1"/>
  <c r="K3849" i="1"/>
  <c r="L3849" i="1" s="1"/>
  <c r="N3849" i="1" s="1"/>
  <c r="K3850" i="1"/>
  <c r="L3850" i="1" s="1"/>
  <c r="N3850" i="1" s="1"/>
  <c r="K3851" i="1"/>
  <c r="L3851" i="1" s="1"/>
  <c r="N3851" i="1" s="1"/>
  <c r="K3852" i="1"/>
  <c r="L3852" i="1" s="1"/>
  <c r="N3852" i="1" s="1"/>
  <c r="K3853" i="1"/>
  <c r="L3853" i="1" s="1"/>
  <c r="N3853" i="1" s="1"/>
  <c r="K3854" i="1"/>
  <c r="L3854" i="1" s="1"/>
  <c r="N3854" i="1" s="1"/>
  <c r="K3855" i="1"/>
  <c r="L3855" i="1" s="1"/>
  <c r="N3855" i="1" s="1"/>
  <c r="K3856" i="1"/>
  <c r="L3856" i="1" s="1"/>
  <c r="N3856" i="1" s="1"/>
  <c r="K3857" i="1"/>
  <c r="L3857" i="1" s="1"/>
  <c r="N3857" i="1" s="1"/>
  <c r="K3858" i="1"/>
  <c r="L3858" i="1" s="1"/>
  <c r="N3858" i="1" s="1"/>
  <c r="K3859" i="1"/>
  <c r="L3859" i="1" s="1"/>
  <c r="N3859" i="1" s="1"/>
  <c r="K3860" i="1"/>
  <c r="L3860" i="1" s="1"/>
  <c r="N3860" i="1" s="1"/>
  <c r="K3861" i="1"/>
  <c r="L3861" i="1" s="1"/>
  <c r="N3861" i="1" s="1"/>
  <c r="K3862" i="1"/>
  <c r="L3862" i="1" s="1"/>
  <c r="N3862" i="1" s="1"/>
  <c r="K3863" i="1"/>
  <c r="L3863" i="1" s="1"/>
  <c r="N3863" i="1" s="1"/>
  <c r="K3864" i="1"/>
  <c r="L3864" i="1" s="1"/>
  <c r="N3864" i="1" s="1"/>
  <c r="K3865" i="1"/>
  <c r="L3865" i="1" s="1"/>
  <c r="N3865" i="1" s="1"/>
  <c r="K3866" i="1"/>
  <c r="L3866" i="1" s="1"/>
  <c r="N3866" i="1" s="1"/>
  <c r="K3867" i="1"/>
  <c r="L3867" i="1" s="1"/>
  <c r="N3867" i="1" s="1"/>
  <c r="K3868" i="1"/>
  <c r="L3868" i="1" s="1"/>
  <c r="N3868" i="1" s="1"/>
  <c r="K3869" i="1"/>
  <c r="L3869" i="1" s="1"/>
  <c r="N3869" i="1" s="1"/>
  <c r="K3870" i="1"/>
  <c r="L3870" i="1" s="1"/>
  <c r="N3870" i="1" s="1"/>
  <c r="K3871" i="1"/>
  <c r="L3871" i="1" s="1"/>
  <c r="N3871" i="1" s="1"/>
  <c r="K3872" i="1"/>
  <c r="L3872" i="1" s="1"/>
  <c r="N3872" i="1" s="1"/>
  <c r="K3873" i="1"/>
  <c r="L3873" i="1" s="1"/>
  <c r="N3873" i="1" s="1"/>
  <c r="K3874" i="1"/>
  <c r="L3874" i="1" s="1"/>
  <c r="N3874" i="1" s="1"/>
  <c r="K3875" i="1"/>
  <c r="L3875" i="1" s="1"/>
  <c r="N3875" i="1" s="1"/>
  <c r="K3876" i="1"/>
  <c r="L3876" i="1" s="1"/>
  <c r="N3876" i="1" s="1"/>
  <c r="K3877" i="1"/>
  <c r="L3877" i="1" s="1"/>
  <c r="N3877" i="1" s="1"/>
  <c r="K3878" i="1"/>
  <c r="L3878" i="1" s="1"/>
  <c r="N3878" i="1" s="1"/>
  <c r="K3879" i="1"/>
  <c r="L3879" i="1" s="1"/>
  <c r="N3879" i="1" s="1"/>
  <c r="K3880" i="1"/>
  <c r="L3880" i="1" s="1"/>
  <c r="N3880" i="1" s="1"/>
  <c r="K3881" i="1"/>
  <c r="L3881" i="1" s="1"/>
  <c r="N3881" i="1" s="1"/>
  <c r="K3882" i="1"/>
  <c r="L3882" i="1" s="1"/>
  <c r="N3882" i="1" s="1"/>
  <c r="K3883" i="1"/>
  <c r="L3883" i="1" s="1"/>
  <c r="N3883" i="1" s="1"/>
  <c r="K3884" i="1"/>
  <c r="L3884" i="1" s="1"/>
  <c r="N3884" i="1" s="1"/>
  <c r="K3885" i="1"/>
  <c r="L3885" i="1" s="1"/>
  <c r="N3885" i="1" s="1"/>
  <c r="K3886" i="1"/>
  <c r="L3886" i="1" s="1"/>
  <c r="N3886" i="1" s="1"/>
  <c r="K3887" i="1"/>
  <c r="L3887" i="1" s="1"/>
  <c r="N3887" i="1" s="1"/>
  <c r="K3888" i="1"/>
  <c r="L3888" i="1" s="1"/>
  <c r="N3888" i="1" s="1"/>
  <c r="K3889" i="1"/>
  <c r="L3889" i="1" s="1"/>
  <c r="N3889" i="1" s="1"/>
  <c r="K3890" i="1"/>
  <c r="L3890" i="1" s="1"/>
  <c r="N3890" i="1" s="1"/>
  <c r="K3891" i="1"/>
  <c r="L3891" i="1" s="1"/>
  <c r="N3891" i="1" s="1"/>
  <c r="K3892" i="1"/>
  <c r="L3892" i="1" s="1"/>
  <c r="N3892" i="1" s="1"/>
  <c r="K3893" i="1"/>
  <c r="L3893" i="1" s="1"/>
  <c r="N3893" i="1" s="1"/>
  <c r="K3894" i="1"/>
  <c r="L3894" i="1" s="1"/>
  <c r="N3894" i="1" s="1"/>
  <c r="K3895" i="1"/>
  <c r="L3895" i="1" s="1"/>
  <c r="N3895" i="1" s="1"/>
  <c r="K3896" i="1"/>
  <c r="L3896" i="1" s="1"/>
  <c r="N3896" i="1" s="1"/>
  <c r="K3897" i="1"/>
  <c r="L3897" i="1" s="1"/>
  <c r="N3897" i="1" s="1"/>
  <c r="K3898" i="1"/>
  <c r="L3898" i="1" s="1"/>
  <c r="N3898" i="1" s="1"/>
  <c r="K3899" i="1"/>
  <c r="L3899" i="1" s="1"/>
  <c r="N3899" i="1" s="1"/>
  <c r="K3900" i="1"/>
  <c r="L3900" i="1" s="1"/>
  <c r="N3900" i="1" s="1"/>
  <c r="K3901" i="1"/>
  <c r="L3901" i="1" s="1"/>
  <c r="N3901" i="1" s="1"/>
  <c r="K3902" i="1"/>
  <c r="L3902" i="1" s="1"/>
  <c r="N3902" i="1" s="1"/>
  <c r="K3903" i="1"/>
  <c r="L3903" i="1" s="1"/>
  <c r="N3903" i="1" s="1"/>
  <c r="K3904" i="1"/>
  <c r="L3904" i="1" s="1"/>
  <c r="N3904" i="1" s="1"/>
  <c r="K3905" i="1"/>
  <c r="L3905" i="1" s="1"/>
  <c r="N3905" i="1" s="1"/>
  <c r="K3906" i="1"/>
  <c r="L3906" i="1" s="1"/>
  <c r="N3906" i="1" s="1"/>
  <c r="K3907" i="1"/>
  <c r="L3907" i="1" s="1"/>
  <c r="N3907" i="1" s="1"/>
  <c r="K3908" i="1"/>
  <c r="L3908" i="1" s="1"/>
  <c r="N3908" i="1" s="1"/>
  <c r="K3909" i="1"/>
  <c r="L3909" i="1" s="1"/>
  <c r="N3909" i="1" s="1"/>
  <c r="K3910" i="1"/>
  <c r="L3910" i="1" s="1"/>
  <c r="N3910" i="1" s="1"/>
  <c r="K3911" i="1"/>
  <c r="L3911" i="1" s="1"/>
  <c r="N3911" i="1" s="1"/>
  <c r="K3912" i="1"/>
  <c r="L3912" i="1" s="1"/>
  <c r="N3912" i="1" s="1"/>
  <c r="K3913" i="1"/>
  <c r="L3913" i="1" s="1"/>
  <c r="N3913" i="1" s="1"/>
  <c r="K3914" i="1"/>
  <c r="L3914" i="1" s="1"/>
  <c r="N3914" i="1" s="1"/>
  <c r="K3915" i="1"/>
  <c r="L3915" i="1" s="1"/>
  <c r="N3915" i="1" s="1"/>
  <c r="K3916" i="1"/>
  <c r="L3916" i="1" s="1"/>
  <c r="N3916" i="1" s="1"/>
  <c r="K3917" i="1"/>
  <c r="L3917" i="1" s="1"/>
  <c r="N3917" i="1" s="1"/>
  <c r="K3918" i="1"/>
  <c r="L3918" i="1" s="1"/>
  <c r="N3918" i="1" s="1"/>
  <c r="K3919" i="1"/>
  <c r="L3919" i="1" s="1"/>
  <c r="N3919" i="1" s="1"/>
  <c r="K3920" i="1"/>
  <c r="L3920" i="1" s="1"/>
  <c r="N3920" i="1" s="1"/>
  <c r="K3921" i="1"/>
  <c r="L3921" i="1" s="1"/>
  <c r="N3921" i="1" s="1"/>
  <c r="K3922" i="1"/>
  <c r="L3922" i="1" s="1"/>
  <c r="N3922" i="1" s="1"/>
  <c r="K3923" i="1"/>
  <c r="L3923" i="1" s="1"/>
  <c r="N3923" i="1" s="1"/>
  <c r="K3924" i="1"/>
  <c r="L3924" i="1" s="1"/>
  <c r="N3924" i="1" s="1"/>
  <c r="K3925" i="1"/>
  <c r="L3925" i="1" s="1"/>
  <c r="N3925" i="1" s="1"/>
  <c r="K3926" i="1"/>
  <c r="L3926" i="1" s="1"/>
  <c r="N3926" i="1" s="1"/>
  <c r="K3927" i="1"/>
  <c r="L3927" i="1" s="1"/>
  <c r="N3927" i="1" s="1"/>
  <c r="K3928" i="1"/>
  <c r="L3928" i="1" s="1"/>
  <c r="N3928" i="1" s="1"/>
  <c r="K3929" i="1"/>
  <c r="L3929" i="1" s="1"/>
  <c r="N3929" i="1" s="1"/>
  <c r="K3930" i="1"/>
  <c r="L3930" i="1" s="1"/>
  <c r="N3930" i="1" s="1"/>
  <c r="K3931" i="1"/>
  <c r="L3931" i="1" s="1"/>
  <c r="N3931" i="1" s="1"/>
  <c r="K3932" i="1"/>
  <c r="L3932" i="1" s="1"/>
  <c r="N3932" i="1" s="1"/>
  <c r="K3933" i="1"/>
  <c r="L3933" i="1" s="1"/>
  <c r="N3933" i="1" s="1"/>
  <c r="K3934" i="1"/>
  <c r="L3934" i="1" s="1"/>
  <c r="N3934" i="1" s="1"/>
  <c r="K3935" i="1"/>
  <c r="L3935" i="1" s="1"/>
  <c r="N3935" i="1" s="1"/>
  <c r="K3936" i="1"/>
  <c r="L3936" i="1" s="1"/>
  <c r="N3936" i="1" s="1"/>
  <c r="K3937" i="1"/>
  <c r="L3937" i="1" s="1"/>
  <c r="N3937" i="1" s="1"/>
  <c r="K3938" i="1"/>
  <c r="L3938" i="1" s="1"/>
  <c r="N3938" i="1" s="1"/>
  <c r="K3939" i="1"/>
  <c r="L3939" i="1" s="1"/>
  <c r="N3939" i="1" s="1"/>
  <c r="K3940" i="1"/>
  <c r="L3940" i="1" s="1"/>
  <c r="N3940" i="1" s="1"/>
  <c r="K3941" i="1"/>
  <c r="L3941" i="1" s="1"/>
  <c r="N3941" i="1" s="1"/>
  <c r="K3942" i="1"/>
  <c r="L3942" i="1" s="1"/>
  <c r="N3942" i="1" s="1"/>
  <c r="K3943" i="1"/>
  <c r="L3943" i="1" s="1"/>
  <c r="N3943" i="1" s="1"/>
  <c r="K3944" i="1"/>
  <c r="L3944" i="1" s="1"/>
  <c r="N3944" i="1" s="1"/>
  <c r="K3945" i="1"/>
  <c r="L3945" i="1" s="1"/>
  <c r="N3945" i="1" s="1"/>
  <c r="K3946" i="1"/>
  <c r="L3946" i="1" s="1"/>
  <c r="N3946" i="1" s="1"/>
  <c r="K3947" i="1"/>
  <c r="L3947" i="1" s="1"/>
  <c r="N3947" i="1" s="1"/>
  <c r="K3948" i="1"/>
  <c r="L3948" i="1" s="1"/>
  <c r="N3948" i="1" s="1"/>
  <c r="K3949" i="1"/>
  <c r="L3949" i="1" s="1"/>
  <c r="N3949" i="1" s="1"/>
  <c r="K3950" i="1"/>
  <c r="L3950" i="1" s="1"/>
  <c r="N3950" i="1" s="1"/>
  <c r="K3951" i="1"/>
  <c r="L3951" i="1" s="1"/>
  <c r="N3951" i="1" s="1"/>
  <c r="K3952" i="1"/>
  <c r="L3952" i="1" s="1"/>
  <c r="N3952" i="1" s="1"/>
  <c r="K3953" i="1"/>
  <c r="L3953" i="1" s="1"/>
  <c r="N3953" i="1" s="1"/>
  <c r="K3954" i="1"/>
  <c r="L3954" i="1" s="1"/>
  <c r="N3954" i="1" s="1"/>
  <c r="K3955" i="1"/>
  <c r="L3955" i="1" s="1"/>
  <c r="N3955" i="1" s="1"/>
  <c r="K3956" i="1"/>
  <c r="L3956" i="1" s="1"/>
  <c r="N3956" i="1" s="1"/>
  <c r="K3957" i="1"/>
  <c r="L3957" i="1" s="1"/>
  <c r="N3957" i="1" s="1"/>
  <c r="K3958" i="1"/>
  <c r="L3958" i="1" s="1"/>
  <c r="N3958" i="1" s="1"/>
  <c r="K3959" i="1"/>
  <c r="L3959" i="1" s="1"/>
  <c r="N3959" i="1" s="1"/>
  <c r="K3960" i="1"/>
  <c r="L3960" i="1" s="1"/>
  <c r="N3960" i="1" s="1"/>
  <c r="K3961" i="1"/>
  <c r="L3961" i="1" s="1"/>
  <c r="N3961" i="1" s="1"/>
  <c r="K3962" i="1"/>
  <c r="L3962" i="1" s="1"/>
  <c r="N3962" i="1" s="1"/>
  <c r="K3963" i="1"/>
  <c r="L3963" i="1" s="1"/>
  <c r="N3963" i="1" s="1"/>
  <c r="K3964" i="1"/>
  <c r="L3964" i="1" s="1"/>
  <c r="N3964" i="1" s="1"/>
  <c r="K3965" i="1"/>
  <c r="L3965" i="1" s="1"/>
  <c r="N3965" i="1" s="1"/>
  <c r="K3966" i="1"/>
  <c r="L3966" i="1" s="1"/>
  <c r="N3966" i="1" s="1"/>
  <c r="K3967" i="1"/>
  <c r="L3967" i="1" s="1"/>
  <c r="N3967" i="1" s="1"/>
  <c r="K3968" i="1"/>
  <c r="L3968" i="1" s="1"/>
  <c r="N3968" i="1" s="1"/>
  <c r="K3969" i="1"/>
  <c r="L3969" i="1" s="1"/>
  <c r="N3969" i="1" s="1"/>
  <c r="K3970" i="1"/>
  <c r="L3970" i="1" s="1"/>
  <c r="N3970" i="1" s="1"/>
  <c r="K3971" i="1"/>
  <c r="L3971" i="1" s="1"/>
  <c r="N3971" i="1" s="1"/>
  <c r="K3972" i="1"/>
  <c r="L3972" i="1" s="1"/>
  <c r="N3972" i="1" s="1"/>
  <c r="K3973" i="1"/>
  <c r="L3973" i="1" s="1"/>
  <c r="N3973" i="1" s="1"/>
  <c r="K3974" i="1"/>
  <c r="L3974" i="1" s="1"/>
  <c r="N3974" i="1" s="1"/>
  <c r="K3975" i="1"/>
  <c r="L3975" i="1" s="1"/>
  <c r="N3975" i="1" s="1"/>
  <c r="K3976" i="1"/>
  <c r="L3976" i="1" s="1"/>
  <c r="N3976" i="1" s="1"/>
  <c r="K3977" i="1"/>
  <c r="L3977" i="1" s="1"/>
  <c r="N3977" i="1" s="1"/>
  <c r="K3978" i="1"/>
  <c r="L3978" i="1" s="1"/>
  <c r="N3978" i="1" s="1"/>
  <c r="K3979" i="1"/>
  <c r="L3979" i="1" s="1"/>
  <c r="N3979" i="1" s="1"/>
  <c r="K3980" i="1"/>
  <c r="L3980" i="1" s="1"/>
  <c r="N3980" i="1" s="1"/>
  <c r="K3981" i="1"/>
  <c r="L3981" i="1" s="1"/>
  <c r="N3981" i="1" s="1"/>
  <c r="K3982" i="1"/>
  <c r="L3982" i="1" s="1"/>
  <c r="N3982" i="1" s="1"/>
  <c r="K3983" i="1"/>
  <c r="L3983" i="1" s="1"/>
  <c r="N3983" i="1" s="1"/>
  <c r="K3984" i="1"/>
  <c r="L3984" i="1" s="1"/>
  <c r="N3984" i="1" s="1"/>
  <c r="K3985" i="1"/>
  <c r="L3985" i="1" s="1"/>
  <c r="N3985" i="1" s="1"/>
  <c r="K3986" i="1"/>
  <c r="L3986" i="1" s="1"/>
  <c r="N3986" i="1" s="1"/>
  <c r="K3987" i="1"/>
  <c r="L3987" i="1" s="1"/>
  <c r="N3987" i="1" s="1"/>
  <c r="K3988" i="1"/>
  <c r="L3988" i="1" s="1"/>
  <c r="N3988" i="1" s="1"/>
  <c r="K3989" i="1"/>
  <c r="L3989" i="1" s="1"/>
  <c r="N3989" i="1" s="1"/>
  <c r="K3990" i="1"/>
  <c r="L3990" i="1" s="1"/>
  <c r="N3990" i="1" s="1"/>
  <c r="K3991" i="1"/>
  <c r="L3991" i="1" s="1"/>
  <c r="N3991" i="1" s="1"/>
  <c r="K3992" i="1"/>
  <c r="L3992" i="1" s="1"/>
  <c r="N3992" i="1" s="1"/>
  <c r="K3993" i="1"/>
  <c r="L3993" i="1" s="1"/>
  <c r="N3993" i="1" s="1"/>
  <c r="K3994" i="1"/>
  <c r="L3994" i="1" s="1"/>
  <c r="N3994" i="1" s="1"/>
  <c r="K3995" i="1"/>
  <c r="L3995" i="1" s="1"/>
  <c r="N3995" i="1" s="1"/>
  <c r="K3996" i="1"/>
  <c r="L3996" i="1" s="1"/>
  <c r="N3996" i="1" s="1"/>
  <c r="K3997" i="1"/>
  <c r="L3997" i="1" s="1"/>
  <c r="N3997" i="1" s="1"/>
  <c r="K3998" i="1"/>
  <c r="L3998" i="1" s="1"/>
  <c r="N3998" i="1" s="1"/>
  <c r="K3999" i="1"/>
  <c r="L3999" i="1" s="1"/>
  <c r="N3999" i="1" s="1"/>
  <c r="K4000" i="1"/>
  <c r="L4000" i="1" s="1"/>
  <c r="N4000" i="1" s="1"/>
  <c r="K4001" i="1"/>
  <c r="L4001" i="1" s="1"/>
  <c r="N4001" i="1" s="1"/>
  <c r="K2" i="1"/>
  <c r="B6" i="5"/>
  <c r="B5" i="5"/>
  <c r="B10" i="5" l="1"/>
  <c r="L2" i="1"/>
  <c r="N2" i="1" s="1"/>
  <c r="B7" i="5"/>
  <c r="A8005" i="2"/>
</calcChain>
</file>

<file path=xl/sharedStrings.xml><?xml version="1.0" encoding="utf-8"?>
<sst xmlns="http://schemas.openxmlformats.org/spreadsheetml/2006/main" count="20086" uniqueCount="4159">
  <si>
    <t>ticket_id</t>
  </si>
  <si>
    <t>opened_at</t>
  </si>
  <si>
    <t>channel</t>
  </si>
  <si>
    <t>queue</t>
  </si>
  <si>
    <t>priority</t>
  </si>
  <si>
    <t>subject</t>
  </si>
  <si>
    <t>first_response_min</t>
  </si>
  <si>
    <t>resolved_at</t>
  </si>
  <si>
    <t>reopened</t>
  </si>
  <si>
    <t>csat</t>
  </si>
  <si>
    <t>TK62871</t>
  </si>
  <si>
    <t>in-app</t>
  </si>
  <si>
    <t>onboarding</t>
  </si>
  <si>
    <t>high</t>
  </si>
  <si>
    <t>Error when log in after password reset</t>
  </si>
  <si>
    <t>TK60343</t>
  </si>
  <si>
    <t>email</t>
  </si>
  <si>
    <t>technical</t>
  </si>
  <si>
    <t>normal</t>
  </si>
  <si>
    <t>Question about two-factor authentication</t>
  </si>
  <si>
    <t>TK62950</t>
  </si>
  <si>
    <t>billing</t>
  </si>
  <si>
    <t>urgent</t>
  </si>
  <si>
    <t>Unable to connecting the Snowflake sync</t>
  </si>
  <si>
    <t>TK61014</t>
  </si>
  <si>
    <t>chat</t>
  </si>
  <si>
    <t>integrations</t>
  </si>
  <si>
    <t>Cannot connecting the Snowflake sync</t>
  </si>
  <si>
    <t>TK61679</t>
  </si>
  <si>
    <t>How do I a duplicate charge</t>
  </si>
  <si>
    <t>TK62374</t>
  </si>
  <si>
    <t>Issue with connecting the Snowflake sync</t>
  </si>
  <si>
    <t>TK60058</t>
  </si>
  <si>
    <t>low</t>
  </si>
  <si>
    <t>TK63175</t>
  </si>
  <si>
    <t>Request to a refund for an annual plan</t>
  </si>
  <si>
    <t>TK60862</t>
  </si>
  <si>
    <t>Unable to export my data</t>
  </si>
  <si>
    <t>TK61273</t>
  </si>
  <si>
    <t>Unable to log in after password reset</t>
  </si>
  <si>
    <t>TK60338</t>
  </si>
  <si>
    <t>Error when a duplicate charge</t>
  </si>
  <si>
    <t>TK62094</t>
  </si>
  <si>
    <t>phone</t>
  </si>
  <si>
    <t>Question about downgrade my plan</t>
  </si>
  <si>
    <t>TK61700</t>
  </si>
  <si>
    <t>Error when downgrade my plan</t>
  </si>
  <si>
    <t>TK60629</t>
  </si>
  <si>
    <t>Cannot the invoice for last month</t>
  </si>
  <si>
    <t>TK61804</t>
  </si>
  <si>
    <t>Request to downgrade my plan</t>
  </si>
  <si>
    <t>TK63544</t>
  </si>
  <si>
    <t>Question about the dashboard loading slowly</t>
  </si>
  <si>
    <t>TK60702</t>
  </si>
  <si>
    <t>Request to export my data</t>
  </si>
  <si>
    <t>TK63194</t>
  </si>
  <si>
    <t>TK60986</t>
  </si>
  <si>
    <t>Issue with add a teammate</t>
  </si>
  <si>
    <t>TK60718</t>
  </si>
  <si>
    <t>account</t>
  </si>
  <si>
    <t>Unable to a duplicate charge</t>
  </si>
  <si>
    <t>TK62105</t>
  </si>
  <si>
    <t>Question about webhook deliveries failing</t>
  </si>
  <si>
    <t>TK61752</t>
  </si>
  <si>
    <t>Issue with a duplicate charge</t>
  </si>
  <si>
    <t>TK63566</t>
  </si>
  <si>
    <t>Issue with the dashboard loading slowly</t>
  </si>
  <si>
    <t>TK63266</t>
  </si>
  <si>
    <t>Request to the invoice for last month</t>
  </si>
  <si>
    <t>TK62379</t>
  </si>
  <si>
    <t>Issue with the API rate limit</t>
  </si>
  <si>
    <t>TK63201</t>
  </si>
  <si>
    <t>How do I log in after password reset</t>
  </si>
  <si>
    <t>TK63493</t>
  </si>
  <si>
    <t>Unable to the invoice for last month</t>
  </si>
  <si>
    <t>TK61552</t>
  </si>
  <si>
    <t>Request to webhook deliveries failing</t>
  </si>
  <si>
    <t>TK62963</t>
  </si>
  <si>
    <t>How do I the API rate limit</t>
  </si>
  <si>
    <t>TK61844</t>
  </si>
  <si>
    <t>Error when export my data</t>
  </si>
  <si>
    <t>TK62478</t>
  </si>
  <si>
    <t>TK60108</t>
  </si>
  <si>
    <t>TK63111</t>
  </si>
  <si>
    <t>Error when a refund for an annual plan</t>
  </si>
  <si>
    <t>TK61543</t>
  </si>
  <si>
    <t>Cannot the API rate limit</t>
  </si>
  <si>
    <t>TK61064</t>
  </si>
  <si>
    <t>Request to a duplicate charge</t>
  </si>
  <si>
    <t>TK62588</t>
  </si>
  <si>
    <t>Unable to two-factor authentication</t>
  </si>
  <si>
    <t>TK62293</t>
  </si>
  <si>
    <t>Question about a duplicate charge</t>
  </si>
  <si>
    <t>TK61772</t>
  </si>
  <si>
    <t>Request to connecting the Snowflake sync</t>
  </si>
  <si>
    <t>TK63162</t>
  </si>
  <si>
    <t>Issue with downgrade my plan</t>
  </si>
  <si>
    <t>TK60741</t>
  </si>
  <si>
    <t>Unable to webhook deliveries failing</t>
  </si>
  <si>
    <t>TK61715</t>
  </si>
  <si>
    <t>Question about a refund for an annual plan</t>
  </si>
  <si>
    <t>TK63727</t>
  </si>
  <si>
    <t>Question about the API rate limit</t>
  </si>
  <si>
    <t>TK63763</t>
  </si>
  <si>
    <t>How do I connecting the Snowflake sync</t>
  </si>
  <si>
    <t>TK61327</t>
  </si>
  <si>
    <t>Question about add a teammate</t>
  </si>
  <si>
    <t>TK62473</t>
  </si>
  <si>
    <t>Error when add a teammate</t>
  </si>
  <si>
    <t>TK63626</t>
  </si>
  <si>
    <t>Issue with a refund for an annual plan</t>
  </si>
  <si>
    <t>TK61368</t>
  </si>
  <si>
    <t>Issue with two-factor authentication</t>
  </si>
  <si>
    <t>TK62973</t>
  </si>
  <si>
    <t>Cannot the dashboard loading slowly</t>
  </si>
  <si>
    <t>TK60698</t>
  </si>
  <si>
    <t>Cannot a duplicate charge</t>
  </si>
  <si>
    <t>TK60483</t>
  </si>
  <si>
    <t>Error when two-factor authentication</t>
  </si>
  <si>
    <t>TK63172</t>
  </si>
  <si>
    <t>Cannot export my data</t>
  </si>
  <si>
    <t>TK61922</t>
  </si>
  <si>
    <t>TK61355</t>
  </si>
  <si>
    <t>TK63785</t>
  </si>
  <si>
    <t>TK60846</t>
  </si>
  <si>
    <t>TK61514</t>
  </si>
  <si>
    <t>TK62935</t>
  </si>
  <si>
    <t>TK60223</t>
  </si>
  <si>
    <t>Error when the dashboard loading slowly</t>
  </si>
  <si>
    <t>TK61012</t>
  </si>
  <si>
    <t>Request to the API rate limit</t>
  </si>
  <si>
    <t>TK61454</t>
  </si>
  <si>
    <t>How do I webhook deliveries failing</t>
  </si>
  <si>
    <t>TK63917</t>
  </si>
  <si>
    <t>Cannot downgrade my plan</t>
  </si>
  <si>
    <t>TK63216</t>
  </si>
  <si>
    <t>TK61668</t>
  </si>
  <si>
    <t>TK62469</t>
  </si>
  <si>
    <t>TK63761</t>
  </si>
  <si>
    <t>TK63779</t>
  </si>
  <si>
    <t>TK61447</t>
  </si>
  <si>
    <t>TK60026</t>
  </si>
  <si>
    <t>TK63164</t>
  </si>
  <si>
    <t>TK62482</t>
  </si>
  <si>
    <t>TK61086</t>
  </si>
  <si>
    <t>Unable to downgrade my plan</t>
  </si>
  <si>
    <t>TK63190</t>
  </si>
  <si>
    <t>TK62492</t>
  </si>
  <si>
    <t>Cannot add a teammate</t>
  </si>
  <si>
    <t>TK63863</t>
  </si>
  <si>
    <t>TK60554</t>
  </si>
  <si>
    <t>TK60414</t>
  </si>
  <si>
    <t>TK62317</t>
  </si>
  <si>
    <t>Cannot two-factor authentication</t>
  </si>
  <si>
    <t>TK63954</t>
  </si>
  <si>
    <t>TK63371</t>
  </si>
  <si>
    <t>TK62454</t>
  </si>
  <si>
    <t>TK61288</t>
  </si>
  <si>
    <t>TK63806</t>
  </si>
  <si>
    <t>Issue with webhook deliveries failing</t>
  </si>
  <si>
    <t>TK63739</t>
  </si>
  <si>
    <t>TK60083</t>
  </si>
  <si>
    <t>How do I the dashboard loading slowly</t>
  </si>
  <si>
    <t>TK63163</t>
  </si>
  <si>
    <t>TK60587</t>
  </si>
  <si>
    <t>TK61744</t>
  </si>
  <si>
    <t>TK60461</t>
  </si>
  <si>
    <t>How do I downgrade my plan</t>
  </si>
  <si>
    <t>TK61884</t>
  </si>
  <si>
    <t>TK60789</t>
  </si>
  <si>
    <t>TK63894</t>
  </si>
  <si>
    <t>TK63429</t>
  </si>
  <si>
    <t>TK62322</t>
  </si>
  <si>
    <t>TK63532</t>
  </si>
  <si>
    <t>TK63617</t>
  </si>
  <si>
    <t>Question about the invoice for last month</t>
  </si>
  <si>
    <t>TK61205</t>
  </si>
  <si>
    <t>TK60646</t>
  </si>
  <si>
    <t>How do I export my data</t>
  </si>
  <si>
    <t>TK61848</t>
  </si>
  <si>
    <t>TK60669</t>
  </si>
  <si>
    <t>TK60432</t>
  </si>
  <si>
    <t>TK60123</t>
  </si>
  <si>
    <t>TK61836</t>
  </si>
  <si>
    <t>TK60719</t>
  </si>
  <si>
    <t>TK63694</t>
  </si>
  <si>
    <t>Cannot a refund for an annual plan</t>
  </si>
  <si>
    <t>TK62285</t>
  </si>
  <si>
    <t>TK61045</t>
  </si>
  <si>
    <t>TK63883</t>
  </si>
  <si>
    <t>TK60712</t>
  </si>
  <si>
    <t>TK61791</t>
  </si>
  <si>
    <t>TK60844</t>
  </si>
  <si>
    <t>TK63819</t>
  </si>
  <si>
    <t>TK60382</t>
  </si>
  <si>
    <t>TK61931</t>
  </si>
  <si>
    <t>TK62181</t>
  </si>
  <si>
    <t>TK62488</t>
  </si>
  <si>
    <t>Request to two-factor authentication</t>
  </si>
  <si>
    <t>TK62523</t>
  </si>
  <si>
    <t>TK62400</t>
  </si>
  <si>
    <t>Unable to a refund for an annual plan</t>
  </si>
  <si>
    <t>TK61210</t>
  </si>
  <si>
    <t>TK62682</t>
  </si>
  <si>
    <t>TK61277</t>
  </si>
  <si>
    <t>TK61534</t>
  </si>
  <si>
    <t>Error when connecting the Snowflake sync</t>
  </si>
  <si>
    <t>TK62997</t>
  </si>
  <si>
    <t>TK61374</t>
  </si>
  <si>
    <t>TK61057</t>
  </si>
  <si>
    <t>TK61123</t>
  </si>
  <si>
    <t>TK61048</t>
  </si>
  <si>
    <t>TK62453</t>
  </si>
  <si>
    <t>TK62316</t>
  </si>
  <si>
    <t>TK63580</t>
  </si>
  <si>
    <t>Request to add a teammate</t>
  </si>
  <si>
    <t>TK62220</t>
  </si>
  <si>
    <t>TK62787</t>
  </si>
  <si>
    <t>TK63859</t>
  </si>
  <si>
    <t>TK63613</t>
  </si>
  <si>
    <t>TK60280</t>
  </si>
  <si>
    <t>TK62573</t>
  </si>
  <si>
    <t>TK60687</t>
  </si>
  <si>
    <t>TK62172</t>
  </si>
  <si>
    <t>Question about log in after password reset</t>
  </si>
  <si>
    <t>TK62676</t>
  </si>
  <si>
    <t>Issue with export my data</t>
  </si>
  <si>
    <t>TK63279</t>
  </si>
  <si>
    <t>Error when the invoice for last month</t>
  </si>
  <si>
    <t>TK63622</t>
  </si>
  <si>
    <t>TK63034</t>
  </si>
  <si>
    <t>TK63831</t>
  </si>
  <si>
    <t>TK61364</t>
  </si>
  <si>
    <t>TK62175</t>
  </si>
  <si>
    <t>Question about connecting the Snowflake sync</t>
  </si>
  <si>
    <t>TK62707</t>
  </si>
  <si>
    <t>TK61722</t>
  </si>
  <si>
    <t>Issue with the invoice for last month</t>
  </si>
  <si>
    <t>TK62873</t>
  </si>
  <si>
    <t>How do I the invoice for last month</t>
  </si>
  <si>
    <t>TK62825</t>
  </si>
  <si>
    <t>TK60866</t>
  </si>
  <si>
    <t>TK61439</t>
  </si>
  <si>
    <t>TK60786</t>
  </si>
  <si>
    <t>TK60409</t>
  </si>
  <si>
    <t>Request to the dashboard loading slowly</t>
  </si>
  <si>
    <t>TK63549</t>
  </si>
  <si>
    <t>TK60530</t>
  </si>
  <si>
    <t>TK61720</t>
  </si>
  <si>
    <t>TK60816</t>
  </si>
  <si>
    <t>TK63535</t>
  </si>
  <si>
    <t>TK63602</t>
  </si>
  <si>
    <t>TK60289</t>
  </si>
  <si>
    <t>TK60946</t>
  </si>
  <si>
    <t>Error when the API rate limit</t>
  </si>
  <si>
    <t>TK62948</t>
  </si>
  <si>
    <t>Cannot log in after password reset</t>
  </si>
  <si>
    <t>TK60484</t>
  </si>
  <si>
    <t>TK60688</t>
  </si>
  <si>
    <t>How do I a refund for an annual plan</t>
  </si>
  <si>
    <t>TK60473</t>
  </si>
  <si>
    <t>TK61694</t>
  </si>
  <si>
    <t>TK63159</t>
  </si>
  <si>
    <t>TK63342</t>
  </si>
  <si>
    <t>TK62885</t>
  </si>
  <si>
    <t>TK63058</t>
  </si>
  <si>
    <t>TK63543</t>
  </si>
  <si>
    <t>TK62461</t>
  </si>
  <si>
    <t>TK62934</t>
  </si>
  <si>
    <t>TK60675</t>
  </si>
  <si>
    <t>TK62570</t>
  </si>
  <si>
    <t>TK62401</t>
  </si>
  <si>
    <t>TK60040</t>
  </si>
  <si>
    <t>TK60397</t>
  </si>
  <si>
    <t>Issue with log in after password reset</t>
  </si>
  <si>
    <t>TK63497</t>
  </si>
  <si>
    <t>TK63670</t>
  </si>
  <si>
    <t>TK63949</t>
  </si>
  <si>
    <t>TK61958</t>
  </si>
  <si>
    <t>TK60489</t>
  </si>
  <si>
    <t>TK63615</t>
  </si>
  <si>
    <t>TK60953</t>
  </si>
  <si>
    <t>TK60794</t>
  </si>
  <si>
    <t>TK61199</t>
  </si>
  <si>
    <t>TK60434</t>
  </si>
  <si>
    <t>TK60870</t>
  </si>
  <si>
    <t>TK61354</t>
  </si>
  <si>
    <t>TK62418</t>
  </si>
  <si>
    <t>TK61225</t>
  </si>
  <si>
    <t>TK61465</t>
  </si>
  <si>
    <t>TK62776</t>
  </si>
  <si>
    <t>TK60344</t>
  </si>
  <si>
    <t>TK61469</t>
  </si>
  <si>
    <t>TK62517</t>
  </si>
  <si>
    <t>TK62496</t>
  </si>
  <si>
    <t>TK61951</t>
  </si>
  <si>
    <t>TK61759</t>
  </si>
  <si>
    <t>TK60477</t>
  </si>
  <si>
    <t>TK62780</t>
  </si>
  <si>
    <t>TK60919</t>
  </si>
  <si>
    <t>TK60907</t>
  </si>
  <si>
    <t>TK61016</t>
  </si>
  <si>
    <t>How do I add a teammate</t>
  </si>
  <si>
    <t>TK60455</t>
  </si>
  <si>
    <t>TK63542</t>
  </si>
  <si>
    <t>TK63350</t>
  </si>
  <si>
    <t>TK62227</t>
  </si>
  <si>
    <t>TK61263</t>
  </si>
  <si>
    <t>TK60780</t>
  </si>
  <si>
    <t>TK61622</t>
  </si>
  <si>
    <t>TK62217</t>
  </si>
  <si>
    <t>TK60035</t>
  </si>
  <si>
    <t>TK60686</t>
  </si>
  <si>
    <t>TK63137</t>
  </si>
  <si>
    <t>TK62121</t>
  </si>
  <si>
    <t>TK60568</t>
  </si>
  <si>
    <t>TK60548</t>
  </si>
  <si>
    <t>Cannot webhook deliveries failing</t>
  </si>
  <si>
    <t>TK60418</t>
  </si>
  <si>
    <t>TK61391</t>
  </si>
  <si>
    <t>TK63884</t>
  </si>
  <si>
    <t>TK63212</t>
  </si>
  <si>
    <t>TK62153</t>
  </si>
  <si>
    <t>TK60492</t>
  </si>
  <si>
    <t>TK63678</t>
  </si>
  <si>
    <t>TK62212</t>
  </si>
  <si>
    <t>Unable to the dashboard loading slowly</t>
  </si>
  <si>
    <t>TK61253</t>
  </si>
  <si>
    <t>TK60772</t>
  </si>
  <si>
    <t>TK61755</t>
  </si>
  <si>
    <t>TK62651</t>
  </si>
  <si>
    <t>TK61359</t>
  </si>
  <si>
    <t>TK61865</t>
  </si>
  <si>
    <t>TK63705</t>
  </si>
  <si>
    <t>TK62145</t>
  </si>
  <si>
    <t>TK62700</t>
  </si>
  <si>
    <t>TK61419</t>
  </si>
  <si>
    <t>TK62719</t>
  </si>
  <si>
    <t>TK62341</t>
  </si>
  <si>
    <t>TK60499</t>
  </si>
  <si>
    <t>TK61366</t>
  </si>
  <si>
    <t>TK61302</t>
  </si>
  <si>
    <t>TK60752</t>
  </si>
  <si>
    <t>TK62631</t>
  </si>
  <si>
    <t>TK62483</t>
  </si>
  <si>
    <t>How do I two-factor authentication</t>
  </si>
  <si>
    <t>TK63343</t>
  </si>
  <si>
    <t>TK63711</t>
  </si>
  <si>
    <t>TK62424</t>
  </si>
  <si>
    <t>TK61672</t>
  </si>
  <si>
    <t>TK61417</t>
  </si>
  <si>
    <t>TK63317</t>
  </si>
  <si>
    <t>TK60142</t>
  </si>
  <si>
    <t>TK62010</t>
  </si>
  <si>
    <t>TK63927</t>
  </si>
  <si>
    <t>TK63072</t>
  </si>
  <si>
    <t>TK61287</t>
  </si>
  <si>
    <t>TK60960</t>
  </si>
  <si>
    <t>TK62029</t>
  </si>
  <si>
    <t>TK63699</t>
  </si>
  <si>
    <t>TK63902</t>
  </si>
  <si>
    <t>TK60792</t>
  </si>
  <si>
    <t>TK63583</t>
  </si>
  <si>
    <t>TK60582</t>
  </si>
  <si>
    <t>TK60545</t>
  </si>
  <si>
    <t>TK61085</t>
  </si>
  <si>
    <t>TK62050</t>
  </si>
  <si>
    <t>Unable to the API rate limit</t>
  </si>
  <si>
    <t>TK61015</t>
  </si>
  <si>
    <t>TK62388</t>
  </si>
  <si>
    <t>TK60276</t>
  </si>
  <si>
    <t>TK63743</t>
  </si>
  <si>
    <t>TK63980</t>
  </si>
  <si>
    <t>TK62090</t>
  </si>
  <si>
    <t>TK62798</t>
  </si>
  <si>
    <t>TK62639</t>
  </si>
  <si>
    <t>TK62754</t>
  </si>
  <si>
    <t>TK60521</t>
  </si>
  <si>
    <t>TK60824</t>
  </si>
  <si>
    <t>TK60763</t>
  </si>
  <si>
    <t>TK63824</t>
  </si>
  <si>
    <t>TK63099</t>
  </si>
  <si>
    <t>TK61097</t>
  </si>
  <si>
    <t>TK63986</t>
  </si>
  <si>
    <t>TK62484</t>
  </si>
  <si>
    <t>TK62014</t>
  </si>
  <si>
    <t>TK60647</t>
  </si>
  <si>
    <t>TK62761</t>
  </si>
  <si>
    <t>TK61137</t>
  </si>
  <si>
    <t>TK61227</t>
  </si>
  <si>
    <t>TK60072</t>
  </si>
  <si>
    <t>TK61859</t>
  </si>
  <si>
    <t>Unable to add a teammate</t>
  </si>
  <si>
    <t>TK63860</t>
  </si>
  <si>
    <t>TK63365</t>
  </si>
  <si>
    <t>TK61994</t>
  </si>
  <si>
    <t>TK62044</t>
  </si>
  <si>
    <t>TK60976</t>
  </si>
  <si>
    <t>TK61352</t>
  </si>
  <si>
    <t>TK61264</t>
  </si>
  <si>
    <t>TK60958</t>
  </si>
  <si>
    <t>TK63651</t>
  </si>
  <si>
    <t>TK62077</t>
  </si>
  <si>
    <t>TK63631</t>
  </si>
  <si>
    <t>TK61400</t>
  </si>
  <si>
    <t>TK60526</t>
  </si>
  <si>
    <t>TK61091</t>
  </si>
  <si>
    <t>TK61226</t>
  </si>
  <si>
    <t>TK62835</t>
  </si>
  <si>
    <t>TK63573</t>
  </si>
  <si>
    <t>TK62696</t>
  </si>
  <si>
    <t>TK63744</t>
  </si>
  <si>
    <t>TK60814</t>
  </si>
  <si>
    <t>TK61443</t>
  </si>
  <si>
    <t>TK60899</t>
  </si>
  <si>
    <t>Question about export my data</t>
  </si>
  <si>
    <t>TK60298</t>
  </si>
  <si>
    <t>TK60533</t>
  </si>
  <si>
    <t>TK63401</t>
  </si>
  <si>
    <t>TK63552</t>
  </si>
  <si>
    <t>TK63197</t>
  </si>
  <si>
    <t>TK62848</t>
  </si>
  <si>
    <t>TK62280</t>
  </si>
  <si>
    <t>TK60655</t>
  </si>
  <si>
    <t>TK62134</t>
  </si>
  <si>
    <t>TK60325</t>
  </si>
  <si>
    <t>TK61472</t>
  </si>
  <si>
    <t>TK62187</t>
  </si>
  <si>
    <t>TK61154</t>
  </si>
  <si>
    <t>TK63797</t>
  </si>
  <si>
    <t>TK60935</t>
  </si>
  <si>
    <t>TK62025</t>
  </si>
  <si>
    <t>TK60910</t>
  </si>
  <si>
    <t>TK60269</t>
  </si>
  <si>
    <t>TK60566</t>
  </si>
  <si>
    <t>TK61438</t>
  </si>
  <si>
    <t>TK61993</t>
  </si>
  <si>
    <t>TK60882</t>
  </si>
  <si>
    <t>TK63920</t>
  </si>
  <si>
    <t>TK61067</t>
  </si>
  <si>
    <t>TK62532</t>
  </si>
  <si>
    <t>TK60129</t>
  </si>
  <si>
    <t>TK63252</t>
  </si>
  <si>
    <t>TK61852</t>
  </si>
  <si>
    <t>TK62109</t>
  </si>
  <si>
    <t>TK60481</t>
  </si>
  <si>
    <t>TK63277</t>
  </si>
  <si>
    <t>TK62237</t>
  </si>
  <si>
    <t>TK60308</t>
  </si>
  <si>
    <t>TK63060</t>
  </si>
  <si>
    <t>TK60562</t>
  </si>
  <si>
    <t>TK62740</t>
  </si>
  <si>
    <t>TK62251</t>
  </si>
  <si>
    <t>TK60605</t>
  </si>
  <si>
    <t>TK61261</t>
  </si>
  <si>
    <t>TK63173</t>
  </si>
  <si>
    <t>TK60619</t>
  </si>
  <si>
    <t>TK60134</t>
  </si>
  <si>
    <t>TK63443</t>
  </si>
  <si>
    <t>TK63665</t>
  </si>
  <si>
    <t>TK61026</t>
  </si>
  <si>
    <t>TK63624</t>
  </si>
  <si>
    <t>TK60641</t>
  </si>
  <si>
    <t>TK62949</t>
  </si>
  <si>
    <t>TK61674</t>
  </si>
  <si>
    <t>TK63957</t>
  </si>
  <si>
    <t>TK61733</t>
  </si>
  <si>
    <t>TK60232</t>
  </si>
  <si>
    <t>TK60985</t>
  </si>
  <si>
    <t>TK60991</t>
  </si>
  <si>
    <t>TK61395</t>
  </si>
  <si>
    <t>TK62063</t>
  </si>
  <si>
    <t>TK61202</t>
  </si>
  <si>
    <t>TK62125</t>
  </si>
  <si>
    <t>TK61998</t>
  </si>
  <si>
    <t>TK60835</t>
  </si>
  <si>
    <t>TK63818</t>
  </si>
  <si>
    <t>TK63876</t>
  </si>
  <si>
    <t>TK63856</t>
  </si>
  <si>
    <t>TK61319</t>
  </si>
  <si>
    <t>TK60220</t>
  </si>
  <si>
    <t>TK61440</t>
  </si>
  <si>
    <t>TK60189</t>
  </si>
  <si>
    <t>TK61941</t>
  </si>
  <si>
    <t>TK62877</t>
  </si>
  <si>
    <t>TK63721</t>
  </si>
  <si>
    <t>Error when webhook deliveries failing</t>
  </si>
  <si>
    <t>TK63690</t>
  </si>
  <si>
    <t>TK63335</t>
  </si>
  <si>
    <t>TK60051</t>
  </si>
  <si>
    <t>TK62204</t>
  </si>
  <si>
    <t>TK62683</t>
  </si>
  <si>
    <t>TK60603</t>
  </si>
  <si>
    <t>TK61699</t>
  </si>
  <si>
    <t>TK60019</t>
  </si>
  <si>
    <t>TK63854</t>
  </si>
  <si>
    <t>TK63123</t>
  </si>
  <si>
    <t>TK62348</t>
  </si>
  <si>
    <t>TK61857</t>
  </si>
  <si>
    <t>TK61891</t>
  </si>
  <si>
    <t>TK60090</t>
  </si>
  <si>
    <t>TK60767</t>
  </si>
  <si>
    <t>TK63508</t>
  </si>
  <si>
    <t>TK60480</t>
  </si>
  <si>
    <t>TK63448</t>
  </si>
  <si>
    <t>TK62140</t>
  </si>
  <si>
    <t>TK61230</t>
  </si>
  <si>
    <t>TK63185</t>
  </si>
  <si>
    <t>TK60369</t>
  </si>
  <si>
    <t>TK63498</t>
  </si>
  <si>
    <t>TK62988</t>
  </si>
  <si>
    <t>TK62833</t>
  </si>
  <si>
    <t>TK62347</t>
  </si>
  <si>
    <t>TK60208</t>
  </si>
  <si>
    <t>TK61780</t>
  </si>
  <si>
    <t>TK61208</t>
  </si>
  <si>
    <t>TK60347</t>
  </si>
  <si>
    <t>TK60549</t>
  </si>
  <si>
    <t>TK61783</t>
  </si>
  <si>
    <t>TK63788</t>
  </si>
  <si>
    <t>TK63503</t>
  </si>
  <si>
    <t>TK61146</t>
  </si>
  <si>
    <t>TK63129</t>
  </si>
  <si>
    <t>TK61021</t>
  </si>
  <si>
    <t>TK61274</t>
  </si>
  <si>
    <t>TK63303</t>
  </si>
  <si>
    <t>TK60516</t>
  </si>
  <si>
    <t>TK63022</t>
  </si>
  <si>
    <t>TK60056</t>
  </si>
  <si>
    <t>TK60291</t>
  </si>
  <si>
    <t>TK62903</t>
  </si>
  <si>
    <t>TK61568</t>
  </si>
  <si>
    <t>TK63057</t>
  </si>
  <si>
    <t>TK63326</t>
  </si>
  <si>
    <t>TK63582</t>
  </si>
  <si>
    <t>TK63992</t>
  </si>
  <si>
    <t>TK63485</t>
  </si>
  <si>
    <t>TK63793</t>
  </si>
  <si>
    <t>TK60753</t>
  </si>
  <si>
    <t>TK62311</t>
  </si>
  <si>
    <t>TK63794</t>
  </si>
  <si>
    <t>TK63025</t>
  </si>
  <si>
    <t>TK63936</t>
  </si>
  <si>
    <t>TK63827</t>
  </si>
  <si>
    <t>TK60356</t>
  </si>
  <si>
    <t>TK60102</t>
  </si>
  <si>
    <t>TK63766</t>
  </si>
  <si>
    <t>TK62015</t>
  </si>
  <si>
    <t>TK63742</t>
  </si>
  <si>
    <t>TK62995</t>
  </si>
  <si>
    <t>TK63608</t>
  </si>
  <si>
    <t>TK63599</t>
  </si>
  <si>
    <t>TK61160</t>
  </si>
  <si>
    <t>TK62823</t>
  </si>
  <si>
    <t>TK62563</t>
  </si>
  <si>
    <t>TK63586</t>
  </si>
  <si>
    <t>TK60261</t>
  </si>
  <si>
    <t>TK63311</t>
  </si>
  <si>
    <t>TK63740</t>
  </si>
  <si>
    <t>TK61549</t>
  </si>
  <si>
    <t>TK60022</t>
  </si>
  <si>
    <t>TK62501</t>
  </si>
  <si>
    <t>TK61168</t>
  </si>
  <si>
    <t>TK60054</t>
  </si>
  <si>
    <t>TK60053</t>
  </si>
  <si>
    <t>TK61800</t>
  </si>
  <si>
    <t>TK63271</t>
  </si>
  <si>
    <t>TK63023</t>
  </si>
  <si>
    <t>TK62033</t>
  </si>
  <si>
    <t>TK63693</t>
  </si>
  <si>
    <t>TK61539</t>
  </si>
  <si>
    <t>TK61172</t>
  </si>
  <si>
    <t>TK60126</t>
  </si>
  <si>
    <t>TK60487</t>
  </si>
  <si>
    <t>TK62027</t>
  </si>
  <si>
    <t>TK60018</t>
  </si>
  <si>
    <t>TK60301</t>
  </si>
  <si>
    <t>TK61957</t>
  </si>
  <si>
    <t>TK60345</t>
  </si>
  <si>
    <t>TK63211</t>
  </si>
  <si>
    <t>TK63302</t>
  </si>
  <si>
    <t>TK62705</t>
  </si>
  <si>
    <t>TK61648</t>
  </si>
  <si>
    <t>TK62614</t>
  </si>
  <si>
    <t>TK63811</t>
  </si>
  <si>
    <t>TK63547</t>
  </si>
  <si>
    <t>TK62415</t>
  </si>
  <si>
    <t>TK62962</t>
  </si>
  <si>
    <t>TK62803</t>
  </si>
  <si>
    <t>TK61193</t>
  </si>
  <si>
    <t>TK63015</t>
  </si>
  <si>
    <t>TK61017</t>
  </si>
  <si>
    <t>TK63174</t>
  </si>
  <si>
    <t>TK61367</t>
  </si>
  <si>
    <t>TK60274</t>
  </si>
  <si>
    <t>TK63943</t>
  </si>
  <si>
    <t>TK62475</t>
  </si>
  <si>
    <t>TK60379</t>
  </si>
  <si>
    <t>TK60873</t>
  </si>
  <si>
    <t>TK62022</t>
  </si>
  <si>
    <t>TK60475</t>
  </si>
  <si>
    <t>TK63241</t>
  </si>
  <si>
    <t>TK62308</t>
  </si>
  <si>
    <t>TK63300</t>
  </si>
  <si>
    <t>TK62399</t>
  </si>
  <si>
    <t>TK63918</t>
  </si>
  <si>
    <t>TK60631</t>
  </si>
  <si>
    <t>TK61432</t>
  </si>
  <si>
    <t>TK63513</t>
  </si>
  <si>
    <t>TK62879</t>
  </si>
  <si>
    <t>TK61725</t>
  </si>
  <si>
    <t>TK60205</t>
  </si>
  <si>
    <t>TK61442</t>
  </si>
  <si>
    <t>TK60838</t>
  </si>
  <si>
    <t>TK62247</t>
  </si>
  <si>
    <t>TK61548</t>
  </si>
  <si>
    <t>TK61976</t>
  </si>
  <si>
    <t>TK62874</t>
  </si>
  <si>
    <t>TK61291</t>
  </si>
  <si>
    <t>TK61431</t>
  </si>
  <si>
    <t>TK61996</t>
  </si>
  <si>
    <t>TK63808</t>
  </si>
  <si>
    <t>TK63495</t>
  </si>
  <si>
    <t>TK62117</t>
  </si>
  <si>
    <t>TK62093</t>
  </si>
  <si>
    <t>TK62361</t>
  </si>
  <si>
    <t>TK61309</t>
  </si>
  <si>
    <t>TK62176</t>
  </si>
  <si>
    <t>TK61134</t>
  </si>
  <si>
    <t>TK63951</t>
  </si>
  <si>
    <t>TK61256</t>
  </si>
  <si>
    <t>TK63263</t>
  </si>
  <si>
    <t>TK60659</t>
  </si>
  <si>
    <t>TK63849</t>
  </si>
  <si>
    <t>TK62297</t>
  </si>
  <si>
    <t>TK61874</t>
  </si>
  <si>
    <t>TK62505</t>
  </si>
  <si>
    <t>TK60552</t>
  </si>
  <si>
    <t>TK63183</t>
  </si>
  <si>
    <t>TK63720</t>
  </si>
  <si>
    <t>TK61573</t>
  </si>
  <si>
    <t>TK63301</t>
  </si>
  <si>
    <t>TK61290</t>
  </si>
  <si>
    <t>TK60042</t>
  </si>
  <si>
    <t>TK62816</t>
  </si>
  <si>
    <t>TK61606</t>
  </si>
  <si>
    <t>TK61903</t>
  </si>
  <si>
    <t>TK62576</t>
  </si>
  <si>
    <t>TK61730</t>
  </si>
  <si>
    <t>TK60855</t>
  </si>
  <si>
    <t>TK63003</t>
  </si>
  <si>
    <t>TK61940</t>
  </si>
  <si>
    <t>TK60690</t>
  </si>
  <si>
    <t>TK61814</t>
  </si>
  <si>
    <t>TK63286</t>
  </si>
  <si>
    <t>TK62673</t>
  </si>
  <si>
    <t>TK62004</t>
  </si>
  <si>
    <t>TK60111</t>
  </si>
  <si>
    <t>TK63066</t>
  </si>
  <si>
    <t>TK61415</t>
  </si>
  <si>
    <t>TK60904</t>
  </si>
  <si>
    <t>TK60486</t>
  </si>
  <si>
    <t>TK63091</t>
  </si>
  <si>
    <t>TK61358</t>
  </si>
  <si>
    <t>TK61680</t>
  </si>
  <si>
    <t>TK61200</t>
  </si>
  <si>
    <t>TK61798</t>
  </si>
  <si>
    <t>TK60612</t>
  </si>
  <si>
    <t>TK62595</t>
  </si>
  <si>
    <t>TK61082</t>
  </si>
  <si>
    <t>TK63468</t>
  </si>
  <si>
    <t>TK60283</t>
  </si>
  <si>
    <t>TK61823</t>
  </si>
  <si>
    <t>TK63477</t>
  </si>
  <si>
    <t>TK60357</t>
  </si>
  <si>
    <t>TK60425</t>
  </si>
  <si>
    <t>TK61501</t>
  </si>
  <si>
    <t>TK63132</t>
  </si>
  <si>
    <t>TK60399</t>
  </si>
  <si>
    <t>TK61004</t>
  </si>
  <si>
    <t>TK60386</t>
  </si>
  <si>
    <t>TK62386</t>
  </si>
  <si>
    <t>TK62479</t>
  </si>
  <si>
    <t>TK60531</t>
  </si>
  <si>
    <t>TK60876</t>
  </si>
  <si>
    <t>TK61376</t>
  </si>
  <si>
    <t>TK60591</t>
  </si>
  <si>
    <t>TK61275</t>
  </si>
  <si>
    <t>TK61265</t>
  </si>
  <si>
    <t>TK61189</t>
  </si>
  <si>
    <t>TK63706</t>
  </si>
  <si>
    <t>TK61042</t>
  </si>
  <si>
    <t>TK62872</t>
  </si>
  <si>
    <t>TK60691</t>
  </si>
  <si>
    <t>TK61348</t>
  </si>
  <si>
    <t>TK62163</t>
  </si>
  <si>
    <t>TK61197</t>
  </si>
  <si>
    <t>TK60615</t>
  </si>
  <si>
    <t>TK61905</t>
  </si>
  <si>
    <t>TK61799</t>
  </si>
  <si>
    <t>TK60218</t>
  </si>
  <si>
    <t>TK63805</t>
  </si>
  <si>
    <t>TK60755</t>
  </si>
  <si>
    <t>TK63336</t>
  </si>
  <si>
    <t>TK61035</t>
  </si>
  <si>
    <t>TK62579</t>
  </si>
  <si>
    <t>TK60577</t>
  </si>
  <si>
    <t>TK61595</t>
  </si>
  <si>
    <t>TK61786</t>
  </si>
  <si>
    <t>Request to log in after password reset</t>
  </si>
  <si>
    <t>TK63288</t>
  </si>
  <si>
    <t>TK61847</t>
  </si>
  <si>
    <t>TK62665</t>
  </si>
  <si>
    <t>TK60790</t>
  </si>
  <si>
    <t>TK60093</t>
  </si>
  <si>
    <t>TK61696</t>
  </si>
  <si>
    <t>TK62241</t>
  </si>
  <si>
    <t>TK62464</t>
  </si>
  <si>
    <t>TK60889</t>
  </si>
  <si>
    <t>TK63685</t>
  </si>
  <si>
    <t>TK60206</t>
  </si>
  <si>
    <t>TK61345</t>
  </si>
  <si>
    <t>TK63853</t>
  </si>
  <si>
    <t>TK62905</t>
  </si>
  <si>
    <t>TK61746</t>
  </si>
  <si>
    <t>TK63094</t>
  </si>
  <si>
    <t>TK60182</t>
  </si>
  <si>
    <t>TK62443</t>
  </si>
  <si>
    <t>TK62586</t>
  </si>
  <si>
    <t>TK62279</t>
  </si>
  <si>
    <t>TK60940</t>
  </si>
  <si>
    <t>TK60857</t>
  </si>
  <si>
    <t>TK63327</t>
  </si>
  <si>
    <t>TK62974</t>
  </si>
  <si>
    <t>TK62584</t>
  </si>
  <si>
    <t>TK60727</t>
  </si>
  <si>
    <t>TK60773</t>
  </si>
  <si>
    <t>TK60942</t>
  </si>
  <si>
    <t>TK60436</t>
  </si>
  <si>
    <t>TK63775</t>
  </si>
  <si>
    <t>TK62937</t>
  </si>
  <si>
    <t>TK62389</t>
  </si>
  <si>
    <t>TK63548</t>
  </si>
  <si>
    <t>TK60078</t>
  </si>
  <si>
    <t>TK60333</t>
  </si>
  <si>
    <t>TK61300</t>
  </si>
  <si>
    <t>TK62222</t>
  </si>
  <si>
    <t>TK63227</t>
  </si>
  <si>
    <t>TK62900</t>
  </si>
  <si>
    <t>TK61113</t>
  </si>
  <si>
    <t>TK63092</t>
  </si>
  <si>
    <t>TK60175</t>
  </si>
  <si>
    <t>TK63572</t>
  </si>
  <si>
    <t>TK63726</t>
  </si>
  <si>
    <t>TK61240</t>
  </si>
  <si>
    <t>TK61517</t>
  </si>
  <si>
    <t>TK60359</t>
  </si>
  <si>
    <t>TK62404</t>
  </si>
  <si>
    <t>TK62582</t>
  </si>
  <si>
    <t>TK61961</t>
  </si>
  <si>
    <t>TK63559</t>
  </si>
  <si>
    <t>TK60544</t>
  </si>
  <si>
    <t>TK63529</t>
  </si>
  <si>
    <t>TK63107</t>
  </si>
  <si>
    <t>TK63312</t>
  </si>
  <si>
    <t>TK63357</t>
  </si>
  <si>
    <t>TK60258</t>
  </si>
  <si>
    <t>TK61148</t>
  </si>
  <si>
    <t>TK62727</t>
  </si>
  <si>
    <t>TK61304</t>
  </si>
  <si>
    <t>TK63845</t>
  </si>
  <si>
    <t>TK61206</t>
  </si>
  <si>
    <t>TK63454</t>
  </si>
  <si>
    <t>TK60939</t>
  </si>
  <si>
    <t>TK61383</t>
  </si>
  <si>
    <t>TK61519</t>
  </si>
  <si>
    <t>TK60983</t>
  </si>
  <si>
    <t>TK63783</t>
  </si>
  <si>
    <t>TK62770</t>
  </si>
  <si>
    <t>TK60681</t>
  </si>
  <si>
    <t>TK61335</t>
  </si>
  <si>
    <t>TK60897</t>
  </si>
  <si>
    <t>TK62340</t>
  </si>
  <si>
    <t>TK61754</t>
  </si>
  <si>
    <t>TK60263</t>
  </si>
  <si>
    <t>TK61803</t>
  </si>
  <si>
    <t>TK63870</t>
  </si>
  <si>
    <t>TK60260</t>
  </si>
  <si>
    <t>TK61427</t>
  </si>
  <si>
    <t>TK61572</t>
  </si>
  <si>
    <t>TK62640</t>
  </si>
  <si>
    <t>TK60528</t>
  </si>
  <si>
    <t>TK60781</t>
  </si>
  <si>
    <t>TK62756</t>
  </si>
  <si>
    <t>TK63134</t>
  </si>
  <si>
    <t>TK61537</t>
  </si>
  <si>
    <t>TK61088</t>
  </si>
  <si>
    <t>TK62578</t>
  </si>
  <si>
    <t>TK63636</t>
  </si>
  <si>
    <t>TK63657</t>
  </si>
  <si>
    <t>TK61270</t>
  </si>
  <si>
    <t>TK61272</t>
  </si>
  <si>
    <t>TK63236</t>
  </si>
  <si>
    <t>TK62288</t>
  </si>
  <si>
    <t>TK63374</t>
  </si>
  <si>
    <t>TK63903</t>
  </si>
  <si>
    <t>TK60052</t>
  </si>
  <si>
    <t>TK63145</t>
  </si>
  <si>
    <t>TK60062</t>
  </si>
  <si>
    <t>TK62513</t>
  </si>
  <si>
    <t>TK62755</t>
  </si>
  <si>
    <t>TK60334</t>
  </si>
  <si>
    <t>TK62346</t>
  </si>
  <si>
    <t>TK63367</t>
  </si>
  <si>
    <t>TK62621</t>
  </si>
  <si>
    <t>TK61043</t>
  </si>
  <si>
    <t>TK62565</t>
  </si>
  <si>
    <t>TK62239</t>
  </si>
  <si>
    <t>TK60768</t>
  </si>
  <si>
    <t>TK61639</t>
  </si>
  <si>
    <t>TK60303</t>
  </si>
  <si>
    <t>TK61706</t>
  </si>
  <si>
    <t>TK63925</t>
  </si>
  <si>
    <t>TK60147</t>
  </si>
  <si>
    <t>TK63245</t>
  </si>
  <si>
    <t>TK62462</t>
  </si>
  <si>
    <t>TK63203</t>
  </si>
  <si>
    <t>TK61731</t>
  </si>
  <si>
    <t>TK61118</t>
  </si>
  <si>
    <t>TK60495</t>
  </si>
  <si>
    <t>TK63476</t>
  </si>
  <si>
    <t>TK60890</t>
  </si>
  <si>
    <t>TK62660</t>
  </si>
  <si>
    <t>TK62765</t>
  </si>
  <si>
    <t>TK62786</t>
  </si>
  <si>
    <t>TK63020</t>
  </si>
  <si>
    <t>TK63223</t>
  </si>
  <si>
    <t>TK62662</t>
  </si>
  <si>
    <t>TK63081</t>
  </si>
  <si>
    <t>TK62530</t>
  </si>
  <si>
    <t>TK62104</t>
  </si>
  <si>
    <t>TK62202</t>
  </si>
  <si>
    <t>TK63255</t>
  </si>
  <si>
    <t>TK62502</t>
  </si>
  <si>
    <t>TK61066</t>
  </si>
  <si>
    <t>TK60848</t>
  </si>
  <si>
    <t>TK63131</t>
  </si>
  <si>
    <t>TK62808</t>
  </si>
  <si>
    <t>TK63571</t>
  </si>
  <si>
    <t>TK60163</t>
  </si>
  <si>
    <t>TK61320</t>
  </si>
  <si>
    <t>TK61587</t>
  </si>
  <si>
    <t>TK63000</t>
  </si>
  <si>
    <t>TK61074</t>
  </si>
  <si>
    <t>TK63983</t>
  </si>
  <si>
    <t>TK61141</t>
  </si>
  <si>
    <t>TK60999</t>
  </si>
  <si>
    <t>TK62421</t>
  </si>
  <si>
    <t>TK62604</t>
  </si>
  <si>
    <t>TK63915</t>
  </si>
  <si>
    <t>TK62477</t>
  </si>
  <si>
    <t>TK60355</t>
  </si>
  <si>
    <t>TK60673</t>
  </si>
  <si>
    <t>TK60221</t>
  </si>
  <si>
    <t>TK60176</t>
  </si>
  <si>
    <t>TK61186</t>
  </si>
  <si>
    <t>TK60350</t>
  </si>
  <si>
    <t>TK61574</t>
  </si>
  <si>
    <t>TK60076</t>
  </si>
  <si>
    <t>TK63280</t>
  </si>
  <si>
    <t>TK61627</t>
  </si>
  <si>
    <t>TK62558</t>
  </si>
  <si>
    <t>TK62423</t>
  </si>
  <si>
    <t>TK62324</t>
  </si>
  <si>
    <t>TK62550</t>
  </si>
  <si>
    <t>TK62228</t>
  </si>
  <si>
    <t>TK62498</t>
  </si>
  <si>
    <t>TK62046</t>
  </si>
  <si>
    <t>TK60988</t>
  </si>
  <si>
    <t>TK61301</t>
  </si>
  <si>
    <t>TK63494</t>
  </si>
  <si>
    <t>TK60575</t>
  </si>
  <si>
    <t>TK60109</t>
  </si>
  <si>
    <t>TK63516</t>
  </si>
  <si>
    <t>TK61727</t>
  </si>
  <si>
    <t>TK60214</t>
  </si>
  <si>
    <t>TK60229</t>
  </si>
  <si>
    <t>TK61398</t>
  </si>
  <si>
    <t>TK63790</t>
  </si>
  <si>
    <t>TK63235</t>
  </si>
  <si>
    <t>TK60797</t>
  </si>
  <si>
    <t>TK60004</t>
  </si>
  <si>
    <t>TK60826</t>
  </si>
  <si>
    <t>TK61192</t>
  </si>
  <si>
    <t>TK62847</t>
  </si>
  <si>
    <t>TK61031</t>
  </si>
  <si>
    <t>TK61886</t>
  </si>
  <si>
    <t>TK60361</t>
  </si>
  <si>
    <t>TK63407</t>
  </si>
  <si>
    <t>TK60805</t>
  </si>
  <si>
    <t>TK61999</t>
  </si>
  <si>
    <t>TK60793</t>
  </si>
  <si>
    <t>TK62069</t>
  </si>
  <si>
    <t>TK63601</t>
  </si>
  <si>
    <t>TK60700</t>
  </si>
  <si>
    <t>TK63487</t>
  </si>
  <si>
    <t>TK62548</t>
  </si>
  <si>
    <t>TK60880</t>
  </si>
  <si>
    <t>TK60901</t>
  </si>
  <si>
    <t>TK62078</t>
  </si>
  <si>
    <t>TK62491</t>
  </si>
  <si>
    <t>TK63836</t>
  </si>
  <si>
    <t>TK63411</t>
  </si>
  <si>
    <t>TK62303</t>
  </si>
  <si>
    <t>TK60748</t>
  </si>
  <si>
    <t>TK62249</t>
  </si>
  <si>
    <t>TK60818</t>
  </si>
  <si>
    <t>TK60471</t>
  </si>
  <si>
    <t>TK63467</t>
  </si>
  <si>
    <t>TK62549</t>
  </si>
  <si>
    <t>TK62160</t>
  </si>
  <si>
    <t>TK62991</t>
  </si>
  <si>
    <t>TK62659</t>
  </si>
  <si>
    <t>TK62269</t>
  </si>
  <si>
    <t>TK60331</t>
  </si>
  <si>
    <t>TK61389</t>
  </si>
  <si>
    <t>TK63778</t>
  </si>
  <si>
    <t>TK60561</t>
  </si>
  <si>
    <t>TK62910</t>
  </si>
  <si>
    <t>TK62199</t>
  </si>
  <si>
    <t>TK62393</t>
  </si>
  <si>
    <t>TK61077</t>
  </si>
  <si>
    <t>TK60738</t>
  </si>
  <si>
    <t>TK61820</t>
  </si>
  <si>
    <t>TK60947</t>
  </si>
  <si>
    <t>TK62921</t>
  </si>
  <si>
    <t>TK61375</t>
  </si>
  <si>
    <t>TK62918</t>
  </si>
  <si>
    <t>TK62733</t>
  </si>
  <si>
    <t>TK61929</t>
  </si>
  <si>
    <t>TK63749</t>
  </si>
  <si>
    <t>TK63604</t>
  </si>
  <si>
    <t>TK61688</t>
  </si>
  <si>
    <t>TK61380</t>
  </si>
  <si>
    <t>TK62814</t>
  </si>
  <si>
    <t>TK61525</t>
  </si>
  <si>
    <t>TK60281</t>
  </si>
  <si>
    <t>TK62122</t>
  </si>
  <si>
    <t>TK60233</t>
  </si>
  <si>
    <t>TK60564</t>
  </si>
  <si>
    <t>TK60783</t>
  </si>
  <si>
    <t>TK63561</t>
  </si>
  <si>
    <t>TK62440</t>
  </si>
  <si>
    <t>TK61428</t>
  </si>
  <si>
    <t>TK63832</t>
  </si>
  <si>
    <t>TK61583</t>
  </si>
  <si>
    <t>TK61365</t>
  </si>
  <si>
    <t>TK61033</t>
  </si>
  <si>
    <t>TK63844</t>
  </si>
  <si>
    <t>TK61970</t>
  </si>
  <si>
    <t>TK62414</t>
  </si>
  <si>
    <t>TK63398</t>
  </si>
  <si>
    <t>TK62118</t>
  </si>
  <si>
    <t>TK61283</t>
  </si>
  <si>
    <t>TK60366</t>
  </si>
  <si>
    <t>TK60277</t>
  </si>
  <si>
    <t>TK61095</t>
  </si>
  <si>
    <t>TK60199</t>
  </si>
  <si>
    <t>TK63446</t>
  </si>
  <si>
    <t>TK61522</t>
  </si>
  <si>
    <t>TK62555</t>
  </si>
  <si>
    <t>TK62720</t>
  </si>
  <si>
    <t>TK63627</t>
  </si>
  <si>
    <t>TK60989</t>
  </si>
  <si>
    <t>TK62908</t>
  </si>
  <si>
    <t>TK61973</t>
  </si>
  <si>
    <t>TK61341</t>
  </si>
  <si>
    <t>TK63465</t>
  </si>
  <si>
    <t>TK62008</t>
  </si>
  <si>
    <t>TK63990</t>
  </si>
  <si>
    <t>TK61498</t>
  </si>
  <si>
    <t>TK63135</t>
  </si>
  <si>
    <t>TK60905</t>
  </si>
  <si>
    <t>TK63759</t>
  </si>
  <si>
    <t>TK63969</t>
  </si>
  <si>
    <t>TK63261</t>
  </si>
  <si>
    <t>TK60360</t>
  </si>
  <si>
    <t>TK62919</t>
  </si>
  <si>
    <t>TK63826</t>
  </si>
  <si>
    <t>TK60039</t>
  </si>
  <si>
    <t>TK60643</t>
  </si>
  <si>
    <t>TK63813</t>
  </si>
  <si>
    <t>TK61963</t>
  </si>
  <si>
    <t>TK63994</t>
  </si>
  <si>
    <t>TK63002</t>
  </si>
  <si>
    <t>TK60993</t>
  </si>
  <si>
    <t>TK63012</t>
  </si>
  <si>
    <t>TK60396</t>
  </si>
  <si>
    <t>TK62670</t>
  </si>
  <si>
    <t>TK61753</t>
  </si>
  <si>
    <t>TK61060</t>
  </si>
  <si>
    <t>TK60049</t>
  </si>
  <si>
    <t>TK62722</t>
  </si>
  <si>
    <t>TK63715</t>
  </si>
  <si>
    <t>TK60839</t>
  </si>
  <si>
    <t>TK61401</t>
  </si>
  <si>
    <t>TK60586</t>
  </si>
  <si>
    <t>TK62067</t>
  </si>
  <si>
    <t>TK63956</t>
  </si>
  <si>
    <t>TK63028</t>
  </si>
  <si>
    <t>TK62108</t>
  </si>
  <si>
    <t>TK62250</t>
  </si>
  <si>
    <t>TK62365</t>
  </si>
  <si>
    <t>TK60621</t>
  </si>
  <si>
    <t>TK62774</t>
  </si>
  <si>
    <t>TK61334</t>
  </si>
  <si>
    <t>TK60407</t>
  </si>
  <si>
    <t>TK63347</t>
  </si>
  <si>
    <t>TK63809</t>
  </si>
  <si>
    <t>TK63445</t>
  </si>
  <si>
    <t>TK61643</t>
  </si>
  <si>
    <t>TK60339</t>
  </si>
  <si>
    <t>TK61044</t>
  </si>
  <si>
    <t>TK63461</t>
  </si>
  <si>
    <t>TK62024</t>
  </si>
  <si>
    <t>TK61701</t>
  </si>
  <si>
    <t>TK61541</t>
  </si>
  <si>
    <t>TK63372</t>
  </si>
  <si>
    <t>TK62897</t>
  </si>
  <si>
    <t>TK63104</t>
  </si>
  <si>
    <t>TK60573</t>
  </si>
  <si>
    <t>TK61373</t>
  </si>
  <si>
    <t>TK63112</t>
  </si>
  <si>
    <t>TK61241</t>
  </si>
  <si>
    <t>TK60834</t>
  </si>
  <si>
    <t>TK62402</t>
  </si>
  <si>
    <t>TK63438</t>
  </si>
  <si>
    <t>TK61855</t>
  </si>
  <si>
    <t>TK60497</t>
  </si>
  <si>
    <t>TK60204</t>
  </si>
  <si>
    <t>TK63929</t>
  </si>
  <si>
    <t>TK61673</t>
  </si>
  <si>
    <t>TK61096</t>
  </si>
  <si>
    <t>TK62215</t>
  </si>
  <si>
    <t>TK60084</t>
  </si>
  <si>
    <t>TK62708</t>
  </si>
  <si>
    <t>TK60411</t>
  </si>
  <si>
    <t>TK60178</t>
  </si>
  <si>
    <t>TK63222</t>
  </si>
  <si>
    <t>TK61721</t>
  </si>
  <si>
    <t>TK61904</t>
  </si>
  <si>
    <t>TK63364</t>
  </si>
  <si>
    <t>TK62663</t>
  </si>
  <si>
    <t>TK61055</t>
  </si>
  <si>
    <t>TK62425</t>
  </si>
  <si>
    <t>TK62439</t>
  </si>
  <si>
    <t>TK63297</t>
  </si>
  <si>
    <t>TK61712</t>
  </si>
  <si>
    <t>TK61281</t>
  </si>
  <si>
    <t>TK60445</t>
  </si>
  <si>
    <t>TK60860</t>
  </si>
  <si>
    <t>TK62528</t>
  </si>
  <si>
    <t>TK63147</t>
  </si>
  <si>
    <t>TK63333</t>
  </si>
  <si>
    <t>TK61757</t>
  </si>
  <si>
    <t>TK61132</t>
  </si>
  <si>
    <t>TK63772</t>
  </si>
  <si>
    <t>TK61129</t>
  </si>
  <si>
    <t>TK60167</t>
  </si>
  <si>
    <t>TK60810</t>
  </si>
  <si>
    <t>TK63577</t>
  </si>
  <si>
    <t>TK63393</t>
  </si>
  <si>
    <t>TK61584</t>
  </si>
  <si>
    <t>TK60027</t>
  </si>
  <si>
    <t>TK63517</t>
  </si>
  <si>
    <t>TK61939</t>
  </si>
  <si>
    <t>TK63714</t>
  </si>
  <si>
    <t>TK63642</t>
  </si>
  <si>
    <t>TK62057</t>
  </si>
  <si>
    <t>TK60047</t>
  </si>
  <si>
    <t>TK60902</t>
  </si>
  <si>
    <t>TK62267</t>
  </si>
  <si>
    <t>TK62547</t>
  </si>
  <si>
    <t>TK62005</t>
  </si>
  <si>
    <t>TK62635</t>
  </si>
  <si>
    <t>TK62397</t>
  </si>
  <si>
    <t>TK62048</t>
  </si>
  <si>
    <t>TK62098</t>
  </si>
  <si>
    <t>TK61831</t>
  </si>
  <si>
    <t>TK60136</t>
  </si>
  <si>
    <t>TK63006</t>
  </si>
  <si>
    <t>TK60980</t>
  </si>
  <si>
    <t>TK61087</t>
  </si>
  <si>
    <t>TK63199</t>
  </si>
  <si>
    <t>TK62932</t>
  </si>
  <si>
    <t>TK60180</t>
  </si>
  <si>
    <t>TK62219</t>
  </si>
  <si>
    <t>TK62690</t>
  </si>
  <si>
    <t>TK63251</t>
  </si>
  <si>
    <t>TK62375</t>
  </si>
  <si>
    <t>TK61909</t>
  </si>
  <si>
    <t>TK62537</t>
  </si>
  <si>
    <t>TK61279</t>
  </si>
  <si>
    <t>TK60395</t>
  </si>
  <si>
    <t>TK62041</t>
  </si>
  <si>
    <t>TK61816</t>
  </si>
  <si>
    <t>TK60485</t>
  </si>
  <si>
    <t>TK61562</t>
  </si>
  <si>
    <t>TK63305</t>
  </si>
  <si>
    <t>TK60832</t>
  </si>
  <si>
    <t>TK61732</t>
  </si>
  <si>
    <t>TK62694</t>
  </si>
  <si>
    <t>TK63700</t>
  </si>
  <si>
    <t>TK61252</t>
  </si>
  <si>
    <t>TK63050</t>
  </si>
  <si>
    <t>TK60415</t>
  </si>
  <si>
    <t>TK60784</t>
  </si>
  <si>
    <t>TK60872</t>
  </si>
  <si>
    <t>TK63435</t>
  </si>
  <si>
    <t>TK61663</t>
  </si>
  <si>
    <t>TK61808</t>
  </si>
  <si>
    <t>TK61491</t>
  </si>
  <si>
    <t>TK60252</t>
  </si>
  <si>
    <t>TK60820</t>
  </si>
  <si>
    <t>TK60033</t>
  </si>
  <si>
    <t>TK61736</t>
  </si>
  <si>
    <t>TK61508</t>
  </si>
  <si>
    <t>TK61479</t>
  </si>
  <si>
    <t>TK63879</t>
  </si>
  <si>
    <t>TK63974</t>
  </si>
  <si>
    <t>TK62339</t>
  </si>
  <si>
    <t>TK61214</t>
  </si>
  <si>
    <t>TK62726</t>
  </si>
  <si>
    <t>TK61001</t>
  </si>
  <si>
    <t>TK63486</t>
  </si>
  <si>
    <t>TK63210</t>
  </si>
  <si>
    <t>TK63462</t>
  </si>
  <si>
    <t>TK61409</t>
  </si>
  <si>
    <t>TK61257</t>
  </si>
  <si>
    <t>TK62124</t>
  </si>
  <si>
    <t>TK61523</t>
  </si>
  <si>
    <t>TK62965</t>
  </si>
  <si>
    <t>TK61470</t>
  </si>
  <si>
    <t>TK60827</t>
  </si>
  <si>
    <t>TK62577</t>
  </si>
  <si>
    <t>TK60742</t>
  </si>
  <si>
    <t>TK61610</t>
  </si>
  <si>
    <t>TK62799</t>
  </si>
  <si>
    <t>TK62820</t>
  </si>
  <si>
    <t>TK61152</t>
  </si>
  <si>
    <t>TK61853</t>
  </si>
  <si>
    <t>TK63200</t>
  </si>
  <si>
    <t>TK60864</t>
  </si>
  <si>
    <t>TK62818</t>
  </si>
  <si>
    <t>TK62229</t>
  </si>
  <si>
    <t>TK61895</t>
  </si>
  <si>
    <t>TK61434</t>
  </si>
  <si>
    <t>TK60845</t>
  </si>
  <si>
    <t>TK63596</t>
  </si>
  <si>
    <t>TK60146</t>
  </si>
  <si>
    <t>TK63673</t>
  </si>
  <si>
    <t>TK62562</t>
  </si>
  <si>
    <t>TK62544</t>
  </si>
  <si>
    <t>TK60498</t>
  </si>
  <si>
    <t>TK62901</t>
  </si>
  <si>
    <t>TK60087</t>
  </si>
  <si>
    <t>TK60162</t>
  </si>
  <si>
    <t>TK61080</t>
  </si>
  <si>
    <t>TK63676</t>
  </si>
  <si>
    <t>TK60010</t>
  </si>
  <si>
    <t>TK62337</t>
  </si>
  <si>
    <t>TK62171</t>
  </si>
  <si>
    <t>TK63182</t>
  </si>
  <si>
    <t>TK60932</t>
  </si>
  <si>
    <t>TK62493</t>
  </si>
  <si>
    <t>TK61361</t>
  </si>
  <si>
    <t>TK61728</t>
  </si>
  <si>
    <t>TK62557</t>
  </si>
  <si>
    <t>TK62836</t>
  </si>
  <si>
    <t>TK61007</t>
  </si>
  <si>
    <t>TK62139</t>
  </si>
  <si>
    <t>TK62268</t>
  </si>
  <si>
    <t>TK63947</t>
  </si>
  <si>
    <t>TK63545</t>
  </si>
  <si>
    <t>TK60317</t>
  </si>
  <si>
    <t>TK62629</t>
  </si>
  <si>
    <t>TK62743</t>
  </si>
  <si>
    <t>TK62608</t>
  </si>
  <si>
    <t>TK60282</t>
  </si>
  <si>
    <t>TK63387</t>
  </si>
  <si>
    <t>TK63575</t>
  </si>
  <si>
    <t>TK60707</t>
  </si>
  <si>
    <t>TK61458</t>
  </si>
  <si>
    <t>TK63008</t>
  </si>
  <si>
    <t>TK60202</t>
  </si>
  <si>
    <t>TK61536</t>
  </si>
  <si>
    <t>TK63244</t>
  </si>
  <si>
    <t>TK61885</t>
  </si>
  <si>
    <t>TK63691</t>
  </si>
  <si>
    <t>TK61530</t>
  </si>
  <si>
    <t>TK62551</t>
  </si>
  <si>
    <t>TK61581</t>
  </si>
  <si>
    <t>TK61690</t>
  </si>
  <si>
    <t>TK60328</t>
  </si>
  <si>
    <t>TK63133</t>
  </si>
  <si>
    <t>TK62751</t>
  </si>
  <si>
    <t>TK60451</t>
  </si>
  <si>
    <t>TK62602</t>
  </si>
  <si>
    <t>TK60972</t>
  </si>
  <si>
    <t>TK60509</t>
  </si>
  <si>
    <t>TK62426</t>
  </si>
  <si>
    <t>TK62467</t>
  </si>
  <si>
    <t>TK61321</t>
  </si>
  <si>
    <t>TK60354</t>
  </si>
  <si>
    <t>TK61657</t>
  </si>
  <si>
    <t>TK62856</t>
  </si>
  <si>
    <t>TK60173</t>
  </si>
  <si>
    <t>TK61121</t>
  </si>
  <si>
    <t>TK63623</t>
  </si>
  <si>
    <t>TK60192</t>
  </si>
  <si>
    <t>TK62843</t>
  </si>
  <si>
    <t>TK61490</t>
  </si>
  <si>
    <t>TK60230</t>
  </si>
  <si>
    <t>TK63478</t>
  </si>
  <si>
    <t>TK62839</t>
  </si>
  <si>
    <t>TK61313</t>
  </si>
  <si>
    <t>TK61232</t>
  </si>
  <si>
    <t>TK63258</t>
  </si>
  <si>
    <t>TK60400</t>
  </si>
  <si>
    <t>TK63574</t>
  </si>
  <si>
    <t>TK63489</t>
  </si>
  <si>
    <t>TK60684</t>
  </si>
  <si>
    <t>TK60776</t>
  </si>
  <si>
    <t>TK63056</t>
  </si>
  <si>
    <t>TK60895</t>
  </si>
  <si>
    <t>TK61947</t>
  </si>
  <si>
    <t>TK60014</t>
  </si>
  <si>
    <t>TK60515</t>
  </si>
  <si>
    <t>TK63274</t>
  </si>
  <si>
    <t>TK63381</t>
  </si>
  <si>
    <t>TK61316</t>
  </si>
  <si>
    <t>TK62898</t>
  </si>
  <si>
    <t>TK61607</t>
  </si>
  <si>
    <t>TK61503</t>
  </si>
  <si>
    <t>TK63248</t>
  </si>
  <si>
    <t>TK63395</t>
  </si>
  <si>
    <t>TK60795</t>
  </si>
  <si>
    <t>TK63848</t>
  </si>
  <si>
    <t>TK61019</t>
  </si>
  <si>
    <t>TK63390</t>
  </si>
  <si>
    <t>TK63804</t>
  </si>
  <si>
    <t>TK61090</t>
  </si>
  <si>
    <t>TK60868</t>
  </si>
  <si>
    <t>TK60806</t>
  </si>
  <si>
    <t>TK60265</t>
  </si>
  <si>
    <t>TK62831</t>
  </si>
  <si>
    <t>TK60447</t>
  </si>
  <si>
    <t>TK61414</t>
  </si>
  <si>
    <t>TK60837</t>
  </si>
  <si>
    <t>TK63441</t>
  </si>
  <si>
    <t>TK60110</t>
  </si>
  <si>
    <t>TK62192</t>
  </si>
  <si>
    <t>TK61022</t>
  </si>
  <si>
    <t>TK60066</t>
  </si>
  <si>
    <t>TK62959</t>
  </si>
  <si>
    <t>TK61984</t>
  </si>
  <si>
    <t>TK61612</t>
  </si>
  <si>
    <t>TK61453</t>
  </si>
  <si>
    <t>TK60914</t>
  </si>
  <si>
    <t>TK60419</t>
  </si>
  <si>
    <t>TK60362</t>
  </si>
  <si>
    <t>TK60237</t>
  </si>
  <si>
    <t>TK63384</t>
  </si>
  <si>
    <t>TK62302</t>
  </si>
  <si>
    <t>TK63422</t>
  </si>
  <si>
    <t>TK61187</t>
  </si>
  <si>
    <t>TK60871</t>
  </si>
  <si>
    <t>TK60623</t>
  </si>
  <si>
    <t>TK60787</t>
  </si>
  <si>
    <t>TK61883</t>
  </si>
  <si>
    <t>TK61216</t>
  </si>
  <si>
    <t>TK63264</t>
  </si>
  <si>
    <t>TK61126</t>
  </si>
  <si>
    <t>TK63420</t>
  </si>
  <si>
    <t>TK60337</t>
  </si>
  <si>
    <t>TK63294</t>
  </si>
  <si>
    <t>TK60151</t>
  </si>
  <si>
    <t>TK61163</t>
  </si>
  <si>
    <t>TK61920</t>
  </si>
  <si>
    <t>TK62246</t>
  </si>
  <si>
    <t>TK61526</t>
  </si>
  <si>
    <t>TK60743</t>
  </si>
  <si>
    <t>TK62378</t>
  </si>
  <si>
    <t>TK61636</t>
  </si>
  <si>
    <t>TK60736</t>
  </si>
  <si>
    <t>TK63563</t>
  </si>
  <si>
    <t>TK63914</t>
  </si>
  <si>
    <t>TK63246</t>
  </si>
  <si>
    <t>TK60542</t>
  </si>
  <si>
    <t>TK62894</t>
  </si>
  <si>
    <t>TK60430</t>
  </si>
  <si>
    <t>TK61135</t>
  </si>
  <si>
    <t>TK61100</t>
  </si>
  <si>
    <t>TK62002</t>
  </si>
  <si>
    <t>TK61784</t>
  </si>
  <si>
    <t>TK62165</t>
  </si>
  <si>
    <t>TK61285</t>
  </si>
  <si>
    <t>TK61388</t>
  </si>
  <si>
    <t>TK63118</t>
  </si>
  <si>
    <t>TK63013</t>
  </si>
  <si>
    <t>TK61379</t>
  </si>
  <si>
    <t>TK60984</t>
  </si>
  <si>
    <t>TK62034</t>
  </si>
  <si>
    <t>TK62725</t>
  </si>
  <si>
    <t>TK62944</t>
  </si>
  <si>
    <t>TK60380</t>
  </si>
  <si>
    <t>TK61717</t>
  </si>
  <si>
    <t>TK60689</t>
  </si>
  <si>
    <t>TK60297</t>
  </si>
  <si>
    <t>TK60614</t>
  </si>
  <si>
    <t>TK61650</t>
  </si>
  <si>
    <t>TK61707</t>
  </si>
  <si>
    <t>TK63176</t>
  </si>
  <si>
    <t>TK63146</t>
  </si>
  <si>
    <t>TK63504</t>
  </si>
  <si>
    <t>TK60596</t>
  </si>
  <si>
    <t>TK61339</t>
  </si>
  <si>
    <t>TK63315</t>
  </si>
  <si>
    <t>TK62164</t>
  </si>
  <si>
    <t>TK62256</t>
  </si>
  <si>
    <t>TK60316</t>
  </si>
  <si>
    <t>TK61819</t>
  </si>
  <si>
    <t>TK61867</t>
  </si>
  <si>
    <t>TK63449</t>
  </si>
  <si>
    <t>TK63221</t>
  </si>
  <si>
    <t>TK60454</t>
  </si>
  <si>
    <t>TK61356</t>
  </si>
  <si>
    <t>TK62321</t>
  </si>
  <si>
    <t>TK63065</t>
  </si>
  <si>
    <t>TK63972</t>
  </si>
  <si>
    <t>TK63812</t>
  </si>
  <si>
    <t>TK63589</t>
  </si>
  <si>
    <t>TK60268</t>
  </si>
  <si>
    <t>TK61861</t>
  </si>
  <si>
    <t>TK61063</t>
  </si>
  <si>
    <t>TK60184</t>
  </si>
  <si>
    <t>TK62622</t>
  </si>
  <si>
    <t>TK62906</t>
  </si>
  <si>
    <t>TK61179</t>
  </si>
  <si>
    <t>TK62466</t>
  </si>
  <si>
    <t>TK61638</t>
  </si>
  <si>
    <t>TK63234</t>
  </si>
  <si>
    <t>TK60353</t>
  </si>
  <si>
    <t>TK63507</t>
  </si>
  <si>
    <t>TK60311</t>
  </si>
  <si>
    <t>TK63359</t>
  </si>
  <si>
    <t>TK60708</t>
  </si>
  <si>
    <t>TK60330</t>
  </si>
  <si>
    <t>TK62538</t>
  </si>
  <si>
    <t>TK60267</t>
  </si>
  <si>
    <t>TK60187</t>
  </si>
  <si>
    <t>TK63787</t>
  </si>
  <si>
    <t>TK62392</t>
  </si>
  <si>
    <t>TK60710</t>
  </si>
  <si>
    <t>TK60472</t>
  </si>
  <si>
    <t>TK60470</t>
  </si>
  <si>
    <t>TK60861</t>
  </si>
  <si>
    <t>TK61964</t>
  </si>
  <si>
    <t>TK60666</t>
  </si>
  <si>
    <t>TK63719</t>
  </si>
  <si>
    <t>TK63084</t>
  </si>
  <si>
    <t>TK62852</t>
  </si>
  <si>
    <t>TK61858</t>
  </si>
  <si>
    <t>TK60511</t>
  </si>
  <si>
    <t>TK63125</t>
  </si>
  <si>
    <t>TK63375</t>
  </si>
  <si>
    <t>TK61997</t>
  </si>
  <si>
    <t>TK61069</t>
  </si>
  <si>
    <t>TK61748</t>
  </si>
  <si>
    <t>TK63931</t>
  </si>
  <si>
    <t>TK61535</t>
  </si>
  <si>
    <t>TK60212</t>
  </si>
  <si>
    <t>TK61538</t>
  </si>
  <si>
    <t>TK62594</t>
  </si>
  <si>
    <t>TK62245</t>
  </si>
  <si>
    <t>TK63712</t>
  </si>
  <si>
    <t>TK61333</t>
  </si>
  <si>
    <t>TK60008</t>
  </si>
  <si>
    <t>TK63101</t>
  </si>
  <si>
    <t>TK60065</t>
  </si>
  <si>
    <t>TK63774</t>
  </si>
  <si>
    <t>TK61887</t>
  </si>
  <si>
    <t>TK60463</t>
  </si>
  <si>
    <t>TK63492</t>
  </si>
  <si>
    <t>TK63829</t>
  </si>
  <si>
    <t>TK62581</t>
  </si>
  <si>
    <t>TK62534</t>
  </si>
  <si>
    <t>TK63579</t>
  </si>
  <si>
    <t>TK62773</t>
  </si>
  <si>
    <t>TK60959</t>
  </si>
  <si>
    <t>TK61817</t>
  </si>
  <si>
    <t>TK61153</t>
  </si>
  <si>
    <t>TK61667</t>
  </si>
  <si>
    <t>TK60808</t>
  </si>
  <si>
    <t>TK63346</t>
  </si>
  <si>
    <t>TK62710</t>
  </si>
  <si>
    <t>TK61774</t>
  </si>
  <si>
    <t>TK63858</t>
  </si>
  <si>
    <t>TK61161</t>
  </si>
  <si>
    <t>TK63389</t>
  </si>
  <si>
    <t>TK61071</t>
  </si>
  <si>
    <t>TK63839</t>
  </si>
  <si>
    <t>TK63095</t>
  </si>
  <si>
    <t>TK61592</t>
  </si>
  <si>
    <t>TK63597</t>
  </si>
  <si>
    <t>TK63046</t>
  </si>
  <si>
    <t>TK61488</t>
  </si>
  <si>
    <t>TK62481</t>
  </si>
  <si>
    <t>TK60351</t>
  </si>
  <si>
    <t>TK61617</t>
  </si>
  <si>
    <t>TK60429</t>
  </si>
  <si>
    <t>TK61170</t>
  </si>
  <si>
    <t>TK60259</t>
  </si>
  <si>
    <t>TK61546</t>
  </si>
  <si>
    <t>TK60896</t>
  </si>
  <si>
    <t>TK63457</t>
  </si>
  <si>
    <t>TK60706</t>
  </si>
  <si>
    <t>TK60219</t>
  </si>
  <si>
    <t>TK62112</t>
  </si>
  <si>
    <t>TK61802</t>
  </si>
  <si>
    <t>TK62540</t>
  </si>
  <si>
    <t>TK62619</t>
  </si>
  <si>
    <t>TK61084</t>
  </si>
  <si>
    <t>TK63126</t>
  </si>
  <si>
    <t>TK62413</t>
  </si>
  <si>
    <t>TK62468</t>
  </si>
  <si>
    <t>TK61344</t>
  </si>
  <si>
    <t>TK62738</t>
  </si>
  <si>
    <t>TK63730</t>
  </si>
  <si>
    <t>TK60909</t>
  </si>
  <si>
    <t>TK63564</t>
  </si>
  <si>
    <t>TK63926</t>
  </si>
  <si>
    <t>TK62336</t>
  </si>
  <si>
    <t>TK62096</t>
  </si>
  <si>
    <t>TK62463</t>
  </si>
  <si>
    <t>TK62896</t>
  </si>
  <si>
    <t>TK63645</t>
  </si>
  <si>
    <t>TK63745</t>
  </si>
  <si>
    <t>TK61988</t>
  </si>
  <si>
    <t>TK63232</t>
  </si>
  <si>
    <t>TK62792</t>
  </si>
  <si>
    <t>TK63747</t>
  </si>
  <si>
    <t>TK60089</t>
  </si>
  <si>
    <t>TK61915</t>
  </si>
  <si>
    <t>TK62291</t>
  </si>
  <si>
    <t>TK63765</t>
  </si>
  <si>
    <t>TK62506</t>
  </si>
  <si>
    <t>TK62697</t>
  </si>
  <si>
    <t>TK60195</t>
  </si>
  <si>
    <t>TK62888</t>
  </si>
  <si>
    <t>TK63470</t>
  </si>
  <si>
    <t>TK62068</t>
  </si>
  <si>
    <t>TK61237</t>
  </si>
  <si>
    <t>TK63997</t>
  </si>
  <si>
    <t>TK61250</t>
  </si>
  <si>
    <t>TK60762</t>
  </si>
  <si>
    <t>TK62021</t>
  </si>
  <si>
    <t>TK61436</t>
  </si>
  <si>
    <t>TK62161</t>
  </si>
  <si>
    <t>TK62470</t>
  </si>
  <si>
    <t>TK63885</t>
  </si>
  <si>
    <t>TK63273</t>
  </si>
  <si>
    <t>TK62003</t>
  </si>
  <si>
    <t>TK62745</t>
  </si>
  <si>
    <t>TK60821</t>
  </si>
  <si>
    <t>TK63687</t>
  </si>
  <si>
    <t>TK63405</t>
  </si>
  <si>
    <t>TK63075</t>
  </si>
  <si>
    <t>TK63603</t>
  </si>
  <si>
    <t>TK61188</t>
  </si>
  <si>
    <t>TK61314</t>
  </si>
  <si>
    <t>TK62777</t>
  </si>
  <si>
    <t>TK61008</t>
  </si>
  <si>
    <t>TK63019</t>
  </si>
  <si>
    <t>TK60630</t>
  </si>
  <si>
    <t>TK60474</t>
  </si>
  <si>
    <t>TK62060</t>
  </si>
  <si>
    <t>TK60969</t>
  </si>
  <si>
    <t>TK60777</t>
  </si>
  <si>
    <t>TK63560</t>
  </si>
  <si>
    <t>TK63191</t>
  </si>
  <si>
    <t>TK61949</t>
  </si>
  <si>
    <t>TK60968</t>
  </si>
  <si>
    <t>TK61580</t>
  </si>
  <si>
    <t>TK63231</t>
  </si>
  <si>
    <t>TK62037</t>
  </si>
  <si>
    <t>TK61198</t>
  </si>
  <si>
    <t>TK63352</t>
  </si>
  <si>
    <t>TK62824</t>
  </si>
  <si>
    <t>TK61173</t>
  </si>
  <si>
    <t>TK63716</t>
  </si>
  <si>
    <t>TK60900</t>
  </si>
  <si>
    <t>TK61039</t>
  </si>
  <si>
    <t>TK63501</t>
  </si>
  <si>
    <t>TK63500</t>
  </si>
  <si>
    <t>TK61797</t>
  </si>
  <si>
    <t>TK61177</t>
  </si>
  <si>
    <t>TK61421</t>
  </si>
  <si>
    <t>TK61881</t>
  </si>
  <si>
    <t>TK62451</t>
  </si>
  <si>
    <t>TK62132</t>
  </si>
  <si>
    <t>TK61119</t>
  </si>
  <si>
    <t>TK60668</t>
  </si>
  <si>
    <t>TK60381</t>
  </si>
  <si>
    <t>TK63770</t>
  </si>
  <si>
    <t>TK61658</t>
  </si>
  <si>
    <t>TK63948</t>
  </si>
  <si>
    <t>TK62135</t>
  </si>
  <si>
    <t>TK61625</t>
  </si>
  <si>
    <t>TK60538</t>
  </si>
  <si>
    <t>TK60594</t>
  </si>
  <si>
    <t>TK60887</t>
  </si>
  <si>
    <t>TK60500</t>
  </si>
  <si>
    <t>TK60518</t>
  </si>
  <si>
    <t>TK62059</t>
  </si>
  <si>
    <t>TK63800</t>
  </si>
  <si>
    <t>TK62964</t>
  </si>
  <si>
    <t>TK60300</t>
  </si>
  <si>
    <t>TK62980</t>
  </si>
  <si>
    <t>TK60236</t>
  </si>
  <si>
    <t>TK63432</t>
  </si>
  <si>
    <t>TK61983</t>
  </si>
  <si>
    <t>TK63287</t>
  </si>
  <si>
    <t>TK63370</t>
  </si>
  <si>
    <t>TK62552</t>
  </si>
  <si>
    <t>TK63079</t>
  </si>
  <si>
    <t>TK63195</t>
  </si>
  <si>
    <t>TK62083</t>
  </si>
  <si>
    <t>TK62687</t>
  </si>
  <si>
    <t>TK60833</t>
  </si>
  <si>
    <t>TK61235</t>
  </si>
  <si>
    <t>TK61987</t>
  </si>
  <si>
    <t>TK63430</t>
  </si>
  <si>
    <t>TK63515</t>
  </si>
  <si>
    <t>TK63776</t>
  </si>
  <si>
    <t>TK61992</t>
  </si>
  <si>
    <t>TK63179</t>
  </si>
  <si>
    <t>TK63475</t>
  </si>
  <si>
    <t>TK62144</t>
  </si>
  <si>
    <t>TK63718</t>
  </si>
  <si>
    <t>TK62238</t>
  </si>
  <si>
    <t>TK62235</t>
  </si>
  <si>
    <t>TK62017</t>
  </si>
  <si>
    <t>TK63044</t>
  </si>
  <si>
    <t>TK63298</t>
  </si>
  <si>
    <t>TK60973</t>
  </si>
  <si>
    <t>TK61888</t>
  </si>
  <si>
    <t>TK62156</t>
  </si>
  <si>
    <t>TK62489</t>
  </si>
  <si>
    <t>TK61234</t>
  </si>
  <si>
    <t>TK63024</t>
  </si>
  <si>
    <t>TK62403</t>
  </si>
  <si>
    <t>TK60513</t>
  </si>
  <si>
    <t>TK60642</t>
  </si>
  <si>
    <t>TK60264</t>
  </si>
  <si>
    <t>TK61756</t>
  </si>
  <si>
    <t>TK62800</t>
  </si>
  <si>
    <t>TK63822</t>
  </si>
  <si>
    <t>TK61825</t>
  </si>
  <si>
    <t>TK60778</t>
  </si>
  <si>
    <t>TK63965</t>
  </si>
  <si>
    <t>TK63594</t>
  </si>
  <si>
    <t>TK61540</t>
  </si>
  <si>
    <t>TK63184</t>
  </si>
  <si>
    <t>TK63536</t>
  </si>
  <si>
    <t>TK63100</t>
  </si>
  <si>
    <t>TK60877</t>
  </si>
  <si>
    <t>TK60649</t>
  </si>
  <si>
    <t>TK63149</t>
  </si>
  <si>
    <t>TK63218</t>
  </si>
  <si>
    <t>TK60191</t>
  </si>
  <si>
    <t>TK63534</t>
  </si>
  <si>
    <t>TK61597</t>
  </si>
  <si>
    <t>TK60634</t>
  </si>
  <si>
    <t>TK63396</t>
  </si>
  <si>
    <t>TK62264</t>
  </si>
  <si>
    <t>TK61332</t>
  </si>
  <si>
    <t>TK61120</t>
  </si>
  <si>
    <t>TK62205</t>
  </si>
  <si>
    <t>TK61424</t>
  </si>
  <si>
    <t>TK60068</t>
  </si>
  <si>
    <t>TK62262</t>
  </si>
  <si>
    <t>TK62278</t>
  </si>
  <si>
    <t>TK63924</t>
  </si>
  <si>
    <t>TK62667</t>
  </si>
  <si>
    <t>TK62047</t>
  </si>
  <si>
    <t>TK61430</t>
  </si>
  <si>
    <t>TK60543</t>
  </si>
  <si>
    <t>TK60285</t>
  </si>
  <si>
    <t>TK62664</t>
  </si>
  <si>
    <t>TK60699</t>
  </si>
  <si>
    <t>TK62969</t>
  </si>
  <si>
    <t>TK61685</t>
  </si>
  <si>
    <t>TK62958</t>
  </si>
  <si>
    <t>TK60674</t>
  </si>
  <si>
    <t>TK60570</t>
  </si>
  <si>
    <t>TK60957</t>
  </si>
  <si>
    <t>TK62086</t>
  </si>
  <si>
    <t>TK62114</t>
  </si>
  <si>
    <t>TK63410</t>
  </si>
  <si>
    <t>TK61598</t>
  </si>
  <si>
    <t>TK62875</t>
  </si>
  <si>
    <t>TK60607</t>
  </si>
  <si>
    <t>TK60604</t>
  </si>
  <si>
    <t>TK62087</t>
  </si>
  <si>
    <t>TK63801</t>
  </si>
  <si>
    <t>TK61493</t>
  </si>
  <si>
    <t>TK61056</t>
  </si>
  <si>
    <t>TK61985</t>
  </si>
  <si>
    <t>TK60278</t>
  </si>
  <si>
    <t>TK61615</t>
  </si>
  <si>
    <t>TK63400</t>
  </si>
  <si>
    <t>TK63757</t>
  </si>
  <si>
    <t>TK63230</t>
  </si>
  <si>
    <t>TK62095</t>
  </si>
  <si>
    <t>TK60442</t>
  </si>
  <si>
    <t>TK63696</t>
  </si>
  <si>
    <t>TK62646</t>
  </si>
  <si>
    <t>TK62242</t>
  </si>
  <si>
    <t>TK63646</t>
  </si>
  <si>
    <t>TK63682</t>
  </si>
  <si>
    <t>TK61251</t>
  </si>
  <si>
    <t>TK63198</t>
  </si>
  <si>
    <t>TK62377</t>
  </si>
  <si>
    <t>TK63869</t>
  </si>
  <si>
    <t>TK60678</t>
  </si>
  <si>
    <t>TK63363</t>
  </si>
  <si>
    <t>TK60086</t>
  </si>
  <si>
    <t>TK62387</t>
  </si>
  <si>
    <t>TK62866</t>
  </si>
  <si>
    <t>TK62448</t>
  </si>
  <si>
    <t>TK62312</t>
  </si>
  <si>
    <t>TK60003</t>
  </si>
  <si>
    <t>TK61815</t>
  </si>
  <si>
    <t>TK62458</t>
  </si>
  <si>
    <t>TK60888</t>
  </si>
  <si>
    <t>TK63444</t>
  </si>
  <si>
    <t>TK63674</t>
  </si>
  <si>
    <t>TK62674</t>
  </si>
  <si>
    <t>TK60140</t>
  </si>
  <si>
    <t>TK61404</t>
  </si>
  <si>
    <t>TK62522</t>
  </si>
  <si>
    <t>TK63078</t>
  </si>
  <si>
    <t>TK62052</t>
  </si>
  <si>
    <t>TK63767</t>
  </si>
  <si>
    <t>TK63283</t>
  </si>
  <si>
    <t>TK62653</t>
  </si>
  <si>
    <t>TK61766</t>
  </si>
  <si>
    <t>TK63942</t>
  </si>
  <si>
    <t>TK63339</t>
  </si>
  <si>
    <t>TK63887</t>
  </si>
  <si>
    <t>TK61642</t>
  </si>
  <si>
    <t>TK61910</t>
  </si>
  <si>
    <t>TK60001</t>
  </si>
  <si>
    <t>TK61207</t>
  </si>
  <si>
    <t>TK63490</t>
  </si>
  <si>
    <t>TK61485</t>
  </si>
  <si>
    <t>TK62703</t>
  </si>
  <si>
    <t>TK61677</t>
  </si>
  <si>
    <t>TK60734</t>
  </si>
  <si>
    <t>TK61614</t>
  </si>
  <si>
    <t>TK63539</t>
  </si>
  <si>
    <t>TK61618</t>
  </si>
  <si>
    <t>TK63055</t>
  </si>
  <si>
    <t>TK60536</t>
  </si>
  <si>
    <t>TK63650</t>
  </si>
  <si>
    <t>TK60555</t>
  </si>
  <si>
    <t>TK60305</t>
  </si>
  <si>
    <t>TK61435</t>
  </si>
  <si>
    <t>TK61444</t>
  </si>
  <si>
    <t>TK63161</t>
  </si>
  <si>
    <t>TK63240</t>
  </si>
  <si>
    <t>TK61506</t>
  </si>
  <si>
    <t>TK62632</t>
  </si>
  <si>
    <t>TK63816</t>
  </si>
  <si>
    <t>TK60100</t>
  </si>
  <si>
    <t>TK62325</t>
  </si>
  <si>
    <t>TK63068</t>
  </si>
  <si>
    <t>TK60439</t>
  </si>
  <si>
    <t>TK63018</t>
  </si>
  <si>
    <t>TK63889</t>
  </si>
  <si>
    <t>TK61350</t>
  </si>
  <si>
    <t>TK62724</t>
  </si>
  <si>
    <t>TK60652</t>
  </si>
  <si>
    <t>TK60207</t>
  </si>
  <si>
    <t>TK62283</t>
  </si>
  <si>
    <t>TK61524</t>
  </si>
  <si>
    <t>TK60413</t>
  </si>
  <si>
    <t>TK63988</t>
  </si>
  <si>
    <t>TK63641</t>
  </si>
  <si>
    <t>TK62410</t>
  </si>
  <si>
    <t>TK62494</t>
  </si>
  <si>
    <t>TK61664</t>
  </si>
  <si>
    <t>TK62840</t>
  </si>
  <si>
    <t>TK63843</t>
  </si>
  <si>
    <t>TK60388</t>
  </si>
  <si>
    <t>TK61360</t>
  </si>
  <si>
    <t>TK60943</t>
  </si>
  <si>
    <t>TK61500</t>
  </si>
  <si>
    <t>TK61406</t>
  </si>
  <si>
    <t>TK62598</t>
  </si>
  <si>
    <t>TK63243</t>
  </si>
  <si>
    <t>TK62301</t>
  </si>
  <si>
    <t>TK60599</t>
  </si>
  <si>
    <t>TK61563</t>
  </si>
  <si>
    <t>TK60884</t>
  </si>
  <si>
    <t>TK62438</t>
  </si>
  <si>
    <t>TK61390</t>
  </si>
  <si>
    <t>TK61516</t>
  </si>
  <si>
    <t>TK61325</t>
  </si>
  <si>
    <t>TK61788</t>
  </si>
  <si>
    <t>TK61654</t>
  </si>
  <si>
    <t>TK61158</t>
  </si>
  <si>
    <t>TK60048</t>
  </si>
  <si>
    <t>TK62784</t>
  </si>
  <si>
    <t>TK62543</t>
  </si>
  <si>
    <t>TK61125</t>
  </si>
  <si>
    <t>TK63321</t>
  </si>
  <si>
    <t>TK61002</t>
  </si>
  <si>
    <t>TK62019</t>
  </si>
  <si>
    <t>TK62766</t>
  </si>
  <si>
    <t>TK61448</t>
  </si>
  <si>
    <t>TK63086</t>
  </si>
  <si>
    <t>TK62678</t>
  </si>
  <si>
    <t>TK61854</t>
  </si>
  <si>
    <t>TK61911</t>
  </si>
  <si>
    <t>TK61408</t>
  </si>
  <si>
    <t>TK61652</t>
  </si>
  <si>
    <t>TK62318</t>
  </si>
  <si>
    <t>TK61927</t>
  </si>
  <si>
    <t>TK62412</t>
  </si>
  <si>
    <t>TK63392</t>
  </si>
  <si>
    <t>TK62434</t>
  </si>
  <si>
    <t>TK62717</t>
  </si>
  <si>
    <t>TK62749</t>
  </si>
  <si>
    <t>TK62407</t>
  </si>
  <si>
    <t>TK60156</t>
  </si>
  <si>
    <t>TK61426</t>
  </si>
  <si>
    <t>TK62193</t>
  </si>
  <si>
    <t>TK62695</t>
  </si>
  <si>
    <t>TK61450</t>
  </si>
  <si>
    <t>TK63872</t>
  </si>
  <si>
    <t>TK60023</t>
  </si>
  <si>
    <t>TK61083</t>
  </si>
  <si>
    <t>TK62672</t>
  </si>
  <si>
    <t>TK63799</t>
  </si>
  <si>
    <t>TK62737</t>
  </si>
  <si>
    <t>TK61122</t>
  </si>
  <si>
    <t>TK62177</t>
  </si>
  <si>
    <t>TK62197</t>
  </si>
  <si>
    <t>TK62428</t>
  </si>
  <si>
    <t>TK61386</t>
  </si>
  <si>
    <t>TK60703</t>
  </si>
  <si>
    <t>TK63229</t>
  </si>
  <si>
    <t>TK60796</t>
  </si>
  <si>
    <t>TK63976</t>
  </si>
  <si>
    <t>TK61956</t>
  </si>
  <si>
    <t>TK61231</t>
  </si>
  <si>
    <t>TK61305</t>
  </si>
  <si>
    <t>TK62882</t>
  </si>
  <si>
    <t>TK62188</t>
  </si>
  <si>
    <t>TK60164</t>
  </si>
  <si>
    <t>TK62258</t>
  </si>
  <si>
    <t>TK63434</t>
  </si>
  <si>
    <t>TK60745</t>
  </si>
  <si>
    <t>TK62790</t>
  </si>
  <si>
    <t>TK62450</t>
  </si>
  <si>
    <t>TK62718</t>
  </si>
  <si>
    <t>TK60398</t>
  </si>
  <si>
    <t>TK60255</t>
  </si>
  <si>
    <t>TK63436</t>
  </si>
  <si>
    <t>TK63208</t>
  </si>
  <si>
    <t>TK62753</t>
  </si>
  <si>
    <t>TK62860</t>
  </si>
  <si>
    <t>TK62661</t>
  </si>
  <si>
    <t>TK61645</t>
  </si>
  <si>
    <t>TK61330</t>
  </si>
  <si>
    <t>TK61531</t>
  </si>
  <si>
    <t>TK62274</t>
  </si>
  <si>
    <t>TK60132</t>
  </si>
  <si>
    <t>TK60636</t>
  </si>
  <si>
    <t>TK60898</t>
  </si>
  <si>
    <t>TK60391</t>
  </si>
  <si>
    <t>TK62102</t>
  </si>
  <si>
    <t>TK63901</t>
  </si>
  <si>
    <t>TK61323</t>
  </si>
  <si>
    <t>TK63717</t>
  </si>
  <si>
    <t>TK62184</t>
  </si>
  <si>
    <t>TK61142</t>
  </si>
  <si>
    <t>TK62296</t>
  </si>
  <si>
    <t>TK63254</t>
  </si>
  <si>
    <t>TK60002</t>
  </si>
  <si>
    <t>TK60648</t>
  </si>
  <si>
    <t>TK61900</t>
  </si>
  <si>
    <t>TK62236</t>
  </si>
  <si>
    <t>TK63096</t>
  </si>
  <si>
    <t>TK60335</t>
  </si>
  <si>
    <t>TK60098</t>
  </si>
  <si>
    <t>TK62867</t>
  </si>
  <si>
    <t>TK60764</t>
  </si>
  <si>
    <t>TK63328</t>
  </si>
  <si>
    <t>TK62422</t>
  </si>
  <si>
    <t>TK62976</t>
  </si>
  <si>
    <t>TK61518</t>
  </si>
  <si>
    <t>TK62768</t>
  </si>
  <si>
    <t>TK60593</t>
  </si>
  <si>
    <t>TK62035</t>
  </si>
  <si>
    <t>TK63157</t>
  </si>
  <si>
    <t>TK62822</t>
  </si>
  <si>
    <t>TK60279</t>
  </si>
  <si>
    <t>TK60141</t>
  </si>
  <si>
    <t>TK62006</t>
  </si>
  <si>
    <t>TK62992</t>
  </si>
  <si>
    <t>TK62353</t>
  </si>
  <si>
    <t>TK62082</t>
  </si>
  <si>
    <t>TK61156</t>
  </si>
  <si>
    <t>TK61629</t>
  </si>
  <si>
    <t>TK60377</t>
  </si>
  <si>
    <t>TK61462</t>
  </si>
  <si>
    <t>TK63155</t>
  </si>
  <si>
    <t>TK61446</t>
  </si>
  <si>
    <t>TK61571</t>
  </si>
  <si>
    <t>TK60997</t>
  </si>
  <si>
    <t>TK63416</t>
  </si>
  <si>
    <t>TK60194</t>
  </si>
  <si>
    <t>TK63141</t>
  </si>
  <si>
    <t>TK61093</t>
  </si>
  <si>
    <t>TK61377</t>
  </si>
  <si>
    <t>TK60645</t>
  </si>
  <si>
    <t>TK62408</t>
  </si>
  <si>
    <t>TK63518</t>
  </si>
  <si>
    <t>TK63427</t>
  </si>
  <si>
    <t>TK63178</t>
  </si>
  <si>
    <t>TK62837</t>
  </si>
  <si>
    <t>TK62930</t>
  </si>
  <si>
    <t>TK62040</t>
  </si>
  <si>
    <t>TK62253</t>
  </si>
  <si>
    <t>TK63310</t>
  </si>
  <si>
    <t>TK62633</t>
  </si>
  <si>
    <t>TK63306</t>
  </si>
  <si>
    <t>TK60055</t>
  </si>
  <si>
    <t>TK63570</t>
  </si>
  <si>
    <t>TK63810</t>
  </si>
  <si>
    <t>TK60320</t>
  </si>
  <si>
    <t>TK60661</t>
  </si>
  <si>
    <t>TK61953</t>
  </si>
  <si>
    <t>TK62394</t>
  </si>
  <si>
    <t>TK60714</t>
  </si>
  <si>
    <t>TK63771</t>
  </si>
  <si>
    <t>TK62911</t>
  </si>
  <si>
    <t>TK60724</t>
  </si>
  <si>
    <t>TK60116</t>
  </si>
  <si>
    <t>TK63215</t>
  </si>
  <si>
    <t>TK63127</t>
  </si>
  <si>
    <t>TK62020</t>
  </si>
  <si>
    <t>TK60592</t>
  </si>
  <si>
    <t>TK61109</t>
  </si>
  <si>
    <t>TK63707</t>
  </si>
  <si>
    <t>TK62313</t>
  </si>
  <si>
    <t>TK61856</t>
  </si>
  <si>
    <t>TK62514</t>
  </si>
  <si>
    <t>TK61346</t>
  </si>
  <si>
    <t>TK61310</t>
  </si>
  <si>
    <t>TK62529</t>
  </si>
  <si>
    <t>TK60034</t>
  </si>
  <si>
    <t>TK61411</t>
  </si>
  <si>
    <t>TK61058</t>
  </si>
  <si>
    <t>TK61475</t>
  </si>
  <si>
    <t>TK63618</t>
  </si>
  <si>
    <t>TK62668</t>
  </si>
  <si>
    <t>TK63828</t>
  </si>
  <si>
    <t>TK62607</t>
  </si>
  <si>
    <t>TK61162</t>
  </si>
  <si>
    <t>TK61913</t>
  </si>
  <si>
    <t>TK63632</t>
  </si>
  <si>
    <t>TK63881</t>
  </si>
  <si>
    <t>TK61509</t>
  </si>
  <si>
    <t>TK62704</t>
  </si>
  <si>
    <t>TK63334</t>
  </si>
  <si>
    <t>TK63409</t>
  </si>
  <si>
    <t>TK62480</t>
  </si>
  <si>
    <t>TK61174</t>
  </si>
  <si>
    <t>TK60746</t>
  </si>
  <si>
    <t>TK63325</t>
  </si>
  <si>
    <t>TK62444</t>
  </si>
  <si>
    <t>TK60247</t>
  </si>
  <si>
    <t>TK62675</t>
  </si>
  <si>
    <t>TK62107</t>
  </si>
  <si>
    <t>TK62863</t>
  </si>
  <si>
    <t>TK62686</t>
  </si>
  <si>
    <t>TK60608</t>
  </si>
  <si>
    <t>TK61782</t>
  </si>
  <si>
    <t>TK61449</t>
  </si>
  <si>
    <t>TK61463</t>
  </si>
  <si>
    <t>TK62304</t>
  </si>
  <si>
    <t>TK61901</t>
  </si>
  <si>
    <t>TK62781</t>
  </si>
  <si>
    <t>TK61459</t>
  </si>
  <si>
    <t>TK61741</t>
  </si>
  <si>
    <t>TK60527</t>
  </si>
  <si>
    <t>TK60620</t>
  </si>
  <si>
    <t>TK62832</t>
  </si>
  <si>
    <t>TK61863</t>
  </si>
  <si>
    <t>TK61466</t>
  </si>
  <si>
    <t>TK62936</t>
  </si>
  <si>
    <t>TK63052</t>
  </si>
  <si>
    <t>TK60522</t>
  </si>
  <si>
    <t>TK61194</t>
  </si>
  <si>
    <t>TK60944</t>
  </si>
  <si>
    <t>TK61393</t>
  </si>
  <si>
    <t>TK63083</t>
  </si>
  <si>
    <t>TK61608</t>
  </si>
  <si>
    <t>TK61228</t>
  </si>
  <si>
    <t>TK63648</t>
  </si>
  <si>
    <t>TK60613</t>
  </si>
  <si>
    <t>TK61882</t>
  </si>
  <si>
    <t>TK60270</t>
  </si>
  <si>
    <t>TK62812</t>
  </si>
  <si>
    <t>TK61020</t>
  </si>
  <si>
    <t>TK61049</t>
  </si>
  <si>
    <t>TK62744</t>
  </si>
  <si>
    <t>TK62801</t>
  </si>
  <si>
    <t>TK60160</t>
  </si>
  <si>
    <t>TK63383</t>
  </si>
  <si>
    <t>TK63692</t>
  </si>
  <si>
    <t>TK60512</t>
  </si>
  <si>
    <t>TK62855</t>
  </si>
  <si>
    <t>TK63679</t>
  </si>
  <si>
    <t>TK60296</t>
  </si>
  <si>
    <t>TK63964</t>
  </si>
  <si>
    <t>TK61480</t>
  </si>
  <si>
    <t>TK62728</t>
  </si>
  <si>
    <t>TK61076</t>
  </si>
  <si>
    <t>TK62338</t>
  </si>
  <si>
    <t>TK62334</t>
  </si>
  <si>
    <t>TK60954</t>
  </si>
  <si>
    <t>TK61267</t>
  </si>
  <si>
    <t>TK60913</t>
  </si>
  <si>
    <t>TK63076</t>
  </si>
  <si>
    <t>TK61644</t>
  </si>
  <si>
    <t>TK62061</t>
  </si>
  <si>
    <t>TK61328</t>
  </si>
  <si>
    <t>TK60505</t>
  </si>
  <si>
    <t>TK62123</t>
  </si>
  <si>
    <t>TK63330</t>
  </si>
  <si>
    <t>TK62657</t>
  </si>
  <si>
    <t>TK62895</t>
  </si>
  <si>
    <t>TK63708</t>
  </si>
  <si>
    <t>TK62842</t>
  </si>
  <si>
    <t>TK61065</t>
  </si>
  <si>
    <t>TK62771</t>
  </si>
  <si>
    <t>TK62225</t>
  </si>
  <si>
    <t>TK60693</t>
  </si>
  <si>
    <t>TK62290</t>
  </si>
  <si>
    <t>TK62912</t>
  </si>
  <si>
    <t>TK63380</t>
  </si>
  <si>
    <t>TK62486</t>
  </si>
  <si>
    <t>TK63611</t>
  </si>
  <si>
    <t>TK63043</t>
  </si>
  <si>
    <t>TK62838</t>
  </si>
  <si>
    <t>TK63151</t>
  </si>
  <si>
    <t>TK63880</t>
  </si>
  <si>
    <t>TK60843</t>
  </si>
  <si>
    <t>TK60697</t>
  </si>
  <si>
    <t>TK61566</t>
  </si>
  <si>
    <t>TK61671</t>
  </si>
  <si>
    <t>TK62157</t>
  </si>
  <si>
    <t>TK61862</t>
  </si>
  <si>
    <t>TK62071</t>
  </si>
  <si>
    <t>TK61768</t>
  </si>
  <si>
    <t>TK60662</t>
  </si>
  <si>
    <t>TK60420</t>
  </si>
  <si>
    <t>TK63472</t>
  </si>
  <si>
    <t>TK60215</t>
  </si>
  <si>
    <t>TK60349</t>
  </si>
  <si>
    <t>TK63399</t>
  </si>
  <si>
    <t>TK63355</t>
  </si>
  <si>
    <t>TK63180</t>
  </si>
  <si>
    <t>TK62778</t>
  </si>
  <si>
    <t>TK61468</t>
  </si>
  <si>
    <t>TK60424</t>
  </si>
  <si>
    <t>TK62152</t>
  </si>
  <si>
    <t>TK62982</t>
  </si>
  <si>
    <t>TK61299</t>
  </si>
  <si>
    <t>TK61960</t>
  </si>
  <si>
    <t>TK62853</t>
  </si>
  <si>
    <t>TK62589</t>
  </si>
  <si>
    <t>TK60443</t>
  </si>
  <si>
    <t>TK60092</t>
  </si>
  <si>
    <t>TK60574</t>
  </si>
  <si>
    <t>TK63169</t>
  </si>
  <si>
    <t>TK60254</t>
  </si>
  <si>
    <t>TK61396</t>
  </si>
  <si>
    <t>TK61740</t>
  </si>
  <si>
    <t>TK62244</t>
  </si>
  <si>
    <t>TK62248</t>
  </si>
  <si>
    <t>TK61111</t>
  </si>
  <si>
    <t>TK60921</t>
  </si>
  <si>
    <t>TK63511</t>
  </si>
  <si>
    <t>TK63565</t>
  </si>
  <si>
    <t>TK63447</t>
  </si>
  <si>
    <t>TK62519</t>
  </si>
  <si>
    <t>TK63332</t>
  </si>
  <si>
    <t>TK63868</t>
  </si>
  <si>
    <t>TK61420</t>
  </si>
  <si>
    <t>TK62427</t>
  </si>
  <si>
    <t>TK62669</t>
  </si>
  <si>
    <t>TK60371</t>
  </si>
  <si>
    <t>TK62155</t>
  </si>
  <si>
    <t>TK60036</t>
  </si>
  <si>
    <t>TK63666</t>
  </si>
  <si>
    <t>TK61764</t>
  </si>
  <si>
    <t>TK60216</t>
  </si>
  <si>
    <t>TK63089</t>
  </si>
  <si>
    <t>TK60188</t>
  </si>
  <si>
    <t>TK63520</t>
  </si>
  <si>
    <t>TK63760</t>
  </si>
  <si>
    <t>TK63309</t>
  </si>
  <si>
    <t>TK62864</t>
  </si>
  <si>
    <t>TK62396</t>
  </si>
  <si>
    <t>TK62620</t>
  </si>
  <si>
    <t>TK63789</t>
  </si>
  <si>
    <t>TK63823</t>
  </si>
  <si>
    <t>TK61353</t>
  </si>
  <si>
    <t>TK63792</t>
  </si>
  <si>
    <t>TK62568</t>
  </si>
  <si>
    <t>TK61262</t>
  </si>
  <si>
    <t>TK62876</t>
  </si>
  <si>
    <t>TK60567</t>
  </si>
  <si>
    <t>TK63893</t>
  </si>
  <si>
    <t>TK60460</t>
  </si>
  <si>
    <t>TK63051</t>
  </si>
  <si>
    <t>TK60759</t>
  </si>
  <si>
    <t>TK63275</t>
  </si>
  <si>
    <t>TK62223</t>
  </si>
  <si>
    <t>TK63663</t>
  </si>
  <si>
    <t>TK60250</t>
  </si>
  <si>
    <t>TK63702</t>
  </si>
  <si>
    <t>TK62546</t>
  </si>
  <si>
    <t>TK63637</t>
  </si>
  <si>
    <t>TK61229</t>
  </si>
  <si>
    <t>TK60859</t>
  </si>
  <si>
    <t>TK60744</t>
  </si>
  <si>
    <t>TK60731</t>
  </si>
  <si>
    <t>TK62445</t>
  </si>
  <si>
    <t>TK63090</t>
  </si>
  <si>
    <t>TK62516</t>
  </si>
  <si>
    <t>TK63192</t>
  </si>
  <si>
    <t>TK60595</t>
  </si>
  <si>
    <t>TK63852</t>
  </si>
  <si>
    <t>TK60326</t>
  </si>
  <si>
    <t>TK62207</t>
  </si>
  <si>
    <t>TK63276</t>
  </si>
  <si>
    <t>TK60928</t>
  </si>
  <si>
    <t>TK61705</t>
  </si>
  <si>
    <t>TK62194</t>
  </si>
  <si>
    <t>TK60060</t>
  </si>
  <si>
    <t>TK61596</t>
  </si>
  <si>
    <t>TK60287</t>
  </si>
  <si>
    <t>TK60856</t>
  </si>
  <si>
    <t>TK63122</t>
  </si>
  <si>
    <t>TK63473</t>
  </si>
  <si>
    <t>TK60933</t>
  </si>
  <si>
    <t>TK61873</t>
  </si>
  <si>
    <t>TK63267</t>
  </si>
  <si>
    <t>TK61165</t>
  </si>
  <si>
    <t>TK62230</t>
  </si>
  <si>
    <t>TK62634</t>
  </si>
  <si>
    <t>TK61693</t>
  </si>
  <si>
    <t>TK62926</t>
  </si>
  <si>
    <t>TK62688</t>
  </si>
  <si>
    <t>TK63442</t>
  </si>
  <si>
    <t>TK60677</t>
  </si>
  <si>
    <t>TK60874</t>
  </si>
  <si>
    <t>TK62405</t>
  </si>
  <si>
    <t>TK60248</t>
  </si>
  <si>
    <t>TK60405</t>
  </si>
  <si>
    <t>TK61632</t>
  </si>
  <si>
    <t>TK62643</t>
  </si>
  <si>
    <t>TK60501</t>
  </si>
  <si>
    <t>TK61729</t>
  </si>
  <si>
    <t>TK60453</t>
  </si>
  <si>
    <t>TK60139</t>
  </si>
  <si>
    <t>TK61324</t>
  </si>
  <si>
    <t>TK62214</t>
  </si>
  <si>
    <t>TK63905</t>
  </si>
  <si>
    <t>TK61640</t>
  </si>
  <si>
    <t>TK63533</t>
  </si>
  <si>
    <t>TK63522</t>
  </si>
  <si>
    <t>TK60798</t>
  </si>
  <si>
    <t>TK61967</t>
  </si>
  <si>
    <t>TK62880</t>
  </si>
  <si>
    <t>TK62023</t>
  </si>
  <si>
    <t>TK62508</t>
  </si>
  <si>
    <t>TK60488</t>
  </si>
  <si>
    <t>TK62292</t>
  </si>
  <si>
    <t>TK61445</t>
  </si>
  <si>
    <t>TK61254</t>
  </si>
  <si>
    <t>TK61338</t>
  </si>
  <si>
    <t>TK63250</t>
  </si>
  <si>
    <t>TK61558</t>
  </si>
  <si>
    <t>TK60171</t>
  </si>
  <si>
    <t>TK61070</t>
  </si>
  <si>
    <t>TK62684</t>
  </si>
  <si>
    <t>TK62601</t>
  </si>
  <si>
    <t>TK61872</t>
  </si>
  <si>
    <t>TK62261</t>
  </si>
  <si>
    <t>TK62977</t>
  </si>
  <si>
    <t>TK62689</t>
  </si>
  <si>
    <t>TK62553</t>
  </si>
  <si>
    <t>TK61619</t>
  </si>
  <si>
    <t>TK63906</t>
  </si>
  <si>
    <t>TK61495</t>
  </si>
  <si>
    <t>TK63695</t>
  </si>
  <si>
    <t>TK61750</t>
  </si>
  <si>
    <t>TK63170</t>
  </si>
  <si>
    <t>TK61425</t>
  </si>
  <si>
    <t>TK62446</t>
  </si>
  <si>
    <t>TK61072</t>
  </si>
  <si>
    <t>TK62834</t>
  </si>
  <si>
    <t>TK61807</t>
  </si>
  <si>
    <t>TK63728</t>
  </si>
  <si>
    <t>TK60179</t>
  </si>
  <si>
    <t>TK63621</t>
  </si>
  <si>
    <t>TK61312</t>
  </si>
  <si>
    <t>TK60114</t>
  </si>
  <si>
    <t>TK62116</t>
  </si>
  <si>
    <t>TK60458</t>
  </si>
  <si>
    <t>TK63995</t>
  </si>
  <si>
    <t>TK61499</t>
  </si>
  <si>
    <t>TK60747</t>
  </si>
  <si>
    <t>TK61806</t>
  </si>
  <si>
    <t>TK60468</t>
  </si>
  <si>
    <t>TK62180</t>
  </si>
  <si>
    <t>TK60994</t>
  </si>
  <si>
    <t>TK62638</t>
  </si>
  <si>
    <t>TK60128</t>
  </si>
  <si>
    <t>TK62457</t>
  </si>
  <si>
    <t>TK61890</t>
  </si>
  <si>
    <t>TK63796</t>
  </si>
  <si>
    <t>TK63004</t>
  </si>
  <si>
    <t>TK60695</t>
  </si>
  <si>
    <t>TK63329</t>
  </si>
  <si>
    <t>TK63319</t>
  </si>
  <si>
    <t>TK63144</t>
  </si>
  <si>
    <t>TK61293</t>
  </si>
  <si>
    <t>TK62240</t>
  </si>
  <si>
    <t>TK61532</t>
  </si>
  <si>
    <t>TK63741</t>
  </si>
  <si>
    <t>TK61711</t>
  </si>
  <si>
    <t>TK63614</t>
  </si>
  <si>
    <t>TK63654</t>
  </si>
  <si>
    <t>TK63634</t>
  </si>
  <si>
    <t>TK60469</t>
  </si>
  <si>
    <t>TK62625</t>
  </si>
  <si>
    <t>TK61575</t>
  </si>
  <si>
    <t>TK62656</t>
  </si>
  <si>
    <t>TK61624</t>
  </si>
  <si>
    <t>TK63610</t>
  </si>
  <si>
    <t>TK63017</t>
  </si>
  <si>
    <t>TK60936</t>
  </si>
  <si>
    <t>TK60831</t>
  </si>
  <si>
    <t>TK63620</t>
  </si>
  <si>
    <t>TK63142</t>
  </si>
  <si>
    <t>TK60457</t>
  </si>
  <si>
    <t>TK62960</t>
  </si>
  <si>
    <t>TK63557</t>
  </si>
  <si>
    <t>TK60685</t>
  </si>
  <si>
    <t>TK63966</t>
  </si>
  <si>
    <t>TK61582</t>
  </si>
  <si>
    <t>TK63837</t>
  </si>
  <si>
    <t>TK63456</t>
  </si>
  <si>
    <t>TK63733</t>
  </si>
  <si>
    <t>TK62196</t>
  </si>
  <si>
    <t>TK62566</t>
  </si>
  <si>
    <t>TK63981</t>
  </si>
  <si>
    <t>TK60465</t>
  </si>
  <si>
    <t>TK63584</t>
  </si>
  <si>
    <t>TK62858</t>
  </si>
  <si>
    <t>TK60368</t>
  </si>
  <si>
    <t>TK62805</t>
  </si>
  <si>
    <t>TK60761</t>
  </si>
  <si>
    <t>TK60903</t>
  </si>
  <si>
    <t>TK61544</t>
  </si>
  <si>
    <t>TK60964</t>
  </si>
  <si>
    <t>TK62972</t>
  </si>
  <si>
    <t>TK60159</t>
  </si>
  <si>
    <t>TK60408</t>
  </si>
  <si>
    <t>TK60105</t>
  </si>
  <si>
    <t>TK61528</t>
  </si>
  <si>
    <t>TK63417</t>
  </si>
  <si>
    <t>TK62655</t>
  </si>
  <si>
    <t>TK61053</t>
  </si>
  <si>
    <t>TK61793</t>
  </si>
  <si>
    <t>TK63619</t>
  </si>
  <si>
    <t>TK63496</t>
  </si>
  <si>
    <t>TK60822</t>
  </si>
  <si>
    <t>TK60030</t>
  </si>
  <si>
    <t>TK60788</t>
  </si>
  <si>
    <t>TK63554</t>
  </si>
  <si>
    <t>TK60540</t>
  </si>
  <si>
    <t>TK63640</t>
  </si>
  <si>
    <t>TK62610</t>
  </si>
  <si>
    <t>TK62081</t>
  </si>
  <si>
    <t>TK61742</t>
  </si>
  <si>
    <t>TK62933</t>
  </si>
  <si>
    <t>TK61767</t>
  </si>
  <si>
    <t>TK61372</t>
  </si>
  <si>
    <t>TK63257</t>
  </si>
  <si>
    <t>TK62510</t>
  </si>
  <si>
    <t>TK61962</t>
  </si>
  <si>
    <t>TK61613</t>
  </si>
  <si>
    <t>TK60664</t>
  </si>
  <si>
    <t>TK60299</t>
  </si>
  <si>
    <t>TK60558</t>
  </si>
  <si>
    <t>TK60600</t>
  </si>
  <si>
    <t>TK60735</t>
  </si>
  <si>
    <t>TK60091</t>
  </si>
  <si>
    <t>TK63206</t>
  </si>
  <si>
    <t>TK60663</t>
  </si>
  <si>
    <t>TK61616</t>
  </si>
  <si>
    <t>TK62841</t>
  </si>
  <si>
    <t>TK63032</t>
  </si>
  <si>
    <t>TK60107</t>
  </si>
  <si>
    <t>TK63423</t>
  </si>
  <si>
    <t>TK63314</t>
  </si>
  <si>
    <t>TK61151</t>
  </si>
  <si>
    <t>TK62741</t>
  </si>
  <si>
    <t>TK60952</t>
  </si>
  <si>
    <t>TK61918</t>
  </si>
  <si>
    <t>TK61009</t>
  </si>
  <si>
    <t>TK61620</t>
  </si>
  <si>
    <t>TK61594</t>
  </si>
  <si>
    <t>TK63656</t>
  </si>
  <si>
    <t>TK60403</t>
  </si>
  <si>
    <t>TK61131</t>
  </si>
  <si>
    <t>TK60067</t>
  </si>
  <si>
    <t>TK62712</t>
  </si>
  <si>
    <t>TK63737</t>
  </si>
  <si>
    <t>TK60017</t>
  </si>
  <si>
    <t>TK61659</t>
  </si>
  <si>
    <t>TK61866</t>
  </si>
  <si>
    <t>TK62857</t>
  </si>
  <si>
    <t>TK62360</t>
  </si>
  <si>
    <t>TK63955</t>
  </si>
  <si>
    <t>TK63466</t>
  </si>
  <si>
    <t>TK60955</t>
  </si>
  <si>
    <t>TK62364</t>
  </si>
  <si>
    <t>TK63567</t>
  </si>
  <si>
    <t>TK63521</t>
  </si>
  <si>
    <t>TK60392</t>
  </si>
  <si>
    <t>TK61204</t>
  </si>
  <si>
    <t>TK61061</t>
  </si>
  <si>
    <t>TK60074</t>
  </si>
  <si>
    <t>TK61317</t>
  </si>
  <si>
    <t>TK61924</t>
  </si>
  <si>
    <t>TK61115</t>
  </si>
  <si>
    <t>TK60011</t>
  </si>
  <si>
    <t>TK63861</t>
  </si>
  <si>
    <t>TK60979</t>
  </si>
  <si>
    <t>TK60950</t>
  </si>
  <si>
    <t>TK62630</t>
  </si>
  <si>
    <t>TK63668</t>
  </si>
  <si>
    <t>TK60651</t>
  </si>
  <si>
    <t>TK62191</t>
  </si>
  <si>
    <t>TK63124</t>
  </si>
  <si>
    <t>TK62996</t>
  </si>
  <si>
    <t>TK61244</t>
  </si>
  <si>
    <t>TK63975</t>
  </si>
  <si>
    <t>TK62373</t>
  </si>
  <si>
    <t>TK62592</t>
  </si>
  <si>
    <t>TK60948</t>
  </si>
  <si>
    <t>TK63453</t>
  </si>
  <si>
    <t>TK61601</t>
  </si>
  <si>
    <t>TK62072</t>
  </si>
  <si>
    <t>TK60970</t>
  </si>
  <si>
    <t>TK63996</t>
  </si>
  <si>
    <t>TK63877</t>
  </si>
  <si>
    <t>TK60387</t>
  </si>
  <si>
    <t>TK60467</t>
  </si>
  <si>
    <t>TK60869</t>
  </si>
  <si>
    <t>TK60692</t>
  </si>
  <si>
    <t>TK61651</t>
  </si>
  <si>
    <t>TK61322</t>
  </si>
  <si>
    <t>TK61203</t>
  </si>
  <si>
    <t>TK61410</t>
  </si>
  <si>
    <t>TK61926</t>
  </si>
  <si>
    <t>TK60438</t>
  </si>
  <si>
    <t>TK61236</t>
  </si>
  <si>
    <t>TK61245</t>
  </si>
  <si>
    <t>TK62828</t>
  </si>
  <si>
    <t>TK63130</t>
  </si>
  <si>
    <t>TK62542</t>
  </si>
  <si>
    <t>TK61311</t>
  </si>
  <si>
    <t>TK63686</t>
  </si>
  <si>
    <t>TK61921</t>
  </si>
  <si>
    <t>TK60227</t>
  </si>
  <si>
    <t>TK62599</t>
  </si>
  <si>
    <t>TK62305</t>
  </si>
  <si>
    <t>TK60310</t>
  </si>
  <si>
    <t>TK62819</t>
  </si>
  <si>
    <t>TK62183</t>
  </si>
  <si>
    <t>TK61724</t>
  </si>
  <si>
    <t>TK60127</t>
  </si>
  <si>
    <t>TK63732</t>
  </si>
  <si>
    <t>TK62618</t>
  </si>
  <si>
    <t>TK63282</t>
  </si>
  <si>
    <t>TK62994</t>
  </si>
  <si>
    <t>TK60239</t>
  </si>
  <si>
    <t>TK62383</t>
  </si>
  <si>
    <t>TK62456</t>
  </si>
  <si>
    <t>TK62075</t>
  </si>
  <si>
    <t>TK62485</t>
  </si>
  <si>
    <t>TK61433</t>
  </si>
  <si>
    <t>TK60502</t>
  </si>
  <si>
    <t>TK63659</t>
  </si>
  <si>
    <t>TK60466</t>
  </si>
  <si>
    <t>TK61512</t>
  </si>
  <si>
    <t>TK60446</t>
  </si>
  <si>
    <t>TK63064</t>
  </si>
  <si>
    <t>TK61037</t>
  </si>
  <si>
    <t>TK61494</t>
  </si>
  <si>
    <t>TK62869</t>
  </si>
  <si>
    <t>TK61422</t>
  </si>
  <si>
    <t>TK63097</t>
  </si>
  <si>
    <t>TK61966</t>
  </si>
  <si>
    <t>TK63471</t>
  </si>
  <si>
    <t>TK63291</t>
  </si>
  <si>
    <t>TK63689</t>
  </si>
  <si>
    <t>TK61155</t>
  </si>
  <si>
    <t>TK63541</t>
  </si>
  <si>
    <t>TK63738</t>
  </si>
  <si>
    <t>TK60929</t>
  </si>
  <si>
    <t>TK62535</t>
  </si>
  <si>
    <t>TK62500</t>
  </si>
  <si>
    <t>TK61669</t>
  </si>
  <si>
    <t>TK62575</t>
  </si>
  <si>
    <t>TK61765</t>
  </si>
  <si>
    <t>TK62064</t>
  </si>
  <si>
    <t>TK60094</t>
  </si>
  <si>
    <t>TK61145</t>
  </si>
  <si>
    <t>TK61743</t>
  </si>
  <si>
    <t>TK60085</t>
  </si>
  <si>
    <t>TK63113</t>
  </si>
  <si>
    <t>TK62628</t>
  </si>
  <si>
    <t>TK62310</t>
  </si>
  <si>
    <t>TK63968</t>
  </si>
  <si>
    <t>TK60535</t>
  </si>
  <si>
    <t>TK62099</t>
  </si>
  <si>
    <t>TK62298</t>
  </si>
  <si>
    <t>TK63285</t>
  </si>
  <si>
    <t>TK63437</t>
  </si>
  <si>
    <t>TK60799</t>
  </si>
  <si>
    <t>TK61553</t>
  </si>
  <si>
    <t>TK60760</t>
  </si>
  <si>
    <t>TK60306</t>
  </si>
  <si>
    <t>TK61660</t>
  </si>
  <si>
    <t>TK63193</t>
  </si>
  <si>
    <t>TK63782</t>
  </si>
  <si>
    <t>TK60879</t>
  </si>
  <si>
    <t>TK62149</t>
  </si>
  <si>
    <t>TK62198</t>
  </si>
  <si>
    <t>TK60032</t>
  </si>
  <si>
    <t>TK61412</t>
  </si>
  <si>
    <t>TK61944</t>
  </si>
  <si>
    <t>TK61916</t>
  </si>
  <si>
    <t>TK62142</t>
  </si>
  <si>
    <t>TK60245</t>
  </si>
  <si>
    <t>TK63681</t>
  </si>
  <si>
    <t>TK60918</t>
  </si>
  <si>
    <t>TK60148</t>
  </si>
  <si>
    <t>TK62092</t>
  </si>
  <si>
    <t>TK60883</t>
  </si>
  <si>
    <t>TK62203</t>
  </si>
  <si>
    <t>TK61260</t>
  </si>
  <si>
    <t>TK62511</t>
  </si>
  <si>
    <t>TK62085</t>
  </si>
  <si>
    <t>TK61692</t>
  </si>
  <si>
    <t>TK61850</t>
  </si>
  <si>
    <t>TK60323</t>
  </si>
  <si>
    <t>TK61521</t>
  </si>
  <si>
    <t>TK62286</t>
  </si>
  <si>
    <t>TK62647</t>
  </si>
  <si>
    <t>TK60493</t>
  </si>
  <si>
    <t>TK63128</t>
  </si>
  <si>
    <t>TK63041</t>
  </si>
  <si>
    <t>TK63795</t>
  </si>
  <si>
    <t>TK62654</t>
  </si>
  <si>
    <t>TK62922</t>
  </si>
  <si>
    <t>TK62357</t>
  </si>
  <si>
    <t>TK61833</t>
  </si>
  <si>
    <t>TK60318</t>
  </si>
  <si>
    <t>TK62507</t>
  </si>
  <si>
    <t>TK63698</t>
  </si>
  <si>
    <t>TK63664</t>
  </si>
  <si>
    <t>TK61394</t>
  </si>
  <si>
    <t>TK60962</t>
  </si>
  <si>
    <t>TK62606</t>
  </si>
  <si>
    <t>TK63697</t>
  </si>
  <si>
    <t>TK61078</t>
  </si>
  <si>
    <t>TK63754</t>
  </si>
  <si>
    <t>TK63038</t>
  </si>
  <si>
    <t>TK60315</t>
  </si>
  <si>
    <t>TK61140</t>
  </si>
  <si>
    <t>TK62088</t>
  </si>
  <si>
    <t>TK60491</t>
  </si>
  <si>
    <t>TK60569</t>
  </si>
  <si>
    <t>TK63675</t>
  </si>
  <si>
    <t>TK61209</t>
  </si>
  <si>
    <t>TK62043</t>
  </si>
  <si>
    <t>TK61556</t>
  </si>
  <si>
    <t>TK60809</t>
  </si>
  <si>
    <t>TK62851</t>
  </si>
  <si>
    <t>TK62210</t>
  </si>
  <si>
    <t>TK60723</t>
  </si>
  <si>
    <t>TK61452</t>
  </si>
  <si>
    <t>TK61456</t>
  </si>
  <si>
    <t>TK60390</t>
  </si>
  <si>
    <t>TK62073</t>
  </si>
  <si>
    <t>TK63074</t>
  </si>
  <si>
    <t>TK60013</t>
  </si>
  <si>
    <t>TK60906</t>
  </si>
  <si>
    <t>TK63684</t>
  </si>
  <si>
    <t>TK63228</t>
  </si>
  <si>
    <t>TK62007</t>
  </si>
  <si>
    <t>TK62185</t>
  </si>
  <si>
    <t>TK62742</t>
  </si>
  <si>
    <t>TK60858</t>
  </si>
  <si>
    <t>TK60977</t>
  </si>
  <si>
    <t>TK63308</t>
  </si>
  <si>
    <t>TK62942</t>
  </si>
  <si>
    <t>TK60332</t>
  </si>
  <si>
    <t>TK62211</t>
  </si>
  <si>
    <t>TK62354</t>
  </si>
  <si>
    <t>TK61507</t>
  </si>
  <si>
    <t>TK61980</t>
  </si>
  <si>
    <t>TK62904</t>
  </si>
  <si>
    <t>TK60242</t>
  </si>
  <si>
    <t>TK62946</t>
  </si>
  <si>
    <t>TK60559</t>
  </si>
  <si>
    <t>TK60722</t>
  </si>
  <si>
    <t>TK60729</t>
  </si>
  <si>
    <t>TK61266</t>
  </si>
  <si>
    <t>TK60656</t>
  </si>
  <si>
    <t>TK61936</t>
  </si>
  <si>
    <t>TK61626</t>
  </si>
  <si>
    <t>TK63814</t>
  </si>
  <si>
    <t>TK63677</t>
  </si>
  <si>
    <t>TK62174</t>
  </si>
  <si>
    <t>TK61171</t>
  </si>
  <si>
    <t>TK61946</t>
  </si>
  <si>
    <t>TK61821</t>
  </si>
  <si>
    <t>TK60682</t>
  </si>
  <si>
    <t>TK62136</t>
  </si>
  <si>
    <t>TK60154</t>
  </si>
  <si>
    <t>TK62652</t>
  </si>
  <si>
    <t>TK63867</t>
  </si>
  <si>
    <t>TK63376</t>
  </si>
  <si>
    <t>TK61630</t>
  </si>
  <si>
    <t>TK63510</t>
  </si>
  <si>
    <t>TK62587</t>
  </si>
  <si>
    <t>TK61718</t>
  </si>
  <si>
    <t>TK61351</t>
  </si>
  <si>
    <t>TK61955</t>
  </si>
  <si>
    <t>TK61771</t>
  </si>
  <si>
    <t>TK63672</t>
  </si>
  <si>
    <t>TK61297</t>
  </si>
  <si>
    <t>TK61196</t>
  </si>
  <si>
    <t>TK62442</t>
  </si>
  <si>
    <t>TK63450</t>
  </si>
  <si>
    <t>TK60322</t>
  </si>
  <si>
    <t>TK60885</t>
  </si>
  <si>
    <t>TK60503</t>
  </si>
  <si>
    <t>TK63071</t>
  </si>
  <si>
    <t>TK62559</t>
  </si>
  <si>
    <t>TK60811</t>
  </si>
  <si>
    <t>TK62884</t>
  </si>
  <si>
    <t>TK61641</t>
  </si>
  <si>
    <t>TK62276</t>
  </si>
  <si>
    <t>TK63605</t>
  </si>
  <si>
    <t>TK60709</t>
  </si>
  <si>
    <t>TK63063</t>
  </si>
  <si>
    <t>TK60119</t>
  </si>
  <si>
    <t>TK62916</t>
  </si>
  <si>
    <t>TK63506</t>
  </si>
  <si>
    <t>TK62984</t>
  </si>
  <si>
    <t>TK60926</t>
  </si>
  <si>
    <t>TK61073</t>
  </si>
  <si>
    <t>TK60878</t>
  </si>
  <si>
    <t>TK63953</t>
  </si>
  <si>
    <t>TK60894</t>
  </si>
  <si>
    <t>TK62701</t>
  </si>
  <si>
    <t>TK63991</t>
  </si>
  <si>
    <t>TK62887</t>
  </si>
  <si>
    <t>TK62759</t>
  </si>
  <si>
    <t>TK62583</t>
  </si>
  <si>
    <t>TK60842</t>
  </si>
  <si>
    <t>TK60771</t>
  </si>
  <si>
    <t>TK63331</t>
  </si>
  <si>
    <t>TK60854</t>
  </si>
  <si>
    <t>TK60625</t>
  </si>
  <si>
    <t>TK60241</t>
  </si>
  <si>
    <t>TK61166</t>
  </si>
  <si>
    <t>TK61653</t>
  </si>
  <si>
    <t>TK60044</t>
  </si>
  <si>
    <t>TK60982</t>
  </si>
  <si>
    <t>TK62923</t>
  </si>
  <si>
    <t>TK61710</t>
  </si>
  <si>
    <t>TK60949</t>
  </si>
  <si>
    <t>TK62569</t>
  </si>
  <si>
    <t>TK61829</t>
  </si>
  <si>
    <t>TK62084</t>
  </si>
  <si>
    <t>TK61149</t>
  </si>
  <si>
    <t>TK63825</t>
  </si>
  <si>
    <t>TK63912</t>
  </si>
  <si>
    <t>TK60585</t>
  </si>
  <si>
    <t>TK63569</t>
  </si>
  <si>
    <t>TK62173</t>
  </si>
  <si>
    <t>TK60082</t>
  </si>
  <si>
    <t>TK62066</t>
  </si>
  <si>
    <t>TK60966</t>
  </si>
  <si>
    <t>TK62886</t>
  </si>
  <si>
    <t>TK63581</t>
  </si>
  <si>
    <t>TK61441</t>
  </si>
  <si>
    <t>TK62333</t>
  </si>
  <si>
    <t>TK61567</t>
  </si>
  <si>
    <t>TK61991</t>
  </si>
  <si>
    <t>TK62133</t>
  </si>
  <si>
    <t>TK61570</t>
  </si>
  <si>
    <t>TK62554</t>
  </si>
  <si>
    <t>TK63662</t>
  </si>
  <si>
    <t>TK61839</t>
  </si>
  <si>
    <t>TK61457</t>
  </si>
  <si>
    <t>TK61716</t>
  </si>
  <si>
    <t>TK60886</t>
  </si>
  <si>
    <t>TK62038</t>
  </si>
  <si>
    <t>TK61102</t>
  </si>
  <si>
    <t>TK60363</t>
  </si>
  <si>
    <t>TK61215</t>
  </si>
  <si>
    <t>TK61684</t>
  </si>
  <si>
    <t>TK63340</t>
  </si>
  <si>
    <t>TK63338</t>
  </si>
  <si>
    <t>TK62382</t>
  </si>
  <si>
    <t>TK63237</t>
  </si>
  <si>
    <t>TK62190</t>
  </si>
  <si>
    <t>TK63834</t>
  </si>
  <si>
    <t>TK62955</t>
  </si>
  <si>
    <t>TK60785</t>
  </si>
  <si>
    <t>TK61609</t>
  </si>
  <si>
    <t>TK62527</t>
  </si>
  <si>
    <t>TK61502</t>
  </si>
  <si>
    <t>TK62232</t>
  </si>
  <si>
    <t>TK62567</t>
  </si>
  <si>
    <t>TK62030</t>
  </si>
  <si>
    <t>TK60975</t>
  </si>
  <si>
    <t>TK61714</t>
  </si>
  <si>
    <t>TK62806</t>
  </si>
  <si>
    <t>TK63773</t>
  </si>
  <si>
    <t>TK61762</t>
  </si>
  <si>
    <t>TK60275</t>
  </si>
  <si>
    <t>TK61029</t>
  </si>
  <si>
    <t>TK63842</t>
  </si>
  <si>
    <t>TK63590</t>
  </si>
  <si>
    <t>TK60046</t>
  </si>
  <si>
    <t>TK63652</t>
  </si>
  <si>
    <t>TK61392</t>
  </si>
  <si>
    <t>TK63386</t>
  </si>
  <si>
    <t>TK62967</t>
  </si>
  <si>
    <t>TK63527</t>
  </si>
  <si>
    <t>TK63153</t>
  </si>
  <si>
    <t>TK62471</t>
  </si>
  <si>
    <t>TK62234</t>
  </si>
  <si>
    <t>TK61220</t>
  </si>
  <si>
    <t>TK60849</t>
  </si>
  <si>
    <t>TK63967</t>
  </si>
  <si>
    <t>TK60660</t>
  </si>
  <si>
    <t>TK60537</t>
  </si>
  <si>
    <t>TK62644</t>
  </si>
  <si>
    <t>TK60375</t>
  </si>
  <si>
    <t>TK63753</t>
  </si>
  <si>
    <t>TK61059</t>
  </si>
  <si>
    <t>TK63525</t>
  </si>
  <si>
    <t>TK61413</t>
  </si>
  <si>
    <t>TK63710</t>
  </si>
  <si>
    <t>TK63061</t>
  </si>
  <si>
    <t>TK62941</t>
  </si>
  <si>
    <t>TK60185</t>
  </si>
  <si>
    <t>TK61047</t>
  </si>
  <si>
    <t>TK60800</t>
  </si>
  <si>
    <t>TK61591</t>
  </si>
  <si>
    <t>TK62452</t>
  </si>
  <si>
    <t>TK60435</t>
  </si>
  <si>
    <t>TK62186</t>
  </si>
  <si>
    <t>TK61295</t>
  </si>
  <si>
    <t>TK61482</t>
  </si>
  <si>
    <t>TK63595</t>
  </si>
  <si>
    <t>TK60841</t>
  </si>
  <si>
    <t>TK61908</t>
  </si>
  <si>
    <t>TK62447</t>
  </si>
  <si>
    <t>TK63904</t>
  </si>
  <si>
    <t>TK61649</t>
  </si>
  <si>
    <t>TK60243</t>
  </si>
  <si>
    <t>TK62206</t>
  </si>
  <si>
    <t>TK62721</t>
  </si>
  <si>
    <t>TK61486</t>
  </si>
  <si>
    <t>TK62195</t>
  </si>
  <si>
    <t>TK61665</t>
  </si>
  <si>
    <t>TK60725</t>
  </si>
  <si>
    <t>TK61818</t>
  </si>
  <si>
    <t>TK60157</t>
  </si>
  <si>
    <t>TK63647</t>
  </si>
  <si>
    <t>TK61030</t>
  </si>
  <si>
    <t>TK61150</t>
  </si>
  <si>
    <t>TK60563</t>
  </si>
  <si>
    <t>TK62723</t>
  </si>
  <si>
    <t>TK61809</t>
  </si>
  <si>
    <t>TK60025</t>
  </si>
  <si>
    <t>TK60314</t>
  </si>
  <si>
    <t>TK62605</t>
  </si>
  <si>
    <t>TK61795</t>
  </si>
  <si>
    <t>TK61054</t>
  </si>
  <si>
    <t>TK61276</t>
  </si>
  <si>
    <t>TK60257</t>
  </si>
  <si>
    <t>TK63360</t>
  </si>
  <si>
    <t>TK60916</t>
  </si>
  <si>
    <t>TK61461</t>
  </si>
  <si>
    <t>TK61600</t>
  </si>
  <si>
    <t>TK62821</t>
  </si>
  <si>
    <t>TK61633</t>
  </si>
  <si>
    <t>TK61686</t>
  </si>
  <si>
    <t>TK60754</t>
  </si>
  <si>
    <t>TK63351</t>
  </si>
  <si>
    <t>TK62939</t>
  </si>
  <si>
    <t>TK62208</t>
  </si>
  <si>
    <t>TK61989</t>
  </si>
  <si>
    <t>TK60112</t>
  </si>
  <si>
    <t>TK63150</t>
  </si>
  <si>
    <t>TK63701</t>
  </si>
  <si>
    <t>TK63047</t>
  </si>
  <si>
    <t>TK60426</t>
  </si>
  <si>
    <t>TK61698</t>
  </si>
  <si>
    <t>TK63553</t>
  </si>
  <si>
    <t>TK61243</t>
  </si>
  <si>
    <t>TK63866</t>
  </si>
  <si>
    <t>TK61136</t>
  </si>
  <si>
    <t>TK60021</t>
  </si>
  <si>
    <t>TK63377</t>
  </si>
  <si>
    <t>TK61315</t>
  </si>
  <si>
    <t>TK60934</t>
  </si>
  <si>
    <t>TK60519</t>
  </si>
  <si>
    <t>TK63482</t>
  </si>
  <si>
    <t>TK63062</t>
  </si>
  <si>
    <t>TK60611</t>
  </si>
  <si>
    <t>TK63209</t>
  </si>
  <si>
    <t>TK62999</t>
  </si>
  <si>
    <t>TK60217</t>
  </si>
  <si>
    <t>TK63752</t>
  </si>
  <si>
    <t>TK60231</t>
  </si>
  <si>
    <t>TK62080</t>
  </si>
  <si>
    <t>TK60665</t>
  </si>
  <si>
    <t>TK60431</t>
  </si>
  <si>
    <t>TK60756</t>
  </si>
  <si>
    <t>TK61180</t>
  </si>
  <si>
    <t>TK62993</t>
  </si>
  <si>
    <t>TK63464</t>
  </si>
  <si>
    <t>TK60774</t>
  </si>
  <si>
    <t>TK61676</t>
  </si>
  <si>
    <t>TK61343</t>
  </si>
  <si>
    <t>TK60456</t>
  </si>
  <si>
    <t>TK61790</t>
  </si>
  <si>
    <t>TK62315</t>
  </si>
  <si>
    <t>TK61974</t>
  </si>
  <si>
    <t>TK60168</t>
  </si>
  <si>
    <t>TK62487</t>
  </si>
  <si>
    <t>TK62366</t>
  </si>
  <si>
    <t>TK63098</t>
  </si>
  <si>
    <t>TK62226</t>
  </si>
  <si>
    <t>TK63341</t>
  </si>
  <si>
    <t>TK63821</t>
  </si>
  <si>
    <t>TK63838</t>
  </si>
  <si>
    <t>TK63253</t>
  </si>
  <si>
    <t>TK60209</t>
  </si>
  <si>
    <t>TK63016</t>
  </si>
  <si>
    <t>TK60106</t>
  </si>
  <si>
    <t>TK60183</t>
  </si>
  <si>
    <t>TK62031</t>
  </si>
  <si>
    <t>TK63946</t>
  </si>
  <si>
    <t>TK61805</t>
  </si>
  <si>
    <t>TK60711</t>
  </si>
  <si>
    <t>TK60626</t>
  </si>
  <si>
    <t>TK62870</t>
  </si>
  <si>
    <t>TK63284</t>
  </si>
  <si>
    <t>TK61776</t>
  </si>
  <si>
    <t>TK61369</t>
  </si>
  <si>
    <t>TK62899</t>
  </si>
  <si>
    <t>TK61589</t>
  </si>
  <si>
    <t>TK60556</t>
  </si>
  <si>
    <t>TK60251</t>
  </si>
  <si>
    <t>TK61292</t>
  </si>
  <si>
    <t>TK63941</t>
  </si>
  <si>
    <t>TK63704</t>
  </si>
  <si>
    <t>TK60733</t>
  </si>
  <si>
    <t>TK62699</t>
  </si>
  <si>
    <t>TK62252</t>
  </si>
  <si>
    <t>TK60931</t>
  </si>
  <si>
    <t>TK60840</t>
  </si>
  <si>
    <t>TK61621</t>
  </si>
  <si>
    <t>TK63109</t>
  </si>
  <si>
    <t>TK63606</t>
  </si>
  <si>
    <t>TK62243</t>
  </si>
  <si>
    <t>TK62119</t>
  </si>
  <si>
    <t>TK61471</t>
  </si>
  <si>
    <t>TK63186</t>
  </si>
  <si>
    <t>TK60006</t>
  </si>
  <si>
    <t>TK60081</t>
  </si>
  <si>
    <t>TK62762</t>
  </si>
  <si>
    <t>TK62254</t>
  </si>
  <si>
    <t>TK61128</t>
  </si>
  <si>
    <t>TK62349</t>
  </si>
  <si>
    <t>TK61995</t>
  </si>
  <si>
    <t>TK63546</t>
  </si>
  <si>
    <t>TK62752</t>
  </si>
  <si>
    <t>TK63683</t>
  </si>
  <si>
    <t>TK61812</t>
  </si>
  <si>
    <t>TK61981</t>
  </si>
  <si>
    <t>TK62952</t>
  </si>
  <si>
    <t>TK62961</t>
  </si>
  <si>
    <t>TK62795</t>
  </si>
  <si>
    <t>TK60422</t>
  </si>
  <si>
    <t>TK61586</t>
  </si>
  <si>
    <t>TK61201</t>
  </si>
  <si>
    <t>TK61876</t>
  </si>
  <si>
    <t>TK63048</t>
  </si>
  <si>
    <t>TK63259</t>
  </si>
  <si>
    <t>TK62713</t>
  </si>
  <si>
    <t>TK63978</t>
  </si>
  <si>
    <t>TK62931</t>
  </si>
  <si>
    <t>TK63059</t>
  </si>
  <si>
    <t>TK62233</t>
  </si>
  <si>
    <t>TK62097</t>
  </si>
  <si>
    <t>TK60632</t>
  </si>
  <si>
    <t>TK61986</t>
  </si>
  <si>
    <t>TK62609</t>
  </si>
  <si>
    <t>TK62162</t>
  </si>
  <si>
    <t>TK62381</t>
  </si>
  <si>
    <t>TK63850</t>
  </si>
  <si>
    <t>TK63764</t>
  </si>
  <si>
    <t>TK60696</t>
  </si>
  <si>
    <t>TK61105</t>
  </si>
  <si>
    <t>TK60235</t>
  </si>
  <si>
    <t>TK63121</t>
  </si>
  <si>
    <t>TK63373</t>
  </si>
  <si>
    <t>TK63413</t>
  </si>
  <si>
    <t>TK60016</t>
  </si>
  <si>
    <t>TK60444</t>
  </si>
  <si>
    <t>TK62115</t>
  </si>
  <si>
    <t>TK61588</t>
  </si>
  <si>
    <t>TK62416</t>
  </si>
  <si>
    <t>TK60581</t>
  </si>
  <si>
    <t>TK61763</t>
  </si>
  <si>
    <t>TK60482</t>
  </si>
  <si>
    <t>TK62131</t>
  </si>
  <si>
    <t>TK61877</t>
  </si>
  <si>
    <t>TK63688</t>
  </si>
  <si>
    <t>TK61637</t>
  </si>
  <si>
    <t>TK62515</t>
  </si>
  <si>
    <t>TK63488</t>
  </si>
  <si>
    <t>TK60121</t>
  </si>
  <si>
    <t>TK62431</t>
  </si>
  <si>
    <t>TK60404</t>
  </si>
  <si>
    <t>TK62545</t>
  </si>
  <si>
    <t>TK61796</t>
  </si>
  <si>
    <t>TK63644</t>
  </si>
  <si>
    <t>TK63102</t>
  </si>
  <si>
    <t>TK61399</t>
  </si>
  <si>
    <t>TK60210</t>
  </si>
  <si>
    <t>TK62702</t>
  </si>
  <si>
    <t>TK63080</t>
  </si>
  <si>
    <t>TK62924</t>
  </si>
  <si>
    <t>TK63875</t>
  </si>
  <si>
    <t>TK61157</t>
  </si>
  <si>
    <t>TK63945</t>
  </si>
  <si>
    <t>TK63424</t>
  </si>
  <si>
    <t>TK63249</t>
  </si>
  <si>
    <t>TK60005</t>
  </si>
  <si>
    <t>TK61051</t>
  </si>
  <si>
    <t>TK62802</t>
  </si>
  <si>
    <t>TK63433</t>
  </si>
  <si>
    <t>TK60238</t>
  </si>
  <si>
    <t>TK61342</t>
  </si>
  <si>
    <t>TK61896</t>
  </si>
  <si>
    <t>TK61813</t>
  </si>
  <si>
    <t>TK60506</t>
  </si>
  <si>
    <t>TK62680</t>
  </si>
  <si>
    <t>TK62138</t>
  </si>
  <si>
    <t>TK61013</t>
  </si>
  <si>
    <t>TK62079</t>
  </si>
  <si>
    <t>TK63005</t>
  </si>
  <si>
    <t>TK60553</t>
  </si>
  <si>
    <t>TK60272</t>
  </si>
  <si>
    <t>TK61735</t>
  </si>
  <si>
    <t>TK60981</t>
  </si>
  <si>
    <t>TK63369</t>
  </si>
  <si>
    <t>TK62692</t>
  </si>
  <si>
    <t>TK61476</t>
  </si>
  <si>
    <t>TK60336</t>
  </si>
  <si>
    <t>TK63724</t>
  </si>
  <si>
    <t>TK63815</t>
  </si>
  <si>
    <t>TK60266</t>
  </si>
  <si>
    <t>TK63886</t>
  </si>
  <si>
    <t>TK62455</t>
  </si>
  <si>
    <t>TK61038</t>
  </si>
  <si>
    <t>TK61938</t>
  </si>
  <si>
    <t>TK60730</t>
  </si>
  <si>
    <t>TK62750</t>
  </si>
  <si>
    <t>TK63556</t>
  </si>
  <si>
    <t>TK62277</t>
  </si>
  <si>
    <t>TK61952</t>
  </si>
  <si>
    <t>TK61695</t>
  </si>
  <si>
    <t>TK61670</t>
  </si>
  <si>
    <t>TK62526</t>
  </si>
  <si>
    <t>TK62074</t>
  </si>
  <si>
    <t>TK62362</t>
  </si>
  <si>
    <t>TK60228</t>
  </si>
  <si>
    <t>TK60601</t>
  </si>
  <si>
    <t>TK61308</t>
  </si>
  <si>
    <t>TK60765</t>
  </si>
  <si>
    <t>TK61704</t>
  </si>
  <si>
    <t>TK63320</t>
  </si>
  <si>
    <t>TK63260</t>
  </si>
  <si>
    <t>TK63001</t>
  </si>
  <si>
    <t>TK61496</t>
  </si>
  <si>
    <t>TK61176</t>
  </si>
  <si>
    <t>TK61505</t>
  </si>
  <si>
    <t>TK62045</t>
  </si>
  <si>
    <t>TK61233</t>
  </si>
  <si>
    <t>TK63269</t>
  </si>
  <si>
    <t>TK62642</t>
  </si>
  <si>
    <t>TK61778</t>
  </si>
  <si>
    <t>TK62148</t>
  </si>
  <si>
    <t>TK60099</t>
  </si>
  <si>
    <t>TK62076</t>
  </si>
  <si>
    <t>TK62826</t>
  </si>
  <si>
    <t>TK63168</t>
  </si>
  <si>
    <t>TK61107</t>
  </si>
  <si>
    <t>TK61000</t>
  </si>
  <si>
    <t>TK62055</t>
  </si>
  <si>
    <t>TK63403</t>
  </si>
  <si>
    <t>TK63895</t>
  </si>
  <si>
    <t>TK62282</t>
  </si>
  <si>
    <t>TK61331</t>
  </si>
  <si>
    <t>TK61249</t>
  </si>
  <si>
    <t>TK60253</t>
  </si>
  <si>
    <t>TK63353</t>
  </si>
  <si>
    <t>TK61846</t>
  </si>
  <si>
    <t>TK63165</t>
  </si>
  <si>
    <t>TK61830</t>
  </si>
  <si>
    <t>TK63451</t>
  </si>
  <si>
    <t>TK62146</t>
  </si>
  <si>
    <t>TK60825</t>
  </si>
  <si>
    <t>TK60302</t>
  </si>
  <si>
    <t>TK60193</t>
  </si>
  <si>
    <t>TK62437</t>
  </si>
  <si>
    <t>TK60892</t>
  </si>
  <si>
    <t>TK61336</t>
  </si>
  <si>
    <t>TK62797</t>
  </si>
  <si>
    <t>TK62367</t>
  </si>
  <si>
    <t>TK60875</t>
  </si>
  <si>
    <t>TK60249</t>
  </si>
  <si>
    <t>TK63139</t>
  </si>
  <si>
    <t>TK61511</t>
  </si>
  <si>
    <t>TK60476</t>
  </si>
  <si>
    <t>TK61611</t>
  </si>
  <si>
    <t>TK63119</t>
  </si>
  <si>
    <t>TK60911</t>
  </si>
  <si>
    <t>TK60851</t>
  </si>
  <si>
    <t>TK60041</t>
  </si>
  <si>
    <t>TK61191</t>
  </si>
  <si>
    <t>TK63592</t>
  </si>
  <si>
    <t>TK62495</t>
  </si>
  <si>
    <t>TK61190</t>
  </si>
  <si>
    <t>TK63322</t>
  </si>
  <si>
    <t>TK60937</t>
  </si>
  <si>
    <t>TK61101</t>
  </si>
  <si>
    <t>TK62909</t>
  </si>
  <si>
    <t>TK60007</t>
  </si>
  <si>
    <t>TK60365</t>
  </si>
  <si>
    <t>TK61405</t>
  </si>
  <si>
    <t>TK61144</t>
  </si>
  <si>
    <t>TK63391</t>
  </si>
  <si>
    <t>TK60639</t>
  </si>
  <si>
    <t>TK63140</t>
  </si>
  <si>
    <t>TK62920</t>
  </si>
  <si>
    <t>TK60240</t>
  </si>
  <si>
    <t>TK62914</t>
  </si>
  <si>
    <t>TK60938</t>
  </si>
  <si>
    <t>TK62062</t>
  </si>
  <si>
    <t>TK62735</t>
  </si>
  <si>
    <t>TK61565</t>
  </si>
  <si>
    <t>TK60961</t>
  </si>
  <si>
    <t>TK61590</t>
  </si>
  <si>
    <t>TK63985</t>
  </si>
  <si>
    <t>TK61542</t>
  </si>
  <si>
    <t>TK60494</t>
  </si>
  <si>
    <t>TK61666</t>
  </si>
  <si>
    <t>TK62892</t>
  </si>
  <si>
    <t>TK61551</t>
  </si>
  <si>
    <t>TK62624</t>
  </si>
  <si>
    <t>TK60417</t>
  </si>
  <si>
    <t>TK63661</t>
  </si>
  <si>
    <t>TK60978</t>
  </si>
  <si>
    <t>TK62793</t>
  </si>
  <si>
    <t>TK62209</t>
  </si>
  <si>
    <t>TK63313</t>
  </si>
  <si>
    <t>TK62616</t>
  </si>
  <si>
    <t>TK63379</t>
  </si>
  <si>
    <t>TK61977</t>
  </si>
  <si>
    <t>TK63729</t>
  </si>
  <si>
    <t>TK60120</t>
  </si>
  <si>
    <t>TK60394</t>
  </si>
  <si>
    <t>TK62641</t>
  </si>
  <si>
    <t>TK61723</t>
  </si>
  <si>
    <t>TK61510</t>
  </si>
  <si>
    <t>TK60012</t>
  </si>
  <si>
    <t>TK60996</t>
  </si>
  <si>
    <t>TK61492</t>
  </si>
  <si>
    <t>TK61407</t>
  </si>
  <si>
    <t>TK62342</t>
  </si>
  <si>
    <t>TK62012</t>
  </si>
  <si>
    <t>TK61982</t>
  </si>
  <si>
    <t>TK63033</t>
  </si>
  <si>
    <t>TK62518</t>
  </si>
  <si>
    <t>TK63293</t>
  </si>
  <si>
    <t>TK60203</t>
  </si>
  <si>
    <t>TK60847</t>
  </si>
  <si>
    <t>TK61745</t>
  </si>
  <si>
    <t>TK61864</t>
  </si>
  <si>
    <t>TK60963</t>
  </si>
  <si>
    <t>TK60222</t>
  </si>
  <si>
    <t>TK63892</t>
  </si>
  <si>
    <t>TK62472</t>
  </si>
  <si>
    <t>TK62572</t>
  </si>
  <si>
    <t>TK60893</t>
  </si>
  <si>
    <t>TK61239</t>
  </si>
  <si>
    <t>TK63421</t>
  </si>
  <si>
    <t>TK60713</t>
  </si>
  <si>
    <t>TK61631</t>
  </si>
  <si>
    <t>TK60234</t>
  </si>
  <si>
    <t>TK61879</t>
  </si>
  <si>
    <t>TK60510</t>
  </si>
  <si>
    <t>TK62613</t>
  </si>
  <si>
    <t>TK63958</t>
  </si>
  <si>
    <t>TK63295</t>
  </si>
  <si>
    <t>TK62829</t>
  </si>
  <si>
    <t>TK60987</t>
  </si>
  <si>
    <t>TK61923</t>
  </si>
  <si>
    <t>TK62216</t>
  </si>
  <si>
    <t>TK60496</t>
  </si>
  <si>
    <t>TK61979</t>
  </si>
  <si>
    <t>TK61099</t>
  </si>
  <si>
    <t>TK60523</t>
  </si>
  <si>
    <t>TK63439</t>
  </si>
  <si>
    <t>TK62596</t>
  </si>
  <si>
    <t>TK63784</t>
  </si>
  <si>
    <t>TK61075</t>
  </si>
  <si>
    <t>TK62128</t>
  </si>
  <si>
    <t>TK62811</t>
  </si>
  <si>
    <t>TK61527</t>
  </si>
  <si>
    <t>TK63428</t>
  </si>
  <si>
    <t>TK63110</t>
  </si>
  <si>
    <t>TK62890</t>
  </si>
  <si>
    <t>TK61959</t>
  </si>
  <si>
    <t>TK61397</t>
  </si>
  <si>
    <t>TK62051</t>
  </si>
  <si>
    <t>TK60739</t>
  </si>
  <si>
    <t>TK62736</t>
  </si>
  <si>
    <t>TK60616</t>
  </si>
  <si>
    <t>TK60133</t>
  </si>
  <si>
    <t>TK61106</t>
  </si>
  <si>
    <t>TK60201</t>
  </si>
  <si>
    <t>TK60974</t>
  </si>
  <si>
    <t>TK62320</t>
  </si>
  <si>
    <t>TK60423</t>
  </si>
  <si>
    <t>TK63963</t>
  </si>
  <si>
    <t>TK63484</t>
  </si>
  <si>
    <t>TK62807</t>
  </si>
  <si>
    <t>TK63562</t>
  </si>
  <si>
    <t>TK63289</t>
  </si>
  <si>
    <t>TK63913</t>
  </si>
  <si>
    <t>TK60226</t>
  </si>
  <si>
    <t>TK63226</t>
  </si>
  <si>
    <t>TK61520</t>
  </si>
  <si>
    <t>TK60967</t>
  </si>
  <si>
    <t>TK61169</t>
  </si>
  <si>
    <t>TK61914</t>
  </si>
  <si>
    <t>TK60177</t>
  </si>
  <si>
    <t>TK61779</t>
  </si>
  <si>
    <t>TK60565</t>
  </si>
  <si>
    <t>TK63181</t>
  </si>
  <si>
    <t>TK63460</t>
  </si>
  <si>
    <t>TK62213</t>
  </si>
  <si>
    <t>TK60385</t>
  </si>
  <si>
    <t>TK61212</t>
  </si>
  <si>
    <t>TK61703</t>
  </si>
  <si>
    <t>TK60576</t>
  </si>
  <si>
    <t>TK62013</t>
  </si>
  <si>
    <t>TK61298</t>
  </si>
  <si>
    <t>TK60050</t>
  </si>
  <si>
    <t>TK60437</t>
  </si>
  <si>
    <t>TK60389</t>
  </si>
  <si>
    <t>TK63971</t>
  </si>
  <si>
    <t>TK61828</t>
  </si>
  <si>
    <t>TK63440</t>
  </si>
  <si>
    <t>TK60956</t>
  </si>
  <si>
    <t>TK60290</t>
  </si>
  <si>
    <t>TK63156</t>
  </si>
  <si>
    <t>TK62042</t>
  </si>
  <si>
    <t>TK61945</t>
  </si>
  <si>
    <t>TK60342</t>
  </si>
  <si>
    <t>TK63256</t>
  </si>
  <si>
    <t>TK61147</t>
  </si>
  <si>
    <t>TK60580</t>
  </si>
  <si>
    <t>TK60288</t>
  </si>
  <si>
    <t>TK60097</t>
  </si>
  <si>
    <t>TK63900</t>
  </si>
  <si>
    <t>TK63591</t>
  </si>
  <si>
    <t>TK62384</t>
  </si>
  <si>
    <t>TK60059</t>
  </si>
  <si>
    <t>TK60912</t>
  </si>
  <si>
    <t>TK62170</t>
  </si>
  <si>
    <t>TK60143</t>
  </si>
  <si>
    <t>TK61662</t>
  </si>
  <si>
    <t>TK60372</t>
  </si>
  <si>
    <t>TK63247</t>
  </si>
  <si>
    <t>TK61011</t>
  </si>
  <si>
    <t>TK61117</t>
  </si>
  <si>
    <t>TK61429</t>
  </si>
  <si>
    <t>TK62591</t>
  </si>
  <si>
    <t>TK61561</t>
  </si>
  <si>
    <t>TK62734</t>
  </si>
  <si>
    <t>TK61318</t>
  </si>
  <si>
    <t>TK63138</t>
  </si>
  <si>
    <t>TK62706</t>
  </si>
  <si>
    <t>TK63638</t>
  </si>
  <si>
    <t>TK63930</t>
  </si>
  <si>
    <t>TK61032</t>
  </si>
  <si>
    <t>TK63187</t>
  </si>
  <si>
    <t>TK60358</t>
  </si>
  <si>
    <t>TK62531</t>
  </si>
  <si>
    <t>TK63415</t>
  </si>
  <si>
    <t>TK61079</t>
  </si>
  <si>
    <t>TK63105</t>
  </si>
  <si>
    <t>TK63523</t>
  </si>
  <si>
    <t>TK62989</t>
  </si>
  <si>
    <t>TK61133</t>
  </si>
  <si>
    <t>TK63292</t>
  </si>
  <si>
    <t>TK62168</t>
  </si>
  <si>
    <t>TK63219</t>
  </si>
  <si>
    <t>TK62406</t>
  </si>
  <si>
    <t>TK63625</t>
  </si>
  <si>
    <t>TK60520</t>
  </si>
  <si>
    <t>TK63731</t>
  </si>
  <si>
    <t>TK60273</t>
  </si>
  <si>
    <t>TK62615</t>
  </si>
  <si>
    <t>TK62868</t>
  </si>
  <si>
    <t>TK62129</t>
  </si>
  <si>
    <t>TK60560</t>
  </si>
  <si>
    <t>TK63290</t>
  </si>
  <si>
    <t>TK63588</t>
  </si>
  <si>
    <t>TK62106</t>
  </si>
  <si>
    <t>TK61294</t>
  </si>
  <si>
    <t>TK63045</t>
  </si>
  <si>
    <t>TK61560</t>
  </si>
  <si>
    <t>TK63961</t>
  </si>
  <si>
    <t>TK63798</t>
  </si>
  <si>
    <t>TK63225</t>
  </si>
  <si>
    <t>TK61827</t>
  </si>
  <si>
    <t>TK61451</t>
  </si>
  <si>
    <t>TK63660</t>
  </si>
  <si>
    <t>TK61603</t>
  </si>
  <si>
    <t>TK62810</t>
  </si>
  <si>
    <t>TK63404</t>
  </si>
  <si>
    <t>TK60149</t>
  </si>
  <si>
    <t>TK61114</t>
  </si>
  <si>
    <t>TK60726</t>
  </si>
  <si>
    <t>TK62854</t>
  </si>
  <si>
    <t>TK60813</t>
  </si>
  <si>
    <t>TK60627</t>
  </si>
  <si>
    <t>TK62306</t>
  </si>
  <si>
    <t>TK60920</t>
  </si>
  <si>
    <t>TK61477</t>
  </si>
  <si>
    <t>TK61785</t>
  </si>
  <si>
    <t>TK63224</t>
  </si>
  <si>
    <t>TK60433</t>
  </si>
  <si>
    <t>TK61513</t>
  </si>
  <si>
    <t>TK60644</t>
  </si>
  <si>
    <t>TK60671</t>
  </si>
  <si>
    <t>TK60262</t>
  </si>
  <si>
    <t>TK63600</t>
  </si>
  <si>
    <t>TK60145</t>
  </si>
  <si>
    <t>TK62376</t>
  </si>
  <si>
    <t>TK62120</t>
  </si>
  <si>
    <t>TK60161</t>
  </si>
  <si>
    <t>TK63011</t>
  </si>
  <si>
    <t>TK61605</t>
  </si>
  <si>
    <t>TK62626</t>
  </si>
  <si>
    <t>TK60057</t>
  </si>
  <si>
    <t>TK62536</t>
  </si>
  <si>
    <t>TK61258</t>
  </si>
  <si>
    <t>TK62796</t>
  </si>
  <si>
    <t>TK61363</t>
  </si>
  <si>
    <t>TK63220</t>
  </si>
  <si>
    <t>TK60915</t>
  </si>
  <si>
    <t>TK61052</t>
  </si>
  <si>
    <t>TK60364</t>
  </si>
  <si>
    <t>TK63802</t>
  </si>
  <si>
    <t>TK60782</t>
  </si>
  <si>
    <t>TK62275</t>
  </si>
  <si>
    <t>TK62524</t>
  </si>
  <si>
    <t>TK63630</t>
  </si>
  <si>
    <t>TK63786</t>
  </si>
  <si>
    <t>TK60135</t>
  </si>
  <si>
    <t>TK61185</t>
  </si>
  <si>
    <t>TK60672</t>
  </si>
  <si>
    <t>TK60200</t>
  </si>
  <si>
    <t>TK61497</t>
  </si>
  <si>
    <t>TK60459</t>
  </si>
  <si>
    <t>TK60992</t>
  </si>
  <si>
    <t>TK61593</t>
  </si>
  <si>
    <t>TK60740</t>
  </si>
  <si>
    <t>TK63840</t>
  </si>
  <si>
    <t>TK63633</t>
  </si>
  <si>
    <t>TK62637</t>
  </si>
  <si>
    <t>TK62758</t>
  </si>
  <si>
    <t>TK63748</t>
  </si>
  <si>
    <t>TK63233</t>
  </si>
  <si>
    <t>TK60610</t>
  </si>
  <si>
    <t>TK60073</t>
  </si>
  <si>
    <t>TK61789</t>
  </si>
  <si>
    <t>TK62127</t>
  </si>
  <si>
    <t>TK62329</t>
  </si>
  <si>
    <t>TK60828</t>
  </si>
  <si>
    <t>TK62032</t>
  </si>
  <si>
    <t>TK62166</t>
  </si>
  <si>
    <t>TK63505</t>
  </si>
  <si>
    <t>TK62521</t>
  </si>
  <si>
    <t>TK62940</t>
  </si>
  <si>
    <t>TK60534</t>
  </si>
  <si>
    <t>TK61737</t>
  </si>
  <si>
    <t>TK61127</t>
  </si>
  <si>
    <t>TK63643</t>
  </si>
  <si>
    <t>TK63037</t>
  </si>
  <si>
    <t>TK62039</t>
  </si>
  <si>
    <t>TK63108</t>
  </si>
  <si>
    <t>TK61634</t>
  </si>
  <si>
    <t>TK63803</t>
  </si>
  <si>
    <t>TK60514</t>
  </si>
  <si>
    <t>TK61709</t>
  </si>
  <si>
    <t>TK62287</t>
  </si>
  <si>
    <t>TK62091</t>
  </si>
  <si>
    <t>TK63933</t>
  </si>
  <si>
    <t>TK62028</t>
  </si>
  <si>
    <t>TK60155</t>
  </si>
  <si>
    <t>TK61110</t>
  </si>
  <si>
    <t>TK63635</t>
  </si>
  <si>
    <t>TK63402</t>
  </si>
  <si>
    <t>TK60881</t>
  </si>
  <si>
    <t>TK60590</t>
  </si>
  <si>
    <t>TK62459</t>
  </si>
  <si>
    <t>TK63851</t>
  </si>
  <si>
    <t>TK61303</t>
  </si>
  <si>
    <t>TK61027</t>
  </si>
  <si>
    <t>TK62951</t>
  </si>
  <si>
    <t>TK61159</t>
  </si>
  <si>
    <t>TK60717</t>
  </si>
  <si>
    <t>TK62666</t>
  </si>
  <si>
    <t>TK61247</t>
  </si>
  <si>
    <t>TK61370</t>
  </si>
  <si>
    <t>TK62509</t>
  </si>
  <si>
    <t>TK63509</t>
  </si>
  <si>
    <t>TK60823</t>
  </si>
  <si>
    <t>TK62849</t>
  </si>
  <si>
    <t>TK62975</t>
  </si>
  <si>
    <t>TK63935</t>
  </si>
  <si>
    <t>TK62328</t>
  </si>
  <si>
    <t>TK62137</t>
  </si>
  <si>
    <t>TK63864</t>
  </si>
  <si>
    <t>TK63481</t>
  </si>
  <si>
    <t>TK63143</t>
  </si>
  <si>
    <t>TK61195</t>
  </si>
  <si>
    <t>TK62986</t>
  </si>
  <si>
    <t>TK63268</t>
  </si>
  <si>
    <t>TK60670</t>
  </si>
  <si>
    <t>TK61224</t>
  </si>
  <si>
    <t>TK63348</t>
  </si>
  <si>
    <t>TK60256</t>
  </si>
  <si>
    <t>TK60190</t>
  </si>
  <si>
    <t>TK61221</t>
  </si>
  <si>
    <t>TK63777</t>
  </si>
  <si>
    <t>TK63817</t>
  </si>
  <si>
    <t>TK60618</t>
  </si>
  <si>
    <t>TK62260</t>
  </si>
  <si>
    <t>TK60118</t>
  </si>
  <si>
    <t>TK63938</t>
  </si>
  <si>
    <t>TK61213</t>
  </si>
  <si>
    <t>TK60657</t>
  </si>
  <si>
    <t>TK63073</t>
  </si>
  <si>
    <t>TK60867</t>
  </si>
  <si>
    <t>TK63455</t>
  </si>
  <si>
    <t>TK60679</t>
  </si>
  <si>
    <t>TK61656</t>
  </si>
  <si>
    <t>TK62314</t>
  </si>
  <si>
    <t>TK60812</t>
  </si>
  <si>
    <t>TK62113</t>
  </si>
  <si>
    <t>TK60917</t>
  </si>
  <si>
    <t>TK62299</t>
  </si>
  <si>
    <t>TK62597</t>
  </si>
  <si>
    <t>TK63474</t>
  </si>
  <si>
    <t>TK63307</t>
  </si>
  <si>
    <t>TK62101</t>
  </si>
  <si>
    <t>TK61948</t>
  </si>
  <si>
    <t>TK63344</t>
  </si>
  <si>
    <t>TK63551</t>
  </si>
  <si>
    <t>TK62859</t>
  </si>
  <si>
    <t>TK60374</t>
  </si>
  <si>
    <t>TK62889</t>
  </si>
  <si>
    <t>TK63281</t>
  </si>
  <si>
    <t>TK62671</t>
  </si>
  <si>
    <t>TK62436</t>
  </si>
  <si>
    <t>TK63531</t>
  </si>
  <si>
    <t>TK63891</t>
  </si>
  <si>
    <t>TK62957</t>
  </si>
  <si>
    <t>TK62928</t>
  </si>
  <si>
    <t>TK60830</t>
  </si>
  <si>
    <t>TK62257</t>
  </si>
  <si>
    <t>TK63890</t>
  </si>
  <si>
    <t>TK60704</t>
  </si>
  <si>
    <t>TK61104</t>
  </si>
  <si>
    <t>TK63378</t>
  </si>
  <si>
    <t>TK60598</t>
  </si>
  <si>
    <t>TK60402</t>
  </si>
  <si>
    <t>TK61943</t>
  </si>
  <si>
    <t>TK63160</t>
  </si>
  <si>
    <t>TK63397</t>
  </si>
  <si>
    <t>TK62979</t>
  </si>
  <si>
    <t>TK61025</t>
  </si>
  <si>
    <t>TK61919</t>
  </si>
  <si>
    <t>TK60609</t>
  </si>
  <si>
    <t>TK63394</t>
  </si>
  <si>
    <t>TK60061</t>
  </si>
  <si>
    <t>TK61835</t>
  </si>
  <si>
    <t>TK62026</t>
  </si>
  <si>
    <t>TK62158</t>
  </si>
  <si>
    <t>TK60617</t>
  </si>
  <si>
    <t>TK60539</t>
  </si>
  <si>
    <t>TK63414</t>
  </si>
  <si>
    <t>TK60551</t>
  </si>
  <si>
    <t>TK60680</t>
  </si>
  <si>
    <t>TK61006</t>
  </si>
  <si>
    <t>TK60393</t>
  </si>
  <si>
    <t>TK61416</t>
  </si>
  <si>
    <t>TK63703</t>
  </si>
  <si>
    <t>TK63483</t>
  </si>
  <si>
    <t>TK60122</t>
  </si>
  <si>
    <t>TK63888</t>
  </si>
  <si>
    <t>TK62813</t>
  </si>
  <si>
    <t>TK62711</t>
  </si>
  <si>
    <t>TK60043</t>
  </si>
  <si>
    <t>TK60716</t>
  </si>
  <si>
    <t>TK63093</t>
  </si>
  <si>
    <t>TK60807</t>
  </si>
  <si>
    <t>TK61023</t>
  </si>
  <si>
    <t>TK63425</t>
  </si>
  <si>
    <t>TK63928</t>
  </si>
  <si>
    <t>TK60071</t>
  </si>
  <si>
    <t>TK62221</t>
  </si>
  <si>
    <t>TK63368</t>
  </si>
  <si>
    <t>TK62201</t>
  </si>
  <si>
    <t>TK63354</t>
  </si>
  <si>
    <t>TK63578</t>
  </si>
  <si>
    <t>TK62757</t>
  </si>
  <si>
    <t>TK62645</t>
  </si>
  <si>
    <t>TK63558</t>
  </si>
  <si>
    <t>TK60802</t>
  </si>
  <si>
    <t>TK63337</t>
  </si>
  <si>
    <t>TK62560</t>
  </si>
  <si>
    <t>TK60319</t>
  </si>
  <si>
    <t>TK62677</t>
  </si>
  <si>
    <t>TK60069</t>
  </si>
  <si>
    <t>TK62791</t>
  </si>
  <si>
    <t>TK62429</t>
  </si>
  <si>
    <t>TK62902</t>
  </si>
  <si>
    <t>TK60286</t>
  </si>
  <si>
    <t>TK60000</t>
  </si>
  <si>
    <t>TK63568</t>
  </si>
  <si>
    <t>TK62368</t>
  </si>
  <si>
    <t>TK61547</t>
  </si>
  <si>
    <t>TK63878</t>
  </si>
  <si>
    <t>TK61437</t>
  </si>
  <si>
    <t>TK60346</t>
  </si>
  <si>
    <t>TK61834</t>
  </si>
  <si>
    <t>TK63780</t>
  </si>
  <si>
    <t>TK62938</t>
  </si>
  <si>
    <t>TK61483</t>
  </si>
  <si>
    <t>TK63480</t>
  </si>
  <si>
    <t>TK60766</t>
  </si>
  <si>
    <t>TK62730</t>
  </si>
  <si>
    <t>TK62878</t>
  </si>
  <si>
    <t>TK61719</t>
  </si>
  <si>
    <t>TK62593</t>
  </si>
  <si>
    <t>TK63959</t>
  </si>
  <si>
    <t>TK62525</t>
  </si>
  <si>
    <t>TK60104</t>
  </si>
  <si>
    <t>TK61832</t>
  </si>
  <si>
    <t>TK62893</t>
  </si>
  <si>
    <t>TK61183</t>
  </si>
  <si>
    <t>TK62189</t>
  </si>
  <si>
    <t>TK60024</t>
  </si>
  <si>
    <t>TK62603</t>
  </si>
  <si>
    <t>TK60850</t>
  </si>
  <si>
    <t>TK63669</t>
  </si>
  <si>
    <t>TK61810</t>
  </si>
  <si>
    <t>TK60658</t>
  </si>
  <si>
    <t>TK60427</t>
  </si>
  <si>
    <t>TK60863</t>
  </si>
  <si>
    <t>TK63242</t>
  </si>
  <si>
    <t>TK63871</t>
  </si>
  <si>
    <t>TK62767</t>
  </si>
  <si>
    <t>TK63115</t>
  </si>
  <si>
    <t>TK60924</t>
  </si>
  <si>
    <t>TK61708</t>
  </si>
  <si>
    <t>TK62943</t>
  </si>
  <si>
    <t>TK62000</t>
  </si>
  <si>
    <t>TK60324</t>
  </si>
  <si>
    <t>TK61697</t>
  </si>
  <si>
    <t>TK60637</t>
  </si>
  <si>
    <t>TK62985</t>
  </si>
  <si>
    <t>TK62395</t>
  </si>
  <si>
    <t>TK61937</t>
  </si>
  <si>
    <t>TK62385</t>
  </si>
  <si>
    <t>TK63419</t>
  </si>
  <si>
    <t>TK63734</t>
  </si>
  <si>
    <t>TK63751</t>
  </si>
  <si>
    <t>TK60198</t>
  </si>
  <si>
    <t>TK60378</t>
  </si>
  <si>
    <t>TK62273</t>
  </si>
  <si>
    <t>TK62231</t>
  </si>
  <si>
    <t>TK62775</t>
  </si>
  <si>
    <t>TK63919</t>
  </si>
  <si>
    <t>TK62929</t>
  </si>
  <si>
    <t>TK60115</t>
  </si>
  <si>
    <t>TK61875</t>
  </si>
  <si>
    <t>TK62391</t>
  </si>
  <si>
    <t>TK60584</t>
  </si>
  <si>
    <t>TK61635</t>
  </si>
  <si>
    <t>TK62056</t>
  </si>
  <si>
    <t>TK60804</t>
  </si>
  <si>
    <t>TK61968</t>
  </si>
  <si>
    <t>TK61478</t>
  </si>
  <si>
    <t>TK63412</t>
  </si>
  <si>
    <t>TK62009</t>
  </si>
  <si>
    <t>TK62255</t>
  </si>
  <si>
    <t>TK60462</t>
  </si>
  <si>
    <t>TK61822</t>
  </si>
  <si>
    <t>TK63768</t>
  </si>
  <si>
    <t>TK60131</t>
  </si>
  <si>
    <t>TK63896</t>
  </si>
  <si>
    <t>TK61242</t>
  </si>
  <si>
    <t>TK61689</t>
  </si>
  <si>
    <t>TK62917</t>
  </si>
  <si>
    <t>TK63713</t>
  </si>
  <si>
    <t>TK63077</t>
  </si>
  <si>
    <t>TK60597</t>
  </si>
  <si>
    <t>TK61870</t>
  </si>
  <si>
    <t>TK63735</t>
  </si>
  <si>
    <t>TK63406</t>
  </si>
  <si>
    <t>TK61028</t>
  </si>
  <si>
    <t>TK60701</t>
  </si>
  <si>
    <t>TK62433</t>
  </si>
  <si>
    <t>TK61306</t>
  </si>
  <si>
    <t>TK62503</t>
  </si>
  <si>
    <t>TK63835</t>
  </si>
  <si>
    <t>TK60064</t>
  </si>
  <si>
    <t>TK61018</t>
  </si>
  <si>
    <t>TK60923</t>
  </si>
  <si>
    <t>TK60524</t>
  </si>
  <si>
    <t>TK61269</t>
  </si>
  <si>
    <t>TK60557</t>
  </si>
  <si>
    <t>TK62883</t>
  </si>
  <si>
    <t>TK61515</t>
  </si>
  <si>
    <t>TK63528</t>
  </si>
  <si>
    <t>TK63007</t>
  </si>
  <si>
    <t>TK60009</t>
  </si>
  <si>
    <t>TK61484</t>
  </si>
  <si>
    <t>TK63585</t>
  </si>
  <si>
    <t>TK62978</t>
  </si>
  <si>
    <t>TK60508</t>
  </si>
  <si>
    <t>TK60125</t>
  </si>
  <si>
    <t>TK62817</t>
  </si>
  <si>
    <t>TK62465</t>
  </si>
  <si>
    <t>TK62915</t>
  </si>
  <si>
    <t>TK61217</t>
  </si>
  <si>
    <t>TK61255</t>
  </si>
  <si>
    <t>TK62650</t>
  </si>
  <si>
    <t>TK62432</t>
  </si>
  <si>
    <t>TK62054</t>
  </si>
  <si>
    <t>TK60546</t>
  </si>
  <si>
    <t>TK63158</t>
  </si>
  <si>
    <t>TK63270</t>
  </si>
  <si>
    <t>TK62580</t>
  </si>
  <si>
    <t>TK62330</t>
  </si>
  <si>
    <t>TK63021</t>
  </si>
  <si>
    <t>TK62224</t>
  </si>
  <si>
    <t>TK61381</t>
  </si>
  <si>
    <t>TK61683</t>
  </si>
  <si>
    <t>TK61062</t>
  </si>
  <si>
    <t>TK60635</t>
  </si>
  <si>
    <t>TK60801</t>
  </si>
  <si>
    <t>TK61286</t>
  </si>
  <si>
    <t>TK60225</t>
  </si>
  <si>
    <t>TK62574</t>
  </si>
  <si>
    <t>TK63431</t>
  </si>
  <si>
    <t>TK60667</t>
  </si>
  <si>
    <t>TK62990</t>
  </si>
  <si>
    <t>TK61769</t>
  </si>
  <si>
    <t>TK61902</t>
  </si>
  <si>
    <t>TK62259</t>
  </si>
  <si>
    <t>TK60728</t>
  </si>
  <si>
    <t>TK62571</t>
  </si>
  <si>
    <t>TK63746</t>
  </si>
  <si>
    <t>TK62147</t>
  </si>
  <si>
    <t>TK63538</t>
  </si>
  <si>
    <t>TK63316</t>
  </si>
  <si>
    <t>TK61282</t>
  </si>
  <si>
    <t>TK63609</t>
  </si>
  <si>
    <t>TK63882</t>
  </si>
  <si>
    <t>TK63204</t>
  </si>
  <si>
    <t>TK62300</t>
  </si>
  <si>
    <t>TK60441</t>
  </si>
  <si>
    <t>TK61278</t>
  </si>
  <si>
    <t>TK60654</t>
  </si>
  <si>
    <t>TK63296</t>
  </si>
  <si>
    <t>TK63202</t>
  </si>
  <si>
    <t>TK60507</t>
  </si>
  <si>
    <t>TK62326</t>
  </si>
  <si>
    <t>TK61005</t>
  </si>
  <si>
    <t>TK62925</t>
  </si>
  <si>
    <t>TK61307</t>
  </si>
  <si>
    <t>TK61211</t>
  </si>
  <si>
    <t>TK63171</t>
  </si>
  <si>
    <t>TK62016</t>
  </si>
  <si>
    <t>TK63756</t>
  </si>
  <si>
    <t>TK63908</t>
  </si>
  <si>
    <t>TK60246</t>
  </si>
  <si>
    <t>TK61801</t>
  </si>
  <si>
    <t>TK63318</t>
  </si>
  <si>
    <t>TK62648</t>
  </si>
  <si>
    <t>TK63725</t>
  </si>
  <si>
    <t>TK62272</t>
  </si>
  <si>
    <t>TK63152</t>
  </si>
  <si>
    <t>TK62100</t>
  </si>
  <si>
    <t>TK62927</t>
  </si>
  <si>
    <t>TK62053</t>
  </si>
  <si>
    <t>TK61387</t>
  </si>
  <si>
    <t>TK61108</t>
  </si>
  <si>
    <t>TK62623</t>
  </si>
  <si>
    <t>TK63862</t>
  </si>
  <si>
    <t>TK60452</t>
  </si>
  <si>
    <t>TK63010</t>
  </si>
  <si>
    <t>TK60583</t>
  </si>
  <si>
    <t>TK60836</t>
  </si>
  <si>
    <t>TK62352</t>
  </si>
  <si>
    <t>TK63239</t>
  </si>
  <si>
    <t>TK63166</t>
  </si>
  <si>
    <t>TK62732</t>
  </si>
  <si>
    <t>TK63426</t>
  </si>
  <si>
    <t>TK63944</t>
  </si>
  <si>
    <t>TK60757</t>
  </si>
  <si>
    <t>TK61747</t>
  </si>
  <si>
    <t>TK60749</t>
  </si>
  <si>
    <t>TK61464</t>
  </si>
  <si>
    <t>TK62327</t>
  </si>
  <si>
    <t>TK63366</t>
  </si>
  <si>
    <t>TK60732</t>
  </si>
  <si>
    <t>TK60416</t>
  </si>
  <si>
    <t>TK61868</t>
  </si>
  <si>
    <t>TK62103</t>
  </si>
  <si>
    <t>TK62499</t>
  </si>
  <si>
    <t>TK62658</t>
  </si>
  <si>
    <t>TK62731</t>
  </si>
  <si>
    <t>TK63120</t>
  </si>
  <si>
    <t>TK61647</t>
  </si>
  <si>
    <t>TK60490</t>
  </si>
  <si>
    <t>TK62953</t>
  </si>
  <si>
    <t>TK60172</t>
  </si>
  <si>
    <t>TK62167</t>
  </si>
  <si>
    <t>TK61041</t>
  </si>
  <si>
    <t>TK60965</t>
  </si>
  <si>
    <t>TK61930</t>
  </si>
  <si>
    <t>TK61577</t>
  </si>
  <si>
    <t>TK62371</t>
  </si>
  <si>
    <t>TK62363</t>
  </si>
  <si>
    <t>TK61554</t>
  </si>
  <si>
    <t>TK61602</t>
  </si>
  <si>
    <t>TK61851</t>
  </si>
  <si>
    <t>TK61329</t>
  </si>
  <si>
    <t>TK63114</t>
  </si>
  <si>
    <t>TK62947</t>
  </si>
  <si>
    <t>TK61219</t>
  </si>
  <si>
    <t>TK61238</t>
  </si>
  <si>
    <t>TK62265</t>
  </si>
  <si>
    <t>TK62729</t>
  </si>
  <si>
    <t>TK63324</t>
  </si>
  <si>
    <t>TK61773</t>
  </si>
  <si>
    <t>TK62372</t>
  </si>
  <si>
    <t>TK61738</t>
  </si>
  <si>
    <t>TK61826</t>
  </si>
  <si>
    <t>TK61248</t>
  </si>
  <si>
    <t>TK61907</t>
  </si>
  <si>
    <t>TK63036</t>
  </si>
  <si>
    <t>TK62441</t>
  </si>
  <si>
    <t>TK62295</t>
  </si>
  <si>
    <t>TK63769</t>
  </si>
  <si>
    <t>TK60213</t>
  </si>
  <si>
    <t>TK63116</t>
  </si>
  <si>
    <t>TK60244</t>
  </si>
  <si>
    <t>TK61880</t>
  </si>
  <si>
    <t>TK61646</t>
  </si>
  <si>
    <t>TK62281</t>
  </si>
  <si>
    <t>TK60676</t>
  </si>
  <si>
    <t>TK60294</t>
  </si>
  <si>
    <t>TK60694</t>
  </si>
  <si>
    <t>TK60384</t>
  </si>
  <si>
    <t>TK63873</t>
  </si>
  <si>
    <t>TK60529</t>
  </si>
  <si>
    <t>TK61182</t>
  </si>
  <si>
    <t>TK62419</t>
  </si>
  <si>
    <t>TK61487</t>
  </si>
  <si>
    <t>TK63874</t>
  </si>
  <si>
    <t>TK61971</t>
  </si>
  <si>
    <t>TK62987</t>
  </si>
  <si>
    <t>TK61906</t>
  </si>
  <si>
    <t>TK60101</t>
  </si>
  <si>
    <t>TK63984</t>
  </si>
  <si>
    <t>TK61246</t>
  </si>
  <si>
    <t>TK62769</t>
  </si>
  <si>
    <t>TK60464</t>
  </si>
  <si>
    <t>TK63167</t>
  </si>
  <si>
    <t>TK62335</t>
  </si>
  <si>
    <t>TK60096</t>
  </si>
  <si>
    <t>TK62398</t>
  </si>
  <si>
    <t>TK61758</t>
  </si>
  <si>
    <t>TK62430</t>
  </si>
  <si>
    <t>TK61623</t>
  </si>
  <si>
    <t>TK62130</t>
  </si>
  <si>
    <t>TK61378</t>
  </si>
  <si>
    <t>TK62369</t>
  </si>
  <si>
    <t>TK60028</t>
  </si>
  <si>
    <t>TK62533</t>
  </si>
  <si>
    <t>TK63029</t>
  </si>
  <si>
    <t>TK60815</t>
  </si>
  <si>
    <t>TK60589</t>
  </si>
  <si>
    <t>TK61843</t>
  </si>
  <si>
    <t>TK62182</t>
  </si>
  <si>
    <t>TK63540</t>
  </si>
  <si>
    <t>TK63758</t>
  </si>
  <si>
    <t>TK62956</t>
  </si>
  <si>
    <t>TK62698</t>
  </si>
  <si>
    <t>TK60137</t>
  </si>
  <si>
    <t>TK61098</t>
  </si>
  <si>
    <t>TK62971</t>
  </si>
  <si>
    <t>TK60038</t>
  </si>
  <si>
    <t>TK63418</t>
  </si>
  <si>
    <t>TK61418</t>
  </si>
  <si>
    <t>TK63358</t>
  </si>
  <si>
    <t>TK62512</t>
  </si>
  <si>
    <t>TK63027</t>
  </si>
  <si>
    <t>TK61384</t>
  </si>
  <si>
    <t>TK62862</t>
  </si>
  <si>
    <t>TK61529</t>
  </si>
  <si>
    <t>TK62715</t>
  </si>
  <si>
    <t>TK61661</t>
  </si>
  <si>
    <t>TK63514</t>
  </si>
  <si>
    <t>TK63054</t>
  </si>
  <si>
    <t>TK61912</t>
  </si>
  <si>
    <t>TK63723</t>
  </si>
  <si>
    <t>TK61838</t>
  </si>
  <si>
    <t>TK61357</t>
  </si>
  <si>
    <t>TK60971</t>
  </si>
  <si>
    <t>TK61893</t>
  </si>
  <si>
    <t>TK61371</t>
  </si>
  <si>
    <t>TK61925</t>
  </si>
  <si>
    <t>TK61894</t>
  </si>
  <si>
    <t>TK60606</t>
  </si>
  <si>
    <t>TK61892</t>
  </si>
  <si>
    <t>TK62714</t>
  </si>
  <si>
    <t>TK62504</t>
  </si>
  <si>
    <t>TK62945</t>
  </si>
  <si>
    <t>TK60383</t>
  </si>
  <si>
    <t>TK63658</t>
  </si>
  <si>
    <t>TK62058</t>
  </si>
  <si>
    <t>TK60309</t>
  </si>
  <si>
    <t>TK62344</t>
  </si>
  <si>
    <t>TK61545</t>
  </si>
  <si>
    <t>TK62627</t>
  </si>
  <si>
    <t>TK61933</t>
  </si>
  <si>
    <t>TK63841</t>
  </si>
  <si>
    <t>TK61655</t>
  </si>
  <si>
    <t>TK63939</t>
  </si>
  <si>
    <t>TK63530</t>
  </si>
  <si>
    <t>TK62169</t>
  </si>
  <si>
    <t>TK61781</t>
  </si>
  <si>
    <t>TK61143</t>
  </si>
  <si>
    <t>TK60075</t>
  </si>
  <si>
    <t>TK60158</t>
  </si>
  <si>
    <t>TK62358</t>
  </si>
  <si>
    <t>TK61965</t>
  </si>
  <si>
    <t>TK60130</t>
  </si>
  <si>
    <t>TK62600</t>
  </si>
  <si>
    <t>TK60428</t>
  </si>
  <si>
    <t>TK63989</t>
  </si>
  <si>
    <t>TK63103</t>
  </si>
  <si>
    <t>TK60922</t>
  </si>
  <si>
    <t>TK61455</t>
  </si>
  <si>
    <t>TK60588</t>
  </si>
  <si>
    <t>TK61382</t>
  </si>
  <si>
    <t>TK61681</t>
  </si>
  <si>
    <t>TK61792</t>
  </si>
  <si>
    <t>TK62356</t>
  </si>
  <si>
    <t>TK60373</t>
  </si>
  <si>
    <t>TK62785</t>
  </si>
  <si>
    <t>TK63148</t>
  </si>
  <si>
    <t>TK63214</t>
  </si>
  <si>
    <t>TK61849</t>
  </si>
  <si>
    <t>TK62420</t>
  </si>
  <si>
    <t>TK60166</t>
  </si>
  <si>
    <t>TK60602</t>
  </si>
  <si>
    <t>TK60720</t>
  </si>
  <si>
    <t>TK62539</t>
  </si>
  <si>
    <t>TK61046</t>
  </si>
  <si>
    <t>TK61569</t>
  </si>
  <si>
    <t>TK60079</t>
  </si>
  <si>
    <t>TK61889</t>
  </si>
  <si>
    <t>TK63035</t>
  </si>
  <si>
    <t>TK61842</t>
  </si>
  <si>
    <t>TK62343</t>
  </si>
  <si>
    <t>TK62779</t>
  </si>
  <si>
    <t>TK61794</t>
  </si>
  <si>
    <t>TK61761</t>
  </si>
  <si>
    <t>TK62983</t>
  </si>
  <si>
    <t>TK63962</t>
  </si>
  <si>
    <t>TK63070</t>
  </si>
  <si>
    <t>TK61777</t>
  </si>
  <si>
    <t>TK60153</t>
  </si>
  <si>
    <t>TK63463</t>
  </si>
  <si>
    <t>TK60348</t>
  </si>
  <si>
    <t>TK63598</t>
  </si>
  <si>
    <t>TK61579</t>
  </si>
  <si>
    <t>TK63999</t>
  </si>
  <si>
    <t>TK61340</t>
  </si>
  <si>
    <t>TK61898</t>
  </si>
  <si>
    <t>TK61860</t>
  </si>
  <si>
    <t>TK62049</t>
  </si>
  <si>
    <t>TK62141</t>
  </si>
  <si>
    <t>TK60103</t>
  </si>
  <si>
    <t>TK61811</t>
  </si>
  <si>
    <t>TK62323</t>
  </si>
  <si>
    <t>TK63909</t>
  </si>
  <si>
    <t>TK61280</t>
  </si>
  <si>
    <t>TK62913</t>
  </si>
  <si>
    <t>TK63323</t>
  </si>
  <si>
    <t>TK60341</t>
  </si>
  <si>
    <t>TK63217</t>
  </si>
  <si>
    <t>TK61036</t>
  </si>
  <si>
    <t>TK60412</t>
  </si>
  <si>
    <t>TK62460</t>
  </si>
  <si>
    <t>TK61559</t>
  </si>
  <si>
    <t>TK60775</t>
  </si>
  <si>
    <t>TK61124</t>
  </si>
  <si>
    <t>TK63639</t>
  </si>
  <si>
    <t>TK62417</t>
  </si>
  <si>
    <t>TK61050</t>
  </si>
  <si>
    <t>TK63262</t>
  </si>
  <si>
    <t>TK63653</t>
  </si>
  <si>
    <t>TK62179</t>
  </si>
  <si>
    <t>TK63857</t>
  </si>
  <si>
    <t>TK63512</t>
  </si>
  <si>
    <t>TK63950</t>
  </si>
  <si>
    <t>TK61116</t>
  </si>
  <si>
    <t>TK61751</t>
  </si>
  <si>
    <t>TK60925</t>
  </si>
  <si>
    <t>TK61010</t>
  </si>
  <si>
    <t>TK62001</t>
  </si>
  <si>
    <t>TK60088</t>
  </si>
  <si>
    <t>TK60271</t>
  </si>
  <si>
    <t>TK60517</t>
  </si>
  <si>
    <t>TK63213</t>
  </si>
  <si>
    <t>TK62284</t>
  </si>
  <si>
    <t>TK60715</t>
  </si>
  <si>
    <t>TK60758</t>
  </si>
  <si>
    <t>TK63458</t>
  </si>
  <si>
    <t>TK62612</t>
  </si>
  <si>
    <t>TK63205</t>
  </si>
  <si>
    <t>TK60165</t>
  </si>
  <si>
    <t>TK63238</t>
  </si>
  <si>
    <t>TK60029</t>
  </si>
  <si>
    <t>TK60211</t>
  </si>
  <si>
    <t>TK62748</t>
  </si>
  <si>
    <t>TK61164</t>
  </si>
  <si>
    <t>TK62435</t>
  </si>
  <si>
    <t>TK62143</t>
  </si>
  <si>
    <t>TK61178</t>
  </si>
  <si>
    <t>TK60144</t>
  </si>
  <si>
    <t>TK63154</t>
  </si>
  <si>
    <t>TK63960</t>
  </si>
  <si>
    <t>TK63736</t>
  </si>
  <si>
    <t>TK62907</t>
  </si>
  <si>
    <t>TK60640</t>
  </si>
  <si>
    <t>TK62746</t>
  </si>
  <si>
    <t>TK61138</t>
  </si>
  <si>
    <t>TK62036</t>
  </si>
  <si>
    <t>TK61557</t>
  </si>
  <si>
    <t>TK63923</t>
  </si>
  <si>
    <t>TK62881</t>
  </si>
  <si>
    <t>TK61181</t>
  </si>
  <si>
    <t>TK61824</t>
  </si>
  <si>
    <t>TK63680</t>
  </si>
  <si>
    <t>TK63069</t>
  </si>
  <si>
    <t>TK63987</t>
  </si>
  <si>
    <t>TK60327</t>
  </si>
  <si>
    <t>TK61504</t>
  </si>
  <si>
    <t>TK63722</t>
  </si>
  <si>
    <t>TK63607</t>
  </si>
  <si>
    <t>TK60031</t>
  </si>
  <si>
    <t>TK63865</t>
  </si>
  <si>
    <t>TK60622</t>
  </si>
  <si>
    <t>TK60829</t>
  </si>
  <si>
    <t>TK60927</t>
  </si>
  <si>
    <t>TK62294</t>
  </si>
  <si>
    <t>TK63088</t>
  </si>
  <si>
    <t>TK61917</t>
  </si>
  <si>
    <t>TK63014</t>
  </si>
  <si>
    <t>TK62331</t>
  </si>
  <si>
    <t>TK61934</t>
  </si>
  <si>
    <t>TK61034</t>
  </si>
  <si>
    <t>TK61259</t>
  </si>
  <si>
    <t>TK61296</t>
  </si>
  <si>
    <t>TK61489</t>
  </si>
  <si>
    <t>TK60479</t>
  </si>
  <si>
    <t>TK60650</t>
  </si>
  <si>
    <t>TK62474</t>
  </si>
  <si>
    <t>TK63940</t>
  </si>
  <si>
    <t>TK62783</t>
  </si>
  <si>
    <t>TK60410</t>
  </si>
  <si>
    <t>TK63921</t>
  </si>
  <si>
    <t>TK60541</t>
  </si>
  <si>
    <t>TK62150</t>
  </si>
  <si>
    <t>TK61555</t>
  </si>
  <si>
    <t>TK60376</t>
  </si>
  <si>
    <t>TK62981</t>
  </si>
  <si>
    <t>TK60865</t>
  </si>
  <si>
    <t>TK61932</t>
  </si>
  <si>
    <t>TK62159</t>
  </si>
  <si>
    <t>TK63196</t>
  </si>
  <si>
    <t>TK63136</t>
  </si>
  <si>
    <t>TK61112</t>
  </si>
  <si>
    <t>TK60329</t>
  </si>
  <si>
    <t>TK61682</t>
  </si>
  <si>
    <t>TK61271</t>
  </si>
  <si>
    <t>TK61362</t>
  </si>
  <si>
    <t>TK62760</t>
  </si>
  <si>
    <t>TK60504</t>
  </si>
  <si>
    <t>TK61222</t>
  </si>
  <si>
    <t>TK62390</t>
  </si>
  <si>
    <t>TK62263</t>
  </si>
  <si>
    <t>TK60284</t>
  </si>
  <si>
    <t>TK62788</t>
  </si>
  <si>
    <t>TK60293</t>
  </si>
  <si>
    <t>TK60421</t>
  </si>
  <si>
    <t>TK62018</t>
  </si>
  <si>
    <t>TK61337</t>
  </si>
  <si>
    <t>TK62089</t>
  </si>
  <si>
    <t>TK63067</t>
  </si>
  <si>
    <t>TK62370</t>
  </si>
  <si>
    <t>TK62266</t>
  </si>
  <si>
    <t>TK62590</t>
  </si>
  <si>
    <t>TK60152</t>
  </si>
  <si>
    <t>TK63031</t>
  </si>
  <si>
    <t>TK61950</t>
  </si>
  <si>
    <t>TK63469</t>
  </si>
  <si>
    <t>TK63502</t>
  </si>
  <si>
    <t>TK60070</t>
  </si>
  <si>
    <t>TK61897</t>
  </si>
  <si>
    <t>TK63382</t>
  </si>
  <si>
    <t>TK63593</t>
  </si>
  <si>
    <t>TK62411</t>
  </si>
  <si>
    <t>TK63272</t>
  </si>
  <si>
    <t>TK62476</t>
  </si>
  <si>
    <t>TK61899</t>
  </si>
  <si>
    <t>TK63709</t>
  </si>
  <si>
    <t>TK61734</t>
  </si>
  <si>
    <t>TK60370</t>
  </si>
  <si>
    <t>TK60367</t>
  </si>
  <si>
    <t>TK62968</t>
  </si>
  <si>
    <t>TK61675</t>
  </si>
  <si>
    <t>TK62716</t>
  </si>
  <si>
    <t>TK62307</t>
  </si>
  <si>
    <t>TK62763</t>
  </si>
  <si>
    <t>TK63550</t>
  </si>
  <si>
    <t>TK62693</t>
  </si>
  <si>
    <t>TK61289</t>
  </si>
  <si>
    <t>TK60945</t>
  </si>
  <si>
    <t>TK63299</t>
  </si>
  <si>
    <t>TK62691</t>
  </si>
  <si>
    <t>TK63628</t>
  </si>
  <si>
    <t>TK61218</t>
  </si>
  <si>
    <t>TK63207</t>
  </si>
  <si>
    <t>TK63907</t>
  </si>
  <si>
    <t>TK60819</t>
  </si>
  <si>
    <t>TK60628</t>
  </si>
  <si>
    <t>TK62200</t>
  </si>
  <si>
    <t>TK63970</t>
  </si>
  <si>
    <t>TK61871</t>
  </si>
  <si>
    <t>TK61691</t>
  </si>
  <si>
    <t>TK60181</t>
  </si>
  <si>
    <t>TK63040</t>
  </si>
  <si>
    <t>TK61628</t>
  </si>
  <si>
    <t>TK61928</t>
  </si>
  <si>
    <t>TK62011</t>
  </si>
  <si>
    <t>TK62782</t>
  </si>
  <si>
    <t>TK60908</t>
  </si>
  <si>
    <t>TK62289</t>
  </si>
  <si>
    <t>TK61749</t>
  </si>
  <si>
    <t>TK60525</t>
  </si>
  <si>
    <t>TK61385</t>
  </si>
  <si>
    <t>TK60751</t>
  </si>
  <si>
    <t>TK60401</t>
  </si>
  <si>
    <t>TK63847</t>
  </si>
  <si>
    <t>TK62809</t>
  </si>
  <si>
    <t>TK61775</t>
  </si>
  <si>
    <t>TK61576</t>
  </si>
  <si>
    <t>TK61564</t>
  </si>
  <si>
    <t>TK61139</t>
  </si>
  <si>
    <t>TK61760</t>
  </si>
  <si>
    <t>TK60174</t>
  </si>
  <si>
    <t>TK62747</t>
  </si>
  <si>
    <t>TK62815</t>
  </si>
  <si>
    <t>TK63897</t>
  </si>
  <si>
    <t>TK63479</t>
  </si>
  <si>
    <t>TK63388</t>
  </si>
  <si>
    <t>TK62685</t>
  </si>
  <si>
    <t>TK63932</t>
  </si>
  <si>
    <t>TK60312</t>
  </si>
  <si>
    <t>TK61284</t>
  </si>
  <si>
    <t>TK63009</t>
  </si>
  <si>
    <t>TK61954</t>
  </si>
  <si>
    <t>TK62891</t>
  </si>
  <si>
    <t>TK61068</t>
  </si>
  <si>
    <t>TK60304</t>
  </si>
  <si>
    <t>TK60633</t>
  </si>
  <si>
    <t>TK61739</t>
  </si>
  <si>
    <t>TK60579</t>
  </si>
  <si>
    <t>TK63977</t>
  </si>
  <si>
    <t>TK61349</t>
  </si>
  <si>
    <t>TK61878</t>
  </si>
  <si>
    <t>TK63629</t>
  </si>
  <si>
    <t>TK63979</t>
  </si>
  <si>
    <t>TK63576</t>
  </si>
  <si>
    <t>TK62649</t>
  </si>
  <si>
    <t>TK60015</t>
  </si>
  <si>
    <t>TK60224</t>
  </si>
  <si>
    <t>TK62556</t>
  </si>
  <si>
    <t>TK61942</t>
  </si>
  <si>
    <t>TK61713</t>
  </si>
  <si>
    <t>TK62830</t>
  </si>
  <si>
    <t>TK63491</t>
  </si>
  <si>
    <t>TK62345</t>
  </si>
  <si>
    <t>TK63922</t>
  </si>
  <si>
    <t>TK61402</t>
  </si>
  <si>
    <t>TK61024</t>
  </si>
  <si>
    <t>TK61326</t>
  </si>
  <si>
    <t>TK60737</t>
  </si>
  <si>
    <t>TK60197</t>
  </si>
  <si>
    <t>TK62271</t>
  </si>
  <si>
    <t>TK60440</t>
  </si>
  <si>
    <t>TK63385</t>
  </si>
  <si>
    <t>TK60124</t>
  </si>
  <si>
    <t>TK60045</t>
  </si>
  <si>
    <t>TK61089</t>
  </si>
  <si>
    <t>TK60572</t>
  </si>
  <si>
    <t>TK61403</t>
  </si>
  <si>
    <t>TK60705</t>
  </si>
  <si>
    <t>TK63998</t>
  </si>
  <si>
    <t>TK62270</t>
  </si>
  <si>
    <t>TK62827</t>
  </si>
  <si>
    <t>TK62954</t>
  </si>
  <si>
    <t>TK60138</t>
  </si>
  <si>
    <t>TK62789</t>
  </si>
  <si>
    <t>TK60995</t>
  </si>
  <si>
    <t>TK62966</t>
  </si>
  <si>
    <t>TK63755</t>
  </si>
  <si>
    <t>TK63982</t>
  </si>
  <si>
    <t>TK62449</t>
  </si>
  <si>
    <t>TK60150</t>
  </si>
  <si>
    <t>TK63356</t>
  </si>
  <si>
    <t>TK61103</t>
  </si>
  <si>
    <t>TK63910</t>
  </si>
  <si>
    <t>TK61550</t>
  </si>
  <si>
    <t>TK63667</t>
  </si>
  <si>
    <t>TK60037</t>
  </si>
  <si>
    <t>TK60791</t>
  </si>
  <si>
    <t>TK63085</t>
  </si>
  <si>
    <t>TK63911</t>
  </si>
  <si>
    <t>TK61787</t>
  </si>
  <si>
    <t>TK61969</t>
  </si>
  <si>
    <t>TK63750</t>
  </si>
  <si>
    <t>TK61935</t>
  </si>
  <si>
    <t>TK62865</t>
  </si>
  <si>
    <t>TK62151</t>
  </si>
  <si>
    <t>TK63791</t>
  </si>
  <si>
    <t>TK62332</t>
  </si>
  <si>
    <t>TK63587</t>
  </si>
  <si>
    <t>TK63177</t>
  </si>
  <si>
    <t>TK61837</t>
  </si>
  <si>
    <t>TK63993</t>
  </si>
  <si>
    <t>TK62850</t>
  </si>
  <si>
    <t>TK62380</t>
  </si>
  <si>
    <t>TK60779</t>
  </si>
  <si>
    <t>TK60951</t>
  </si>
  <si>
    <t>TK60532</t>
  </si>
  <si>
    <t>TK61845</t>
  </si>
  <si>
    <t>TK63934</t>
  </si>
  <si>
    <t>TK63039</t>
  </si>
  <si>
    <t>TK60295</t>
  </si>
  <si>
    <t>TK60769</t>
  </si>
  <si>
    <t>TK63349</t>
  </si>
  <si>
    <t>TK60550</t>
  </si>
  <si>
    <t>TK60853</t>
  </si>
  <si>
    <t>TK63026</t>
  </si>
  <si>
    <t>TK61460</t>
  </si>
  <si>
    <t>TK61347</t>
  </si>
  <si>
    <t>TK63899</t>
  </si>
  <si>
    <t>TK62681</t>
  </si>
  <si>
    <t>TK61003</t>
  </si>
  <si>
    <t>TK62636</t>
  </si>
  <si>
    <t>TK60852</t>
  </si>
  <si>
    <t>TK60020</t>
  </si>
  <si>
    <t>TK61972</t>
  </si>
  <si>
    <t>TK61702</t>
  </si>
  <si>
    <t>TK63304</t>
  </si>
  <si>
    <t>TK63361</t>
  </si>
  <si>
    <t>TK63519</t>
  </si>
  <si>
    <t>TK60186</t>
  </si>
  <si>
    <t>TK62564</t>
  </si>
  <si>
    <t>TK63030</t>
  </si>
  <si>
    <t>TK61474</t>
  </si>
  <si>
    <t>TK62351</t>
  </si>
  <si>
    <t>TK63362</t>
  </si>
  <si>
    <t>TK60478</t>
  </si>
  <si>
    <t>TK60941</t>
  </si>
  <si>
    <t>TK63612</t>
  </si>
  <si>
    <t>TK62520</t>
  </si>
  <si>
    <t>TK62065</t>
  </si>
  <si>
    <t>TK61223</t>
  </si>
  <si>
    <t>TK63537</t>
  </si>
  <si>
    <t>TK63459</t>
  </si>
  <si>
    <t>TK60547</t>
  </si>
  <si>
    <t>TK63846</t>
  </si>
  <si>
    <t>TK62497</t>
  </si>
  <si>
    <t>TK61604</t>
  </si>
  <si>
    <t>TK60721</t>
  </si>
  <si>
    <t>TK60170</t>
  </si>
  <si>
    <t>TK61467</t>
  </si>
  <si>
    <t>TK63526</t>
  </si>
  <si>
    <t>TK62845</t>
  </si>
  <si>
    <t>TK62218</t>
  </si>
  <si>
    <t>TK62409</t>
  </si>
  <si>
    <t>TK61092</t>
  </si>
  <si>
    <t>TK62350</t>
  </si>
  <si>
    <t>TK62319</t>
  </si>
  <si>
    <t>TK62739</t>
  </si>
  <si>
    <t>TK62617</t>
  </si>
  <si>
    <t>TK60683</t>
  </si>
  <si>
    <t>TK60063</t>
  </si>
  <si>
    <t>TK61473</t>
  </si>
  <si>
    <t>TK63042</t>
  </si>
  <si>
    <t>TK62998</t>
  </si>
  <si>
    <t>TK63830</t>
  </si>
  <si>
    <t>TK62794</t>
  </si>
  <si>
    <t>TK62804</t>
  </si>
  <si>
    <t>TK60113</t>
  </si>
  <si>
    <t>TK61423</t>
  </si>
  <si>
    <t>TK62611</t>
  </si>
  <si>
    <t>TK60321</t>
  </si>
  <si>
    <t>TK63106</t>
  </si>
  <si>
    <t>TK62772</t>
  </si>
  <si>
    <t>TK60638</t>
  </si>
  <si>
    <t>TK61268</t>
  </si>
  <si>
    <t>TK60770</t>
  </si>
  <si>
    <t>TK61040</t>
  </si>
  <si>
    <t>TK63087</t>
  </si>
  <si>
    <t>TK62679</t>
  </si>
  <si>
    <t>TK62861</t>
  </si>
  <si>
    <t>TK61840</t>
  </si>
  <si>
    <t>TK63916</t>
  </si>
  <si>
    <t>TK61599</t>
  </si>
  <si>
    <t>TK60891</t>
  </si>
  <si>
    <t>TK63408</t>
  </si>
  <si>
    <t>TK60448</t>
  </si>
  <si>
    <t>TK61869</t>
  </si>
  <si>
    <t>TK63189</t>
  </si>
  <si>
    <t>TK62154</t>
  </si>
  <si>
    <t>TK60095</t>
  </si>
  <si>
    <t>TK62178</t>
  </si>
  <si>
    <t>TK61167</t>
  </si>
  <si>
    <t>TK61130</t>
  </si>
  <si>
    <t>TK60653</t>
  </si>
  <si>
    <t>TK61175</t>
  </si>
  <si>
    <t>TK62585</t>
  </si>
  <si>
    <t>TK60313</t>
  </si>
  <si>
    <t>TK61726</t>
  </si>
  <si>
    <t>TK61990</t>
  </si>
  <si>
    <t>TK63671</t>
  </si>
  <si>
    <t>TK60080</t>
  </si>
  <si>
    <t>TK63452</t>
  </si>
  <si>
    <t>TK63188</t>
  </si>
  <si>
    <t>TK60077</t>
  </si>
  <si>
    <t>TK60340</t>
  </si>
  <si>
    <t>TK63499</t>
  </si>
  <si>
    <t>TK62110</t>
  </si>
  <si>
    <t>TK60307</t>
  </si>
  <si>
    <t>TK60117</t>
  </si>
  <si>
    <t>TK60624</t>
  </si>
  <si>
    <t>TK60196</t>
  </si>
  <si>
    <t>TK63616</t>
  </si>
  <si>
    <t>TK60352</t>
  </si>
  <si>
    <t>TK61578</t>
  </si>
  <si>
    <t>TK63952</t>
  </si>
  <si>
    <t>TK63898</t>
  </si>
  <si>
    <t>TK61770</t>
  </si>
  <si>
    <t>TK63762</t>
  </si>
  <si>
    <t>TK61081</t>
  </si>
  <si>
    <t>TK61184</t>
  </si>
  <si>
    <t>TK63555</t>
  </si>
  <si>
    <t>TK63833</t>
  </si>
  <si>
    <t>TK60406</t>
  </si>
  <si>
    <t>TK63265</t>
  </si>
  <si>
    <t>TK62070</t>
  </si>
  <si>
    <t>TK63820</t>
  </si>
  <si>
    <t>TK60169</t>
  </si>
  <si>
    <t>TK63649</t>
  </si>
  <si>
    <t>TK62355</t>
  </si>
  <si>
    <t>TK62309</t>
  </si>
  <si>
    <t>TK61841</t>
  </si>
  <si>
    <t>TK61687</t>
  </si>
  <si>
    <t>TK63524</t>
  </si>
  <si>
    <t>TK60998</t>
  </si>
  <si>
    <t>TK61678</t>
  </si>
  <si>
    <t>TK63807</t>
  </si>
  <si>
    <t>TK63345</t>
  </si>
  <si>
    <t>TK63082</t>
  </si>
  <si>
    <t>TK63053</t>
  </si>
  <si>
    <t>TK60578</t>
  </si>
  <si>
    <t>TK61975</t>
  </si>
  <si>
    <t>TK63117</t>
  </si>
  <si>
    <t>TK62490</t>
  </si>
  <si>
    <t>TK62541</t>
  </si>
  <si>
    <t>TK61585</t>
  </si>
  <si>
    <t>TK63973</t>
  </si>
  <si>
    <t>TK61533</t>
  </si>
  <si>
    <t>TK60990</t>
  </si>
  <si>
    <t>TK63655</t>
  </si>
  <si>
    <t>TK60292</t>
  </si>
  <si>
    <t>TK60750</t>
  </si>
  <si>
    <t>TK62844</t>
  </si>
  <si>
    <t>TK60930</t>
  </si>
  <si>
    <t>TK63855</t>
  </si>
  <si>
    <t>TK63781</t>
  </si>
  <si>
    <t>TK61481</t>
  </si>
  <si>
    <t>TK62709</t>
  </si>
  <si>
    <t>TK62111</t>
  </si>
  <si>
    <t>TK62970</t>
  </si>
  <si>
    <t>TK63937</t>
  </si>
  <si>
    <t>TK61978</t>
  </si>
  <si>
    <t>TK63278</t>
  </si>
  <si>
    <t>TK60817</t>
  </si>
  <si>
    <t>TK60571</t>
  </si>
  <si>
    <t>TK60450</t>
  </si>
  <si>
    <t>TK60449</t>
  </si>
  <si>
    <t>TK63049</t>
  </si>
  <si>
    <t>TK62561</t>
  </si>
  <si>
    <t>TK62846</t>
  </si>
  <si>
    <t>TK61094</t>
  </si>
  <si>
    <t>TK62126</t>
  </si>
  <si>
    <t>TK62764</t>
  </si>
  <si>
    <t>TK60803</t>
  </si>
  <si>
    <t>TK62359</t>
  </si>
  <si>
    <t>Row Labels</t>
  </si>
  <si>
    <t>Grand Total</t>
  </si>
  <si>
    <t>Count of ticket_id</t>
  </si>
  <si>
    <t>Count of ticket_id2</t>
  </si>
  <si>
    <t>Column Labels</t>
  </si>
  <si>
    <t>Check</t>
  </si>
  <si>
    <t>First response</t>
  </si>
  <si>
    <t>Resolution timestamp</t>
  </si>
  <si>
    <t>Satisfaction score</t>
  </si>
  <si>
    <t>Missing %</t>
  </si>
  <si>
    <t>Numeric opening timestamps</t>
  </si>
  <si>
    <t>Numeric resolution timestamps</t>
  </si>
  <si>
    <t>resolution_hours</t>
  </si>
  <si>
    <t>timing_check</t>
  </si>
  <si>
    <r>
      <t>Timing records needing review</t>
    </r>
    <r>
      <rPr>
        <sz val="11"/>
        <color theme="1"/>
        <rFont val="Aptos Narrow"/>
        <family val="2"/>
        <scheme val="minor"/>
      </rPr>
      <t>.</t>
    </r>
  </si>
  <si>
    <t>id_count</t>
  </si>
  <si>
    <t>Rows with repeated ticket IDs</t>
  </si>
  <si>
    <t>Negative first-response times</t>
  </si>
  <si>
    <t>Negative resolution hours</t>
  </si>
  <si>
    <t>CSAT scores outside 1–5</t>
  </si>
  <si>
    <t>Issue</t>
  </si>
  <si>
    <t>Decision</t>
  </si>
  <si>
    <t>Keep blank; exclude from average first-response time.</t>
  </si>
  <si>
    <t>Keep blank; exclude from average resolution time.</t>
  </si>
  <si>
    <t>Keep blank; calculate average CSAT using recorded scores only.</t>
  </si>
  <si>
    <t>149 = missing first-response times</t>
  </si>
  <si>
    <t>225 = missing resolution timestamps</t>
  </si>
  <si>
    <t>2,774 = missing satisfaction scores</t>
  </si>
  <si>
    <t>143 = timing inconsistencies</t>
  </si>
  <si>
    <t>Cell</t>
  </si>
  <si>
    <t>Enter</t>
  </si>
  <si>
    <t>A8</t>
  </si>
  <si>
    <t>Initial findings</t>
  </si>
  <si>
    <t>A9</t>
  </si>
  <si>
    <t>Technical has the largest ticket volume: 1,282 tickets (32.05%).</t>
  </si>
  <si>
    <t>A10</t>
  </si>
  <si>
    <t>Technical and billing together account for 56.05% of tickets.</t>
  </si>
  <si>
    <t>A11</t>
  </si>
  <si>
    <t>Only 1,226 of 4,000 tickets have CSAT scores (30.65%); satisfaction findings represent rated tickets.</t>
  </si>
  <si>
    <t>A12</t>
  </si>
  <si>
    <t>Ticket volume alone does not show which queue performs poorly; response and resolution times need analysis.</t>
  </si>
  <si>
    <t>Record count</t>
  </si>
  <si>
    <t>Queue</t>
  </si>
  <si>
    <t>Ticket count</t>
  </si>
  <si>
    <t>analysis_first_response_min</t>
  </si>
  <si>
    <t>analysis_resolution_hours</t>
  </si>
  <si>
    <t>Formula</t>
  </si>
  <si>
    <t>Expected</t>
  </si>
  <si>
    <t>Usable response times</t>
  </si>
  <si>
    <t>Usable resolution times</t>
  </si>
  <si>
    <t>x</t>
  </si>
  <si>
    <t>Keep records flagged for review; do notPreserved original values. Excluded 143 conflicting tickets from timing metrics using the analysis columns. Retained them for ticket counts. Correct times remain unknown. alter durations without evidence.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</si>
</sst>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:ss"/>
  </numFmts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rial Unicode MS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0" fillId="0" borderId="0" xfId="0" pivotButton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10" fontId="0" fillId="0" borderId="0" xfId="0" applyNumberFormat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0" fillId="0" borderId="0" xfId="0" applyAlignment="1">
      <alignment vertical="center" wrapText="1"/>
    </xf>
    <xf numFmtId="0" fontId="16" fillId="0" borderId="0" xfId="0" applyFont="1" applyAlignment="1">
      <alignment vertical="center" wrapText="1"/>
    </xf>
    <xf numFmtId="0" fontId="19" fillId="0" borderId="0" xfId="0" applyFont="1" applyAlignment="1">
      <alignment horizontal="center"/>
    </xf>
    <xf numFmtId="0" fontId="16" fillId="0" borderId="12" xfId="0" applyFont="1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16" fillId="0" borderId="11" xfId="0" applyFont="1" applyBorder="1" applyAlignment="1">
      <alignment horizontal="center"/>
    </xf>
    <xf numFmtId="0" fontId="0" fillId="33" borderId="12" xfId="0" applyFill="1" applyBorder="1" applyAlignment="1">
      <alignment horizontal="center"/>
    </xf>
    <xf numFmtId="0" fontId="19" fillId="33" borderId="10" xfId="0" applyFont="1" applyFill="1" applyBorder="1" applyAlignment="1">
      <alignment horizontal="center"/>
    </xf>
    <xf numFmtId="0" fontId="0" fillId="33" borderId="11" xfId="0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19" fillId="0" borderId="10" xfId="0" applyFont="1" applyBorder="1" applyAlignment="1">
      <alignment horizontal="center"/>
    </xf>
    <xf numFmtId="0" fontId="0" fillId="0" borderId="11" xfId="0" applyBorder="1" applyAlignment="1">
      <alignment horizontal="center"/>
    </xf>
    <xf numFmtId="164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1">
    <dxf>
      <numFmt numFmtId="164" formatCode="yyyy/mm/dd\ hh:mm:ss"/>
      <alignment horizontal="center" vertical="bottom" textRotation="0" wrapText="0" indent="0" justifyLastLine="0" shrinkToFit="0" readingOrder="0"/>
    </dxf>
    <dxf>
      <numFmt numFmtId="164" formatCode="yyyy/mm/dd\ hh:mm:ss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Ticket Volume by Support Queue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Charts!$B$1</c:f>
              <c:strCache>
                <c:ptCount val="1"/>
                <c:pt idx="0">
                  <c:v>Ticket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Charts!$A$2:$A$6</c:f>
              <c:strCache>
                <c:ptCount val="5"/>
                <c:pt idx="0">
                  <c:v>technical</c:v>
                </c:pt>
                <c:pt idx="1">
                  <c:v>billing</c:v>
                </c:pt>
                <c:pt idx="2">
                  <c:v>account</c:v>
                </c:pt>
                <c:pt idx="3">
                  <c:v>onboarding</c:v>
                </c:pt>
                <c:pt idx="4">
                  <c:v>integrations</c:v>
                </c:pt>
              </c:strCache>
            </c:strRef>
          </c:cat>
          <c:val>
            <c:numRef>
              <c:f>Charts!$B$2:$B$6</c:f>
              <c:numCache>
                <c:formatCode>General</c:formatCode>
                <c:ptCount val="5"/>
                <c:pt idx="0">
                  <c:v>1282</c:v>
                </c:pt>
                <c:pt idx="1">
                  <c:v>960</c:v>
                </c:pt>
                <c:pt idx="2">
                  <c:v>647</c:v>
                </c:pt>
                <c:pt idx="3">
                  <c:v>586</c:v>
                </c:pt>
                <c:pt idx="4">
                  <c:v>525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B0-4D21-809B-4E5EFF029E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79828751"/>
        <c:axId val="1222049295"/>
      </c:barChart>
      <c:catAx>
        <c:axId val="1379828751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2049295"/>
        <c:crosses val="autoZero"/>
        <c:auto val="1"/>
        <c:lblAlgn val="ctr"/>
        <c:lblOffset val="100"/>
        <c:noMultiLvlLbl val="0"/>
      </c:catAx>
      <c:valAx>
        <c:axId val="1222049295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8287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13</xdr:col>
      <xdr:colOff>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800D2D-8400-3B28-6D72-F646FE4BC7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EPAK" refreshedDate="46304.780192824073" createdVersion="8" refreshedVersion="8" minRefreshableVersion="3" recordCount="4000" xr:uid="{72CC8570-D50F-4BF9-8016-4D151A77CD8B}">
  <cacheSource type="worksheet">
    <worksheetSource name="SupportTickets"/>
  </cacheSource>
  <cacheFields count="10">
    <cacheField name="ticket_id" numFmtId="0">
      <sharedItems/>
    </cacheField>
    <cacheField name="opened_at" numFmtId="22">
      <sharedItems containsSemiMixedTypes="0" containsNonDate="0" containsDate="1" containsString="0" minDate="2023-01-01T02:15:00" maxDate="2024-02-04T17:27:00"/>
    </cacheField>
    <cacheField name="channel" numFmtId="0">
      <sharedItems containsBlank="1"/>
    </cacheField>
    <cacheField name="queue" numFmtId="0">
      <sharedItems count="5">
        <s v="onboarding"/>
        <s v="technical"/>
        <s v="billing"/>
        <s v="integrations"/>
        <s v="account"/>
      </sharedItems>
    </cacheField>
    <cacheField name="priority" numFmtId="0">
      <sharedItems count="4">
        <s v="high"/>
        <s v="normal"/>
        <s v="urgent"/>
        <s v="low"/>
      </sharedItems>
    </cacheField>
    <cacheField name="subject" numFmtId="0">
      <sharedItems/>
    </cacheField>
    <cacheField name="first_response_min" numFmtId="0">
      <sharedItems containsString="0" containsBlank="1" containsNumber="1" containsInteger="1" minValue="1" maxValue="4444"/>
    </cacheField>
    <cacheField name="resolved_at" numFmtId="0">
      <sharedItems containsNonDate="0" containsDate="1" containsString="0" containsBlank="1" minDate="2023-01-01T07:46:35" maxDate="2024-02-04T22:44:31"/>
    </cacheField>
    <cacheField name="reopened" numFmtId="0">
      <sharedItems/>
    </cacheField>
    <cacheField name="csat" numFmtId="0">
      <sharedItems containsString="0" containsBlank="1" containsNumber="1" containsInteger="1" minValue="1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00">
  <r>
    <s v="TK62871"/>
    <d v="2023-01-01T02:15:00"/>
    <s v="in-app"/>
    <x v="0"/>
    <x v="0"/>
    <s v="Error when log in after password reset"/>
    <n v="63"/>
    <d v="2023-01-01T07:46:35"/>
    <b v="1"/>
    <m/>
  </r>
  <r>
    <s v="TK60343"/>
    <d v="2023-01-01T05:41:00"/>
    <s v="email"/>
    <x v="1"/>
    <x v="1"/>
    <s v="Question about two-factor authentication"/>
    <n v="7"/>
    <d v="2023-01-01T09:07:58"/>
    <b v="0"/>
    <m/>
  </r>
  <r>
    <s v="TK62950"/>
    <d v="2023-01-01T06:05:00"/>
    <s v="in-app"/>
    <x v="2"/>
    <x v="2"/>
    <s v="Unable to connecting the Snowflake sync"/>
    <n v="44"/>
    <d v="2023-01-01T08:14:24"/>
    <b v="0"/>
    <m/>
  </r>
  <r>
    <s v="TK61014"/>
    <d v="2023-01-01T06:32:00"/>
    <s v="chat"/>
    <x v="3"/>
    <x v="1"/>
    <s v="Cannot connecting the Snowflake sync"/>
    <n v="98"/>
    <m/>
    <b v="0"/>
    <m/>
  </r>
  <r>
    <s v="TK61679"/>
    <d v="2023-01-01T08:06:00"/>
    <s v="chat"/>
    <x v="0"/>
    <x v="0"/>
    <s v="How do I a duplicate charge"/>
    <n v="14"/>
    <d v="2023-01-01T09:27:09"/>
    <b v="0"/>
    <n v="5"/>
  </r>
  <r>
    <s v="TK62374"/>
    <d v="2023-01-01T08:28:00"/>
    <s v="in-app"/>
    <x v="2"/>
    <x v="1"/>
    <s v="Issue with connecting the Snowflake sync"/>
    <n v="416"/>
    <d v="2023-01-02T02:19:53"/>
    <b v="0"/>
    <n v="3"/>
  </r>
  <r>
    <s v="TK60058"/>
    <d v="2023-01-01T14:32:00"/>
    <s v="in-app"/>
    <x v="0"/>
    <x v="3"/>
    <s v="Issue with connecting the Snowflake sync"/>
    <n v="361"/>
    <d v="2023-01-01T18:42:10"/>
    <b v="0"/>
    <m/>
  </r>
  <r>
    <s v="TK63175"/>
    <d v="2023-01-01T16:20:00"/>
    <s v="email"/>
    <x v="2"/>
    <x v="0"/>
    <s v="Request to a refund for an annual plan"/>
    <n v="52"/>
    <d v="2023-01-01T20:45:17"/>
    <b v="0"/>
    <m/>
  </r>
  <r>
    <s v="TK60862"/>
    <d v="2023-01-01T20:06:00"/>
    <s v="chat"/>
    <x v="1"/>
    <x v="2"/>
    <s v="Unable to export my data"/>
    <n v="28"/>
    <d v="2023-01-06T00:36:09"/>
    <b v="0"/>
    <m/>
  </r>
  <r>
    <s v="TK61273"/>
    <d v="2023-01-01T21:47:00"/>
    <s v="in-app"/>
    <x v="2"/>
    <x v="2"/>
    <s v="Unable to log in after password reset"/>
    <m/>
    <d v="2023-01-02T02:13:20"/>
    <b v="0"/>
    <m/>
  </r>
  <r>
    <s v="TK60338"/>
    <d v="2023-01-01T22:09:00"/>
    <s v="in-app"/>
    <x v="3"/>
    <x v="3"/>
    <s v="Error when a duplicate charge"/>
    <n v="243"/>
    <d v="2023-01-17T13:14:25"/>
    <b v="0"/>
    <m/>
  </r>
  <r>
    <s v="TK62094"/>
    <d v="2023-01-01T22:46:00"/>
    <s v="phone"/>
    <x v="3"/>
    <x v="0"/>
    <s v="Question about downgrade my plan"/>
    <n v="19"/>
    <d v="2023-01-02T22:02:42"/>
    <b v="1"/>
    <n v="4"/>
  </r>
  <r>
    <s v="TK61700"/>
    <d v="2023-01-01T23:07:00"/>
    <s v="chat"/>
    <x v="0"/>
    <x v="1"/>
    <s v="Error when downgrade my plan"/>
    <n v="109"/>
    <d v="2023-01-02T13:42:22"/>
    <b v="0"/>
    <m/>
  </r>
  <r>
    <s v="TK60629"/>
    <d v="2023-01-02T00:30:00"/>
    <s v="phone"/>
    <x v="1"/>
    <x v="1"/>
    <s v="Cannot the invoice for last month"/>
    <n v="135"/>
    <d v="2023-01-06T00:18:25"/>
    <b v="0"/>
    <n v="4"/>
  </r>
  <r>
    <s v="TK61804"/>
    <d v="2023-01-02T00:32:00"/>
    <s v="in-app"/>
    <x v="1"/>
    <x v="3"/>
    <s v="Request to downgrade my plan"/>
    <n v="34"/>
    <d v="2023-01-09T11:38:35"/>
    <b v="1"/>
    <n v="3"/>
  </r>
  <r>
    <s v="TK63544"/>
    <d v="2023-01-02T03:46:00"/>
    <s v="phone"/>
    <x v="2"/>
    <x v="1"/>
    <s v="Question about the dashboard loading slowly"/>
    <n v="175"/>
    <d v="2023-01-04T23:02:02"/>
    <b v="0"/>
    <m/>
  </r>
  <r>
    <s v="TK60702"/>
    <d v="2023-01-02T05:26:00"/>
    <s v="in-app"/>
    <x v="2"/>
    <x v="1"/>
    <s v="Request to export my data"/>
    <n v="41"/>
    <d v="2023-01-08T07:28:28"/>
    <b v="0"/>
    <m/>
  </r>
  <r>
    <s v="TK63194"/>
    <d v="2023-01-02T07:23:00"/>
    <s v="chat"/>
    <x v="3"/>
    <x v="1"/>
    <s v="Issue with connecting the Snowflake sync"/>
    <n v="16"/>
    <d v="2023-01-02T22:06:06"/>
    <b v="0"/>
    <m/>
  </r>
  <r>
    <s v="TK60986"/>
    <d v="2023-01-02T09:53:00"/>
    <s v="chat"/>
    <x v="0"/>
    <x v="1"/>
    <s v="Issue with add a teammate"/>
    <n v="125"/>
    <d v="2023-01-05T01:17:54"/>
    <b v="0"/>
    <n v="5"/>
  </r>
  <r>
    <s v="TK60718"/>
    <d v="2023-01-02T20:37:00"/>
    <s v="email"/>
    <x v="4"/>
    <x v="3"/>
    <s v="Unable to a duplicate charge"/>
    <n v="127"/>
    <d v="2023-01-04T09:34:53"/>
    <b v="0"/>
    <n v="2"/>
  </r>
  <r>
    <s v="TK62105"/>
    <d v="2023-01-02T21:07:00"/>
    <s v="email"/>
    <x v="4"/>
    <x v="2"/>
    <s v="Question about webhook deliveries failing"/>
    <n v="32"/>
    <d v="2023-01-03T06:51:19"/>
    <b v="0"/>
    <n v="3"/>
  </r>
  <r>
    <s v="TK61752"/>
    <d v="2023-01-02T21:28:00"/>
    <s v="in-app"/>
    <x v="2"/>
    <x v="2"/>
    <s v="Issue with a duplicate charge"/>
    <n v="9"/>
    <d v="2023-01-03T12:56:18"/>
    <b v="0"/>
    <n v="4"/>
  </r>
  <r>
    <s v="TK63566"/>
    <d v="2023-01-02T22:20:00"/>
    <s v="chat"/>
    <x v="0"/>
    <x v="1"/>
    <s v="Issue with the dashboard loading slowly"/>
    <n v="58"/>
    <d v="2023-01-03T08:18:51"/>
    <b v="1"/>
    <m/>
  </r>
  <r>
    <s v="TK63266"/>
    <d v="2023-01-03T00:38:00"/>
    <s v="email"/>
    <x v="1"/>
    <x v="1"/>
    <s v="Request to the invoice for last month"/>
    <n v="46"/>
    <d v="2023-01-03T11:51:25"/>
    <b v="0"/>
    <m/>
  </r>
  <r>
    <s v="TK62379"/>
    <d v="2023-01-03T00:43:00"/>
    <s v="chat"/>
    <x v="4"/>
    <x v="0"/>
    <s v="Issue with the API rate limit"/>
    <n v="4"/>
    <d v="2023-01-03T09:52:49"/>
    <b v="0"/>
    <m/>
  </r>
  <r>
    <s v="TK63201"/>
    <d v="2023-01-03T04:11:00"/>
    <s v="phone"/>
    <x v="4"/>
    <x v="1"/>
    <s v="How do I log in after password reset"/>
    <n v="47"/>
    <m/>
    <b v="0"/>
    <m/>
  </r>
  <r>
    <s v="TK63493"/>
    <d v="2023-01-03T04:48:00"/>
    <s v="chat"/>
    <x v="4"/>
    <x v="1"/>
    <s v="Unable to the invoice for last month"/>
    <n v="78"/>
    <d v="2023-01-04T09:59:47"/>
    <b v="0"/>
    <m/>
  </r>
  <r>
    <s v="TK61552"/>
    <d v="2023-01-03T08:56:00"/>
    <s v="in-app"/>
    <x v="1"/>
    <x v="1"/>
    <s v="Request to webhook deliveries failing"/>
    <n v="285"/>
    <d v="2023-01-04T12:24:02"/>
    <b v="1"/>
    <m/>
  </r>
  <r>
    <s v="TK62963"/>
    <d v="2023-01-03T10:11:00"/>
    <s v="chat"/>
    <x v="4"/>
    <x v="0"/>
    <s v="How do I the API rate limit"/>
    <n v="19"/>
    <d v="2023-01-03T18:11:36"/>
    <b v="0"/>
    <m/>
  </r>
  <r>
    <s v="TK61844"/>
    <d v="2023-01-03T10:25:00"/>
    <s v="chat"/>
    <x v="2"/>
    <x v="0"/>
    <s v="Error when export my data"/>
    <n v="32"/>
    <d v="2023-01-03T12:13:27"/>
    <b v="0"/>
    <m/>
  </r>
  <r>
    <s v="TK62478"/>
    <d v="2023-01-03T10:48:00"/>
    <s v="email"/>
    <x v="2"/>
    <x v="1"/>
    <s v="How do I the API rate limit"/>
    <n v="103"/>
    <d v="2023-01-04T03:55:25"/>
    <b v="0"/>
    <m/>
  </r>
  <r>
    <s v="TK60108"/>
    <d v="2023-01-03T11:08:00"/>
    <s v="email"/>
    <x v="2"/>
    <x v="3"/>
    <s v="Error when export my data"/>
    <n v="137"/>
    <d v="2023-01-05T09:02:09"/>
    <b v="0"/>
    <n v="5"/>
  </r>
  <r>
    <s v="TK63111"/>
    <d v="2023-01-03T12:57:00"/>
    <s v="chat"/>
    <x v="1"/>
    <x v="0"/>
    <s v="Error when a refund for an annual plan"/>
    <n v="19"/>
    <d v="2023-01-04T10:23:01"/>
    <b v="0"/>
    <m/>
  </r>
  <r>
    <s v="TK61543"/>
    <d v="2023-01-03T13:04:00"/>
    <s v="in-app"/>
    <x v="1"/>
    <x v="1"/>
    <s v="Cannot the API rate limit"/>
    <n v="368"/>
    <d v="2023-01-03T19:54:48"/>
    <b v="0"/>
    <n v="4"/>
  </r>
  <r>
    <s v="TK61064"/>
    <d v="2023-01-03T13:27:00"/>
    <s v="phone"/>
    <x v="1"/>
    <x v="1"/>
    <s v="Request to a duplicate charge"/>
    <n v="106"/>
    <d v="2023-01-04T14:42:21"/>
    <b v="0"/>
    <n v="4"/>
  </r>
  <r>
    <s v="TK62588"/>
    <d v="2023-01-03T13:49:00"/>
    <s v="email"/>
    <x v="4"/>
    <x v="3"/>
    <s v="Unable to two-factor authentication"/>
    <n v="98"/>
    <d v="2023-01-06T19:48:56"/>
    <b v="0"/>
    <m/>
  </r>
  <r>
    <s v="TK62293"/>
    <d v="2023-01-03T17:14:00"/>
    <s v="email"/>
    <x v="4"/>
    <x v="3"/>
    <s v="Question about a duplicate charge"/>
    <n v="221"/>
    <d v="2023-01-04T21:23:43"/>
    <b v="0"/>
    <m/>
  </r>
  <r>
    <s v="TK61772"/>
    <d v="2023-01-03T17:31:00"/>
    <s v="chat"/>
    <x v="3"/>
    <x v="1"/>
    <s v="Request to connecting the Snowflake sync"/>
    <n v="30"/>
    <d v="2023-01-04T19:04:09"/>
    <b v="0"/>
    <m/>
  </r>
  <r>
    <s v="TK63162"/>
    <d v="2023-01-03T17:42:00"/>
    <s v="email"/>
    <x v="1"/>
    <x v="1"/>
    <s v="Issue with downgrade my plan"/>
    <n v="204"/>
    <d v="2023-01-12T17:50:55"/>
    <b v="0"/>
    <m/>
  </r>
  <r>
    <s v="TK60741"/>
    <d v="2023-01-03T18:50:00"/>
    <s v="in-app"/>
    <x v="4"/>
    <x v="0"/>
    <s v="Unable to webhook deliveries failing"/>
    <n v="31"/>
    <d v="2023-01-03T22:51:59"/>
    <b v="0"/>
    <m/>
  </r>
  <r>
    <s v="TK61715"/>
    <d v="2023-01-03T18:54:00"/>
    <s v="chat"/>
    <x v="2"/>
    <x v="1"/>
    <s v="Question about a refund for an annual plan"/>
    <n v="215"/>
    <d v="2023-01-05T00:47:31"/>
    <b v="0"/>
    <m/>
  </r>
  <r>
    <s v="TK63727"/>
    <d v="2023-01-03T19:19:00"/>
    <s v="in-app"/>
    <x v="4"/>
    <x v="0"/>
    <s v="Question about the API rate limit"/>
    <n v="96"/>
    <d v="2023-01-04T04:44:45"/>
    <b v="0"/>
    <m/>
  </r>
  <r>
    <s v="TK63763"/>
    <d v="2023-01-03T19:19:00"/>
    <s v="in-app"/>
    <x v="1"/>
    <x v="1"/>
    <s v="How do I connecting the Snowflake sync"/>
    <n v="36"/>
    <d v="2023-01-11T00:16:24"/>
    <b v="0"/>
    <m/>
  </r>
  <r>
    <s v="TK61327"/>
    <d v="2023-01-03T19:26:00"/>
    <s v="phone"/>
    <x v="1"/>
    <x v="1"/>
    <s v="Question about add a teammate"/>
    <n v="145"/>
    <d v="2023-01-06T17:54:59"/>
    <b v="0"/>
    <n v="5"/>
  </r>
  <r>
    <s v="TK62473"/>
    <d v="2023-01-03T19:41:00"/>
    <s v="email"/>
    <x v="4"/>
    <x v="1"/>
    <s v="Error when add a teammate"/>
    <m/>
    <d v="2023-01-05T01:37:02"/>
    <b v="0"/>
    <n v="4"/>
  </r>
  <r>
    <s v="TK63626"/>
    <d v="2023-01-03T20:31:00"/>
    <s v="phone"/>
    <x v="0"/>
    <x v="1"/>
    <s v="Issue with a refund for an annual plan"/>
    <n v="192"/>
    <d v="2023-01-04T10:20:21"/>
    <b v="0"/>
    <m/>
  </r>
  <r>
    <s v="TK61368"/>
    <d v="2023-01-03T22:19:00"/>
    <s v="in-app"/>
    <x v="2"/>
    <x v="3"/>
    <s v="Issue with two-factor authentication"/>
    <n v="207"/>
    <d v="2023-01-06T20:49:04"/>
    <b v="0"/>
    <m/>
  </r>
  <r>
    <s v="TK62973"/>
    <d v="2023-01-03T23:30:00"/>
    <s v="email"/>
    <x v="0"/>
    <x v="2"/>
    <s v="Cannot the dashboard loading slowly"/>
    <n v="113"/>
    <d v="2023-01-05T12:27:55"/>
    <b v="0"/>
    <n v="4"/>
  </r>
  <r>
    <s v="TK60698"/>
    <d v="2023-01-03T23:59:00"/>
    <s v="chat"/>
    <x v="1"/>
    <x v="3"/>
    <s v="Cannot a duplicate charge"/>
    <n v="470"/>
    <d v="2023-01-05T21:38:47"/>
    <b v="0"/>
    <n v="3"/>
  </r>
  <r>
    <s v="TK60483"/>
    <d v="2023-01-04T01:45:00"/>
    <s v="in-app"/>
    <x v="1"/>
    <x v="3"/>
    <s v="Error when two-factor authentication"/>
    <n v="79"/>
    <d v="2023-01-24T14:44:11"/>
    <b v="0"/>
    <n v="4"/>
  </r>
  <r>
    <s v="TK63172"/>
    <d v="2023-01-04T02:10:00"/>
    <s v="chat"/>
    <x v="2"/>
    <x v="3"/>
    <s v="Cannot export my data"/>
    <n v="151"/>
    <d v="2023-01-06T02:26:55"/>
    <b v="0"/>
    <n v="5"/>
  </r>
  <r>
    <s v="TK61922"/>
    <d v="2023-01-04T03:12:00"/>
    <s v="phone"/>
    <x v="0"/>
    <x v="1"/>
    <s v="Cannot connecting the Snowflake sync"/>
    <n v="113"/>
    <d v="2023-01-04T15:32:14"/>
    <b v="0"/>
    <m/>
  </r>
  <r>
    <s v="TK61355"/>
    <d v="2023-01-04T05:18:00"/>
    <s v="chat"/>
    <x v="3"/>
    <x v="1"/>
    <s v="Question about the API rate limit"/>
    <n v="21"/>
    <d v="2023-01-04T22:32:26"/>
    <b v="0"/>
    <m/>
  </r>
  <r>
    <s v="TK63785"/>
    <d v="2023-01-04T09:54:00"/>
    <s v="email"/>
    <x v="4"/>
    <x v="3"/>
    <s v="Cannot a duplicate charge"/>
    <n v="81"/>
    <d v="2023-01-08T02:09:38"/>
    <b v="0"/>
    <m/>
  </r>
  <r>
    <s v="TK60846"/>
    <d v="2023-01-04T10:48:00"/>
    <s v="email"/>
    <x v="0"/>
    <x v="0"/>
    <s v="Request to the invoice for last month"/>
    <n v="31"/>
    <d v="2023-01-04T14:33:30"/>
    <b v="0"/>
    <m/>
  </r>
  <r>
    <s v="TK61514"/>
    <d v="2023-01-04T12:40:00"/>
    <s v="email"/>
    <x v="1"/>
    <x v="3"/>
    <s v="Cannot a duplicate charge"/>
    <n v="44"/>
    <d v="2023-01-05T21:04:03"/>
    <b v="0"/>
    <m/>
  </r>
  <r>
    <s v="TK62935"/>
    <d v="2023-01-04T13:11:00"/>
    <s v="email"/>
    <x v="2"/>
    <x v="2"/>
    <s v="Issue with the dashboard loading slowly"/>
    <n v="6"/>
    <d v="2023-01-04T14:18:36"/>
    <b v="0"/>
    <m/>
  </r>
  <r>
    <s v="TK60223"/>
    <d v="2023-01-04T15:34:00"/>
    <s v="email"/>
    <x v="2"/>
    <x v="1"/>
    <s v="Error when the dashboard loading slowly"/>
    <n v="31"/>
    <d v="2023-01-05T16:58:21"/>
    <b v="0"/>
    <m/>
  </r>
  <r>
    <s v="TK61012"/>
    <d v="2023-01-04T16:44:00"/>
    <s v="in-app"/>
    <x v="4"/>
    <x v="3"/>
    <s v="Request to the API rate limit"/>
    <n v="169"/>
    <d v="2023-01-04T21:01:05"/>
    <b v="1"/>
    <m/>
  </r>
  <r>
    <s v="TK61454"/>
    <d v="2023-01-04T16:44:00"/>
    <s v="chat"/>
    <x v="1"/>
    <x v="1"/>
    <s v="How do I webhook deliveries failing"/>
    <n v="259"/>
    <d v="2023-01-10T10:34:55"/>
    <b v="0"/>
    <m/>
  </r>
  <r>
    <s v="TK63917"/>
    <d v="2023-01-04T17:32:00"/>
    <s v="email"/>
    <x v="1"/>
    <x v="3"/>
    <s v="Cannot downgrade my plan"/>
    <n v="934"/>
    <d v="2023-01-07T00:00:16"/>
    <b v="0"/>
    <m/>
  </r>
  <r>
    <s v="TK63216"/>
    <d v="2023-01-04T20:24:00"/>
    <s v="phone"/>
    <x v="2"/>
    <x v="1"/>
    <s v="Cannot export my data"/>
    <n v="36"/>
    <d v="2023-01-05T07:11:45"/>
    <b v="0"/>
    <n v="4"/>
  </r>
  <r>
    <s v="TK61668"/>
    <d v="2023-01-04T23:50:00"/>
    <s v="chat"/>
    <x v="4"/>
    <x v="3"/>
    <s v="Error when add a teammate"/>
    <n v="708"/>
    <d v="2023-01-06T11:06:33"/>
    <b v="0"/>
    <n v="5"/>
  </r>
  <r>
    <s v="TK62469"/>
    <d v="2023-01-05T00:09:00"/>
    <s v="in-app"/>
    <x v="1"/>
    <x v="0"/>
    <s v="Cannot downgrade my plan"/>
    <n v="20"/>
    <d v="2023-01-09T07:55:20"/>
    <b v="0"/>
    <m/>
  </r>
  <r>
    <s v="TK63761"/>
    <d v="2023-01-05T01:18:00"/>
    <s v="email"/>
    <x v="0"/>
    <x v="2"/>
    <s v="Cannot connecting the Snowflake sync"/>
    <n v="33"/>
    <d v="2023-01-05T04:10:13"/>
    <b v="0"/>
    <n v="4"/>
  </r>
  <r>
    <s v="TK63779"/>
    <d v="2023-01-05T08:48:00"/>
    <s v="phone"/>
    <x v="2"/>
    <x v="3"/>
    <s v="Issue with downgrade my plan"/>
    <n v="156"/>
    <d v="2023-01-09T21:38:28"/>
    <b v="0"/>
    <n v="5"/>
  </r>
  <r>
    <s v="TK61447"/>
    <d v="2023-01-05T09:04:00"/>
    <s v="in-app"/>
    <x v="2"/>
    <x v="1"/>
    <s v="Issue with the API rate limit"/>
    <n v="104"/>
    <m/>
    <b v="0"/>
    <m/>
  </r>
  <r>
    <s v="TK60026"/>
    <d v="2023-01-05T10:38:00"/>
    <s v="email"/>
    <x v="4"/>
    <x v="0"/>
    <s v="Unable to export my data"/>
    <n v="32"/>
    <d v="2023-01-06T08:31:55"/>
    <b v="0"/>
    <n v="5"/>
  </r>
  <r>
    <s v="TK63164"/>
    <d v="2023-01-05T12:12:00"/>
    <s v="email"/>
    <x v="2"/>
    <x v="1"/>
    <s v="Unable to two-factor authentication"/>
    <n v="34"/>
    <d v="2023-01-06T09:55:04"/>
    <b v="0"/>
    <n v="4"/>
  </r>
  <r>
    <s v="TK62482"/>
    <d v="2023-01-05T13:10:00"/>
    <s v="chat"/>
    <x v="2"/>
    <x v="1"/>
    <s v="Cannot the API rate limit"/>
    <n v="92"/>
    <d v="2023-01-11T21:49:48"/>
    <b v="0"/>
    <m/>
  </r>
  <r>
    <s v="TK61086"/>
    <d v="2023-01-05T14:35:00"/>
    <s v="phone"/>
    <x v="1"/>
    <x v="3"/>
    <s v="Unable to downgrade my plan"/>
    <n v="387"/>
    <d v="2023-01-15T14:20:10"/>
    <b v="0"/>
    <m/>
  </r>
  <r>
    <s v="TK63190"/>
    <d v="2023-01-05T15:15:00"/>
    <s v="chat"/>
    <x v="4"/>
    <x v="2"/>
    <s v="Cannot a duplicate charge"/>
    <n v="18"/>
    <d v="2023-01-06T05:01:55"/>
    <b v="0"/>
    <m/>
  </r>
  <r>
    <s v="TK62492"/>
    <d v="2023-01-05T18:56:00"/>
    <s v="email"/>
    <x v="1"/>
    <x v="0"/>
    <s v="Cannot add a teammate"/>
    <n v="58"/>
    <d v="2023-01-06T18:02:06"/>
    <b v="0"/>
    <m/>
  </r>
  <r>
    <s v="TK63863"/>
    <d v="2023-01-05T21:39:00"/>
    <s v="in-app"/>
    <x v="2"/>
    <x v="1"/>
    <s v="How do I the API rate limit"/>
    <n v="45"/>
    <d v="2023-01-06T01:48:13"/>
    <b v="0"/>
    <m/>
  </r>
  <r>
    <s v="TK60554"/>
    <d v="2023-01-05T22:20:00"/>
    <s v="email"/>
    <x v="2"/>
    <x v="2"/>
    <s v="Request to export my data"/>
    <n v="38"/>
    <d v="2023-01-06T01:27:19"/>
    <b v="0"/>
    <m/>
  </r>
  <r>
    <s v="TK60414"/>
    <d v="2023-01-05T23:02:00"/>
    <s v="in-app"/>
    <x v="4"/>
    <x v="1"/>
    <s v="Cannot connecting the Snowflake sync"/>
    <n v="195"/>
    <d v="2023-01-06T17:58:53"/>
    <b v="0"/>
    <m/>
  </r>
  <r>
    <s v="TK62317"/>
    <d v="2023-01-06T04:23:00"/>
    <s v="chat"/>
    <x v="4"/>
    <x v="1"/>
    <s v="Cannot two-factor authentication"/>
    <n v="85"/>
    <d v="2023-01-06T15:34:36"/>
    <b v="0"/>
    <m/>
  </r>
  <r>
    <s v="TK63954"/>
    <d v="2023-01-06T07:34:00"/>
    <s v="email"/>
    <x v="0"/>
    <x v="1"/>
    <s v="Cannot connecting the Snowflake sync"/>
    <n v="247"/>
    <d v="2023-01-08T06:40:50"/>
    <b v="0"/>
    <m/>
  </r>
  <r>
    <s v="TK63371"/>
    <d v="2023-01-06T11:17:00"/>
    <s v="chat"/>
    <x v="1"/>
    <x v="1"/>
    <s v="Unable to two-factor authentication"/>
    <n v="50"/>
    <d v="2023-01-12T10:20:03"/>
    <b v="1"/>
    <n v="5"/>
  </r>
  <r>
    <s v="TK62454"/>
    <d v="2023-01-06T15:45:00"/>
    <s v="phone"/>
    <x v="2"/>
    <x v="1"/>
    <s v="How do I the API rate limit"/>
    <m/>
    <d v="2023-01-06T18:27:43"/>
    <b v="0"/>
    <m/>
  </r>
  <r>
    <s v="TK61288"/>
    <d v="2023-01-06T21:08:00"/>
    <s v="email"/>
    <x v="3"/>
    <x v="3"/>
    <s v="Question about the dashboard loading slowly"/>
    <n v="186"/>
    <d v="2023-01-19T09:31:55"/>
    <b v="0"/>
    <m/>
  </r>
  <r>
    <s v="TK63806"/>
    <d v="2023-01-06T22:19:00"/>
    <s v="email"/>
    <x v="4"/>
    <x v="1"/>
    <s v="Issue with webhook deliveries failing"/>
    <n v="182"/>
    <d v="2023-01-07T15:37:23"/>
    <b v="0"/>
    <m/>
  </r>
  <r>
    <s v="TK63739"/>
    <d v="2023-01-06T22:22:00"/>
    <s v="in-app"/>
    <x v="1"/>
    <x v="1"/>
    <s v="Request to webhook deliveries failing"/>
    <n v="106"/>
    <d v="2023-01-07T13:17:45"/>
    <b v="0"/>
    <n v="5"/>
  </r>
  <r>
    <s v="TK60083"/>
    <d v="2023-01-07T00:10:00"/>
    <s v="email"/>
    <x v="0"/>
    <x v="3"/>
    <s v="How do I the dashboard loading slowly"/>
    <n v="166"/>
    <d v="2023-01-07T15:46:43"/>
    <b v="0"/>
    <m/>
  </r>
  <r>
    <s v="TK63163"/>
    <d v="2023-01-07T06:34:00"/>
    <s v="email"/>
    <x v="0"/>
    <x v="1"/>
    <s v="Error when log in after password reset"/>
    <n v="151"/>
    <d v="2023-01-08T01:01:42"/>
    <b v="0"/>
    <n v="3"/>
  </r>
  <r>
    <s v="TK60587"/>
    <d v="2023-01-07T07:07:00"/>
    <s v="chat"/>
    <x v="4"/>
    <x v="1"/>
    <s v="Cannot the invoice for last month"/>
    <n v="157"/>
    <d v="2023-01-07T14:32:09"/>
    <b v="0"/>
    <m/>
  </r>
  <r>
    <s v="TK61744"/>
    <d v="2023-01-07T12:57:00"/>
    <s v="email"/>
    <x v="2"/>
    <x v="3"/>
    <s v="Issue with two-factor authentication"/>
    <n v="269"/>
    <d v="2023-01-10T14:12:18"/>
    <b v="1"/>
    <n v="5"/>
  </r>
  <r>
    <s v="TK60461"/>
    <d v="2023-01-07T13:10:00"/>
    <s v="chat"/>
    <x v="1"/>
    <x v="0"/>
    <s v="How do I downgrade my plan"/>
    <n v="21"/>
    <d v="2023-01-07T18:02:34"/>
    <b v="0"/>
    <m/>
  </r>
  <r>
    <s v="TK61884"/>
    <d v="2023-01-07T16:59:00"/>
    <s v="email"/>
    <x v="1"/>
    <x v="0"/>
    <s v="Unable to the invoice for last month"/>
    <n v="15"/>
    <d v="2023-01-07T23:53:48"/>
    <b v="0"/>
    <m/>
  </r>
  <r>
    <s v="TK60789"/>
    <d v="2023-01-07T19:00:00"/>
    <s v="chat"/>
    <x v="1"/>
    <x v="0"/>
    <s v="Unable to log in after password reset"/>
    <n v="18"/>
    <d v="2023-01-09T02:00:10"/>
    <b v="0"/>
    <n v="4"/>
  </r>
  <r>
    <s v="TK63894"/>
    <d v="2023-01-07T23:22:00"/>
    <s v="in-app"/>
    <x v="3"/>
    <x v="2"/>
    <s v="Cannot add a teammate"/>
    <n v="4"/>
    <d v="2023-01-09T08:46:56"/>
    <b v="0"/>
    <m/>
  </r>
  <r>
    <s v="TK63429"/>
    <d v="2023-01-08T00:56:00"/>
    <s v="chat"/>
    <x v="4"/>
    <x v="0"/>
    <s v="How do I a duplicate charge"/>
    <n v="37"/>
    <d v="2023-01-08T07:25:01"/>
    <b v="0"/>
    <m/>
  </r>
  <r>
    <s v="TK62322"/>
    <d v="2023-01-08T04:33:00"/>
    <s v="chat"/>
    <x v="0"/>
    <x v="3"/>
    <s v="How do I connecting the Snowflake sync"/>
    <n v="369"/>
    <d v="2023-01-08T23:31:46"/>
    <b v="0"/>
    <n v="5"/>
  </r>
  <r>
    <s v="TK63532"/>
    <d v="2023-01-08T08:23:00"/>
    <s v="in-app"/>
    <x v="2"/>
    <x v="2"/>
    <s v="How do I webhook deliveries failing"/>
    <n v="21"/>
    <d v="2023-01-08T10:49:22"/>
    <b v="0"/>
    <m/>
  </r>
  <r>
    <s v="TK63617"/>
    <d v="2023-01-08T08:43:00"/>
    <s v="in-app"/>
    <x v="0"/>
    <x v="1"/>
    <s v="Question about the invoice for last month"/>
    <n v="81"/>
    <d v="2023-01-17T23:41:58"/>
    <b v="0"/>
    <m/>
  </r>
  <r>
    <s v="TK61205"/>
    <d v="2023-01-08T11:28:00"/>
    <s v="email"/>
    <x v="2"/>
    <x v="3"/>
    <s v="How do I the dashboard loading slowly"/>
    <n v="155"/>
    <d v="2023-01-15T17:26:40"/>
    <b v="0"/>
    <m/>
  </r>
  <r>
    <s v="TK60646"/>
    <d v="2023-01-08T13:56:00"/>
    <s v="chat"/>
    <x v="4"/>
    <x v="0"/>
    <s v="How do I export my data"/>
    <n v="188"/>
    <d v="2023-01-11T02:51:41"/>
    <b v="0"/>
    <n v="5"/>
  </r>
  <r>
    <s v="TK61848"/>
    <d v="2023-01-08T14:37:00"/>
    <s v="email"/>
    <x v="4"/>
    <x v="0"/>
    <s v="Issue with a refund for an annual plan"/>
    <n v="170"/>
    <d v="2023-01-10T05:53:38"/>
    <b v="0"/>
    <m/>
  </r>
  <r>
    <s v="TK60669"/>
    <d v="2023-01-08T16:17:00"/>
    <s v="in-app"/>
    <x v="2"/>
    <x v="2"/>
    <s v="Question about two-factor authentication"/>
    <n v="41"/>
    <d v="2023-01-08T17:05:46"/>
    <b v="0"/>
    <m/>
  </r>
  <r>
    <s v="TK60432"/>
    <d v="2023-01-08T16:44:00"/>
    <s v="in-app"/>
    <x v="1"/>
    <x v="1"/>
    <s v="Issue with the dashboard loading slowly"/>
    <n v="98"/>
    <d v="2023-01-09T18:38:33"/>
    <b v="0"/>
    <m/>
  </r>
  <r>
    <s v="TK60123"/>
    <d v="2023-01-08T18:36:00"/>
    <s v="chat"/>
    <x v="3"/>
    <x v="1"/>
    <s v="Issue with add a teammate"/>
    <n v="66"/>
    <d v="2023-01-09T05:15:59"/>
    <b v="0"/>
    <n v="3"/>
  </r>
  <r>
    <s v="TK61836"/>
    <d v="2023-01-08T20:04:00"/>
    <s v="email"/>
    <x v="2"/>
    <x v="1"/>
    <s v="How do I export my data"/>
    <n v="15"/>
    <d v="2023-01-09T04:39:40"/>
    <b v="0"/>
    <n v="4"/>
  </r>
  <r>
    <s v="TK60719"/>
    <d v="2023-01-09T01:22:00"/>
    <s v="chat"/>
    <x v="2"/>
    <x v="1"/>
    <s v="Request to a duplicate charge"/>
    <n v="52"/>
    <d v="2023-01-09T15:29:10"/>
    <b v="0"/>
    <n v="4"/>
  </r>
  <r>
    <s v="TK63694"/>
    <d v="2023-01-09T15:38:00"/>
    <s v="phone"/>
    <x v="2"/>
    <x v="0"/>
    <s v="Cannot a refund for an annual plan"/>
    <n v="23"/>
    <d v="2023-01-09T21:21:38"/>
    <b v="0"/>
    <n v="4"/>
  </r>
  <r>
    <s v="TK62285"/>
    <d v="2023-01-09T17:56:00"/>
    <s v="email"/>
    <x v="2"/>
    <x v="1"/>
    <s v="Question about the API rate limit"/>
    <n v="158"/>
    <d v="2023-01-10T23:23:34"/>
    <b v="0"/>
    <n v="3"/>
  </r>
  <r>
    <s v="TK61045"/>
    <d v="2023-01-09T19:34:00"/>
    <s v="email"/>
    <x v="0"/>
    <x v="1"/>
    <s v="Cannot the API rate limit"/>
    <n v="216"/>
    <d v="2023-01-15T03:26:36"/>
    <b v="0"/>
    <m/>
  </r>
  <r>
    <s v="TK63883"/>
    <d v="2023-01-09T21:52:00"/>
    <s v="in-app"/>
    <x v="4"/>
    <x v="2"/>
    <s v="Issue with a duplicate charge"/>
    <n v="2"/>
    <d v="2023-01-09T22:15:07"/>
    <b v="0"/>
    <n v="5"/>
  </r>
  <r>
    <s v="TK60712"/>
    <d v="2023-01-09T22:03:00"/>
    <s v="chat"/>
    <x v="1"/>
    <x v="1"/>
    <s v="Request to a refund for an annual plan"/>
    <n v="231"/>
    <d v="2023-01-17T14:43:01"/>
    <b v="0"/>
    <n v="1"/>
  </r>
  <r>
    <s v="TK61791"/>
    <d v="2023-01-10T01:18:00"/>
    <s v="chat"/>
    <x v="1"/>
    <x v="2"/>
    <s v="Question about two-factor authentication"/>
    <n v="50"/>
    <d v="2023-01-10T05:34:25"/>
    <b v="0"/>
    <m/>
  </r>
  <r>
    <s v="TK60844"/>
    <d v="2023-01-10T02:04:00"/>
    <s v="email"/>
    <x v="4"/>
    <x v="0"/>
    <s v="Cannot the invoice for last month"/>
    <n v="229"/>
    <d v="2023-01-10T17:01:09"/>
    <b v="0"/>
    <m/>
  </r>
  <r>
    <s v="TK63819"/>
    <d v="2023-01-10T03:15:00"/>
    <s v="in-app"/>
    <x v="3"/>
    <x v="1"/>
    <s v="How do I the dashboard loading slowly"/>
    <n v="244"/>
    <d v="2023-02-02T22:50:09"/>
    <b v="0"/>
    <m/>
  </r>
  <r>
    <s v="TK60382"/>
    <d v="2023-01-10T03:26:00"/>
    <s v="chat"/>
    <x v="2"/>
    <x v="0"/>
    <s v="Cannot downgrade my plan"/>
    <n v="27"/>
    <d v="2023-01-12T06:07:15"/>
    <b v="0"/>
    <m/>
  </r>
  <r>
    <s v="TK61931"/>
    <d v="2023-01-10T03:40:00"/>
    <s v="in-app"/>
    <x v="2"/>
    <x v="3"/>
    <s v="Request to the invoice for last month"/>
    <n v="952"/>
    <d v="2023-01-11T04:38:08"/>
    <b v="0"/>
    <m/>
  </r>
  <r>
    <s v="TK62181"/>
    <d v="2023-01-10T03:46:00"/>
    <s v="phone"/>
    <x v="1"/>
    <x v="1"/>
    <s v="Issue with add a teammate"/>
    <n v="153"/>
    <d v="2023-01-11T16:13:08"/>
    <b v="0"/>
    <m/>
  </r>
  <r>
    <s v="TK62488"/>
    <d v="2023-01-10T12:05:00"/>
    <s v="chat"/>
    <x v="2"/>
    <x v="1"/>
    <s v="Request to two-factor authentication"/>
    <n v="18"/>
    <d v="2023-01-11T04:25:10"/>
    <b v="0"/>
    <n v="4"/>
  </r>
  <r>
    <s v="TK62523"/>
    <d v="2023-01-10T18:45:00"/>
    <s v="chat"/>
    <x v="0"/>
    <x v="2"/>
    <s v="Request to connecting the Snowflake sync"/>
    <n v="59"/>
    <d v="2023-01-10T20:05:31"/>
    <b v="0"/>
    <m/>
  </r>
  <r>
    <s v="TK62400"/>
    <d v="2023-01-10T23:50:00"/>
    <s v="email"/>
    <x v="1"/>
    <x v="1"/>
    <s v="Unable to a refund for an annual plan"/>
    <n v="80"/>
    <d v="2023-01-12T03:31:31"/>
    <b v="0"/>
    <m/>
  </r>
  <r>
    <s v="TK61210"/>
    <d v="2023-01-11T02:39:00"/>
    <s v="chat"/>
    <x v="0"/>
    <x v="1"/>
    <s v="Issue with webhook deliveries failing"/>
    <n v="20"/>
    <d v="2023-01-11T18:42:48"/>
    <b v="0"/>
    <m/>
  </r>
  <r>
    <s v="TK62682"/>
    <d v="2023-01-11T03:24:00"/>
    <s v="email"/>
    <x v="2"/>
    <x v="0"/>
    <s v="Cannot a refund for an annual plan"/>
    <n v="176"/>
    <d v="2023-01-11T09:03:51"/>
    <b v="0"/>
    <m/>
  </r>
  <r>
    <s v="TK61277"/>
    <d v="2023-01-11T03:36:00"/>
    <s v="email"/>
    <x v="2"/>
    <x v="0"/>
    <s v="Question about a refund for an annual plan"/>
    <n v="35"/>
    <d v="2023-01-13T04:00:15"/>
    <b v="0"/>
    <n v="2"/>
  </r>
  <r>
    <s v="TK61534"/>
    <d v="2023-01-11T08:18:00"/>
    <s v="chat"/>
    <x v="2"/>
    <x v="0"/>
    <s v="Error when connecting the Snowflake sync"/>
    <n v="23"/>
    <d v="2023-01-11T10:56:06"/>
    <b v="0"/>
    <m/>
  </r>
  <r>
    <s v="TK62997"/>
    <d v="2023-01-11T09:08:00"/>
    <s v="phone"/>
    <x v="1"/>
    <x v="1"/>
    <s v="Issue with two-factor authentication"/>
    <n v="101"/>
    <d v="2023-01-16T05:37:10"/>
    <b v="0"/>
    <n v="5"/>
  </r>
  <r>
    <s v="TK61374"/>
    <d v="2023-01-11T14:50:00"/>
    <s v="chat"/>
    <x v="0"/>
    <x v="3"/>
    <s v="Unable to a refund for an annual plan"/>
    <n v="179"/>
    <d v="2023-01-11T19:53:39"/>
    <b v="0"/>
    <m/>
  </r>
  <r>
    <s v="TK61057"/>
    <d v="2023-01-11T14:58:00"/>
    <s v="email"/>
    <x v="0"/>
    <x v="1"/>
    <s v="Question about the API rate limit"/>
    <n v="164"/>
    <d v="2023-01-12T08:21:47"/>
    <b v="0"/>
    <n v="3"/>
  </r>
  <r>
    <s v="TK61123"/>
    <d v="2023-01-11T15:21:00"/>
    <s v="email"/>
    <x v="2"/>
    <x v="2"/>
    <s v="Request to the API rate limit"/>
    <n v="6"/>
    <d v="2023-01-11T16:41:39"/>
    <b v="0"/>
    <m/>
  </r>
  <r>
    <s v="TK61048"/>
    <d v="2023-01-11T16:07:00"/>
    <s v="chat"/>
    <x v="1"/>
    <x v="1"/>
    <s v="Question about a duplicate charge"/>
    <n v="26"/>
    <d v="2023-01-13T12:23:20"/>
    <b v="0"/>
    <m/>
  </r>
  <r>
    <s v="TK62453"/>
    <d v="2023-01-11T20:20:00"/>
    <s v="phone"/>
    <x v="0"/>
    <x v="1"/>
    <s v="Error when a refund for an annual plan"/>
    <n v="53"/>
    <d v="2023-01-12T09:36:45"/>
    <b v="0"/>
    <m/>
  </r>
  <r>
    <s v="TK62316"/>
    <d v="2023-01-11T20:53:00"/>
    <s v="email"/>
    <x v="2"/>
    <x v="0"/>
    <s v="How do I connecting the Snowflake sync"/>
    <m/>
    <d v="2023-01-12T03:19:34"/>
    <b v="0"/>
    <n v="4"/>
  </r>
  <r>
    <s v="TK63580"/>
    <d v="2023-01-11T22:22:00"/>
    <s v="in-app"/>
    <x v="4"/>
    <x v="3"/>
    <s v="Request to add a teammate"/>
    <n v="282"/>
    <d v="2023-01-29T01:59:17"/>
    <b v="0"/>
    <m/>
  </r>
  <r>
    <s v="TK62220"/>
    <d v="2023-01-11T22:38:00"/>
    <s v="email"/>
    <x v="1"/>
    <x v="0"/>
    <s v="Issue with downgrade my plan"/>
    <n v="104"/>
    <d v="2023-01-12T12:41:38"/>
    <b v="0"/>
    <m/>
  </r>
  <r>
    <s v="TK62787"/>
    <d v="2023-01-12T01:01:00"/>
    <s v="in-app"/>
    <x v="1"/>
    <x v="1"/>
    <s v="Cannot a duplicate charge"/>
    <n v="173"/>
    <m/>
    <b v="0"/>
    <m/>
  </r>
  <r>
    <s v="TK63859"/>
    <d v="2023-01-12T07:45:00"/>
    <s v="phone"/>
    <x v="0"/>
    <x v="2"/>
    <s v="How do I the dashboard loading slowly"/>
    <n v="8"/>
    <d v="2023-01-12T13:24:18"/>
    <b v="0"/>
    <n v="3"/>
  </r>
  <r>
    <s v="TK63613"/>
    <d v="2023-01-12T09:21:00"/>
    <s v="in-app"/>
    <x v="4"/>
    <x v="1"/>
    <s v="Question about webhook deliveries failing"/>
    <n v="77"/>
    <d v="2023-01-13T08:20:44"/>
    <b v="0"/>
    <m/>
  </r>
  <r>
    <s v="TK60280"/>
    <d v="2023-01-12T13:04:00"/>
    <s v="email"/>
    <x v="2"/>
    <x v="1"/>
    <s v="Issue with two-factor authentication"/>
    <n v="271"/>
    <d v="2023-01-13T01:15:59"/>
    <b v="0"/>
    <m/>
  </r>
  <r>
    <s v="TK62573"/>
    <d v="2023-01-12T13:28:00"/>
    <s v="phone"/>
    <x v="4"/>
    <x v="3"/>
    <s v="Cannot a duplicate charge"/>
    <n v="269"/>
    <d v="2023-01-25T18:57:13"/>
    <b v="0"/>
    <m/>
  </r>
  <r>
    <s v="TK60687"/>
    <d v="2023-01-12T17:03:00"/>
    <s v="in-app"/>
    <x v="2"/>
    <x v="1"/>
    <s v="Issue with the API rate limit"/>
    <n v="75"/>
    <d v="2023-01-12T22:05:27"/>
    <b v="0"/>
    <n v="4"/>
  </r>
  <r>
    <s v="TK62172"/>
    <d v="2023-01-12T19:13:00"/>
    <s v="in-app"/>
    <x v="4"/>
    <x v="3"/>
    <s v="Question about log in after password reset"/>
    <n v="44"/>
    <d v="2023-01-13T13:46:26"/>
    <b v="0"/>
    <m/>
  </r>
  <r>
    <s v="TK62676"/>
    <d v="2023-01-12T21:26:00"/>
    <s v="in-app"/>
    <x v="3"/>
    <x v="1"/>
    <s v="Issue with export my data"/>
    <n v="449"/>
    <d v="2023-01-16T08:58:26"/>
    <b v="0"/>
    <m/>
  </r>
  <r>
    <s v="TK63279"/>
    <d v="2023-01-13T00:36:00"/>
    <s v="phone"/>
    <x v="4"/>
    <x v="1"/>
    <s v="Error when the invoice for last month"/>
    <n v="60"/>
    <d v="2023-01-13T03:02:13"/>
    <b v="0"/>
    <n v="4"/>
  </r>
  <r>
    <s v="TK63622"/>
    <d v="2023-01-13T01:14:00"/>
    <s v="chat"/>
    <x v="2"/>
    <x v="1"/>
    <s v="Error when add a teammate"/>
    <n v="129"/>
    <d v="2023-01-13T03:29:41"/>
    <b v="0"/>
    <m/>
  </r>
  <r>
    <s v="TK63034"/>
    <d v="2023-01-13T02:08:00"/>
    <s v="email"/>
    <x v="0"/>
    <x v="0"/>
    <s v="How do I connecting the Snowflake sync"/>
    <n v="33"/>
    <d v="2023-01-13T10:59:09"/>
    <b v="0"/>
    <m/>
  </r>
  <r>
    <s v="TK63831"/>
    <d v="2023-01-13T03:00:00"/>
    <s v="in-app"/>
    <x v="2"/>
    <x v="0"/>
    <s v="Issue with connecting the Snowflake sync"/>
    <n v="34"/>
    <d v="2023-01-13T15:20:56"/>
    <b v="0"/>
    <m/>
  </r>
  <r>
    <s v="TK61364"/>
    <d v="2023-01-13T03:35:00"/>
    <s v="email"/>
    <x v="1"/>
    <x v="1"/>
    <s v="Question about the invoice for last month"/>
    <n v="166"/>
    <d v="2023-01-18T18:54:45"/>
    <b v="0"/>
    <n v="3"/>
  </r>
  <r>
    <s v="TK62175"/>
    <d v="2023-01-13T05:40:00"/>
    <s v="chat"/>
    <x v="0"/>
    <x v="1"/>
    <s v="Question about connecting the Snowflake sync"/>
    <n v="83"/>
    <d v="2023-01-14T03:38:50"/>
    <b v="0"/>
    <m/>
  </r>
  <r>
    <s v="TK62707"/>
    <d v="2023-01-13T10:18:00"/>
    <s v="chat"/>
    <x v="1"/>
    <x v="3"/>
    <s v="Question about the API rate limit"/>
    <n v="101"/>
    <d v="2023-01-16T00:42:57"/>
    <b v="0"/>
    <m/>
  </r>
  <r>
    <s v="TK61722"/>
    <d v="2023-01-13T11:10:00"/>
    <s v="chat"/>
    <x v="4"/>
    <x v="0"/>
    <s v="Issue with the invoice for last month"/>
    <n v="65"/>
    <d v="2023-01-13T15:54:58"/>
    <b v="0"/>
    <n v="5"/>
  </r>
  <r>
    <s v="TK62873"/>
    <d v="2023-01-13T17:02:00"/>
    <s v="email"/>
    <x v="0"/>
    <x v="1"/>
    <s v="How do I the invoice for last month"/>
    <n v="33"/>
    <d v="2023-01-15T06:09:45"/>
    <b v="0"/>
    <m/>
  </r>
  <r>
    <s v="TK62825"/>
    <d v="2023-01-13T19:24:00"/>
    <s v="chat"/>
    <x v="0"/>
    <x v="1"/>
    <s v="How do I webhook deliveries failing"/>
    <n v="51"/>
    <d v="2023-01-16T12:20:11"/>
    <b v="0"/>
    <m/>
  </r>
  <r>
    <s v="TK60866"/>
    <d v="2023-01-13T19:53:00"/>
    <s v="chat"/>
    <x v="0"/>
    <x v="1"/>
    <s v="How do I the API rate limit"/>
    <n v="119"/>
    <d v="2023-01-16T22:12:45"/>
    <b v="0"/>
    <n v="4"/>
  </r>
  <r>
    <s v="TK61439"/>
    <d v="2023-01-14T01:30:00"/>
    <s v="chat"/>
    <x v="3"/>
    <x v="0"/>
    <s v="Cannot add a teammate"/>
    <n v="24"/>
    <d v="2023-01-14T14:10:40"/>
    <b v="1"/>
    <m/>
  </r>
  <r>
    <s v="TK60786"/>
    <d v="2023-01-14T02:31:00"/>
    <s v="email"/>
    <x v="4"/>
    <x v="0"/>
    <s v="How do I downgrade my plan"/>
    <n v="62"/>
    <d v="2023-01-14T03:55:36"/>
    <b v="0"/>
    <m/>
  </r>
  <r>
    <s v="TK60409"/>
    <d v="2023-01-14T05:07:00"/>
    <s v="email"/>
    <x v="4"/>
    <x v="3"/>
    <s v="Request to the dashboard loading slowly"/>
    <n v="50"/>
    <d v="2023-01-17T13:39:37"/>
    <b v="0"/>
    <m/>
  </r>
  <r>
    <s v="TK63549"/>
    <d v="2023-01-14T05:29:00"/>
    <s v="email"/>
    <x v="2"/>
    <x v="3"/>
    <s v="Error when a refund for an annual plan"/>
    <n v="736"/>
    <d v="2023-01-14T14:13:20"/>
    <b v="0"/>
    <n v="2"/>
  </r>
  <r>
    <s v="TK60530"/>
    <d v="2023-01-14T07:21:00"/>
    <s v="phone"/>
    <x v="2"/>
    <x v="1"/>
    <s v="Issue with add a teammate"/>
    <n v="7"/>
    <d v="2023-01-14T15:37:02"/>
    <b v="0"/>
    <n v="5"/>
  </r>
  <r>
    <s v="TK61720"/>
    <d v="2023-01-14T09:59:00"/>
    <s v="in-app"/>
    <x v="1"/>
    <x v="0"/>
    <s v="Question about the API rate limit"/>
    <n v="68"/>
    <d v="2023-01-14T13:58:35"/>
    <b v="1"/>
    <m/>
  </r>
  <r>
    <s v="TK60816"/>
    <d v="2023-01-14T16:04:00"/>
    <s v="email"/>
    <x v="1"/>
    <x v="3"/>
    <s v="How do I downgrade my plan"/>
    <m/>
    <d v="2023-01-19T03:29:45"/>
    <b v="1"/>
    <n v="5"/>
  </r>
  <r>
    <s v="TK63535"/>
    <d v="2023-01-14T22:07:00"/>
    <s v="chat"/>
    <x v="4"/>
    <x v="1"/>
    <s v="Cannot a refund for an annual plan"/>
    <n v="59"/>
    <d v="2023-01-16T08:43:42"/>
    <b v="0"/>
    <m/>
  </r>
  <r>
    <s v="TK63602"/>
    <d v="2023-01-14T22:38:00"/>
    <s v="email"/>
    <x v="1"/>
    <x v="3"/>
    <s v="Question about two-factor authentication"/>
    <n v="261"/>
    <d v="2023-01-17T19:43:21"/>
    <b v="1"/>
    <n v="4"/>
  </r>
  <r>
    <s v="TK60289"/>
    <d v="2023-01-15T00:08:00"/>
    <s v="email"/>
    <x v="2"/>
    <x v="3"/>
    <s v="Cannot a duplicate charge"/>
    <n v="268"/>
    <d v="2023-01-21T11:58:45"/>
    <b v="0"/>
    <m/>
  </r>
  <r>
    <s v="TK60946"/>
    <d v="2023-01-15T03:43:00"/>
    <s v="chat"/>
    <x v="2"/>
    <x v="3"/>
    <s v="Error when the API rate limit"/>
    <n v="104"/>
    <d v="2023-01-15T07:36:13"/>
    <b v="0"/>
    <m/>
  </r>
  <r>
    <s v="TK62948"/>
    <d v="2023-01-15T10:14:00"/>
    <s v="chat"/>
    <x v="1"/>
    <x v="1"/>
    <s v="Cannot log in after password reset"/>
    <n v="25"/>
    <d v="2023-01-19T18:49:31"/>
    <b v="0"/>
    <m/>
  </r>
  <r>
    <s v="TK60484"/>
    <d v="2023-01-15T10:22:00"/>
    <s v="chat"/>
    <x v="1"/>
    <x v="1"/>
    <s v="Question about the dashboard loading slowly"/>
    <n v="7"/>
    <d v="2023-01-16T13:40:17"/>
    <b v="0"/>
    <m/>
  </r>
  <r>
    <s v="TK60688"/>
    <d v="2023-01-15T11:12:00"/>
    <s v="in-app"/>
    <x v="1"/>
    <x v="3"/>
    <s v="How do I a refund for an annual plan"/>
    <n v="146"/>
    <d v="2023-02-08T00:14:56"/>
    <b v="0"/>
    <m/>
  </r>
  <r>
    <s v="TK60473"/>
    <d v="2023-01-15T11:33:00"/>
    <s v="email"/>
    <x v="2"/>
    <x v="2"/>
    <s v="Error when export my data"/>
    <n v="32"/>
    <d v="2023-01-15T11:42:33"/>
    <b v="0"/>
    <n v="4"/>
  </r>
  <r>
    <s v="TK61694"/>
    <d v="2023-01-15T11:48:00"/>
    <s v="chat"/>
    <x v="3"/>
    <x v="0"/>
    <s v="Issue with the dashboard loading slowly"/>
    <n v="12"/>
    <d v="2023-01-16T07:43:25"/>
    <b v="0"/>
    <m/>
  </r>
  <r>
    <s v="TK63159"/>
    <d v="2023-01-15T11:55:00"/>
    <s v="in-app"/>
    <x v="1"/>
    <x v="3"/>
    <s v="Question about the API rate limit"/>
    <n v="510"/>
    <d v="2023-01-16T20:56:33"/>
    <b v="0"/>
    <n v="3"/>
  </r>
  <r>
    <s v="TK63342"/>
    <d v="2023-01-15T14:15:00"/>
    <s v="in-app"/>
    <x v="2"/>
    <x v="0"/>
    <s v="Error when the dashboard loading slowly"/>
    <n v="18"/>
    <d v="2023-01-15T17:46:42"/>
    <b v="0"/>
    <n v="4"/>
  </r>
  <r>
    <s v="TK62885"/>
    <d v="2023-01-15T19:06:00"/>
    <s v="chat"/>
    <x v="3"/>
    <x v="1"/>
    <s v="Request to a refund for an annual plan"/>
    <n v="18"/>
    <d v="2023-01-16T10:35:42"/>
    <b v="0"/>
    <m/>
  </r>
  <r>
    <s v="TK63058"/>
    <d v="2023-01-15T19:29:00"/>
    <s v="chat"/>
    <x v="3"/>
    <x v="1"/>
    <s v="Error when downgrade my plan"/>
    <n v="86"/>
    <d v="2023-01-15T23:56:00"/>
    <b v="0"/>
    <m/>
  </r>
  <r>
    <s v="TK63543"/>
    <d v="2023-01-15T19:45:00"/>
    <s v="in-app"/>
    <x v="0"/>
    <x v="1"/>
    <s v="Request to the dashboard loading slowly"/>
    <n v="247"/>
    <d v="2023-01-17T04:54:10"/>
    <b v="0"/>
    <n v="4"/>
  </r>
  <r>
    <s v="TK62461"/>
    <d v="2023-01-15T20:36:00"/>
    <s v="email"/>
    <x v="4"/>
    <x v="1"/>
    <s v="Question about the dashboard loading slowly"/>
    <n v="115"/>
    <d v="2023-01-20T17:31:07"/>
    <b v="1"/>
    <n v="4"/>
  </r>
  <r>
    <s v="TK62934"/>
    <d v="2023-01-15T22:02:00"/>
    <s v="email"/>
    <x v="1"/>
    <x v="3"/>
    <s v="Request to the dashboard loading slowly"/>
    <n v="259"/>
    <d v="2023-01-24T12:43:29"/>
    <b v="0"/>
    <m/>
  </r>
  <r>
    <s v="TK60675"/>
    <d v="2023-01-16T01:20:00"/>
    <s v="phone"/>
    <x v="2"/>
    <x v="0"/>
    <s v="Issue with webhook deliveries failing"/>
    <n v="60"/>
    <d v="2023-01-16T03:57:01"/>
    <b v="0"/>
    <m/>
  </r>
  <r>
    <s v="TK62570"/>
    <d v="2023-01-16T05:36:00"/>
    <s v="chat"/>
    <x v="1"/>
    <x v="3"/>
    <s v="Issue with a refund for an annual plan"/>
    <n v="99"/>
    <d v="2023-01-21T15:01:15"/>
    <b v="0"/>
    <n v="1"/>
  </r>
  <r>
    <s v="TK62401"/>
    <d v="2023-01-16T06:13:00"/>
    <s v="chat"/>
    <x v="1"/>
    <x v="3"/>
    <s v="Issue with downgrade my plan"/>
    <n v="567"/>
    <d v="2023-02-01T18:00:25"/>
    <b v="0"/>
    <n v="5"/>
  </r>
  <r>
    <s v="TK60040"/>
    <d v="2023-01-16T07:41:00"/>
    <s v="chat"/>
    <x v="1"/>
    <x v="1"/>
    <s v="How do I a refund for an annual plan"/>
    <n v="107"/>
    <d v="2023-01-17T21:17:47"/>
    <b v="0"/>
    <m/>
  </r>
  <r>
    <s v="TK60397"/>
    <d v="2023-01-16T07:52:00"/>
    <s v="chat"/>
    <x v="1"/>
    <x v="0"/>
    <s v="Issue with log in after password reset"/>
    <n v="154"/>
    <d v="2023-01-16T14:31:14"/>
    <b v="0"/>
    <m/>
  </r>
  <r>
    <s v="TK63497"/>
    <d v="2023-01-16T11:41:00"/>
    <s v="email"/>
    <x v="4"/>
    <x v="3"/>
    <s v="Request to the dashboard loading slowly"/>
    <n v="208"/>
    <d v="2023-01-18T09:40:18"/>
    <b v="0"/>
    <m/>
  </r>
  <r>
    <s v="TK63670"/>
    <d v="2023-01-16T12:47:00"/>
    <s v="email"/>
    <x v="2"/>
    <x v="3"/>
    <s v="Request to connecting the Snowflake sync"/>
    <n v="3085"/>
    <d v="2023-01-17T23:52:14"/>
    <b v="0"/>
    <m/>
  </r>
  <r>
    <s v="TK63949"/>
    <d v="2023-01-16T13:53:00"/>
    <s v="chat"/>
    <x v="3"/>
    <x v="3"/>
    <s v="How do I log in after password reset"/>
    <n v="117"/>
    <d v="2023-01-31T23:05:56"/>
    <b v="0"/>
    <n v="5"/>
  </r>
  <r>
    <s v="TK61958"/>
    <d v="2023-01-16T14:05:00"/>
    <s v="chat"/>
    <x v="0"/>
    <x v="2"/>
    <s v="Question about two-factor authentication"/>
    <n v="53"/>
    <d v="2023-01-16T20:26:37"/>
    <b v="0"/>
    <m/>
  </r>
  <r>
    <s v="TK60489"/>
    <d v="2023-01-16T16:08:00"/>
    <s v="phone"/>
    <x v="4"/>
    <x v="0"/>
    <s v="Request to a duplicate charge"/>
    <n v="37"/>
    <d v="2023-01-17T15:21:50"/>
    <b v="0"/>
    <n v="1"/>
  </r>
  <r>
    <s v="TK63615"/>
    <d v="2023-01-16T19:27:00"/>
    <s v="chat"/>
    <x v="1"/>
    <x v="1"/>
    <s v="Error when a duplicate charge"/>
    <n v="127"/>
    <d v="2023-01-20T17:29:48"/>
    <b v="0"/>
    <n v="4"/>
  </r>
  <r>
    <s v="TK60953"/>
    <d v="2023-01-16T19:39:00"/>
    <s v="phone"/>
    <x v="2"/>
    <x v="1"/>
    <s v="Request to the invoice for last month"/>
    <n v="32"/>
    <d v="2023-01-17T09:35:33"/>
    <b v="0"/>
    <m/>
  </r>
  <r>
    <s v="TK60794"/>
    <d v="2023-01-16T23:58:00"/>
    <s v="email"/>
    <x v="0"/>
    <x v="0"/>
    <s v="Unable to webhook deliveries failing"/>
    <n v="53"/>
    <d v="2023-01-20T03:53:27"/>
    <b v="0"/>
    <m/>
  </r>
  <r>
    <s v="TK61199"/>
    <d v="2023-01-17T06:20:00"/>
    <s v="email"/>
    <x v="1"/>
    <x v="0"/>
    <s v="Request to webhook deliveries failing"/>
    <n v="9"/>
    <d v="2023-01-18T00:25:20"/>
    <b v="0"/>
    <m/>
  </r>
  <r>
    <s v="TK60434"/>
    <d v="2023-01-17T08:34:00"/>
    <s v="chat"/>
    <x v="3"/>
    <x v="1"/>
    <s v="Error when connecting the Snowflake sync"/>
    <n v="174"/>
    <d v="2023-01-17T21:39:28"/>
    <b v="0"/>
    <n v="5"/>
  </r>
  <r>
    <s v="TK60870"/>
    <d v="2023-01-17T13:22:00"/>
    <s v="in-app"/>
    <x v="1"/>
    <x v="1"/>
    <s v="Unable to downgrade my plan"/>
    <n v="70"/>
    <d v="2023-01-18T11:50:11"/>
    <b v="0"/>
    <m/>
  </r>
  <r>
    <s v="TK61354"/>
    <d v="2023-01-17T14:22:00"/>
    <s v="phone"/>
    <x v="0"/>
    <x v="0"/>
    <s v="Question about log in after password reset"/>
    <n v="3"/>
    <d v="2023-01-17T17:08:36"/>
    <b v="0"/>
    <m/>
  </r>
  <r>
    <s v="TK62418"/>
    <d v="2023-01-17T18:56:00"/>
    <s v="chat"/>
    <x v="0"/>
    <x v="1"/>
    <s v="Question about a refund for an annual plan"/>
    <m/>
    <d v="2023-01-22T01:17:20"/>
    <b v="0"/>
    <m/>
  </r>
  <r>
    <s v="TK61225"/>
    <d v="2023-01-17T21:29:00"/>
    <s v="in-app"/>
    <x v="3"/>
    <x v="1"/>
    <s v="Request to downgrade my plan"/>
    <n v="373"/>
    <d v="2023-01-19T00:23:49"/>
    <b v="0"/>
    <n v="5"/>
  </r>
  <r>
    <s v="TK61465"/>
    <d v="2023-01-18T04:11:00"/>
    <s v="email"/>
    <x v="4"/>
    <x v="1"/>
    <s v="How do I log in after password reset"/>
    <n v="47"/>
    <d v="2023-01-18T15:52:29"/>
    <b v="0"/>
    <m/>
  </r>
  <r>
    <s v="TK62776"/>
    <d v="2023-01-18T04:31:00"/>
    <s v="in-app"/>
    <x v="2"/>
    <x v="1"/>
    <s v="Unable to connecting the Snowflake sync"/>
    <n v="51"/>
    <d v="2023-01-18T14:54:12"/>
    <b v="0"/>
    <n v="3"/>
  </r>
  <r>
    <s v="TK60344"/>
    <d v="2023-01-18T06:58:00"/>
    <s v="chat"/>
    <x v="4"/>
    <x v="2"/>
    <s v="Issue with the dashboard loading slowly"/>
    <n v="5"/>
    <d v="2023-01-18T08:28:20"/>
    <b v="0"/>
    <m/>
  </r>
  <r>
    <s v="TK61469"/>
    <d v="2023-01-18T09:14:00"/>
    <s v="email"/>
    <x v="2"/>
    <x v="1"/>
    <s v="Question about webhook deliveries failing"/>
    <n v="386"/>
    <d v="2023-01-21T08:38:04"/>
    <b v="0"/>
    <n v="5"/>
  </r>
  <r>
    <s v="TK62517"/>
    <d v="2023-01-18T09:19:00"/>
    <s v="chat"/>
    <x v="0"/>
    <x v="1"/>
    <s v="Unable to log in after password reset"/>
    <n v="162"/>
    <d v="2023-01-18T14:13:00"/>
    <b v="0"/>
    <m/>
  </r>
  <r>
    <s v="TK62496"/>
    <d v="2023-01-18T13:08:00"/>
    <s v="chat"/>
    <x v="1"/>
    <x v="1"/>
    <s v="Unable to a refund for an annual plan"/>
    <n v="134"/>
    <d v="2023-01-21T03:14:00"/>
    <b v="0"/>
    <m/>
  </r>
  <r>
    <s v="TK61951"/>
    <d v="2023-01-18T14:59:00"/>
    <s v="chat"/>
    <x v="1"/>
    <x v="0"/>
    <s v="Cannot a duplicate charge"/>
    <n v="26"/>
    <d v="2023-01-18T23:57:37"/>
    <b v="0"/>
    <m/>
  </r>
  <r>
    <s v="TK61759"/>
    <d v="2023-01-19T01:32:00"/>
    <s v="chat"/>
    <x v="1"/>
    <x v="0"/>
    <s v="Request to the dashboard loading slowly"/>
    <n v="36"/>
    <d v="2023-01-19T06:35:48"/>
    <b v="0"/>
    <n v="4"/>
  </r>
  <r>
    <s v="TK60477"/>
    <d v="2023-01-19T02:12:00"/>
    <s v="email"/>
    <x v="3"/>
    <x v="1"/>
    <s v="Issue with a refund for an annual plan"/>
    <n v="196"/>
    <d v="2023-01-20T05:08:09"/>
    <b v="0"/>
    <m/>
  </r>
  <r>
    <s v="TK62780"/>
    <d v="2023-01-19T07:03:00"/>
    <s v="chat"/>
    <x v="3"/>
    <x v="1"/>
    <s v="Request to a duplicate charge"/>
    <n v="28"/>
    <d v="2023-01-20T08:03:46"/>
    <b v="0"/>
    <n v="5"/>
  </r>
  <r>
    <s v="TK60919"/>
    <d v="2023-01-19T07:58:00"/>
    <s v="chat"/>
    <x v="3"/>
    <x v="0"/>
    <s v="Request to the API rate limit"/>
    <n v="24"/>
    <d v="2023-01-19T11:39:58"/>
    <b v="0"/>
    <n v="2"/>
  </r>
  <r>
    <s v="TK60907"/>
    <d v="2023-01-19T09:28:00"/>
    <s v="in-app"/>
    <x v="1"/>
    <x v="3"/>
    <s v="Error when the dashboard loading slowly"/>
    <n v="551"/>
    <d v="2023-01-21T17:41:00"/>
    <b v="0"/>
    <n v="5"/>
  </r>
  <r>
    <s v="TK61016"/>
    <d v="2023-01-19T14:20:00"/>
    <s v="email"/>
    <x v="2"/>
    <x v="3"/>
    <s v="How do I add a teammate"/>
    <n v="169"/>
    <d v="2023-01-20T00:15:00"/>
    <b v="0"/>
    <m/>
  </r>
  <r>
    <s v="TK60455"/>
    <d v="2023-01-19T14:45:00"/>
    <s v="email"/>
    <x v="0"/>
    <x v="1"/>
    <s v="Request to a duplicate charge"/>
    <n v="102"/>
    <d v="2023-01-19T18:15:01"/>
    <b v="0"/>
    <m/>
  </r>
  <r>
    <s v="TK63542"/>
    <d v="2023-01-19T14:49:00"/>
    <s v="email"/>
    <x v="4"/>
    <x v="2"/>
    <s v="Issue with the dashboard loading slowly"/>
    <n v="1"/>
    <d v="2023-01-19T15:46:40"/>
    <b v="0"/>
    <m/>
  </r>
  <r>
    <s v="TK63350"/>
    <d v="2023-01-19T15:17:00"/>
    <s v="chat"/>
    <x v="2"/>
    <x v="3"/>
    <s v="Question about add a teammate"/>
    <n v="246"/>
    <d v="2023-01-23T03:20:16"/>
    <b v="0"/>
    <m/>
  </r>
  <r>
    <s v="TK62227"/>
    <d v="2023-01-19T16:05:00"/>
    <s v="in-app"/>
    <x v="2"/>
    <x v="1"/>
    <s v="Error when the dashboard loading slowly"/>
    <n v="122"/>
    <d v="2023-01-20T11:21:41"/>
    <b v="0"/>
    <n v="2"/>
  </r>
  <r>
    <s v="TK61263"/>
    <d v="2023-01-20T03:51:00"/>
    <s v="email"/>
    <x v="1"/>
    <x v="1"/>
    <s v="Error when a duplicate charge"/>
    <n v="31"/>
    <d v="2023-01-21T18:44:39"/>
    <b v="0"/>
    <m/>
  </r>
  <r>
    <s v="TK60780"/>
    <d v="2023-01-20T05:23:00"/>
    <s v="chat"/>
    <x v="4"/>
    <x v="3"/>
    <s v="Request to the API rate limit"/>
    <n v="75"/>
    <d v="2023-01-20T11:39:26"/>
    <b v="0"/>
    <n v="3"/>
  </r>
  <r>
    <s v="TK61622"/>
    <d v="2023-01-20T08:46:00"/>
    <s v="email"/>
    <x v="2"/>
    <x v="1"/>
    <s v="Issue with a duplicate charge"/>
    <n v="42"/>
    <d v="2023-01-22T13:55:56"/>
    <b v="0"/>
    <n v="2"/>
  </r>
  <r>
    <s v="TK62217"/>
    <d v="2023-01-20T08:54:00"/>
    <s v="email"/>
    <x v="1"/>
    <x v="3"/>
    <s v="Cannot export my data"/>
    <n v="129"/>
    <d v="2023-01-23T07:12:44"/>
    <b v="0"/>
    <m/>
  </r>
  <r>
    <s v="TK60035"/>
    <d v="2023-01-20T10:51:00"/>
    <s v="phone"/>
    <x v="1"/>
    <x v="1"/>
    <s v="Request to connecting the Snowflake sync"/>
    <n v="213"/>
    <d v="2023-01-21T13:13:17"/>
    <b v="0"/>
    <n v="5"/>
  </r>
  <r>
    <s v="TK60686"/>
    <d v="2023-01-20T13:27:00"/>
    <s v="in-app"/>
    <x v="3"/>
    <x v="0"/>
    <s v="Error when connecting the Snowflake sync"/>
    <n v="74"/>
    <d v="2023-01-20T14:23:17"/>
    <b v="0"/>
    <n v="3"/>
  </r>
  <r>
    <s v="TK63137"/>
    <d v="2023-01-20T14:00:00"/>
    <s v="chat"/>
    <x v="1"/>
    <x v="1"/>
    <s v="Error when the dashboard loading slowly"/>
    <n v="219"/>
    <d v="2023-01-26T10:34:37"/>
    <b v="0"/>
    <n v="1"/>
  </r>
  <r>
    <s v="TK62121"/>
    <d v="2023-01-20T15:04:00"/>
    <s v="chat"/>
    <x v="1"/>
    <x v="0"/>
    <s v="Error when add a teammate"/>
    <n v="17"/>
    <d v="2023-01-20T19:51:14"/>
    <b v="0"/>
    <m/>
  </r>
  <r>
    <s v="TK60568"/>
    <d v="2023-01-20T15:29:00"/>
    <s v="phone"/>
    <x v="0"/>
    <x v="1"/>
    <s v="Question about the API rate limit"/>
    <n v="12"/>
    <d v="2023-01-21T04:18:38"/>
    <b v="0"/>
    <m/>
  </r>
  <r>
    <s v="TK60548"/>
    <d v="2023-01-20T17:32:00"/>
    <s v="chat"/>
    <x v="0"/>
    <x v="1"/>
    <s v="Cannot webhook deliveries failing"/>
    <n v="285"/>
    <d v="2023-01-21T22:08:10"/>
    <b v="0"/>
    <m/>
  </r>
  <r>
    <s v="TK60418"/>
    <d v="2023-01-20T19:14:00"/>
    <s v="in-app"/>
    <x v="2"/>
    <x v="2"/>
    <s v="Request to two-factor authentication"/>
    <n v="30"/>
    <d v="2023-01-21T01:17:14"/>
    <b v="1"/>
    <m/>
  </r>
  <r>
    <s v="TK61391"/>
    <d v="2023-01-21T00:47:00"/>
    <s v="email"/>
    <x v="3"/>
    <x v="1"/>
    <s v="Request to the API rate limit"/>
    <n v="42"/>
    <d v="2023-01-26T02:27:22"/>
    <b v="0"/>
    <n v="4"/>
  </r>
  <r>
    <s v="TK63884"/>
    <d v="2023-01-21T02:45:00"/>
    <s v="chat"/>
    <x v="1"/>
    <x v="0"/>
    <s v="Unable to webhook deliveries failing"/>
    <n v="32"/>
    <d v="2023-01-21T19:34:25"/>
    <b v="0"/>
    <m/>
  </r>
  <r>
    <s v="TK63212"/>
    <d v="2023-01-21T07:32:00"/>
    <s v="chat"/>
    <x v="1"/>
    <x v="3"/>
    <s v="Cannot add a teammate"/>
    <n v="785"/>
    <d v="2023-01-22T02:03:00"/>
    <b v="0"/>
    <n v="4"/>
  </r>
  <r>
    <s v="TK62153"/>
    <d v="2023-01-21T08:40:00"/>
    <s v="chat"/>
    <x v="4"/>
    <x v="1"/>
    <s v="How do I add a teammate"/>
    <n v="28"/>
    <d v="2023-01-21T10:12:51"/>
    <b v="0"/>
    <m/>
  </r>
  <r>
    <s v="TK60492"/>
    <d v="2023-01-21T09:09:00"/>
    <s v="email"/>
    <x v="3"/>
    <x v="0"/>
    <s v="Request to the dashboard loading slowly"/>
    <n v="33"/>
    <d v="2023-01-22T02:04:57"/>
    <b v="0"/>
    <n v="3"/>
  </r>
  <r>
    <s v="TK63678"/>
    <d v="2023-01-21T18:44:00"/>
    <s v="in-app"/>
    <x v="1"/>
    <x v="1"/>
    <s v="Cannot log in after password reset"/>
    <n v="199"/>
    <d v="2023-01-22T11:12:04"/>
    <b v="0"/>
    <n v="5"/>
  </r>
  <r>
    <s v="TK62212"/>
    <d v="2023-01-21T22:39:00"/>
    <s v="chat"/>
    <x v="4"/>
    <x v="3"/>
    <s v="Unable to the dashboard loading slowly"/>
    <n v="243"/>
    <d v="2023-01-22T07:02:53"/>
    <b v="0"/>
    <n v="5"/>
  </r>
  <r>
    <s v="TK61253"/>
    <d v="2023-01-21T22:43:00"/>
    <s v="in-app"/>
    <x v="3"/>
    <x v="1"/>
    <s v="Error when export my data"/>
    <n v="29"/>
    <d v="2023-01-25T16:12:41"/>
    <b v="0"/>
    <m/>
  </r>
  <r>
    <s v="TK60772"/>
    <d v="2023-01-22T06:25:00"/>
    <s v="email"/>
    <x v="1"/>
    <x v="0"/>
    <s v="Request to a refund for an annual plan"/>
    <n v="41"/>
    <d v="2023-01-22T20:57:58"/>
    <b v="0"/>
    <m/>
  </r>
  <r>
    <s v="TK61755"/>
    <d v="2023-01-22T07:10:00"/>
    <s v="chat"/>
    <x v="2"/>
    <x v="1"/>
    <s v="How do I webhook deliveries failing"/>
    <n v="315"/>
    <d v="2023-01-22T08:22:35"/>
    <b v="0"/>
    <m/>
  </r>
  <r>
    <s v="TK62651"/>
    <d v="2023-01-22T08:32:00"/>
    <s v="phone"/>
    <x v="2"/>
    <x v="0"/>
    <s v="Issue with webhook deliveries failing"/>
    <n v="121"/>
    <d v="2023-01-23T14:36:06"/>
    <b v="0"/>
    <m/>
  </r>
  <r>
    <s v="TK61359"/>
    <d v="2023-01-22T10:14:00"/>
    <s v="in-app"/>
    <x v="2"/>
    <x v="1"/>
    <s v="Unable to connecting the Snowflake sync"/>
    <n v="77"/>
    <d v="2023-01-23T15:51:14"/>
    <b v="0"/>
    <n v="5"/>
  </r>
  <r>
    <s v="TK61865"/>
    <d v="2023-01-22T14:12:00"/>
    <s v="chat"/>
    <x v="4"/>
    <x v="1"/>
    <s v="How do I add a teammate"/>
    <n v="90"/>
    <d v="2023-01-23T23:35:38"/>
    <b v="0"/>
    <m/>
  </r>
  <r>
    <s v="TK63705"/>
    <d v="2023-01-22T14:22:00"/>
    <s v="in-app"/>
    <x v="4"/>
    <x v="1"/>
    <s v="Request to connecting the Snowflake sync"/>
    <n v="200"/>
    <d v="2023-01-24T18:43:10"/>
    <b v="0"/>
    <m/>
  </r>
  <r>
    <s v="TK62145"/>
    <d v="2023-01-22T15:41:00"/>
    <s v="email"/>
    <x v="1"/>
    <x v="1"/>
    <s v="Issue with downgrade my plan"/>
    <n v="431"/>
    <d v="2023-01-24T11:04:43"/>
    <b v="0"/>
    <m/>
  </r>
  <r>
    <s v="TK62700"/>
    <d v="2023-01-22T23:00:00"/>
    <s v="email"/>
    <x v="2"/>
    <x v="1"/>
    <s v="How do I the invoice for last month"/>
    <n v="293"/>
    <d v="2023-01-23T20:53:34"/>
    <b v="0"/>
    <m/>
  </r>
  <r>
    <s v="TK61419"/>
    <d v="2023-01-22T23:04:00"/>
    <s v="phone"/>
    <x v="2"/>
    <x v="3"/>
    <s v="Question about two-factor authentication"/>
    <n v="210"/>
    <d v="2023-01-24T14:19:11"/>
    <b v="0"/>
    <m/>
  </r>
  <r>
    <s v="TK62719"/>
    <d v="2023-01-23T00:14:00"/>
    <s v="phone"/>
    <x v="1"/>
    <x v="2"/>
    <s v="Error when downgrade my plan"/>
    <m/>
    <d v="2023-01-24T07:15:50"/>
    <b v="0"/>
    <n v="4"/>
  </r>
  <r>
    <s v="TK62341"/>
    <d v="2023-01-23T05:28:00"/>
    <s v="email"/>
    <x v="1"/>
    <x v="0"/>
    <s v="Question about downgrade my plan"/>
    <n v="187"/>
    <d v="2023-01-25T11:05:50"/>
    <b v="0"/>
    <m/>
  </r>
  <r>
    <s v="TK60499"/>
    <d v="2023-01-23T13:39:00"/>
    <s v="email"/>
    <x v="3"/>
    <x v="1"/>
    <s v="Error when connecting the Snowflake sync"/>
    <n v="214"/>
    <d v="2023-02-10T15:55:10"/>
    <b v="0"/>
    <m/>
  </r>
  <r>
    <s v="TK61366"/>
    <d v="2023-01-23T16:10:00"/>
    <s v="email"/>
    <x v="2"/>
    <x v="3"/>
    <s v="Request to downgrade my plan"/>
    <n v="181"/>
    <d v="2023-01-25T00:04:34"/>
    <b v="0"/>
    <m/>
  </r>
  <r>
    <s v="TK61302"/>
    <d v="2023-01-23T16:29:00"/>
    <s v="chat"/>
    <x v="1"/>
    <x v="3"/>
    <s v="Question about a duplicate charge"/>
    <n v="76"/>
    <d v="2023-02-01T04:17:28"/>
    <b v="0"/>
    <n v="4"/>
  </r>
  <r>
    <s v="TK60752"/>
    <d v="2023-01-23T16:57:00"/>
    <s v="email"/>
    <x v="4"/>
    <x v="1"/>
    <s v="Error when downgrade my plan"/>
    <n v="439"/>
    <d v="2023-01-24T15:08:33"/>
    <b v="1"/>
    <n v="4"/>
  </r>
  <r>
    <s v="TK62631"/>
    <d v="2023-01-23T18:03:00"/>
    <s v="in-app"/>
    <x v="2"/>
    <x v="2"/>
    <s v="Unable to two-factor authentication"/>
    <n v="18"/>
    <d v="2023-01-23T22:21:53"/>
    <b v="0"/>
    <m/>
  </r>
  <r>
    <s v="TK62483"/>
    <d v="2023-01-24T01:56:00"/>
    <s v="email"/>
    <x v="0"/>
    <x v="0"/>
    <s v="How do I two-factor authentication"/>
    <n v="53"/>
    <d v="2023-01-24T05:58:10"/>
    <b v="0"/>
    <m/>
  </r>
  <r>
    <s v="TK63343"/>
    <d v="2023-01-24T03:22:00"/>
    <s v="chat"/>
    <x v="1"/>
    <x v="1"/>
    <s v="Error when the dashboard loading slowly"/>
    <n v="44"/>
    <d v="2023-01-26T18:17:20"/>
    <b v="1"/>
    <m/>
  </r>
  <r>
    <s v="TK63711"/>
    <d v="2023-01-24T08:29:00"/>
    <s v="email"/>
    <x v="3"/>
    <x v="0"/>
    <s v="Question about log in after password reset"/>
    <n v="80"/>
    <d v="2023-01-27T04:14:55"/>
    <b v="1"/>
    <m/>
  </r>
  <r>
    <s v="TK62424"/>
    <d v="2023-01-24T10:54:00"/>
    <s v="email"/>
    <x v="3"/>
    <x v="1"/>
    <s v="Issue with downgrade my plan"/>
    <n v="169"/>
    <d v="2023-01-27T01:08:25"/>
    <b v="0"/>
    <m/>
  </r>
  <r>
    <s v="TK61672"/>
    <d v="2023-01-24T11:25:00"/>
    <s v="email"/>
    <x v="3"/>
    <x v="1"/>
    <s v="How do I the API rate limit"/>
    <m/>
    <d v="2023-01-29T10:08:13"/>
    <b v="0"/>
    <n v="5"/>
  </r>
  <r>
    <s v="TK61417"/>
    <d v="2023-01-24T12:52:00"/>
    <s v="chat"/>
    <x v="3"/>
    <x v="0"/>
    <s v="Error when downgrade my plan"/>
    <n v="24"/>
    <d v="2023-01-25T18:41:29"/>
    <b v="0"/>
    <m/>
  </r>
  <r>
    <s v="TK63317"/>
    <d v="2023-01-24T15:07:00"/>
    <s v="chat"/>
    <x v="2"/>
    <x v="1"/>
    <s v="Error when the API rate limit"/>
    <n v="177"/>
    <d v="2023-01-25T02:44:00"/>
    <b v="0"/>
    <m/>
  </r>
  <r>
    <s v="TK60142"/>
    <d v="2023-01-24T15:49:00"/>
    <s v="in-app"/>
    <x v="2"/>
    <x v="0"/>
    <s v="Request to add a teammate"/>
    <n v="17"/>
    <d v="2023-01-24T18:30:40"/>
    <b v="0"/>
    <m/>
  </r>
  <r>
    <s v="TK62010"/>
    <d v="2023-01-24T18:59:00"/>
    <s v="in-app"/>
    <x v="2"/>
    <x v="1"/>
    <s v="Error when the invoice for last month"/>
    <n v="161"/>
    <d v="2023-01-24T23:49:10"/>
    <b v="0"/>
    <m/>
  </r>
  <r>
    <s v="TK63927"/>
    <d v="2023-01-24T19:27:00"/>
    <s v="chat"/>
    <x v="2"/>
    <x v="1"/>
    <s v="Issue with log in after password reset"/>
    <n v="36"/>
    <d v="2023-01-26T10:39:55"/>
    <b v="0"/>
    <n v="5"/>
  </r>
  <r>
    <s v="TK63072"/>
    <d v="2023-01-24T19:44:00"/>
    <s v="in-app"/>
    <x v="3"/>
    <x v="3"/>
    <s v="Question about a refund for an annual plan"/>
    <n v="65"/>
    <d v="2023-01-25T20:07:44"/>
    <b v="0"/>
    <m/>
  </r>
  <r>
    <s v="TK61287"/>
    <d v="2023-01-25T01:17:00"/>
    <s v="chat"/>
    <x v="4"/>
    <x v="1"/>
    <s v="Unable to a duplicate charge"/>
    <n v="88"/>
    <d v="2023-01-25T09:27:16"/>
    <b v="0"/>
    <m/>
  </r>
  <r>
    <s v="TK60960"/>
    <d v="2023-01-25T04:02:00"/>
    <s v="chat"/>
    <x v="0"/>
    <x v="0"/>
    <s v="Error when two-factor authentication"/>
    <n v="35"/>
    <d v="2023-01-25T21:30:12"/>
    <b v="0"/>
    <m/>
  </r>
  <r>
    <s v="TK62029"/>
    <d v="2023-01-25T04:18:00"/>
    <s v="phone"/>
    <x v="2"/>
    <x v="1"/>
    <s v="Unable to connecting the Snowflake sync"/>
    <m/>
    <d v="2023-01-27T22:33:54"/>
    <b v="0"/>
    <m/>
  </r>
  <r>
    <s v="TK63699"/>
    <d v="2023-01-25T07:51:00"/>
    <s v="chat"/>
    <x v="4"/>
    <x v="1"/>
    <s v="Unable to a duplicate charge"/>
    <n v="239"/>
    <d v="2023-01-26T08:12:38"/>
    <b v="0"/>
    <m/>
  </r>
  <r>
    <s v="TK63902"/>
    <d v="2023-01-25T09:24:00"/>
    <s v="email"/>
    <x v="2"/>
    <x v="1"/>
    <s v="Issue with the API rate limit"/>
    <n v="239"/>
    <d v="2023-01-25T10:53:01"/>
    <b v="0"/>
    <m/>
  </r>
  <r>
    <s v="TK60792"/>
    <d v="2023-01-25T15:12:00"/>
    <s v="chat"/>
    <x v="0"/>
    <x v="0"/>
    <s v="Issue with downgrade my plan"/>
    <n v="82"/>
    <d v="2023-01-26T00:29:14"/>
    <b v="1"/>
    <m/>
  </r>
  <r>
    <s v="TK63583"/>
    <d v="2023-01-25T17:27:00"/>
    <s v="phone"/>
    <x v="3"/>
    <x v="3"/>
    <s v="How do I downgrade my plan"/>
    <n v="836"/>
    <d v="2023-01-27T02:24:28"/>
    <b v="0"/>
    <m/>
  </r>
  <r>
    <s v="TK60582"/>
    <d v="2023-01-25T19:29:00"/>
    <s v="chat"/>
    <x v="2"/>
    <x v="1"/>
    <s v="Request to connecting the Snowflake sync"/>
    <n v="55"/>
    <d v="2023-01-27T16:24:39"/>
    <b v="0"/>
    <n v="5"/>
  </r>
  <r>
    <s v="TK60545"/>
    <d v="2023-01-25T19:56:00"/>
    <s v="in-app"/>
    <x v="4"/>
    <x v="0"/>
    <s v="Request to the API rate limit"/>
    <n v="133"/>
    <d v="2023-01-25T22:55:59"/>
    <b v="0"/>
    <n v="5"/>
  </r>
  <r>
    <s v="TK61085"/>
    <d v="2023-01-25T20:05:00"/>
    <s v="phone"/>
    <x v="2"/>
    <x v="1"/>
    <s v="Cannot log in after password reset"/>
    <n v="60"/>
    <d v="2023-01-26T21:50:12"/>
    <b v="0"/>
    <m/>
  </r>
  <r>
    <s v="TK62050"/>
    <d v="2023-01-25T20:30:00"/>
    <s v="email"/>
    <x v="2"/>
    <x v="0"/>
    <s v="Unable to the API rate limit"/>
    <n v="78"/>
    <d v="2023-01-26T01:45:28"/>
    <b v="0"/>
    <n v="2"/>
  </r>
  <r>
    <s v="TK61015"/>
    <d v="2023-01-25T20:40:00"/>
    <s v="email"/>
    <x v="3"/>
    <x v="0"/>
    <s v="Error when two-factor authentication"/>
    <n v="60"/>
    <d v="2023-01-26T13:15:54"/>
    <b v="0"/>
    <m/>
  </r>
  <r>
    <s v="TK62388"/>
    <d v="2023-01-25T22:55:00"/>
    <s v="phone"/>
    <x v="2"/>
    <x v="2"/>
    <s v="Unable to downgrade my plan"/>
    <n v="19"/>
    <d v="2023-01-26T10:39:03"/>
    <b v="0"/>
    <m/>
  </r>
  <r>
    <s v="TK60276"/>
    <d v="2023-01-26T00:30:00"/>
    <s v="email"/>
    <x v="0"/>
    <x v="0"/>
    <s v="Issue with connecting the Snowflake sync"/>
    <n v="110"/>
    <m/>
    <b v="0"/>
    <m/>
  </r>
  <r>
    <s v="TK63743"/>
    <d v="2023-01-26T00:36:00"/>
    <s v="phone"/>
    <x v="1"/>
    <x v="0"/>
    <s v="Cannot downgrade my plan"/>
    <n v="155"/>
    <d v="2023-01-26T18:35:00"/>
    <b v="0"/>
    <m/>
  </r>
  <r>
    <s v="TK63980"/>
    <d v="2023-01-26T01:24:00"/>
    <s v="in-app"/>
    <x v="1"/>
    <x v="3"/>
    <s v="Issue with the API rate limit"/>
    <n v="357"/>
    <d v="2023-02-02T02:09:49"/>
    <b v="0"/>
    <n v="5"/>
  </r>
  <r>
    <s v="TK62090"/>
    <d v="2023-01-26T05:42:00"/>
    <s v="chat"/>
    <x v="3"/>
    <x v="1"/>
    <s v="Request to a refund for an annual plan"/>
    <n v="68"/>
    <d v="2023-02-02T01:58:34"/>
    <b v="0"/>
    <n v="5"/>
  </r>
  <r>
    <s v="TK62798"/>
    <d v="2023-01-26T13:46:00"/>
    <s v="email"/>
    <x v="1"/>
    <x v="1"/>
    <s v="Issue with the API rate limit"/>
    <n v="197"/>
    <m/>
    <b v="0"/>
    <m/>
  </r>
  <r>
    <s v="TK62639"/>
    <d v="2023-01-26T14:10:00"/>
    <s v="in-app"/>
    <x v="1"/>
    <x v="3"/>
    <s v="Question about the dashboard loading slowly"/>
    <n v="60"/>
    <d v="2023-01-29T05:48:14"/>
    <b v="0"/>
    <m/>
  </r>
  <r>
    <s v="TK62754"/>
    <d v="2023-01-26T14:57:00"/>
    <s v="chat"/>
    <x v="3"/>
    <x v="1"/>
    <s v="Error when log in after password reset"/>
    <n v="176"/>
    <d v="2023-01-28T19:36:04"/>
    <b v="0"/>
    <m/>
  </r>
  <r>
    <s v="TK60521"/>
    <d v="2023-01-26T15:34:00"/>
    <s v="phone"/>
    <x v="0"/>
    <x v="1"/>
    <s v="Request to two-factor authentication"/>
    <n v="26"/>
    <d v="2023-01-29T11:14:25"/>
    <b v="0"/>
    <m/>
  </r>
  <r>
    <s v="TK60824"/>
    <d v="2023-01-26T16:51:00"/>
    <s v="in-app"/>
    <x v="0"/>
    <x v="0"/>
    <s v="How do I export my data"/>
    <n v="66"/>
    <d v="2023-01-26T23:45:48"/>
    <b v="0"/>
    <n v="4"/>
  </r>
  <r>
    <s v="TK60763"/>
    <d v="2023-01-27T08:32:00"/>
    <s v="in-app"/>
    <x v="3"/>
    <x v="1"/>
    <s v="Unable to the invoice for last month"/>
    <n v="341"/>
    <d v="2023-01-28T05:06:29"/>
    <b v="0"/>
    <m/>
  </r>
  <r>
    <s v="TK63824"/>
    <d v="2023-01-27T11:23:00"/>
    <s v="chat"/>
    <x v="0"/>
    <x v="1"/>
    <s v="Request to a refund for an annual plan"/>
    <n v="422"/>
    <d v="2023-01-28T19:19:49"/>
    <b v="1"/>
    <m/>
  </r>
  <r>
    <s v="TK63099"/>
    <d v="2023-01-27T22:03:00"/>
    <s v="email"/>
    <x v="1"/>
    <x v="3"/>
    <s v="Error when downgrade my plan"/>
    <n v="441"/>
    <d v="2023-02-06T15:52:23"/>
    <b v="0"/>
    <m/>
  </r>
  <r>
    <s v="TK61097"/>
    <d v="2023-01-27T22:37:00"/>
    <s v="in-app"/>
    <x v="1"/>
    <x v="1"/>
    <s v="Cannot downgrade my plan"/>
    <n v="75"/>
    <d v="2023-01-29T11:51:50"/>
    <b v="0"/>
    <n v="1"/>
  </r>
  <r>
    <s v="TK63986"/>
    <d v="2023-01-28T06:17:00"/>
    <s v="email"/>
    <x v="2"/>
    <x v="0"/>
    <s v="Error when log in after password reset"/>
    <n v="114"/>
    <d v="2023-01-28T11:03:15"/>
    <b v="0"/>
    <m/>
  </r>
  <r>
    <s v="TK62484"/>
    <d v="2023-01-28T09:11:00"/>
    <s v="email"/>
    <x v="4"/>
    <x v="1"/>
    <s v="Error when a duplicate charge"/>
    <n v="57"/>
    <d v="2023-01-28T16:08:04"/>
    <b v="0"/>
    <n v="1"/>
  </r>
  <r>
    <s v="TK62014"/>
    <d v="2023-01-28T14:57:00"/>
    <s v="in-app"/>
    <x v="1"/>
    <x v="1"/>
    <s v="Unable to the API rate limit"/>
    <n v="35"/>
    <d v="2023-01-31T14:19:49"/>
    <b v="0"/>
    <m/>
  </r>
  <r>
    <s v="TK60647"/>
    <d v="2023-01-28T16:29:00"/>
    <s v="chat"/>
    <x v="2"/>
    <x v="0"/>
    <s v="Request to two-factor authentication"/>
    <n v="80"/>
    <d v="2023-01-29T14:12:18"/>
    <b v="0"/>
    <m/>
  </r>
  <r>
    <s v="TK62761"/>
    <d v="2023-01-28T17:11:00"/>
    <s v="email"/>
    <x v="1"/>
    <x v="1"/>
    <s v="Cannot a duplicate charge"/>
    <n v="106"/>
    <d v="2023-02-01T15:11:09"/>
    <b v="0"/>
    <m/>
  </r>
  <r>
    <s v="TK61137"/>
    <d v="2023-01-28T18:59:00"/>
    <s v="chat"/>
    <x v="4"/>
    <x v="0"/>
    <s v="Unable to a refund for an annual plan"/>
    <n v="34"/>
    <d v="2023-01-29T10:48:31"/>
    <b v="0"/>
    <m/>
  </r>
  <r>
    <s v="TK61227"/>
    <d v="2023-01-28T19:49:00"/>
    <s v="chat"/>
    <x v="1"/>
    <x v="3"/>
    <s v="How do I the dashboard loading slowly"/>
    <n v="177"/>
    <d v="2023-03-13T20:52:21"/>
    <b v="0"/>
    <m/>
  </r>
  <r>
    <s v="TK60072"/>
    <d v="2023-01-28T22:48:00"/>
    <s v="email"/>
    <x v="1"/>
    <x v="0"/>
    <s v="How do I two-factor authentication"/>
    <n v="72"/>
    <d v="2023-01-29T17:37:35"/>
    <b v="0"/>
    <n v="1"/>
  </r>
  <r>
    <s v="TK61859"/>
    <d v="2023-01-28T22:56:00"/>
    <s v="chat"/>
    <x v="3"/>
    <x v="0"/>
    <s v="Unable to add a teammate"/>
    <n v="25"/>
    <d v="2023-01-31T00:32:35"/>
    <b v="0"/>
    <n v="5"/>
  </r>
  <r>
    <s v="TK63860"/>
    <d v="2023-01-29T03:26:00"/>
    <s v="email"/>
    <x v="2"/>
    <x v="1"/>
    <s v="Request to webhook deliveries failing"/>
    <n v="10"/>
    <d v="2023-01-30T03:07:32"/>
    <b v="0"/>
    <n v="2"/>
  </r>
  <r>
    <s v="TK63365"/>
    <d v="2023-01-29T05:15:00"/>
    <s v="in-app"/>
    <x v="2"/>
    <x v="1"/>
    <s v="Request to the invoice for last month"/>
    <n v="805"/>
    <d v="2023-01-29T10:48:14"/>
    <b v="0"/>
    <m/>
  </r>
  <r>
    <s v="TK61994"/>
    <d v="2023-01-29T05:48:00"/>
    <s v="email"/>
    <x v="1"/>
    <x v="1"/>
    <s v="How do I the API rate limit"/>
    <n v="10"/>
    <d v="2023-02-01T09:51:04"/>
    <b v="0"/>
    <m/>
  </r>
  <r>
    <s v="TK62044"/>
    <d v="2023-01-29T06:34:00"/>
    <s v="in-app"/>
    <x v="4"/>
    <x v="3"/>
    <s v="Unable to the dashboard loading slowly"/>
    <m/>
    <d v="2023-01-29T18:18:21"/>
    <b v="0"/>
    <n v="5"/>
  </r>
  <r>
    <s v="TK60976"/>
    <d v="2023-01-29T09:25:00"/>
    <s v="email"/>
    <x v="2"/>
    <x v="1"/>
    <s v="Unable to the invoice for last month"/>
    <n v="250"/>
    <d v="2023-01-29T18:30:57"/>
    <b v="0"/>
    <m/>
  </r>
  <r>
    <s v="TK61352"/>
    <d v="2023-01-29T09:54:00"/>
    <s v="in-app"/>
    <x v="4"/>
    <x v="1"/>
    <s v="Error when downgrade my plan"/>
    <n v="27"/>
    <d v="2023-02-12T10:08:15"/>
    <b v="0"/>
    <n v="4"/>
  </r>
  <r>
    <s v="TK61264"/>
    <d v="2023-01-29T09:58:00"/>
    <s v="chat"/>
    <x v="2"/>
    <x v="3"/>
    <s v="Unable to a refund for an annual plan"/>
    <n v="53"/>
    <d v="2023-01-30T13:46:02"/>
    <b v="0"/>
    <n v="4"/>
  </r>
  <r>
    <s v="TK60958"/>
    <d v="2023-01-29T10:27:00"/>
    <s v="email"/>
    <x v="1"/>
    <x v="1"/>
    <s v="Issue with add a teammate"/>
    <n v="141"/>
    <d v="2023-01-31T04:29:34"/>
    <b v="1"/>
    <n v="5"/>
  </r>
  <r>
    <s v="TK63651"/>
    <d v="2023-01-29T16:35:00"/>
    <s v="chat"/>
    <x v="4"/>
    <x v="1"/>
    <s v="Request to a refund for an annual plan"/>
    <n v="223"/>
    <d v="2023-01-29T18:18:56"/>
    <b v="1"/>
    <m/>
  </r>
  <r>
    <s v="TK62077"/>
    <d v="2023-01-29T16:42:00"/>
    <s v="chat"/>
    <x v="1"/>
    <x v="0"/>
    <s v="Error when the dashboard loading slowly"/>
    <n v="144"/>
    <d v="2023-01-30T00:48:17"/>
    <b v="0"/>
    <m/>
  </r>
  <r>
    <s v="TK63631"/>
    <d v="2023-01-29T17:57:00"/>
    <s v="chat"/>
    <x v="0"/>
    <x v="1"/>
    <s v="Issue with connecting the Snowflake sync"/>
    <n v="99"/>
    <d v="2023-01-31T01:32:07"/>
    <b v="0"/>
    <m/>
  </r>
  <r>
    <s v="TK61400"/>
    <d v="2023-01-30T04:08:00"/>
    <s v="email"/>
    <x v="2"/>
    <x v="1"/>
    <s v="Unable to webhook deliveries failing"/>
    <n v="81"/>
    <d v="2023-01-30T16:03:29"/>
    <b v="0"/>
    <m/>
  </r>
  <r>
    <s v="TK60526"/>
    <d v="2023-01-30T06:57:00"/>
    <s v="email"/>
    <x v="0"/>
    <x v="1"/>
    <s v="Error when connecting the Snowflake sync"/>
    <n v="361"/>
    <d v="2023-01-31T07:28:07"/>
    <b v="0"/>
    <n v="4"/>
  </r>
  <r>
    <s v="TK61091"/>
    <d v="2023-01-30T07:25:00"/>
    <s v="in-app"/>
    <x v="0"/>
    <x v="2"/>
    <s v="Request to a refund for an annual plan"/>
    <m/>
    <d v="2023-01-30T22:10:26"/>
    <b v="0"/>
    <m/>
  </r>
  <r>
    <s v="TK61226"/>
    <d v="2023-01-30T08:40:00"/>
    <s v="chat"/>
    <x v="0"/>
    <x v="1"/>
    <s v="Request to connecting the Snowflake sync"/>
    <n v="82"/>
    <d v="2023-01-31T08:42:20"/>
    <b v="0"/>
    <m/>
  </r>
  <r>
    <s v="TK62835"/>
    <d v="2023-01-30T15:49:00"/>
    <s v="in-app"/>
    <x v="1"/>
    <x v="3"/>
    <s v="Cannot log in after password reset"/>
    <n v="566"/>
    <d v="2023-02-01T05:53:40"/>
    <b v="1"/>
    <n v="2"/>
  </r>
  <r>
    <s v="TK63573"/>
    <d v="2023-01-30T17:02:00"/>
    <s v="chat"/>
    <x v="4"/>
    <x v="1"/>
    <s v="Request to a duplicate charge"/>
    <n v="82"/>
    <d v="2023-01-31T16:02:09"/>
    <b v="0"/>
    <m/>
  </r>
  <r>
    <s v="TK62696"/>
    <d v="2023-01-30T20:36:00"/>
    <s v="in-app"/>
    <x v="0"/>
    <x v="2"/>
    <s v="Request to the invoice for last month"/>
    <n v="28"/>
    <d v="2023-01-31T02:52:36"/>
    <b v="0"/>
    <n v="4"/>
  </r>
  <r>
    <s v="TK63744"/>
    <d v="2023-01-30T20:40:00"/>
    <s v="email"/>
    <x v="1"/>
    <x v="1"/>
    <s v="Cannot add a teammate"/>
    <n v="63"/>
    <d v="2023-01-31T19:40:00"/>
    <b v="0"/>
    <m/>
  </r>
  <r>
    <s v="TK60814"/>
    <d v="2023-01-30T22:36:00"/>
    <s v="email"/>
    <x v="3"/>
    <x v="1"/>
    <s v="Unable to downgrade my plan"/>
    <n v="324"/>
    <d v="2023-01-31T03:50:56"/>
    <b v="0"/>
    <n v="5"/>
  </r>
  <r>
    <s v="TK61443"/>
    <d v="2023-01-31T01:22:00"/>
    <s v="phone"/>
    <x v="3"/>
    <x v="1"/>
    <s v="Error when add a teammate"/>
    <n v="358"/>
    <d v="2023-02-02T07:54:13"/>
    <b v="0"/>
    <m/>
  </r>
  <r>
    <s v="TK60899"/>
    <d v="2023-01-31T01:53:00"/>
    <s v="chat"/>
    <x v="4"/>
    <x v="1"/>
    <s v="Question about export my data"/>
    <n v="252"/>
    <d v="2023-02-02T10:38:03"/>
    <b v="0"/>
    <m/>
  </r>
  <r>
    <s v="TK60298"/>
    <d v="2023-01-31T04:27:00"/>
    <s v="email"/>
    <x v="1"/>
    <x v="1"/>
    <s v="Request to downgrade my plan"/>
    <n v="85"/>
    <d v="2023-02-09T02:29:45"/>
    <b v="0"/>
    <n v="4"/>
  </r>
  <r>
    <s v="TK60533"/>
    <d v="2023-01-31T05:52:00"/>
    <s v="chat"/>
    <x v="1"/>
    <x v="1"/>
    <s v="Issue with the dashboard loading slowly"/>
    <n v="65"/>
    <d v="2023-01-31T11:32:40"/>
    <b v="0"/>
    <n v="5"/>
  </r>
  <r>
    <s v="TK63401"/>
    <d v="2023-01-31T07:18:00"/>
    <s v="chat"/>
    <x v="4"/>
    <x v="1"/>
    <s v="Cannot log in after password reset"/>
    <n v="70"/>
    <d v="2023-02-01T19:14:18"/>
    <b v="0"/>
    <m/>
  </r>
  <r>
    <s v="TK63552"/>
    <d v="2023-01-31T08:10:00"/>
    <s v="chat"/>
    <x v="0"/>
    <x v="3"/>
    <s v="Unable to webhook deliveries failing"/>
    <n v="463"/>
    <d v="2023-02-02T23:20:13"/>
    <b v="0"/>
    <m/>
  </r>
  <r>
    <s v="TK63197"/>
    <d v="2023-01-31T09:35:00"/>
    <s v="email"/>
    <x v="1"/>
    <x v="1"/>
    <s v="Cannot two-factor authentication"/>
    <n v="36"/>
    <d v="2023-02-04T09:49:48"/>
    <b v="0"/>
    <m/>
  </r>
  <r>
    <s v="TK62848"/>
    <d v="2023-01-31T11:21:00"/>
    <s v="chat"/>
    <x v="4"/>
    <x v="1"/>
    <s v="Error when add a teammate"/>
    <n v="30"/>
    <d v="2023-02-02T05:08:46"/>
    <b v="0"/>
    <n v="3"/>
  </r>
  <r>
    <s v="TK62280"/>
    <d v="2023-01-31T11:55:00"/>
    <s v="phone"/>
    <x v="4"/>
    <x v="1"/>
    <s v="Unable to the API rate limit"/>
    <n v="409"/>
    <d v="2023-02-01T01:04:51"/>
    <b v="0"/>
    <m/>
  </r>
  <r>
    <s v="TK60655"/>
    <d v="2023-01-31T18:53:00"/>
    <s v="email"/>
    <x v="2"/>
    <x v="2"/>
    <s v="Issue with the invoice for last month"/>
    <n v="102"/>
    <d v="2023-02-01T03:06:34"/>
    <b v="0"/>
    <n v="2"/>
  </r>
  <r>
    <s v="TK62134"/>
    <d v="2023-01-31T20:56:00"/>
    <s v="email"/>
    <x v="4"/>
    <x v="3"/>
    <s v="Error when the dashboard loading slowly"/>
    <n v="18"/>
    <d v="2023-02-03T08:52:01"/>
    <b v="0"/>
    <m/>
  </r>
  <r>
    <s v="TK60325"/>
    <d v="2023-02-01T01:04:00"/>
    <s v="phone"/>
    <x v="4"/>
    <x v="3"/>
    <s v="How do I the dashboard loading slowly"/>
    <n v="302"/>
    <d v="2023-02-08T17:22:12"/>
    <b v="0"/>
    <m/>
  </r>
  <r>
    <s v="TK61472"/>
    <d v="2023-02-01T02:50:00"/>
    <s v="in-app"/>
    <x v="3"/>
    <x v="1"/>
    <s v="Request to downgrade my plan"/>
    <n v="9"/>
    <d v="2023-02-10T00:12:23"/>
    <b v="0"/>
    <m/>
  </r>
  <r>
    <s v="TK62187"/>
    <d v="2023-02-01T03:07:00"/>
    <s v="email"/>
    <x v="1"/>
    <x v="1"/>
    <s v="Cannot two-factor authentication"/>
    <n v="265"/>
    <d v="2023-02-01T12:48:33"/>
    <b v="0"/>
    <m/>
  </r>
  <r>
    <s v="TK61154"/>
    <d v="2023-02-01T03:48:00"/>
    <s v="email"/>
    <x v="0"/>
    <x v="3"/>
    <s v="Issue with a refund for an annual plan"/>
    <n v="706"/>
    <d v="2023-02-06T05:23:18"/>
    <b v="0"/>
    <n v="5"/>
  </r>
  <r>
    <s v="TK63797"/>
    <d v="2023-02-01T04:03:00"/>
    <s v="email"/>
    <x v="1"/>
    <x v="1"/>
    <s v="Issue with add a teammate"/>
    <n v="78"/>
    <d v="2023-02-01T10:01:57"/>
    <b v="0"/>
    <n v="4"/>
  </r>
  <r>
    <s v="TK60935"/>
    <d v="2023-02-01T09:09:00"/>
    <s v="email"/>
    <x v="0"/>
    <x v="1"/>
    <s v="Question about log in after password reset"/>
    <n v="87"/>
    <d v="2023-02-03T02:23:33"/>
    <b v="0"/>
    <m/>
  </r>
  <r>
    <s v="TK62025"/>
    <d v="2023-02-01T11:40:00"/>
    <s v="email"/>
    <x v="2"/>
    <x v="0"/>
    <s v="Question about log in after password reset"/>
    <n v="113"/>
    <d v="2023-02-01T13:00:26"/>
    <b v="0"/>
    <n v="5"/>
  </r>
  <r>
    <s v="TK60910"/>
    <d v="2023-02-01T11:43:00"/>
    <s v="chat"/>
    <x v="4"/>
    <x v="0"/>
    <s v="Request to export my data"/>
    <n v="12"/>
    <d v="2023-02-02T10:06:36"/>
    <b v="0"/>
    <m/>
  </r>
  <r>
    <s v="TK60269"/>
    <d v="2023-02-01T13:49:00"/>
    <s v="email"/>
    <x v="1"/>
    <x v="1"/>
    <s v="Issue with a refund for an annual plan"/>
    <n v="114"/>
    <d v="2023-02-06T16:10:38"/>
    <b v="1"/>
    <m/>
  </r>
  <r>
    <s v="TK60566"/>
    <d v="2023-02-02T04:11:00"/>
    <s v="in-app"/>
    <x v="1"/>
    <x v="3"/>
    <s v="Unable to connecting the Snowflake sync"/>
    <n v="138"/>
    <d v="2023-02-13T23:11:42"/>
    <b v="0"/>
    <n v="5"/>
  </r>
  <r>
    <s v="TK61438"/>
    <d v="2023-02-02T07:10:00"/>
    <s v="email"/>
    <x v="3"/>
    <x v="1"/>
    <s v="Request to the API rate limit"/>
    <n v="31"/>
    <d v="2023-02-03T18:55:52"/>
    <b v="0"/>
    <m/>
  </r>
  <r>
    <s v="TK61993"/>
    <d v="2023-02-02T09:21:00"/>
    <s v="in-app"/>
    <x v="2"/>
    <x v="0"/>
    <s v="Cannot two-factor authentication"/>
    <n v="43"/>
    <d v="2023-02-03T01:09:43"/>
    <b v="0"/>
    <m/>
  </r>
  <r>
    <s v="TK60882"/>
    <d v="2023-02-02T11:50:00"/>
    <s v="chat"/>
    <x v="1"/>
    <x v="1"/>
    <s v="Issue with a duplicate charge"/>
    <n v="140"/>
    <d v="2023-02-11T04:17:56"/>
    <b v="0"/>
    <n v="3"/>
  </r>
  <r>
    <s v="TK63920"/>
    <d v="2023-02-02T11:56:00"/>
    <s v="in-app"/>
    <x v="2"/>
    <x v="3"/>
    <s v="Unable to the dashboard loading slowly"/>
    <n v="176"/>
    <d v="2023-02-02T20:26:40"/>
    <b v="1"/>
    <n v="4"/>
  </r>
  <r>
    <s v="TK61067"/>
    <d v="2023-02-02T16:43:00"/>
    <s v="chat"/>
    <x v="4"/>
    <x v="1"/>
    <s v="Request to the invoice for last month"/>
    <m/>
    <d v="2023-02-07T14:37:45"/>
    <b v="0"/>
    <m/>
  </r>
  <r>
    <s v="TK62532"/>
    <d v="2023-02-02T20:39:00"/>
    <s v="chat"/>
    <x v="4"/>
    <x v="0"/>
    <s v="Error when the API rate limit"/>
    <n v="62"/>
    <d v="2023-02-03T20:55:32"/>
    <b v="0"/>
    <n v="5"/>
  </r>
  <r>
    <s v="TK60129"/>
    <d v="2023-02-02T23:39:00"/>
    <s v="chat"/>
    <x v="4"/>
    <x v="2"/>
    <s v="Question about downgrade my plan"/>
    <n v="9"/>
    <d v="2023-02-03T02:27:54"/>
    <b v="0"/>
    <n v="3"/>
  </r>
  <r>
    <s v="TK63252"/>
    <d v="2023-02-03T01:14:00"/>
    <s v="chat"/>
    <x v="2"/>
    <x v="1"/>
    <s v="Request to a duplicate charge"/>
    <n v="93"/>
    <d v="2023-02-03T15:50:10"/>
    <b v="0"/>
    <m/>
  </r>
  <r>
    <s v="TK61852"/>
    <d v="2023-02-03T01:59:00"/>
    <s v="email"/>
    <x v="2"/>
    <x v="3"/>
    <s v="Cannot add a teammate"/>
    <n v="114"/>
    <d v="2023-02-03T06:51:42"/>
    <b v="0"/>
    <n v="5"/>
  </r>
  <r>
    <s v="TK62109"/>
    <d v="2023-02-03T04:49:00"/>
    <s v="phone"/>
    <x v="4"/>
    <x v="0"/>
    <s v="Unable to two-factor authentication"/>
    <n v="56"/>
    <d v="2023-02-03T05:56:17"/>
    <b v="0"/>
    <n v="4"/>
  </r>
  <r>
    <s v="TK60481"/>
    <d v="2023-02-03T08:08:00"/>
    <s v="in-app"/>
    <x v="2"/>
    <x v="1"/>
    <s v="Question about export my data"/>
    <n v="19"/>
    <d v="2023-02-04T07:37:33"/>
    <b v="0"/>
    <n v="4"/>
  </r>
  <r>
    <s v="TK63277"/>
    <d v="2023-02-03T11:24:00"/>
    <s v="chat"/>
    <x v="2"/>
    <x v="1"/>
    <s v="Error when two-factor authentication"/>
    <n v="89"/>
    <d v="2023-02-03T14:42:49"/>
    <b v="0"/>
    <n v="1"/>
  </r>
  <r>
    <s v="TK62237"/>
    <d v="2023-02-03T11:55:00"/>
    <s v="chat"/>
    <x v="3"/>
    <x v="3"/>
    <s v="Unable to the API rate limit"/>
    <n v="126"/>
    <d v="2023-02-04T21:02:33"/>
    <b v="0"/>
    <n v="4"/>
  </r>
  <r>
    <s v="TK60308"/>
    <d v="2023-02-03T14:19:00"/>
    <s v="email"/>
    <x v="2"/>
    <x v="1"/>
    <s v="Error when downgrade my plan"/>
    <n v="210"/>
    <d v="2023-02-05T11:51:26"/>
    <b v="0"/>
    <m/>
  </r>
  <r>
    <s v="TK63060"/>
    <d v="2023-02-03T22:15:00"/>
    <s v="in-app"/>
    <x v="1"/>
    <x v="1"/>
    <s v="Error when add a teammate"/>
    <n v="145"/>
    <d v="2023-02-10T07:17:46"/>
    <b v="0"/>
    <m/>
  </r>
  <r>
    <s v="TK60562"/>
    <d v="2023-02-03T22:52:00"/>
    <s v="email"/>
    <x v="1"/>
    <x v="1"/>
    <s v="How do I the invoice for last month"/>
    <n v="90"/>
    <d v="2023-02-09T09:12:00"/>
    <b v="0"/>
    <n v="5"/>
  </r>
  <r>
    <s v="TK62740"/>
    <d v="2023-02-03T23:15:00"/>
    <s v="email"/>
    <x v="0"/>
    <x v="0"/>
    <s v="Request to add a teammate"/>
    <n v="13"/>
    <d v="2023-02-04T08:06:33"/>
    <b v="0"/>
    <m/>
  </r>
  <r>
    <s v="TK62251"/>
    <d v="2023-02-04T11:24:00"/>
    <s v="phone"/>
    <x v="1"/>
    <x v="1"/>
    <s v="Question about webhook deliveries failing"/>
    <n v="20"/>
    <m/>
    <b v="0"/>
    <m/>
  </r>
  <r>
    <s v="TK60605"/>
    <d v="2023-02-04T11:54:00"/>
    <s v="in-app"/>
    <x v="0"/>
    <x v="3"/>
    <s v="Cannot log in after password reset"/>
    <n v="98"/>
    <d v="2023-02-05T13:00:51"/>
    <b v="0"/>
    <m/>
  </r>
  <r>
    <s v="TK61261"/>
    <d v="2023-02-04T17:23:00"/>
    <s v="phone"/>
    <x v="0"/>
    <x v="3"/>
    <s v="Request to a refund for an annual plan"/>
    <m/>
    <d v="2023-02-06T04:13:31"/>
    <b v="0"/>
    <n v="5"/>
  </r>
  <r>
    <s v="TK63173"/>
    <d v="2023-02-04T17:29:00"/>
    <s v="in-app"/>
    <x v="0"/>
    <x v="1"/>
    <s v="How do I webhook deliveries failing"/>
    <n v="114"/>
    <d v="2023-02-04T19:53:16"/>
    <b v="0"/>
    <m/>
  </r>
  <r>
    <s v="TK60619"/>
    <d v="2023-02-04T17:58:00"/>
    <s v="chat"/>
    <x v="1"/>
    <x v="3"/>
    <s v="How do I the dashboard loading slowly"/>
    <n v="455"/>
    <m/>
    <b v="0"/>
    <m/>
  </r>
  <r>
    <s v="TK60134"/>
    <d v="2023-02-04T18:59:00"/>
    <s v="chat"/>
    <x v="1"/>
    <x v="0"/>
    <s v="Cannot export my data"/>
    <n v="55"/>
    <d v="2023-02-05T06:37:18"/>
    <b v="0"/>
    <m/>
  </r>
  <r>
    <s v="TK63443"/>
    <d v="2023-02-05T01:32:00"/>
    <s v="phone"/>
    <x v="1"/>
    <x v="3"/>
    <s v="Issue with add a teammate"/>
    <n v="153"/>
    <d v="2023-02-08T21:47:15"/>
    <b v="0"/>
    <n v="5"/>
  </r>
  <r>
    <s v="TK63665"/>
    <d v="2023-02-05T18:40:00"/>
    <s v="email"/>
    <x v="1"/>
    <x v="1"/>
    <s v="Cannot a duplicate charge"/>
    <n v="285"/>
    <d v="2023-02-21T05:42:06"/>
    <b v="0"/>
    <m/>
  </r>
  <r>
    <s v="TK61026"/>
    <d v="2023-02-05T20:15:00"/>
    <s v="in-app"/>
    <x v="4"/>
    <x v="3"/>
    <s v="Question about a refund for an annual plan"/>
    <n v="1006"/>
    <d v="2023-02-07T12:12:20"/>
    <b v="0"/>
    <m/>
  </r>
  <r>
    <s v="TK63624"/>
    <d v="2023-02-06T01:09:00"/>
    <s v="chat"/>
    <x v="3"/>
    <x v="0"/>
    <s v="Unable to downgrade my plan"/>
    <n v="77"/>
    <d v="2023-02-07T00:54:26"/>
    <b v="0"/>
    <m/>
  </r>
  <r>
    <s v="TK60641"/>
    <d v="2023-02-06T01:23:00"/>
    <s v="in-app"/>
    <x v="2"/>
    <x v="1"/>
    <s v="How do I webhook deliveries failing"/>
    <n v="176"/>
    <d v="2023-02-07T05:24:13"/>
    <b v="0"/>
    <m/>
  </r>
  <r>
    <s v="TK62949"/>
    <d v="2023-02-06T04:26:00"/>
    <s v="email"/>
    <x v="2"/>
    <x v="0"/>
    <s v="How do I export my data"/>
    <n v="184"/>
    <m/>
    <b v="0"/>
    <m/>
  </r>
  <r>
    <s v="TK61674"/>
    <d v="2023-02-06T07:20:00"/>
    <s v="email"/>
    <x v="4"/>
    <x v="3"/>
    <s v="Question about the API rate limit"/>
    <n v="421"/>
    <d v="2023-02-07T02:48:09"/>
    <b v="0"/>
    <n v="5"/>
  </r>
  <r>
    <s v="TK63957"/>
    <d v="2023-02-06T08:17:00"/>
    <s v="email"/>
    <x v="3"/>
    <x v="1"/>
    <s v="How do I webhook deliveries failing"/>
    <n v="579"/>
    <d v="2023-02-07T09:18:46"/>
    <b v="1"/>
    <n v="5"/>
  </r>
  <r>
    <s v="TK61733"/>
    <d v="2023-02-06T09:13:00"/>
    <s v="in-app"/>
    <x v="1"/>
    <x v="2"/>
    <s v="Error when a duplicate charge"/>
    <n v="22"/>
    <d v="2023-02-06T23:22:11"/>
    <b v="0"/>
    <m/>
  </r>
  <r>
    <s v="TK60232"/>
    <d v="2023-02-06T10:06:00"/>
    <s v="email"/>
    <x v="3"/>
    <x v="3"/>
    <s v="Error when a duplicate charge"/>
    <n v="72"/>
    <d v="2023-02-09T00:12:29"/>
    <b v="0"/>
    <n v="5"/>
  </r>
  <r>
    <s v="TK60985"/>
    <d v="2023-02-06T10:38:00"/>
    <s v="email"/>
    <x v="2"/>
    <x v="0"/>
    <s v="How do I add a teammate"/>
    <n v="106"/>
    <d v="2023-02-07T13:07:24"/>
    <b v="0"/>
    <m/>
  </r>
  <r>
    <s v="TK60991"/>
    <d v="2023-02-06T12:15:00"/>
    <s v="email"/>
    <x v="1"/>
    <x v="1"/>
    <s v="Request to the API rate limit"/>
    <n v="50"/>
    <d v="2023-02-12T16:16:53"/>
    <b v="0"/>
    <m/>
  </r>
  <r>
    <s v="TK61395"/>
    <d v="2023-02-06T17:34:00"/>
    <s v="email"/>
    <x v="2"/>
    <x v="0"/>
    <s v="Unable to log in after password reset"/>
    <n v="33"/>
    <d v="2023-02-06T18:56:03"/>
    <b v="0"/>
    <m/>
  </r>
  <r>
    <s v="TK62063"/>
    <d v="2023-02-06T19:38:00"/>
    <s v="email"/>
    <x v="4"/>
    <x v="0"/>
    <s v="Cannot the dashboard loading slowly"/>
    <n v="63"/>
    <d v="2023-02-07T09:57:29"/>
    <b v="0"/>
    <m/>
  </r>
  <r>
    <s v="TK61202"/>
    <d v="2023-02-06T20:38:00"/>
    <s v="chat"/>
    <x v="0"/>
    <x v="1"/>
    <s v="Issue with the invoice for last month"/>
    <n v="65"/>
    <d v="2023-02-07T23:26:11"/>
    <b v="0"/>
    <m/>
  </r>
  <r>
    <s v="TK62125"/>
    <d v="2023-02-06T22:31:00"/>
    <s v="email"/>
    <x v="4"/>
    <x v="1"/>
    <s v="Cannot export my data"/>
    <n v="74"/>
    <d v="2023-02-07T13:48:29"/>
    <b v="0"/>
    <m/>
  </r>
  <r>
    <s v="TK61998"/>
    <d v="2023-02-06T22:37:00"/>
    <s v="in-app"/>
    <x v="1"/>
    <x v="1"/>
    <s v="Request to the invoice for last month"/>
    <n v="41"/>
    <d v="2023-02-10T23:29:03"/>
    <b v="0"/>
    <m/>
  </r>
  <r>
    <s v="TK60835"/>
    <d v="2023-02-06T22:41:00"/>
    <s v="email"/>
    <x v="2"/>
    <x v="1"/>
    <s v="Issue with connecting the Snowflake sync"/>
    <n v="17"/>
    <d v="2023-02-07T16:55:30"/>
    <b v="0"/>
    <m/>
  </r>
  <r>
    <s v="TK63818"/>
    <d v="2023-02-06T23:07:00"/>
    <s v="in-app"/>
    <x v="1"/>
    <x v="0"/>
    <s v="Question about the dashboard loading slowly"/>
    <n v="24"/>
    <d v="2023-02-07T09:51:00"/>
    <b v="0"/>
    <n v="4"/>
  </r>
  <r>
    <s v="TK63876"/>
    <d v="2023-02-07T00:38:00"/>
    <s v="email"/>
    <x v="0"/>
    <x v="2"/>
    <s v="Question about add a teammate"/>
    <n v="82"/>
    <d v="2023-02-07T17:11:52"/>
    <b v="0"/>
    <m/>
  </r>
  <r>
    <s v="TK63856"/>
    <d v="2023-02-07T01:17:00"/>
    <s v="chat"/>
    <x v="1"/>
    <x v="1"/>
    <s v="Request to the API rate limit"/>
    <n v="38"/>
    <d v="2023-02-09T08:34:07"/>
    <b v="0"/>
    <m/>
  </r>
  <r>
    <s v="TK61319"/>
    <d v="2023-02-07T07:18:00"/>
    <s v="email"/>
    <x v="4"/>
    <x v="1"/>
    <s v="Issue with the dashboard loading slowly"/>
    <n v="143"/>
    <d v="2023-02-07T23:48:23"/>
    <b v="0"/>
    <m/>
  </r>
  <r>
    <s v="TK60220"/>
    <d v="2023-02-07T09:43:00"/>
    <s v="chat"/>
    <x v="1"/>
    <x v="0"/>
    <s v="Request to the API rate limit"/>
    <n v="52"/>
    <d v="2023-02-12T00:35:36"/>
    <b v="1"/>
    <m/>
  </r>
  <r>
    <s v="TK61440"/>
    <d v="2023-02-07T10:15:00"/>
    <s v="email"/>
    <x v="0"/>
    <x v="1"/>
    <s v="Issue with connecting the Snowflake sync"/>
    <n v="29"/>
    <d v="2023-02-08T17:48:10"/>
    <b v="0"/>
    <n v="5"/>
  </r>
  <r>
    <s v="TK60189"/>
    <d v="2023-02-07T10:49:00"/>
    <s v="phone"/>
    <x v="0"/>
    <x v="1"/>
    <s v="Request to connecting the Snowflake sync"/>
    <n v="161"/>
    <d v="2023-02-09T20:13:50"/>
    <b v="0"/>
    <m/>
  </r>
  <r>
    <s v="TK61941"/>
    <d v="2023-02-07T12:50:00"/>
    <s v="in-app"/>
    <x v="2"/>
    <x v="1"/>
    <s v="Error when a refund for an annual plan"/>
    <n v="171"/>
    <d v="2023-02-07T15:27:16"/>
    <b v="0"/>
    <n v="5"/>
  </r>
  <r>
    <s v="TK62877"/>
    <d v="2023-02-07T14:21:00"/>
    <s v="phone"/>
    <x v="3"/>
    <x v="0"/>
    <s v="Question about log in after password reset"/>
    <n v="21"/>
    <d v="2023-02-10T13:45:29"/>
    <b v="0"/>
    <m/>
  </r>
  <r>
    <s v="TK63721"/>
    <d v="2023-02-07T17:26:00"/>
    <s v="chat"/>
    <x v="3"/>
    <x v="3"/>
    <s v="Error when webhook deliveries failing"/>
    <n v="384"/>
    <d v="2023-02-11T16:33:32"/>
    <b v="0"/>
    <n v="4"/>
  </r>
  <r>
    <s v="TK63690"/>
    <d v="2023-02-07T18:00:00"/>
    <s v="in-app"/>
    <x v="1"/>
    <x v="1"/>
    <s v="Error when log in after password reset"/>
    <n v="80"/>
    <d v="2023-02-10T05:53:44"/>
    <b v="0"/>
    <m/>
  </r>
  <r>
    <s v="TK63335"/>
    <d v="2023-02-07T19:12:00"/>
    <s v="chat"/>
    <x v="2"/>
    <x v="1"/>
    <s v="Request to a duplicate charge"/>
    <n v="38"/>
    <d v="2023-02-08T11:48:34"/>
    <b v="0"/>
    <m/>
  </r>
  <r>
    <s v="TK60051"/>
    <d v="2023-02-07T20:18:00"/>
    <s v="chat"/>
    <x v="3"/>
    <x v="1"/>
    <s v="Issue with export my data"/>
    <n v="230"/>
    <d v="2023-02-13T20:43:30"/>
    <b v="1"/>
    <n v="4"/>
  </r>
  <r>
    <s v="TK62204"/>
    <d v="2023-02-07T20:49:00"/>
    <s v="chat"/>
    <x v="1"/>
    <x v="1"/>
    <s v="Request to two-factor authentication"/>
    <n v="19"/>
    <d v="2023-02-12T02:47:21"/>
    <b v="0"/>
    <n v="5"/>
  </r>
  <r>
    <s v="TK62683"/>
    <d v="2023-02-07T20:56:00"/>
    <s v="chat"/>
    <x v="4"/>
    <x v="1"/>
    <s v="Cannot export my data"/>
    <n v="99"/>
    <d v="2023-02-09T03:50:40"/>
    <b v="0"/>
    <m/>
  </r>
  <r>
    <s v="TK60603"/>
    <d v="2023-02-07T22:06:00"/>
    <s v="chat"/>
    <x v="1"/>
    <x v="1"/>
    <s v="Question about two-factor authentication"/>
    <n v="27"/>
    <d v="2023-02-09T13:44:05"/>
    <b v="0"/>
    <m/>
  </r>
  <r>
    <s v="TK61699"/>
    <d v="2023-02-07T22:31:00"/>
    <s v="email"/>
    <x v="4"/>
    <x v="0"/>
    <s v="Request to connecting the Snowflake sync"/>
    <n v="12"/>
    <d v="2023-02-08T00:14:12"/>
    <b v="0"/>
    <n v="5"/>
  </r>
  <r>
    <s v="TK60019"/>
    <d v="2023-02-07T23:17:00"/>
    <s v="in-app"/>
    <x v="2"/>
    <x v="3"/>
    <s v="Issue with export my data"/>
    <n v="139"/>
    <d v="2023-02-13T10:29:41"/>
    <b v="0"/>
    <m/>
  </r>
  <r>
    <s v="TK63854"/>
    <d v="2023-02-08T00:51:00"/>
    <s v="chat"/>
    <x v="3"/>
    <x v="0"/>
    <s v="How do I add a teammate"/>
    <n v="113"/>
    <d v="2023-02-09T07:16:32"/>
    <b v="0"/>
    <m/>
  </r>
  <r>
    <s v="TK63123"/>
    <d v="2023-02-08T02:42:00"/>
    <s v="email"/>
    <x v="3"/>
    <x v="3"/>
    <s v="Question about connecting the Snowflake sync"/>
    <n v="151"/>
    <d v="2023-02-11T13:39:13"/>
    <b v="0"/>
    <m/>
  </r>
  <r>
    <s v="TK62348"/>
    <d v="2023-02-08T04:06:00"/>
    <s v="chat"/>
    <x v="2"/>
    <x v="1"/>
    <s v="Unable to a duplicate charge"/>
    <n v="572"/>
    <m/>
    <b v="0"/>
    <m/>
  </r>
  <r>
    <s v="TK61857"/>
    <d v="2023-02-08T05:58:00"/>
    <s v="phone"/>
    <x v="2"/>
    <x v="0"/>
    <s v="Unable to a duplicate charge"/>
    <n v="37"/>
    <d v="2023-02-13T05:36:46"/>
    <b v="0"/>
    <m/>
  </r>
  <r>
    <s v="TK61891"/>
    <d v="2023-02-08T07:01:00"/>
    <s v="email"/>
    <x v="1"/>
    <x v="0"/>
    <s v="Cannot webhook deliveries failing"/>
    <n v="25"/>
    <d v="2023-02-09T01:26:27"/>
    <b v="0"/>
    <m/>
  </r>
  <r>
    <s v="TK60090"/>
    <d v="2023-02-09T07:40:00"/>
    <s v="chat"/>
    <x v="2"/>
    <x v="1"/>
    <s v="How do I downgrade my plan"/>
    <n v="409"/>
    <d v="2023-02-10T20:23:16"/>
    <b v="0"/>
    <m/>
  </r>
  <r>
    <s v="TK60767"/>
    <d v="2023-02-09T09:45:00"/>
    <s v="chat"/>
    <x v="1"/>
    <x v="1"/>
    <s v="Error when webhook deliveries failing"/>
    <n v="291"/>
    <d v="2023-02-12T22:02:38"/>
    <b v="0"/>
    <m/>
  </r>
  <r>
    <s v="TK63508"/>
    <d v="2023-02-09T10:01:00"/>
    <s v="in-app"/>
    <x v="4"/>
    <x v="3"/>
    <s v="Error when log in after password reset"/>
    <n v="141"/>
    <d v="2023-02-10T08:59:35"/>
    <b v="0"/>
    <m/>
  </r>
  <r>
    <s v="TK60480"/>
    <d v="2023-02-09T10:30:00"/>
    <s v="chat"/>
    <x v="1"/>
    <x v="2"/>
    <s v="How do I the dashboard loading slowly"/>
    <n v="37"/>
    <m/>
    <b v="0"/>
    <m/>
  </r>
  <r>
    <s v="TK63448"/>
    <d v="2023-02-09T13:01:00"/>
    <s v="chat"/>
    <x v="2"/>
    <x v="2"/>
    <s v="Error when the API rate limit"/>
    <n v="15"/>
    <d v="2023-02-09T18:38:37"/>
    <b v="0"/>
    <m/>
  </r>
  <r>
    <s v="TK62140"/>
    <d v="2023-02-09T18:17:00"/>
    <s v="chat"/>
    <x v="2"/>
    <x v="0"/>
    <s v="How do I the API rate limit"/>
    <n v="56"/>
    <m/>
    <b v="0"/>
    <m/>
  </r>
  <r>
    <s v="TK61230"/>
    <d v="2023-02-09T18:33:00"/>
    <s v="chat"/>
    <x v="2"/>
    <x v="1"/>
    <s v="Request to webhook deliveries failing"/>
    <n v="352"/>
    <d v="2023-02-11T08:32:37"/>
    <b v="0"/>
    <m/>
  </r>
  <r>
    <s v="TK63185"/>
    <d v="2023-02-09T19:50:00"/>
    <s v="email"/>
    <x v="1"/>
    <x v="1"/>
    <s v="Unable to the dashboard loading slowly"/>
    <m/>
    <d v="2023-02-10T12:07:19"/>
    <b v="0"/>
    <m/>
  </r>
  <r>
    <s v="TK60369"/>
    <d v="2023-02-09T21:19:00"/>
    <s v="phone"/>
    <x v="1"/>
    <x v="0"/>
    <s v="Cannot a refund for an annual plan"/>
    <n v="20"/>
    <d v="2023-02-12T05:39:06"/>
    <b v="1"/>
    <m/>
  </r>
  <r>
    <s v="TK63498"/>
    <d v="2023-02-09T21:32:00"/>
    <s v="email"/>
    <x v="3"/>
    <x v="1"/>
    <s v="How do I the API rate limit"/>
    <n v="244"/>
    <d v="2023-03-03T12:22:03"/>
    <b v="0"/>
    <m/>
  </r>
  <r>
    <s v="TK62988"/>
    <d v="2023-02-10T03:02:00"/>
    <s v="phone"/>
    <x v="2"/>
    <x v="3"/>
    <s v="How do I a duplicate charge"/>
    <n v="90"/>
    <d v="2023-02-11T03:19:39"/>
    <b v="0"/>
    <m/>
  </r>
  <r>
    <s v="TK62833"/>
    <d v="2023-02-10T03:17:00"/>
    <s v="email"/>
    <x v="3"/>
    <x v="1"/>
    <s v="Unable to log in after password reset"/>
    <n v="97"/>
    <d v="2023-02-10T16:29:57"/>
    <b v="0"/>
    <m/>
  </r>
  <r>
    <s v="TK62347"/>
    <d v="2023-02-10T04:26:00"/>
    <s v="email"/>
    <x v="2"/>
    <x v="0"/>
    <s v="Cannot connecting the Snowflake sync"/>
    <n v="51"/>
    <d v="2023-02-10T16:28:12"/>
    <b v="0"/>
    <m/>
  </r>
  <r>
    <s v="TK60208"/>
    <d v="2023-02-10T04:44:00"/>
    <s v="in-app"/>
    <x v="1"/>
    <x v="1"/>
    <s v="Error when export my data"/>
    <n v="103"/>
    <d v="2023-02-13T06:28:45"/>
    <b v="0"/>
    <m/>
  </r>
  <r>
    <s v="TK61780"/>
    <d v="2023-02-10T06:17:00"/>
    <s v="chat"/>
    <x v="1"/>
    <x v="2"/>
    <s v="Unable to downgrade my plan"/>
    <n v="3"/>
    <d v="2023-02-10T22:35:03"/>
    <b v="0"/>
    <m/>
  </r>
  <r>
    <s v="TK61208"/>
    <d v="2023-02-10T06:18:00"/>
    <s v="phone"/>
    <x v="1"/>
    <x v="1"/>
    <s v="Error when add a teammate"/>
    <n v="69"/>
    <d v="2023-02-11T12:52:23"/>
    <b v="0"/>
    <m/>
  </r>
  <r>
    <s v="TK60347"/>
    <d v="2023-02-10T06:53:00"/>
    <s v="email"/>
    <x v="3"/>
    <x v="3"/>
    <s v="Cannot downgrade my plan"/>
    <n v="194"/>
    <d v="2023-02-10T15:03:21"/>
    <b v="0"/>
    <n v="1"/>
  </r>
  <r>
    <s v="TK60549"/>
    <d v="2023-02-10T09:28:00"/>
    <s v="phone"/>
    <x v="3"/>
    <x v="1"/>
    <s v="Cannot log in after password reset"/>
    <n v="54"/>
    <d v="2023-02-11T00:18:15"/>
    <b v="0"/>
    <n v="4"/>
  </r>
  <r>
    <s v="TK61783"/>
    <d v="2023-02-10T10:34:00"/>
    <s v="chat"/>
    <x v="4"/>
    <x v="2"/>
    <s v="How do I log in after password reset"/>
    <n v="13"/>
    <d v="2023-02-10T11:49:34"/>
    <b v="0"/>
    <m/>
  </r>
  <r>
    <s v="TK63788"/>
    <d v="2023-02-10T12:57:00"/>
    <s v="phone"/>
    <x v="0"/>
    <x v="1"/>
    <s v="Request to webhook deliveries failing"/>
    <n v="116"/>
    <d v="2023-02-10T19:23:17"/>
    <b v="0"/>
    <m/>
  </r>
  <r>
    <s v="TK63503"/>
    <d v="2023-02-10T19:04:00"/>
    <s v="chat"/>
    <x v="4"/>
    <x v="0"/>
    <s v="Error when a duplicate charge"/>
    <n v="18"/>
    <d v="2023-02-12T06:31:31"/>
    <b v="0"/>
    <m/>
  </r>
  <r>
    <s v="TK61146"/>
    <d v="2023-02-10T20:18:00"/>
    <s v="email"/>
    <x v="0"/>
    <x v="1"/>
    <s v="Question about a refund for an annual plan"/>
    <n v="65"/>
    <d v="2023-02-11T05:43:50"/>
    <b v="0"/>
    <n v="5"/>
  </r>
  <r>
    <s v="TK63129"/>
    <d v="2023-02-10T20:51:00"/>
    <s v="email"/>
    <x v="2"/>
    <x v="1"/>
    <s v="How do I webhook deliveries failing"/>
    <n v="442"/>
    <d v="2023-02-11T03:05:41"/>
    <b v="0"/>
    <m/>
  </r>
  <r>
    <s v="TK61021"/>
    <d v="2023-02-10T22:50:00"/>
    <s v="email"/>
    <x v="1"/>
    <x v="0"/>
    <s v="Request to webhook deliveries failing"/>
    <n v="40"/>
    <d v="2023-02-11T08:48:21"/>
    <b v="0"/>
    <n v="2"/>
  </r>
  <r>
    <s v="TK61274"/>
    <d v="2023-02-11T00:18:00"/>
    <s v="in-app"/>
    <x v="3"/>
    <x v="1"/>
    <s v="Error when export my data"/>
    <n v="49"/>
    <d v="2023-02-17T15:48:15"/>
    <b v="0"/>
    <n v="5"/>
  </r>
  <r>
    <s v="TK63303"/>
    <d v="2023-02-11T00:32:00"/>
    <s v="chat"/>
    <x v="0"/>
    <x v="1"/>
    <s v="How do I downgrade my plan"/>
    <n v="117"/>
    <d v="2023-02-12T14:12:56"/>
    <b v="0"/>
    <m/>
  </r>
  <r>
    <s v="TK60516"/>
    <d v="2023-02-11T01:48:00"/>
    <s v="email"/>
    <x v="4"/>
    <x v="1"/>
    <s v="Request to the dashboard loading slowly"/>
    <n v="151"/>
    <d v="2023-02-13T22:03:37"/>
    <b v="0"/>
    <m/>
  </r>
  <r>
    <s v="TK63022"/>
    <d v="2023-02-11T02:59:00"/>
    <s v="in-app"/>
    <x v="4"/>
    <x v="0"/>
    <s v="Issue with a duplicate charge"/>
    <n v="132"/>
    <d v="2023-02-11T16:05:42"/>
    <b v="0"/>
    <m/>
  </r>
  <r>
    <s v="TK60056"/>
    <d v="2023-02-11T03:59:00"/>
    <s v="chat"/>
    <x v="0"/>
    <x v="1"/>
    <s v="Unable to the invoice for last month"/>
    <n v="87"/>
    <d v="2023-02-11T14:43:39"/>
    <b v="0"/>
    <m/>
  </r>
  <r>
    <s v="TK60291"/>
    <d v="2023-02-11T07:39:00"/>
    <s v="chat"/>
    <x v="4"/>
    <x v="3"/>
    <s v="Request to downgrade my plan"/>
    <n v="335"/>
    <d v="2023-02-13T03:25:23"/>
    <b v="0"/>
    <n v="5"/>
  </r>
  <r>
    <s v="TK62903"/>
    <d v="2023-02-11T08:15:00"/>
    <s v="in-app"/>
    <x v="1"/>
    <x v="3"/>
    <s v="Cannot downgrade my plan"/>
    <n v="236"/>
    <d v="2023-02-16T07:25:25"/>
    <b v="0"/>
    <m/>
  </r>
  <r>
    <s v="TK61568"/>
    <d v="2023-02-11T12:14:00"/>
    <s v="email"/>
    <x v="0"/>
    <x v="1"/>
    <s v="Request to a duplicate charge"/>
    <n v="73"/>
    <d v="2023-02-15T23:53:27"/>
    <b v="0"/>
    <m/>
  </r>
  <r>
    <s v="TK63057"/>
    <d v="2023-02-11T13:31:00"/>
    <s v="in-app"/>
    <x v="0"/>
    <x v="1"/>
    <s v="Question about the API rate limit"/>
    <n v="163"/>
    <m/>
    <b v="0"/>
    <m/>
  </r>
  <r>
    <s v="TK63326"/>
    <d v="2023-02-11T16:51:00"/>
    <s v="phone"/>
    <x v="0"/>
    <x v="3"/>
    <s v="How do I two-factor authentication"/>
    <n v="297"/>
    <d v="2023-02-23T16:03:45"/>
    <b v="0"/>
    <m/>
  </r>
  <r>
    <s v="TK63582"/>
    <d v="2023-02-11T17:35:00"/>
    <s v="in-app"/>
    <x v="1"/>
    <x v="1"/>
    <s v="Cannot the dashboard loading slowly"/>
    <n v="22"/>
    <d v="2023-02-12T17:59:27"/>
    <b v="0"/>
    <m/>
  </r>
  <r>
    <s v="TK63992"/>
    <d v="2023-02-11T20:22:00"/>
    <s v="in-app"/>
    <x v="4"/>
    <x v="0"/>
    <s v="Cannot two-factor authentication"/>
    <n v="13"/>
    <d v="2023-02-12T01:21:52"/>
    <b v="0"/>
    <m/>
  </r>
  <r>
    <s v="TK63485"/>
    <d v="2023-02-12T07:33:00"/>
    <s v="email"/>
    <x v="2"/>
    <x v="0"/>
    <s v="Error when export my data"/>
    <n v="79"/>
    <d v="2023-02-13T06:10:03"/>
    <b v="0"/>
    <m/>
  </r>
  <r>
    <s v="TK63793"/>
    <d v="2023-02-12T08:52:00"/>
    <s v="chat"/>
    <x v="2"/>
    <x v="1"/>
    <s v="Question about log in after password reset"/>
    <n v="36"/>
    <d v="2023-02-12T20:05:17"/>
    <b v="0"/>
    <m/>
  </r>
  <r>
    <s v="TK60753"/>
    <d v="2023-02-12T17:11:00"/>
    <s v="chat"/>
    <x v="2"/>
    <x v="1"/>
    <s v="Question about a duplicate charge"/>
    <n v="90"/>
    <d v="2023-02-13T07:39:58"/>
    <b v="0"/>
    <m/>
  </r>
  <r>
    <s v="TK62311"/>
    <d v="2023-02-12T20:43:00"/>
    <s v="chat"/>
    <x v="3"/>
    <x v="2"/>
    <s v="Question about export my data"/>
    <n v="9"/>
    <d v="2023-02-12T20:48:21"/>
    <b v="1"/>
    <m/>
  </r>
  <r>
    <s v="TK63794"/>
    <d v="2023-02-12T21:46:00"/>
    <s v="in-app"/>
    <x v="1"/>
    <x v="1"/>
    <s v="How do I export my data"/>
    <n v="106"/>
    <d v="2023-02-13T09:52:44"/>
    <b v="0"/>
    <n v="5"/>
  </r>
  <r>
    <s v="TK63025"/>
    <d v="2023-02-13T00:53:00"/>
    <s v="in-app"/>
    <x v="1"/>
    <x v="0"/>
    <s v="Request to two-factor authentication"/>
    <n v="11"/>
    <d v="2023-02-13T21:30:20"/>
    <b v="0"/>
    <m/>
  </r>
  <r>
    <s v="TK63936"/>
    <d v="2023-02-13T03:05:00"/>
    <s v="chat"/>
    <x v="3"/>
    <x v="1"/>
    <s v="Error when the invoice for last month"/>
    <n v="284"/>
    <d v="2023-02-15T17:03:37"/>
    <b v="0"/>
    <m/>
  </r>
  <r>
    <s v="TK63827"/>
    <d v="2023-02-13T04:09:00"/>
    <s v="chat"/>
    <x v="0"/>
    <x v="0"/>
    <s v="Question about a duplicate charge"/>
    <n v="98"/>
    <d v="2023-02-13T17:33:49"/>
    <b v="0"/>
    <m/>
  </r>
  <r>
    <s v="TK60356"/>
    <d v="2023-02-13T06:04:00"/>
    <s v="chat"/>
    <x v="3"/>
    <x v="1"/>
    <s v="Error when a refund for an annual plan"/>
    <m/>
    <d v="2023-02-13T20:04:38"/>
    <b v="0"/>
    <n v="4"/>
  </r>
  <r>
    <s v="TK60102"/>
    <d v="2023-02-13T06:36:00"/>
    <s v="chat"/>
    <x v="2"/>
    <x v="1"/>
    <s v="Issue with the dashboard loading slowly"/>
    <n v="33"/>
    <m/>
    <b v="0"/>
    <m/>
  </r>
  <r>
    <s v="TK63766"/>
    <d v="2023-02-13T09:01:00"/>
    <s v="in-app"/>
    <x v="2"/>
    <x v="2"/>
    <s v="How do I two-factor authentication"/>
    <n v="14"/>
    <d v="2023-02-13T10:18:48"/>
    <b v="0"/>
    <n v="4"/>
  </r>
  <r>
    <s v="TK62015"/>
    <d v="2023-02-13T09:07:00"/>
    <s v="email"/>
    <x v="2"/>
    <x v="1"/>
    <s v="Issue with webhook deliveries failing"/>
    <n v="73"/>
    <d v="2023-02-15T15:36:30"/>
    <b v="0"/>
    <m/>
  </r>
  <r>
    <s v="TK63742"/>
    <d v="2023-02-13T10:19:00"/>
    <s v="chat"/>
    <x v="3"/>
    <x v="1"/>
    <s v="Error when connecting the Snowflake sync"/>
    <n v="457"/>
    <d v="2023-02-22T06:27:51"/>
    <b v="0"/>
    <m/>
  </r>
  <r>
    <s v="TK62995"/>
    <d v="2023-02-13T11:39:00"/>
    <s v="chat"/>
    <x v="2"/>
    <x v="1"/>
    <s v="How do I connecting the Snowflake sync"/>
    <n v="181"/>
    <d v="2023-02-14T16:04:05"/>
    <b v="1"/>
    <m/>
  </r>
  <r>
    <s v="TK63608"/>
    <d v="2023-02-13T13:48:00"/>
    <s v="chat"/>
    <x v="2"/>
    <x v="0"/>
    <s v="Issue with the API rate limit"/>
    <n v="58"/>
    <d v="2023-02-14T06:18:24"/>
    <b v="0"/>
    <m/>
  </r>
  <r>
    <s v="TK63599"/>
    <d v="2023-02-13T14:46:00"/>
    <s v="in-app"/>
    <x v="4"/>
    <x v="3"/>
    <s v="Error when webhook deliveries failing"/>
    <n v="128"/>
    <d v="2023-02-14T11:23:08"/>
    <b v="0"/>
    <m/>
  </r>
  <r>
    <s v="TK61160"/>
    <d v="2023-02-13T18:07:00"/>
    <s v="email"/>
    <x v="4"/>
    <x v="0"/>
    <s v="Cannot log in after password reset"/>
    <n v="58"/>
    <d v="2023-02-16T08:04:46"/>
    <b v="0"/>
    <m/>
  </r>
  <r>
    <s v="TK62823"/>
    <d v="2023-02-13T22:54:00"/>
    <s v="in-app"/>
    <x v="4"/>
    <x v="3"/>
    <s v="Issue with the dashboard loading slowly"/>
    <n v="269"/>
    <d v="2023-02-18T08:03:28"/>
    <b v="0"/>
    <m/>
  </r>
  <r>
    <s v="TK62563"/>
    <d v="2023-02-13T23:12:00"/>
    <s v="in-app"/>
    <x v="2"/>
    <x v="1"/>
    <s v="Question about downgrade my plan"/>
    <n v="318"/>
    <d v="2023-02-14T11:38:29"/>
    <b v="0"/>
    <n v="5"/>
  </r>
  <r>
    <s v="TK63586"/>
    <d v="2023-02-14T02:55:00"/>
    <s v="chat"/>
    <x v="1"/>
    <x v="3"/>
    <s v="Question about the invoice for last month"/>
    <n v="52"/>
    <d v="2023-02-17T11:11:35"/>
    <b v="0"/>
    <m/>
  </r>
  <r>
    <s v="TK60261"/>
    <d v="2023-02-14T02:58:00"/>
    <s v="email"/>
    <x v="4"/>
    <x v="3"/>
    <s v="Question about log in after password reset"/>
    <n v="297"/>
    <d v="2023-02-18T19:05:13"/>
    <b v="0"/>
    <n v="5"/>
  </r>
  <r>
    <s v="TK63311"/>
    <d v="2023-02-14T03:48:00"/>
    <s v="chat"/>
    <x v="1"/>
    <x v="1"/>
    <s v="Request to the invoice for last month"/>
    <n v="92"/>
    <d v="2023-02-15T22:24:27"/>
    <b v="0"/>
    <m/>
  </r>
  <r>
    <s v="TK63740"/>
    <d v="2023-02-14T07:51:00"/>
    <s v="email"/>
    <x v="1"/>
    <x v="1"/>
    <s v="Request to webhook deliveries failing"/>
    <n v="96"/>
    <d v="2023-02-16T07:23:15"/>
    <b v="0"/>
    <m/>
  </r>
  <r>
    <s v="TK61549"/>
    <d v="2023-02-14T09:06:00"/>
    <s v="in-app"/>
    <x v="0"/>
    <x v="1"/>
    <s v="Unable to the invoice for last month"/>
    <n v="41"/>
    <d v="2023-02-14T14:10:57"/>
    <b v="0"/>
    <m/>
  </r>
  <r>
    <s v="TK60022"/>
    <d v="2023-02-14T10:06:00"/>
    <s v="email"/>
    <x v="2"/>
    <x v="0"/>
    <s v="Issue with downgrade my plan"/>
    <n v="37"/>
    <d v="2023-02-14T18:13:08"/>
    <b v="0"/>
    <m/>
  </r>
  <r>
    <s v="TK62501"/>
    <d v="2023-02-14T18:49:00"/>
    <s v="in-app"/>
    <x v="2"/>
    <x v="1"/>
    <s v="Cannot webhook deliveries failing"/>
    <n v="73"/>
    <d v="2023-02-15T01:07:32"/>
    <b v="1"/>
    <m/>
  </r>
  <r>
    <s v="TK61168"/>
    <d v="2023-02-14T19:04:00"/>
    <s v="in-app"/>
    <x v="2"/>
    <x v="1"/>
    <s v="Issue with two-factor authentication"/>
    <n v="13"/>
    <d v="2023-02-17T04:41:13"/>
    <b v="0"/>
    <m/>
  </r>
  <r>
    <s v="TK60054"/>
    <d v="2023-02-14T20:02:00"/>
    <s v="email"/>
    <x v="1"/>
    <x v="1"/>
    <s v="Cannot a duplicate charge"/>
    <n v="19"/>
    <d v="2023-03-02T10:00:10"/>
    <b v="0"/>
    <n v="5"/>
  </r>
  <r>
    <s v="TK60053"/>
    <d v="2023-02-14T20:48:00"/>
    <s v="in-app"/>
    <x v="2"/>
    <x v="1"/>
    <s v="Request to add a teammate"/>
    <n v="60"/>
    <d v="2023-02-15T08:36:54"/>
    <b v="0"/>
    <m/>
  </r>
  <r>
    <s v="TK61800"/>
    <d v="2023-02-15T02:20:00"/>
    <s v="email"/>
    <x v="2"/>
    <x v="3"/>
    <s v="Issue with the API rate limit"/>
    <n v="156"/>
    <d v="2023-02-16T22:50:45"/>
    <b v="0"/>
    <n v="2"/>
  </r>
  <r>
    <s v="TK63271"/>
    <d v="2023-02-15T10:03:00"/>
    <s v="in-app"/>
    <x v="3"/>
    <x v="1"/>
    <s v="How do I log in after password reset"/>
    <n v="134"/>
    <d v="2023-03-30T21:39:47"/>
    <b v="0"/>
    <n v="5"/>
  </r>
  <r>
    <s v="TK63023"/>
    <d v="2023-02-15T10:54:00"/>
    <s v="phone"/>
    <x v="2"/>
    <x v="1"/>
    <s v="Request to webhook deliveries failing"/>
    <n v="136"/>
    <d v="2023-02-16T10:04:34"/>
    <b v="0"/>
    <n v="4"/>
  </r>
  <r>
    <s v="TK62033"/>
    <d v="2023-02-15T16:10:00"/>
    <s v="email"/>
    <x v="4"/>
    <x v="1"/>
    <s v="Issue with add a teammate"/>
    <n v="71"/>
    <d v="2023-02-15T23:11:47"/>
    <b v="0"/>
    <m/>
  </r>
  <r>
    <s v="TK63693"/>
    <d v="2023-02-15T19:00:00"/>
    <s v="in-app"/>
    <x v="4"/>
    <x v="3"/>
    <s v="Error when export my data"/>
    <n v="150"/>
    <d v="2023-02-18T04:01:56"/>
    <b v="0"/>
    <n v="5"/>
  </r>
  <r>
    <s v="TK61539"/>
    <d v="2023-02-16T12:56:00"/>
    <s v="email"/>
    <x v="1"/>
    <x v="1"/>
    <s v="Question about log in after password reset"/>
    <n v="151"/>
    <d v="2023-02-16T15:31:08"/>
    <b v="0"/>
    <n v="5"/>
  </r>
  <r>
    <s v="TK61172"/>
    <d v="2023-02-16T13:12:00"/>
    <s v="email"/>
    <x v="1"/>
    <x v="1"/>
    <s v="Error when the invoice for last month"/>
    <n v="130"/>
    <d v="2023-02-17T07:13:30"/>
    <b v="0"/>
    <m/>
  </r>
  <r>
    <s v="TK60126"/>
    <d v="2023-02-16T15:23:00"/>
    <s v="phone"/>
    <x v="2"/>
    <x v="0"/>
    <s v="Question about downgrade my plan"/>
    <n v="92"/>
    <d v="2023-02-17T16:47:38"/>
    <b v="0"/>
    <m/>
  </r>
  <r>
    <s v="TK60487"/>
    <d v="2023-02-16T19:41:00"/>
    <s v="in-app"/>
    <x v="4"/>
    <x v="0"/>
    <s v="Issue with the invoice for last month"/>
    <n v="30"/>
    <d v="2023-02-16T21:22:11"/>
    <b v="0"/>
    <m/>
  </r>
  <r>
    <s v="TK62027"/>
    <d v="2023-02-17T00:04:00"/>
    <s v="email"/>
    <x v="2"/>
    <x v="1"/>
    <s v="Error when a duplicate charge"/>
    <m/>
    <d v="2023-02-19T02:36:40"/>
    <b v="0"/>
    <n v="5"/>
  </r>
  <r>
    <s v="TK60018"/>
    <d v="2023-02-17T03:16:00"/>
    <s v="email"/>
    <x v="4"/>
    <x v="3"/>
    <s v="How do I the dashboard loading slowly"/>
    <n v="1760"/>
    <d v="2023-02-18T15:12:05"/>
    <b v="0"/>
    <m/>
  </r>
  <r>
    <s v="TK60301"/>
    <d v="2023-02-17T06:35:00"/>
    <s v="email"/>
    <x v="1"/>
    <x v="3"/>
    <s v="Error when a refund for an annual plan"/>
    <n v="110"/>
    <d v="2023-02-20T17:13:53"/>
    <b v="0"/>
    <n v="4"/>
  </r>
  <r>
    <s v="TK61957"/>
    <d v="2023-02-17T07:25:00"/>
    <s v="email"/>
    <x v="3"/>
    <x v="1"/>
    <s v="Cannot a refund for an annual plan"/>
    <n v="112"/>
    <d v="2023-02-21T10:29:00"/>
    <b v="0"/>
    <m/>
  </r>
  <r>
    <s v="TK60345"/>
    <d v="2023-02-17T09:11:00"/>
    <s v="in-app"/>
    <x v="2"/>
    <x v="1"/>
    <s v="Unable to webhook deliveries failing"/>
    <n v="146"/>
    <d v="2023-02-17T14:19:54"/>
    <b v="0"/>
    <n v="3"/>
  </r>
  <r>
    <s v="TK63211"/>
    <d v="2023-02-17T09:54:00"/>
    <s v="email"/>
    <x v="1"/>
    <x v="1"/>
    <s v="Unable to a refund for an annual plan"/>
    <n v="125"/>
    <d v="2023-02-27T01:40:56"/>
    <b v="0"/>
    <m/>
  </r>
  <r>
    <s v="TK63302"/>
    <d v="2023-02-17T12:01:00"/>
    <s v="in-app"/>
    <x v="4"/>
    <x v="3"/>
    <s v="Request to a refund for an annual plan"/>
    <n v="154"/>
    <d v="2023-02-18T08:02:18"/>
    <b v="0"/>
    <m/>
  </r>
  <r>
    <s v="TK62705"/>
    <d v="2023-02-17T16:29:00"/>
    <s v="email"/>
    <x v="4"/>
    <x v="0"/>
    <s v="Question about downgrade my plan"/>
    <n v="30"/>
    <d v="2023-02-17T22:51:01"/>
    <b v="0"/>
    <m/>
  </r>
  <r>
    <s v="TK61648"/>
    <d v="2023-02-17T17:06:00"/>
    <s v="in-app"/>
    <x v="3"/>
    <x v="1"/>
    <s v="Unable to log in after password reset"/>
    <n v="120"/>
    <d v="2023-02-19T15:38:15"/>
    <b v="0"/>
    <m/>
  </r>
  <r>
    <s v="TK62614"/>
    <d v="2023-02-17T18:20:00"/>
    <s v="in-app"/>
    <x v="1"/>
    <x v="3"/>
    <s v="Issue with a refund for an annual plan"/>
    <n v="49"/>
    <m/>
    <b v="0"/>
    <m/>
  </r>
  <r>
    <s v="TK63811"/>
    <d v="2023-02-17T20:53:00"/>
    <s v="email"/>
    <x v="2"/>
    <x v="1"/>
    <s v="How do I the invoice for last month"/>
    <n v="107"/>
    <d v="2023-02-20T03:16:16"/>
    <b v="0"/>
    <m/>
  </r>
  <r>
    <s v="TK63547"/>
    <d v="2023-02-18T00:18:00"/>
    <s v="email"/>
    <x v="2"/>
    <x v="1"/>
    <s v="Issue with export my data"/>
    <n v="19"/>
    <d v="2023-02-18T03:29:02"/>
    <b v="0"/>
    <m/>
  </r>
  <r>
    <s v="TK62415"/>
    <d v="2023-02-18T06:43:00"/>
    <s v="phone"/>
    <x v="1"/>
    <x v="2"/>
    <s v="Error when add a teammate"/>
    <n v="9"/>
    <d v="2023-02-18T12:27:48"/>
    <b v="0"/>
    <m/>
  </r>
  <r>
    <s v="TK62962"/>
    <d v="2023-02-18T07:13:00"/>
    <s v="in-app"/>
    <x v="1"/>
    <x v="1"/>
    <s v="Cannot export my data"/>
    <n v="165"/>
    <m/>
    <b v="0"/>
    <m/>
  </r>
  <r>
    <s v="TK62803"/>
    <d v="2023-02-18T07:20:00"/>
    <s v="email"/>
    <x v="2"/>
    <x v="1"/>
    <s v="Cannot downgrade my plan"/>
    <n v="22"/>
    <d v="2023-02-18T22:54:50"/>
    <b v="0"/>
    <m/>
  </r>
  <r>
    <s v="TK61193"/>
    <d v="2023-02-18T07:35:00"/>
    <s v="email"/>
    <x v="2"/>
    <x v="3"/>
    <s v="Question about log in after password reset"/>
    <n v="361"/>
    <d v="2023-02-18T21:56:33"/>
    <b v="0"/>
    <m/>
  </r>
  <r>
    <s v="TK63015"/>
    <d v="2023-02-18T08:10:00"/>
    <s v="chat"/>
    <x v="0"/>
    <x v="2"/>
    <s v="Question about two-factor authentication"/>
    <n v="15"/>
    <m/>
    <b v="0"/>
    <m/>
  </r>
  <r>
    <s v="TK61017"/>
    <d v="2023-02-18T08:47:00"/>
    <s v="email"/>
    <x v="0"/>
    <x v="1"/>
    <s v="How do I export my data"/>
    <n v="114"/>
    <d v="2023-02-18T14:28:19"/>
    <b v="0"/>
    <m/>
  </r>
  <r>
    <s v="TK63174"/>
    <d v="2023-02-18T15:34:00"/>
    <s v="phone"/>
    <x v="1"/>
    <x v="1"/>
    <s v="Question about two-factor authentication"/>
    <n v="24"/>
    <d v="2023-02-21T02:23:02"/>
    <b v="0"/>
    <n v="5"/>
  </r>
  <r>
    <s v="TK61367"/>
    <d v="2023-02-18T16:51:00"/>
    <s v="chat"/>
    <x v="1"/>
    <x v="0"/>
    <s v="How do I the invoice for last month"/>
    <n v="64"/>
    <d v="2023-02-22T14:44:11"/>
    <b v="0"/>
    <m/>
  </r>
  <r>
    <s v="TK60274"/>
    <d v="2023-02-18T18:15:00"/>
    <s v="phone"/>
    <x v="3"/>
    <x v="3"/>
    <s v="How do I add a teammate"/>
    <n v="222"/>
    <m/>
    <b v="0"/>
    <m/>
  </r>
  <r>
    <s v="TK63943"/>
    <d v="2023-02-18T23:07:00"/>
    <s v="chat"/>
    <x v="0"/>
    <x v="1"/>
    <s v="Unable to webhook deliveries failing"/>
    <n v="231"/>
    <d v="2023-02-20T19:05:18"/>
    <b v="0"/>
    <m/>
  </r>
  <r>
    <s v="TK62475"/>
    <d v="2023-02-19T03:55:00"/>
    <s v="email"/>
    <x v="1"/>
    <x v="0"/>
    <s v="Request to downgrade my plan"/>
    <n v="25"/>
    <d v="2023-02-25T03:53:41"/>
    <b v="0"/>
    <m/>
  </r>
  <r>
    <s v="TK60379"/>
    <d v="2023-02-19T06:12:00"/>
    <s v="email"/>
    <x v="2"/>
    <x v="0"/>
    <s v="Request to the API rate limit"/>
    <n v="53"/>
    <d v="2023-02-19T20:23:32"/>
    <b v="0"/>
    <n v="4"/>
  </r>
  <r>
    <s v="TK60873"/>
    <d v="2023-02-19T08:02:00"/>
    <s v="chat"/>
    <x v="2"/>
    <x v="1"/>
    <s v="Issue with the invoice for last month"/>
    <n v="106"/>
    <d v="2023-02-19T14:26:49"/>
    <b v="0"/>
    <m/>
  </r>
  <r>
    <s v="TK62022"/>
    <d v="2023-02-19T08:49:00"/>
    <s v="in-app"/>
    <x v="0"/>
    <x v="1"/>
    <s v="Error when a refund for an annual plan"/>
    <n v="307"/>
    <d v="2023-02-20T07:30:46"/>
    <b v="0"/>
    <n v="5"/>
  </r>
  <r>
    <s v="TK60475"/>
    <d v="2023-02-19T10:22:00"/>
    <s v="chat"/>
    <x v="0"/>
    <x v="2"/>
    <s v="Unable to log in after password reset"/>
    <n v="49"/>
    <d v="2023-02-19T12:16:08"/>
    <b v="0"/>
    <m/>
  </r>
  <r>
    <s v="TK63241"/>
    <d v="2023-02-19T15:44:00"/>
    <s v="email"/>
    <x v="1"/>
    <x v="0"/>
    <s v="Cannot webhook deliveries failing"/>
    <n v="40"/>
    <d v="2023-02-20T11:25:22"/>
    <b v="0"/>
    <m/>
  </r>
  <r>
    <s v="TK62308"/>
    <d v="2023-02-19T16:15:00"/>
    <s v="phone"/>
    <x v="0"/>
    <x v="1"/>
    <s v="Error when the invoice for last month"/>
    <n v="132"/>
    <d v="2023-02-19T23:02:46"/>
    <b v="0"/>
    <m/>
  </r>
  <r>
    <s v="TK63300"/>
    <d v="2023-02-19T17:41:00"/>
    <s v="chat"/>
    <x v="1"/>
    <x v="1"/>
    <s v="Unable to a duplicate charge"/>
    <n v="119"/>
    <m/>
    <b v="0"/>
    <m/>
  </r>
  <r>
    <s v="TK62399"/>
    <d v="2023-02-19T18:16:00"/>
    <s v="phone"/>
    <x v="1"/>
    <x v="0"/>
    <s v="Unable to log in after password reset"/>
    <n v="55"/>
    <d v="2023-02-28T06:05:53"/>
    <b v="0"/>
    <n v="4"/>
  </r>
  <r>
    <s v="TK63918"/>
    <d v="2023-02-19T20:01:00"/>
    <s v="phone"/>
    <x v="0"/>
    <x v="0"/>
    <s v="Request to downgrade my plan"/>
    <n v="157"/>
    <d v="2023-02-20T17:10:50"/>
    <b v="0"/>
    <m/>
  </r>
  <r>
    <s v="TK60631"/>
    <d v="2023-02-19T22:16:00"/>
    <s v="in-app"/>
    <x v="4"/>
    <x v="2"/>
    <s v="Unable to the API rate limit"/>
    <n v="10"/>
    <d v="2023-02-19T22:27:14"/>
    <b v="0"/>
    <m/>
  </r>
  <r>
    <s v="TK61432"/>
    <d v="2023-02-19T23:04:00"/>
    <s v="chat"/>
    <x v="4"/>
    <x v="3"/>
    <s v="Error when downgrade my plan"/>
    <n v="45"/>
    <d v="2023-02-24T01:51:20"/>
    <b v="0"/>
    <n v="5"/>
  </r>
  <r>
    <s v="TK63513"/>
    <d v="2023-02-20T03:02:00"/>
    <s v="in-app"/>
    <x v="1"/>
    <x v="1"/>
    <s v="Cannot log in after password reset"/>
    <m/>
    <d v="2023-03-09T14:53:15"/>
    <b v="0"/>
    <m/>
  </r>
  <r>
    <s v="TK62879"/>
    <d v="2023-02-20T04:50:00"/>
    <s v="chat"/>
    <x v="2"/>
    <x v="3"/>
    <s v="Error when the invoice for last month"/>
    <n v="436"/>
    <d v="2023-02-24T06:18:31"/>
    <b v="1"/>
    <m/>
  </r>
  <r>
    <s v="TK61725"/>
    <d v="2023-02-20T05:20:00"/>
    <s v="phone"/>
    <x v="3"/>
    <x v="3"/>
    <s v="Cannot two-factor authentication"/>
    <n v="978"/>
    <d v="2023-02-20T21:55:03"/>
    <b v="0"/>
    <m/>
  </r>
  <r>
    <s v="TK60205"/>
    <d v="2023-02-20T08:02:00"/>
    <s v="chat"/>
    <x v="1"/>
    <x v="0"/>
    <s v="Issue with a duplicate charge"/>
    <n v="25"/>
    <d v="2023-02-20T11:57:16"/>
    <b v="0"/>
    <m/>
  </r>
  <r>
    <s v="TK61442"/>
    <d v="2023-02-20T18:36:00"/>
    <s v="email"/>
    <x v="0"/>
    <x v="3"/>
    <s v="Cannot add a teammate"/>
    <n v="490"/>
    <d v="2023-02-25T13:24:37"/>
    <b v="0"/>
    <m/>
  </r>
  <r>
    <s v="TK60838"/>
    <d v="2023-02-20T23:09:00"/>
    <s v="chat"/>
    <x v="1"/>
    <x v="1"/>
    <s v="Error when two-factor authentication"/>
    <n v="103"/>
    <d v="2023-02-22T20:05:33"/>
    <b v="0"/>
    <m/>
  </r>
  <r>
    <s v="TK62247"/>
    <d v="2023-02-21T01:10:00"/>
    <s v="email"/>
    <x v="2"/>
    <x v="1"/>
    <s v="Unable to add a teammate"/>
    <n v="39"/>
    <d v="2023-02-22T15:41:36"/>
    <b v="0"/>
    <n v="5"/>
  </r>
  <r>
    <s v="TK61548"/>
    <d v="2023-02-21T02:43:00"/>
    <s v="email"/>
    <x v="1"/>
    <x v="0"/>
    <s v="Issue with the API rate limit"/>
    <n v="123"/>
    <d v="2023-02-21T09:11:58"/>
    <b v="0"/>
    <m/>
  </r>
  <r>
    <s v="TK61976"/>
    <d v="2023-02-21T04:49:00"/>
    <s v="in-app"/>
    <x v="1"/>
    <x v="0"/>
    <s v="How do I export my data"/>
    <n v="62"/>
    <d v="2023-02-21T16:21:42"/>
    <b v="0"/>
    <n v="2"/>
  </r>
  <r>
    <s v="TK62874"/>
    <d v="2023-02-21T08:18:00"/>
    <s v="phone"/>
    <x v="2"/>
    <x v="0"/>
    <s v="Error when the API rate limit"/>
    <n v="42"/>
    <d v="2023-02-21T19:03:21"/>
    <b v="0"/>
    <m/>
  </r>
  <r>
    <s v="TK61291"/>
    <d v="2023-02-21T09:26:00"/>
    <s v="phone"/>
    <x v="0"/>
    <x v="1"/>
    <s v="How do I log in after password reset"/>
    <n v="93"/>
    <d v="2023-02-22T01:28:11"/>
    <b v="0"/>
    <m/>
  </r>
  <r>
    <s v="TK61431"/>
    <d v="2023-02-21T11:17:00"/>
    <s v="chat"/>
    <x v="0"/>
    <x v="3"/>
    <s v="Question about export my data"/>
    <m/>
    <d v="2023-03-09T12:33:53"/>
    <b v="0"/>
    <m/>
  </r>
  <r>
    <s v="TK61996"/>
    <d v="2023-02-21T12:13:00"/>
    <s v="chat"/>
    <x v="1"/>
    <x v="3"/>
    <s v="Cannot two-factor authentication"/>
    <n v="75"/>
    <d v="2023-02-27T17:42:01"/>
    <b v="0"/>
    <m/>
  </r>
  <r>
    <s v="TK63808"/>
    <d v="2023-02-21T15:39:00"/>
    <s v="chat"/>
    <x v="2"/>
    <x v="0"/>
    <s v="Question about two-factor authentication"/>
    <n v="55"/>
    <m/>
    <b v="0"/>
    <m/>
  </r>
  <r>
    <s v="TK63495"/>
    <d v="2023-02-21T15:48:00"/>
    <s v="chat"/>
    <x v="4"/>
    <x v="1"/>
    <s v="Question about add a teammate"/>
    <n v="66"/>
    <d v="2023-02-21T21:48:04"/>
    <b v="0"/>
    <m/>
  </r>
  <r>
    <s v="TK62117"/>
    <d v="2023-02-21T18:16:00"/>
    <s v="in-app"/>
    <x v="1"/>
    <x v="0"/>
    <s v="Question about two-factor authentication"/>
    <n v="43"/>
    <m/>
    <b v="0"/>
    <m/>
  </r>
  <r>
    <s v="TK62093"/>
    <d v="2023-02-21T22:35:00"/>
    <s v="in-app"/>
    <x v="4"/>
    <x v="1"/>
    <s v="Issue with export my data"/>
    <n v="20"/>
    <d v="2023-02-22T15:34:42"/>
    <b v="0"/>
    <n v="4"/>
  </r>
  <r>
    <s v="TK62361"/>
    <d v="2023-02-22T01:51:00"/>
    <s v="email"/>
    <x v="2"/>
    <x v="3"/>
    <s v="How do I log in after password reset"/>
    <n v="221"/>
    <d v="2023-02-25T23:42:55"/>
    <b v="0"/>
    <n v="5"/>
  </r>
  <r>
    <s v="TK61309"/>
    <d v="2023-02-22T04:11:00"/>
    <s v="in-app"/>
    <x v="1"/>
    <x v="1"/>
    <s v="How do I add a teammate"/>
    <n v="167"/>
    <d v="2023-03-03T06:46:28"/>
    <b v="0"/>
    <n v="4"/>
  </r>
  <r>
    <s v="TK62176"/>
    <d v="2023-02-22T06:24:00"/>
    <s v="email"/>
    <x v="1"/>
    <x v="3"/>
    <s v="How do I a duplicate charge"/>
    <n v="42"/>
    <d v="2023-02-23T22:17:57"/>
    <b v="0"/>
    <m/>
  </r>
  <r>
    <s v="TK61134"/>
    <d v="2023-02-22T10:46:00"/>
    <s v="phone"/>
    <x v="3"/>
    <x v="1"/>
    <s v="Unable to a refund for an annual plan"/>
    <n v="114"/>
    <d v="2023-02-23T14:32:14"/>
    <b v="0"/>
    <n v="4"/>
  </r>
  <r>
    <s v="TK63951"/>
    <d v="2023-02-22T11:32:00"/>
    <s v="email"/>
    <x v="2"/>
    <x v="1"/>
    <s v="Unable to add a teammate"/>
    <n v="86"/>
    <d v="2023-02-23T01:29:54"/>
    <b v="0"/>
    <m/>
  </r>
  <r>
    <s v="TK61256"/>
    <d v="2023-02-22T11:43:00"/>
    <s v="chat"/>
    <x v="2"/>
    <x v="1"/>
    <s v="Issue with webhook deliveries failing"/>
    <n v="113"/>
    <d v="2023-02-23T03:57:18"/>
    <b v="0"/>
    <m/>
  </r>
  <r>
    <s v="TK63263"/>
    <d v="2023-02-22T16:36:00"/>
    <s v="chat"/>
    <x v="2"/>
    <x v="1"/>
    <s v="Question about two-factor authentication"/>
    <n v="149"/>
    <d v="2023-02-23T21:37:12"/>
    <b v="0"/>
    <m/>
  </r>
  <r>
    <s v="TK60659"/>
    <d v="2023-02-22T18:26:00"/>
    <s v="email"/>
    <x v="1"/>
    <x v="1"/>
    <s v="Issue with the dashboard loading slowly"/>
    <n v="50"/>
    <m/>
    <b v="0"/>
    <m/>
  </r>
  <r>
    <s v="TK63849"/>
    <d v="2023-02-22T20:28:00"/>
    <s v="phone"/>
    <x v="4"/>
    <x v="1"/>
    <s v="Error when the invoice for last month"/>
    <n v="67"/>
    <d v="2023-02-25T02:46:45"/>
    <b v="0"/>
    <m/>
  </r>
  <r>
    <s v="TK62297"/>
    <d v="2023-02-22T21:45:00"/>
    <s v="chat"/>
    <x v="1"/>
    <x v="0"/>
    <s v="Request to the API rate limit"/>
    <n v="43"/>
    <d v="2023-02-23T02:00:42"/>
    <b v="0"/>
    <m/>
  </r>
  <r>
    <s v="TK61874"/>
    <d v="2023-02-22T22:04:00"/>
    <s v="phone"/>
    <x v="1"/>
    <x v="1"/>
    <s v="Request to export my data"/>
    <n v="268"/>
    <d v="2023-02-24T05:06:14"/>
    <b v="0"/>
    <n v="5"/>
  </r>
  <r>
    <s v="TK62505"/>
    <d v="2023-02-23T00:44:00"/>
    <s v="email"/>
    <x v="1"/>
    <x v="1"/>
    <s v="Cannot a duplicate charge"/>
    <n v="312"/>
    <d v="2023-02-25T08:49:17"/>
    <b v="0"/>
    <n v="5"/>
  </r>
  <r>
    <s v="TK60552"/>
    <d v="2023-02-23T03:33:00"/>
    <s v="email"/>
    <x v="4"/>
    <x v="0"/>
    <s v="Error when the invoice for last month"/>
    <n v="31"/>
    <d v="2023-02-23T23:59:30"/>
    <b v="0"/>
    <m/>
  </r>
  <r>
    <s v="TK63183"/>
    <d v="2023-02-23T05:26:00"/>
    <s v="chat"/>
    <x v="0"/>
    <x v="2"/>
    <s v="How do I the invoice for last month"/>
    <n v="5"/>
    <d v="2023-02-23T08:21:27"/>
    <b v="0"/>
    <n v="5"/>
  </r>
  <r>
    <s v="TK63720"/>
    <d v="2023-02-23T05:57:00"/>
    <s v="phone"/>
    <x v="2"/>
    <x v="2"/>
    <s v="Issue with the API rate limit"/>
    <n v="22"/>
    <d v="2023-02-23T15:18:18"/>
    <b v="0"/>
    <m/>
  </r>
  <r>
    <s v="TK61573"/>
    <d v="2023-02-23T07:22:00"/>
    <s v="chat"/>
    <x v="2"/>
    <x v="1"/>
    <s v="Unable to connecting the Snowflake sync"/>
    <n v="190"/>
    <d v="2023-02-25T01:12:08"/>
    <b v="0"/>
    <n v="5"/>
  </r>
  <r>
    <s v="TK63301"/>
    <d v="2023-02-23T12:06:00"/>
    <s v="email"/>
    <x v="0"/>
    <x v="1"/>
    <s v="Error when add a teammate"/>
    <n v="102"/>
    <d v="2023-02-24T05:41:26"/>
    <b v="0"/>
    <m/>
  </r>
  <r>
    <s v="TK61290"/>
    <d v="2023-02-23T12:56:00"/>
    <s v="chat"/>
    <x v="1"/>
    <x v="1"/>
    <s v="Error when the API rate limit"/>
    <n v="71"/>
    <d v="2023-02-25T03:02:04"/>
    <b v="0"/>
    <m/>
  </r>
  <r>
    <s v="TK60042"/>
    <d v="2023-02-23T15:46:00"/>
    <s v="email"/>
    <x v="1"/>
    <x v="1"/>
    <s v="Unable to connecting the Snowflake sync"/>
    <n v="143"/>
    <d v="2023-02-24T19:37:06"/>
    <b v="0"/>
    <n v="5"/>
  </r>
  <r>
    <s v="TK62816"/>
    <d v="2023-02-23T20:16:00"/>
    <s v="chat"/>
    <x v="2"/>
    <x v="0"/>
    <s v="Error when export my data"/>
    <n v="174"/>
    <d v="2023-02-23T21:24:09"/>
    <b v="0"/>
    <m/>
  </r>
  <r>
    <s v="TK61606"/>
    <d v="2023-02-23T20:27:00"/>
    <s v="phone"/>
    <x v="3"/>
    <x v="3"/>
    <s v="How do I connecting the Snowflake sync"/>
    <n v="41"/>
    <d v="2023-03-14T21:34:40"/>
    <b v="0"/>
    <m/>
  </r>
  <r>
    <s v="TK61903"/>
    <d v="2023-02-23T21:19:00"/>
    <s v="chat"/>
    <x v="4"/>
    <x v="1"/>
    <s v="Question about the invoice for last month"/>
    <n v="44"/>
    <d v="2023-02-24T09:35:30"/>
    <b v="0"/>
    <n v="5"/>
  </r>
  <r>
    <s v="TK62576"/>
    <d v="2023-02-24T04:13:00"/>
    <s v="email"/>
    <x v="2"/>
    <x v="1"/>
    <s v="Issue with the API rate limit"/>
    <n v="1062"/>
    <d v="2023-02-24T21:32:08"/>
    <b v="0"/>
    <n v="5"/>
  </r>
  <r>
    <s v="TK61730"/>
    <d v="2023-02-24T04:29:00"/>
    <s v="email"/>
    <x v="2"/>
    <x v="1"/>
    <s v="How do I the API rate limit"/>
    <n v="24"/>
    <d v="2023-02-24T17:24:22"/>
    <b v="0"/>
    <m/>
  </r>
  <r>
    <s v="TK60855"/>
    <d v="2023-02-24T05:12:00"/>
    <s v="in-app"/>
    <x v="1"/>
    <x v="3"/>
    <s v="Question about export my data"/>
    <n v="97"/>
    <d v="2023-03-04T02:21:01"/>
    <b v="0"/>
    <m/>
  </r>
  <r>
    <s v="TK63003"/>
    <d v="2023-02-24T06:34:00"/>
    <s v="chat"/>
    <x v="3"/>
    <x v="1"/>
    <s v="Question about a refund for an annual plan"/>
    <n v="122"/>
    <d v="2023-02-28T00:40:58"/>
    <b v="0"/>
    <m/>
  </r>
  <r>
    <s v="TK61940"/>
    <d v="2023-02-24T06:43:00"/>
    <s v="email"/>
    <x v="3"/>
    <x v="1"/>
    <s v="Request to connecting the Snowflake sync"/>
    <n v="66"/>
    <d v="2023-02-27T21:02:31"/>
    <b v="0"/>
    <m/>
  </r>
  <r>
    <s v="TK60690"/>
    <d v="2023-02-24T16:20:00"/>
    <s v="email"/>
    <x v="2"/>
    <x v="3"/>
    <s v="Error when two-factor authentication"/>
    <m/>
    <d v="2023-02-25T00:37:19"/>
    <b v="0"/>
    <n v="1"/>
  </r>
  <r>
    <s v="TK61814"/>
    <d v="2023-02-24T16:52:00"/>
    <s v="email"/>
    <x v="4"/>
    <x v="3"/>
    <s v="How do I the API rate limit"/>
    <n v="68"/>
    <d v="2023-03-14T03:05:23"/>
    <b v="0"/>
    <m/>
  </r>
  <r>
    <s v="TK63286"/>
    <d v="2023-02-24T22:26:00"/>
    <s v="email"/>
    <x v="1"/>
    <x v="1"/>
    <s v="Unable to downgrade my plan"/>
    <n v="16"/>
    <d v="2023-02-28T11:54:14"/>
    <b v="1"/>
    <m/>
  </r>
  <r>
    <s v="TK62673"/>
    <d v="2023-02-25T01:17:00"/>
    <s v="chat"/>
    <x v="1"/>
    <x v="1"/>
    <s v="How do I downgrade my plan"/>
    <n v="86"/>
    <d v="2023-02-26T13:07:05"/>
    <b v="0"/>
    <m/>
  </r>
  <r>
    <s v="TK62004"/>
    <d v="2023-02-25T02:05:00"/>
    <s v="email"/>
    <x v="2"/>
    <x v="0"/>
    <s v="Request to connecting the Snowflake sync"/>
    <n v="34"/>
    <d v="2023-02-25T03:42:33"/>
    <b v="0"/>
    <n v="3"/>
  </r>
  <r>
    <s v="TK60111"/>
    <d v="2023-02-25T07:29:00"/>
    <s v="in-app"/>
    <x v="4"/>
    <x v="1"/>
    <s v="Request to two-factor authentication"/>
    <n v="128"/>
    <d v="2023-02-26T02:34:57"/>
    <b v="0"/>
    <m/>
  </r>
  <r>
    <s v="TK63066"/>
    <d v="2023-02-25T07:51:00"/>
    <s v="chat"/>
    <x v="4"/>
    <x v="1"/>
    <s v="How do I a refund for an annual plan"/>
    <n v="186"/>
    <d v="2023-02-25T18:09:33"/>
    <b v="0"/>
    <m/>
  </r>
  <r>
    <s v="TK61415"/>
    <d v="2023-02-25T08:02:00"/>
    <s v="email"/>
    <x v="1"/>
    <x v="3"/>
    <s v="How do I log in after password reset"/>
    <n v="259"/>
    <d v="2023-03-08T21:34:04"/>
    <b v="0"/>
    <m/>
  </r>
  <r>
    <s v="TK60904"/>
    <d v="2023-02-25T09:13:00"/>
    <s v="email"/>
    <x v="1"/>
    <x v="2"/>
    <s v="Request to the API rate limit"/>
    <n v="11"/>
    <d v="2023-02-26T02:29:35"/>
    <b v="0"/>
    <m/>
  </r>
  <r>
    <s v="TK60486"/>
    <d v="2023-02-25T09:18:00"/>
    <s v="email"/>
    <x v="4"/>
    <x v="3"/>
    <s v="Question about connecting the Snowflake sync"/>
    <n v="816"/>
    <d v="2023-02-27T14:27:34"/>
    <b v="0"/>
    <m/>
  </r>
  <r>
    <s v="TK63091"/>
    <d v="2023-02-25T12:08:00"/>
    <s v="email"/>
    <x v="2"/>
    <x v="3"/>
    <s v="Unable to the dashboard loading slowly"/>
    <n v="706"/>
    <d v="2023-02-26T11:58:12"/>
    <b v="0"/>
    <m/>
  </r>
  <r>
    <s v="TK61358"/>
    <d v="2023-02-25T12:21:00"/>
    <s v="chat"/>
    <x v="1"/>
    <x v="3"/>
    <s v="Issue with webhook deliveries failing"/>
    <n v="150"/>
    <d v="2023-03-02T07:35:38"/>
    <b v="0"/>
    <m/>
  </r>
  <r>
    <s v="TK61680"/>
    <d v="2023-02-25T13:05:00"/>
    <s v="chat"/>
    <x v="2"/>
    <x v="1"/>
    <s v="Request to a refund for an annual plan"/>
    <m/>
    <d v="2023-02-26T00:24:33"/>
    <b v="0"/>
    <n v="1"/>
  </r>
  <r>
    <s v="TK61200"/>
    <d v="2023-02-25T18:03:00"/>
    <s v="email"/>
    <x v="3"/>
    <x v="3"/>
    <s v="Cannot export my data"/>
    <m/>
    <d v="2023-03-24T13:28:19"/>
    <b v="1"/>
    <m/>
  </r>
  <r>
    <s v="TK61798"/>
    <d v="2023-02-25T21:47:00"/>
    <s v="in-app"/>
    <x v="1"/>
    <x v="1"/>
    <s v="Request to export my data"/>
    <n v="156"/>
    <m/>
    <b v="0"/>
    <m/>
  </r>
  <r>
    <s v="TK60612"/>
    <d v="2023-02-26T00:31:00"/>
    <s v="chat"/>
    <x v="4"/>
    <x v="1"/>
    <s v="Question about log in after password reset"/>
    <n v="99"/>
    <d v="2023-02-27T23:41:57"/>
    <b v="0"/>
    <m/>
  </r>
  <r>
    <s v="TK62595"/>
    <d v="2023-02-26T02:00:00"/>
    <s v="in-app"/>
    <x v="0"/>
    <x v="1"/>
    <s v="Question about export my data"/>
    <n v="298"/>
    <d v="2023-02-26T09:26:14"/>
    <b v="0"/>
    <n v="4"/>
  </r>
  <r>
    <s v="TK61082"/>
    <d v="2023-02-26T05:44:00"/>
    <s v="in-app"/>
    <x v="0"/>
    <x v="3"/>
    <s v="Cannot a duplicate charge"/>
    <n v="36"/>
    <d v="2023-03-01T00:33:42"/>
    <b v="0"/>
    <m/>
  </r>
  <r>
    <s v="TK63468"/>
    <d v="2023-02-26T05:58:00"/>
    <s v="email"/>
    <x v="1"/>
    <x v="1"/>
    <s v="How do I the API rate limit"/>
    <n v="85"/>
    <d v="2023-03-05T15:25:01"/>
    <b v="1"/>
    <m/>
  </r>
  <r>
    <s v="TK60283"/>
    <d v="2023-02-26T07:13:00"/>
    <s v="email"/>
    <x v="0"/>
    <x v="1"/>
    <s v="Error when two-factor authentication"/>
    <n v="161"/>
    <d v="2023-02-27T01:41:00"/>
    <b v="0"/>
    <n v="5"/>
  </r>
  <r>
    <s v="TK61823"/>
    <d v="2023-02-26T08:23:00"/>
    <s v="email"/>
    <x v="1"/>
    <x v="3"/>
    <s v="Cannot downgrade my plan"/>
    <n v="2632"/>
    <d v="2023-02-26T17:52:45"/>
    <b v="0"/>
    <m/>
  </r>
  <r>
    <s v="TK63477"/>
    <d v="2023-02-26T09:09:00"/>
    <s v="email"/>
    <x v="2"/>
    <x v="1"/>
    <s v="How do I export my data"/>
    <n v="9"/>
    <d v="2023-03-01T01:06:03"/>
    <b v="0"/>
    <n v="5"/>
  </r>
  <r>
    <s v="TK60357"/>
    <d v="2023-02-26T09:45:00"/>
    <s v="email"/>
    <x v="1"/>
    <x v="1"/>
    <s v="Cannot webhook deliveries failing"/>
    <n v="190"/>
    <d v="2023-03-02T21:34:48"/>
    <b v="0"/>
    <m/>
  </r>
  <r>
    <s v="TK60425"/>
    <d v="2023-02-26T10:16:00"/>
    <s v="email"/>
    <x v="4"/>
    <x v="1"/>
    <s v="Question about a refund for an annual plan"/>
    <n v="88"/>
    <d v="2023-03-01T02:51:15"/>
    <b v="0"/>
    <m/>
  </r>
  <r>
    <s v="TK61501"/>
    <d v="2023-02-26T12:05:00"/>
    <s v="in-app"/>
    <x v="1"/>
    <x v="1"/>
    <s v="Request to downgrade my plan"/>
    <n v="88"/>
    <d v="2023-02-27T23:27:30"/>
    <b v="0"/>
    <n v="4"/>
  </r>
  <r>
    <s v="TK63132"/>
    <d v="2023-02-26T12:06:00"/>
    <s v="chat"/>
    <x v="3"/>
    <x v="3"/>
    <s v="How do I the dashboard loading slowly"/>
    <n v="131"/>
    <d v="2023-03-07T17:38:56"/>
    <b v="0"/>
    <m/>
  </r>
  <r>
    <s v="TK60399"/>
    <d v="2023-02-26T12:51:00"/>
    <s v="chat"/>
    <x v="1"/>
    <x v="3"/>
    <s v="Issue with a duplicate charge"/>
    <n v="52"/>
    <d v="2023-03-01T13:19:07"/>
    <b v="1"/>
    <m/>
  </r>
  <r>
    <s v="TK61004"/>
    <d v="2023-02-26T14:00:00"/>
    <s v="chat"/>
    <x v="1"/>
    <x v="1"/>
    <s v="How do I a duplicate charge"/>
    <n v="101"/>
    <d v="2023-02-27T15:16:33"/>
    <b v="0"/>
    <m/>
  </r>
  <r>
    <s v="TK60386"/>
    <d v="2023-02-26T14:31:00"/>
    <s v="chat"/>
    <x v="0"/>
    <x v="0"/>
    <s v="Issue with the dashboard loading slowly"/>
    <n v="36"/>
    <d v="2023-02-26T17:10:38"/>
    <b v="1"/>
    <m/>
  </r>
  <r>
    <s v="TK62386"/>
    <d v="2023-02-26T18:31:00"/>
    <s v="phone"/>
    <x v="1"/>
    <x v="1"/>
    <s v="How do I export my data"/>
    <n v="40"/>
    <d v="2023-03-09T09:24:14"/>
    <b v="0"/>
    <m/>
  </r>
  <r>
    <s v="TK62479"/>
    <d v="2023-02-26T22:08:00"/>
    <s v="chat"/>
    <x v="2"/>
    <x v="1"/>
    <s v="Question about the dashboard loading slowly"/>
    <n v="80"/>
    <d v="2023-02-27T15:21:19"/>
    <b v="0"/>
    <m/>
  </r>
  <r>
    <s v="TK60531"/>
    <d v="2023-02-26T22:57:00"/>
    <s v="email"/>
    <x v="1"/>
    <x v="3"/>
    <s v="Issue with two-factor authentication"/>
    <n v="168"/>
    <m/>
    <b v="0"/>
    <m/>
  </r>
  <r>
    <s v="TK60876"/>
    <d v="2023-02-27T00:37:00"/>
    <s v="in-app"/>
    <x v="1"/>
    <x v="1"/>
    <s v="Error when a duplicate charge"/>
    <n v="33"/>
    <d v="2023-04-19T17:20:17"/>
    <b v="0"/>
    <m/>
  </r>
  <r>
    <s v="TK61376"/>
    <d v="2023-02-27T00:51:00"/>
    <s v="phone"/>
    <x v="2"/>
    <x v="3"/>
    <s v="Unable to export my data"/>
    <n v="135"/>
    <d v="2023-02-28T05:54:26"/>
    <b v="0"/>
    <n v="5"/>
  </r>
  <r>
    <s v="TK60591"/>
    <d v="2023-02-27T00:59:00"/>
    <s v="chat"/>
    <x v="4"/>
    <x v="1"/>
    <s v="Issue with the invoice for last month"/>
    <n v="260"/>
    <d v="2023-02-28T07:18:03"/>
    <b v="1"/>
    <m/>
  </r>
  <r>
    <s v="TK61275"/>
    <d v="2023-02-27T02:00:00"/>
    <s v="email"/>
    <x v="2"/>
    <x v="3"/>
    <s v="Issue with the API rate limit"/>
    <n v="170"/>
    <d v="2023-03-03T18:41:48"/>
    <b v="0"/>
    <m/>
  </r>
  <r>
    <s v="TK61265"/>
    <d v="2023-02-27T03:48:00"/>
    <s v="phone"/>
    <x v="3"/>
    <x v="1"/>
    <s v="Request to the dashboard loading slowly"/>
    <n v="146"/>
    <d v="2023-02-28T13:51:02"/>
    <b v="0"/>
    <m/>
  </r>
  <r>
    <s v="TK61189"/>
    <d v="2023-02-27T04:30:00"/>
    <s v="chat"/>
    <x v="2"/>
    <x v="1"/>
    <s v="Unable to webhook deliveries failing"/>
    <n v="143"/>
    <d v="2023-02-27T07:47:52"/>
    <b v="0"/>
    <n v="4"/>
  </r>
  <r>
    <s v="TK63706"/>
    <d v="2023-02-27T07:47:00"/>
    <s v="email"/>
    <x v="4"/>
    <x v="1"/>
    <s v="How do I the dashboard loading slowly"/>
    <n v="64"/>
    <d v="2023-02-27T16:21:39"/>
    <b v="0"/>
    <n v="4"/>
  </r>
  <r>
    <s v="TK61042"/>
    <d v="2023-02-27T10:33:00"/>
    <s v="chat"/>
    <x v="1"/>
    <x v="1"/>
    <s v="Error when a refund for an annual plan"/>
    <n v="21"/>
    <d v="2023-02-28T14:53:40"/>
    <b v="0"/>
    <m/>
  </r>
  <r>
    <s v="TK62872"/>
    <d v="2023-02-27T11:57:00"/>
    <s v="email"/>
    <x v="2"/>
    <x v="3"/>
    <s v="Issue with downgrade my plan"/>
    <n v="569"/>
    <d v="2023-03-03T23:41:37"/>
    <b v="0"/>
    <m/>
  </r>
  <r>
    <s v="TK60691"/>
    <d v="2023-02-27T12:01:00"/>
    <s v="in-app"/>
    <x v="2"/>
    <x v="0"/>
    <s v="Error when a duplicate charge"/>
    <n v="64"/>
    <d v="2023-02-28T18:14:57"/>
    <b v="0"/>
    <m/>
  </r>
  <r>
    <s v="TK61348"/>
    <d v="2023-02-27T12:30:00"/>
    <s v="email"/>
    <x v="2"/>
    <x v="0"/>
    <s v="Request to webhook deliveries failing"/>
    <n v="71"/>
    <m/>
    <b v="0"/>
    <m/>
  </r>
  <r>
    <s v="TK62163"/>
    <d v="2023-02-27T13:34:00"/>
    <s v="chat"/>
    <x v="4"/>
    <x v="0"/>
    <s v="Request to two-factor authentication"/>
    <n v="135"/>
    <d v="2023-02-27T15:10:19"/>
    <b v="0"/>
    <m/>
  </r>
  <r>
    <s v="TK61197"/>
    <d v="2023-02-27T18:35:00"/>
    <s v="email"/>
    <x v="3"/>
    <x v="1"/>
    <s v="Error when the dashboard loading slowly"/>
    <n v="129"/>
    <d v="2023-03-01T23:48:26"/>
    <b v="0"/>
    <n v="5"/>
  </r>
  <r>
    <s v="TK60615"/>
    <d v="2023-02-28T00:00:00"/>
    <s v="email"/>
    <x v="2"/>
    <x v="0"/>
    <s v="How do I the dashboard loading slowly"/>
    <n v="57"/>
    <d v="2023-02-28T04:39:50"/>
    <b v="0"/>
    <m/>
  </r>
  <r>
    <s v="TK61905"/>
    <d v="2023-02-28T00:37:00"/>
    <s v="phone"/>
    <x v="2"/>
    <x v="3"/>
    <s v="Error when a refund for an annual plan"/>
    <n v="378"/>
    <d v="2023-03-01T06:05:48"/>
    <b v="0"/>
    <m/>
  </r>
  <r>
    <s v="TK61799"/>
    <d v="2023-02-28T01:10:00"/>
    <s v="chat"/>
    <x v="3"/>
    <x v="1"/>
    <s v="Cannot export my data"/>
    <n v="50"/>
    <d v="2023-03-01T00:49:24"/>
    <b v="1"/>
    <m/>
  </r>
  <r>
    <s v="TK60218"/>
    <d v="2023-02-28T01:27:00"/>
    <s v="in-app"/>
    <x v="4"/>
    <x v="1"/>
    <s v="Question about a refund for an annual plan"/>
    <n v="33"/>
    <d v="2023-02-28T05:23:20"/>
    <b v="0"/>
    <m/>
  </r>
  <r>
    <s v="TK63805"/>
    <d v="2023-02-28T01:39:00"/>
    <s v="chat"/>
    <x v="1"/>
    <x v="3"/>
    <s v="How do I connecting the Snowflake sync"/>
    <n v="195"/>
    <d v="2023-03-06T14:41:22"/>
    <b v="0"/>
    <n v="5"/>
  </r>
  <r>
    <s v="TK60755"/>
    <d v="2023-02-28T03:28:00"/>
    <s v="in-app"/>
    <x v="1"/>
    <x v="1"/>
    <s v="Cannot export my data"/>
    <n v="63"/>
    <d v="2023-03-01T11:26:45"/>
    <b v="0"/>
    <n v="1"/>
  </r>
  <r>
    <s v="TK63336"/>
    <d v="2023-02-28T03:53:00"/>
    <s v="in-app"/>
    <x v="1"/>
    <x v="0"/>
    <s v="Question about a duplicate charge"/>
    <n v="36"/>
    <d v="2023-02-28T13:00:17"/>
    <b v="0"/>
    <m/>
  </r>
  <r>
    <s v="TK61035"/>
    <d v="2023-02-28T05:18:00"/>
    <s v="in-app"/>
    <x v="2"/>
    <x v="3"/>
    <s v="Error when the invoice for last month"/>
    <n v="228"/>
    <d v="2023-03-13T22:22:29"/>
    <b v="0"/>
    <n v="1"/>
  </r>
  <r>
    <s v="TK62579"/>
    <d v="2023-02-28T05:34:00"/>
    <s v="in-app"/>
    <x v="4"/>
    <x v="1"/>
    <s v="Cannot add a teammate"/>
    <n v="169"/>
    <d v="2023-03-05T18:09:58"/>
    <b v="0"/>
    <m/>
  </r>
  <r>
    <s v="TK60577"/>
    <d v="2023-02-28T06:01:00"/>
    <s v="chat"/>
    <x v="2"/>
    <x v="1"/>
    <s v="How do I export my data"/>
    <n v="42"/>
    <d v="2023-02-28T14:33:42"/>
    <b v="0"/>
    <m/>
  </r>
  <r>
    <s v="TK61595"/>
    <d v="2023-02-28T06:32:00"/>
    <s v="email"/>
    <x v="2"/>
    <x v="0"/>
    <s v="Question about the dashboard loading slowly"/>
    <n v="6"/>
    <d v="2023-02-28T10:03:50"/>
    <b v="0"/>
    <m/>
  </r>
  <r>
    <s v="TK61786"/>
    <d v="2023-02-28T06:55:00"/>
    <s v="chat"/>
    <x v="0"/>
    <x v="2"/>
    <s v="Request to log in after password reset"/>
    <n v="10"/>
    <d v="2023-02-28T12:22:35"/>
    <b v="0"/>
    <m/>
  </r>
  <r>
    <s v="TK63288"/>
    <d v="2023-02-28T09:39:00"/>
    <s v="in-app"/>
    <x v="0"/>
    <x v="1"/>
    <s v="Unable to a duplicate charge"/>
    <n v="422"/>
    <d v="2023-03-06T10:40:21"/>
    <b v="0"/>
    <m/>
  </r>
  <r>
    <s v="TK61847"/>
    <d v="2023-02-28T12:26:00"/>
    <s v="email"/>
    <x v="2"/>
    <x v="3"/>
    <s v="Question about log in after password reset"/>
    <n v="65"/>
    <d v="2023-03-01T10:50:59"/>
    <b v="0"/>
    <m/>
  </r>
  <r>
    <s v="TK62665"/>
    <d v="2023-02-28T13:51:00"/>
    <s v="email"/>
    <x v="2"/>
    <x v="1"/>
    <s v="Error when log in after password reset"/>
    <n v="102"/>
    <d v="2023-03-03T03:55:22"/>
    <b v="0"/>
    <m/>
  </r>
  <r>
    <s v="TK60790"/>
    <d v="2023-02-28T14:20:00"/>
    <s v="chat"/>
    <x v="2"/>
    <x v="3"/>
    <s v="Request to the API rate limit"/>
    <n v="654"/>
    <d v="2023-03-03T20:48:05"/>
    <b v="0"/>
    <m/>
  </r>
  <r>
    <s v="TK60093"/>
    <d v="2023-02-28T15:22:00"/>
    <s v="email"/>
    <x v="1"/>
    <x v="2"/>
    <s v="Request to two-factor authentication"/>
    <n v="54"/>
    <d v="2023-02-28T23:08:24"/>
    <b v="0"/>
    <n v="5"/>
  </r>
  <r>
    <s v="TK61696"/>
    <d v="2023-02-28T18:15:00"/>
    <s v="email"/>
    <x v="4"/>
    <x v="2"/>
    <s v="Cannot a refund for an annual plan"/>
    <n v="18"/>
    <d v="2023-02-28T19:44:22"/>
    <b v="0"/>
    <n v="5"/>
  </r>
  <r>
    <s v="TK62241"/>
    <d v="2023-02-28T20:06:00"/>
    <s v="in-app"/>
    <x v="3"/>
    <x v="2"/>
    <s v="Cannot a duplicate charge"/>
    <n v="22"/>
    <d v="2023-02-28T22:16:04"/>
    <b v="0"/>
    <n v="4"/>
  </r>
  <r>
    <s v="TK62464"/>
    <d v="2023-03-01T00:11:00"/>
    <s v="email"/>
    <x v="0"/>
    <x v="0"/>
    <s v="Request to connecting the Snowflake sync"/>
    <n v="249"/>
    <d v="2023-03-01T13:53:38"/>
    <b v="0"/>
    <m/>
  </r>
  <r>
    <s v="TK60889"/>
    <d v="2023-03-01T03:17:00"/>
    <s v="chat"/>
    <x v="2"/>
    <x v="2"/>
    <s v="Error when the dashboard loading slowly"/>
    <n v="14"/>
    <d v="2023-03-01T06:21:19"/>
    <b v="0"/>
    <m/>
  </r>
  <r>
    <s v="TK63685"/>
    <d v="2023-03-01T05:43:00"/>
    <s v="in-app"/>
    <x v="0"/>
    <x v="0"/>
    <s v="Unable to the dashboard loading slowly"/>
    <n v="40"/>
    <d v="2023-03-01T07:54:45"/>
    <b v="0"/>
    <n v="5"/>
  </r>
  <r>
    <s v="TK60206"/>
    <d v="2023-03-01T08:09:00"/>
    <s v="chat"/>
    <x v="4"/>
    <x v="0"/>
    <s v="Request to a duplicate charge"/>
    <n v="106"/>
    <d v="2023-03-03T18:48:01"/>
    <b v="0"/>
    <m/>
  </r>
  <r>
    <s v="TK61345"/>
    <d v="2023-03-01T09:35:00"/>
    <s v="chat"/>
    <x v="1"/>
    <x v="0"/>
    <s v="Request to add a teammate"/>
    <n v="106"/>
    <d v="2023-03-02T07:18:29"/>
    <b v="0"/>
    <n v="5"/>
  </r>
  <r>
    <s v="TK63853"/>
    <d v="2023-03-01T09:38:00"/>
    <s v="in-app"/>
    <x v="1"/>
    <x v="1"/>
    <s v="Unable to add a teammate"/>
    <n v="136"/>
    <d v="2023-03-09T18:26:20"/>
    <b v="0"/>
    <m/>
  </r>
  <r>
    <s v="TK62905"/>
    <d v="2023-03-01T10:54:00"/>
    <s v="email"/>
    <x v="1"/>
    <x v="3"/>
    <s v="Unable to a refund for an annual plan"/>
    <n v="31"/>
    <d v="2023-03-03T00:24:37"/>
    <b v="0"/>
    <m/>
  </r>
  <r>
    <s v="TK61746"/>
    <d v="2023-03-01T15:05:00"/>
    <s v="email"/>
    <x v="3"/>
    <x v="2"/>
    <s v="Error when a duplicate charge"/>
    <n v="66"/>
    <d v="2023-03-03T07:45:42"/>
    <b v="0"/>
    <m/>
  </r>
  <r>
    <s v="TK63094"/>
    <d v="2023-03-01T17:36:00"/>
    <s v="chat"/>
    <x v="1"/>
    <x v="1"/>
    <s v="Unable to the invoice for last month"/>
    <n v="71"/>
    <d v="2023-03-04T14:53:32"/>
    <b v="0"/>
    <n v="3"/>
  </r>
  <r>
    <s v="TK60182"/>
    <d v="2023-03-01T18:06:00"/>
    <s v="email"/>
    <x v="3"/>
    <x v="0"/>
    <s v="Error when webhook deliveries failing"/>
    <n v="47"/>
    <d v="2023-03-02T03:02:34"/>
    <b v="1"/>
    <m/>
  </r>
  <r>
    <s v="TK62443"/>
    <d v="2023-03-01T21:26:00"/>
    <s v="phone"/>
    <x v="2"/>
    <x v="3"/>
    <s v="Question about the dashboard loading slowly"/>
    <n v="233"/>
    <d v="2023-03-02T15:21:34"/>
    <b v="1"/>
    <m/>
  </r>
  <r>
    <s v="TK62586"/>
    <d v="2023-03-02T02:31:00"/>
    <s v="in-app"/>
    <x v="3"/>
    <x v="2"/>
    <s v="How do I log in after password reset"/>
    <m/>
    <m/>
    <b v="0"/>
    <m/>
  </r>
  <r>
    <s v="TK62279"/>
    <d v="2023-03-02T04:44:00"/>
    <s v="chat"/>
    <x v="1"/>
    <x v="0"/>
    <s v="Issue with the invoice for last month"/>
    <n v="82"/>
    <d v="2023-03-05T05:03:24"/>
    <b v="0"/>
    <m/>
  </r>
  <r>
    <s v="TK60940"/>
    <d v="2023-03-02T08:47:00"/>
    <s v="chat"/>
    <x v="1"/>
    <x v="3"/>
    <s v="Cannot connecting the Snowflake sync"/>
    <n v="3391"/>
    <d v="2023-03-04T12:37:51"/>
    <b v="0"/>
    <n v="3"/>
  </r>
  <r>
    <s v="TK60857"/>
    <d v="2023-03-02T09:28:00"/>
    <s v="chat"/>
    <x v="4"/>
    <x v="3"/>
    <s v="Request to downgrade my plan"/>
    <n v="214"/>
    <d v="2023-03-14T12:41:40"/>
    <b v="0"/>
    <m/>
  </r>
  <r>
    <s v="TK63327"/>
    <d v="2023-03-02T11:19:00"/>
    <s v="chat"/>
    <x v="1"/>
    <x v="3"/>
    <s v="Issue with downgrade my plan"/>
    <n v="494"/>
    <d v="2023-03-03T10:05:12"/>
    <b v="0"/>
    <n v="1"/>
  </r>
  <r>
    <s v="TK62974"/>
    <d v="2023-03-02T13:38:00"/>
    <s v="chat"/>
    <x v="2"/>
    <x v="3"/>
    <s v="Error when the invoice for last month"/>
    <n v="107"/>
    <d v="2023-03-02T23:48:46"/>
    <b v="0"/>
    <m/>
  </r>
  <r>
    <s v="TK62584"/>
    <d v="2023-03-02T14:25:00"/>
    <s v="in-app"/>
    <x v="1"/>
    <x v="1"/>
    <s v="Cannot two-factor authentication"/>
    <n v="82"/>
    <d v="2023-03-06T10:21:58"/>
    <b v="1"/>
    <m/>
  </r>
  <r>
    <s v="TK60727"/>
    <d v="2023-03-02T16:54:00"/>
    <s v="in-app"/>
    <x v="2"/>
    <x v="3"/>
    <s v="Unable to a duplicate charge"/>
    <n v="685"/>
    <d v="2023-03-03T09:12:48"/>
    <b v="0"/>
    <m/>
  </r>
  <r>
    <s v="TK60773"/>
    <d v="2023-03-02T21:43:00"/>
    <s v="in-app"/>
    <x v="2"/>
    <x v="1"/>
    <s v="Question about log in after password reset"/>
    <n v="70"/>
    <d v="2023-03-03T00:21:16"/>
    <b v="0"/>
    <m/>
  </r>
  <r>
    <s v="TK60942"/>
    <d v="2023-03-02T22:07:00"/>
    <s v="chat"/>
    <x v="0"/>
    <x v="1"/>
    <s v="Error when the API rate limit"/>
    <n v="404"/>
    <d v="2023-03-03T08:56:54"/>
    <b v="0"/>
    <m/>
  </r>
  <r>
    <s v="TK60436"/>
    <d v="2023-03-03T03:59:00"/>
    <s v="phone"/>
    <x v="0"/>
    <x v="3"/>
    <s v="Question about downgrade my plan"/>
    <n v="403"/>
    <d v="2023-03-03T12:30:55"/>
    <b v="0"/>
    <n v="5"/>
  </r>
  <r>
    <s v="TK63775"/>
    <d v="2023-03-03T07:11:00"/>
    <s v="phone"/>
    <x v="0"/>
    <x v="1"/>
    <s v="How do I the invoice for last month"/>
    <n v="111"/>
    <d v="2023-03-03T16:21:47"/>
    <b v="0"/>
    <m/>
  </r>
  <r>
    <s v="TK62937"/>
    <d v="2023-03-03T10:01:00"/>
    <s v="email"/>
    <x v="1"/>
    <x v="0"/>
    <s v="Unable to downgrade my plan"/>
    <n v="63"/>
    <d v="2023-03-06T06:28:46"/>
    <b v="0"/>
    <m/>
  </r>
  <r>
    <s v="TK62389"/>
    <d v="2023-03-03T10:38:00"/>
    <s v="chat"/>
    <x v="1"/>
    <x v="1"/>
    <s v="Question about add a teammate"/>
    <n v="155"/>
    <d v="2023-03-05T05:21:53"/>
    <b v="0"/>
    <m/>
  </r>
  <r>
    <s v="TK63548"/>
    <d v="2023-03-03T10:42:00"/>
    <s v="chat"/>
    <x v="0"/>
    <x v="1"/>
    <s v="Error when connecting the Snowflake sync"/>
    <n v="104"/>
    <d v="2023-03-03T14:55:48"/>
    <b v="0"/>
    <m/>
  </r>
  <r>
    <s v="TK60078"/>
    <d v="2023-03-03T13:13:00"/>
    <s v="chat"/>
    <x v="4"/>
    <x v="0"/>
    <s v="Issue with add a teammate"/>
    <n v="83"/>
    <d v="2023-03-05T15:46:37"/>
    <b v="0"/>
    <n v="5"/>
  </r>
  <r>
    <s v="TK60333"/>
    <d v="2023-03-03T21:08:00"/>
    <s v="chat"/>
    <x v="2"/>
    <x v="1"/>
    <s v="Question about a refund for an annual plan"/>
    <n v="50"/>
    <d v="2023-03-03T22:43:25"/>
    <b v="0"/>
    <m/>
  </r>
  <r>
    <s v="TK61300"/>
    <d v="2023-03-04T00:10:00"/>
    <s v="phone"/>
    <x v="2"/>
    <x v="1"/>
    <s v="Issue with the invoice for last month"/>
    <n v="98"/>
    <d v="2023-03-04T04:03:52"/>
    <b v="0"/>
    <m/>
  </r>
  <r>
    <s v="TK62222"/>
    <d v="2023-03-04T09:34:00"/>
    <s v="chat"/>
    <x v="3"/>
    <x v="1"/>
    <s v="Request to export my data"/>
    <n v="22"/>
    <d v="2023-03-08T20:28:00"/>
    <b v="0"/>
    <m/>
  </r>
  <r>
    <s v="TK63227"/>
    <d v="2023-03-04T16:00:00"/>
    <s v="chat"/>
    <x v="1"/>
    <x v="1"/>
    <s v="Error when a refund for an annual plan"/>
    <n v="48"/>
    <d v="2023-03-06T05:17:57"/>
    <b v="0"/>
    <n v="5"/>
  </r>
  <r>
    <s v="TK62900"/>
    <d v="2023-03-04T18:24:00"/>
    <s v="email"/>
    <x v="2"/>
    <x v="3"/>
    <s v="Cannot two-factor authentication"/>
    <n v="587"/>
    <d v="2023-03-05T20:45:04"/>
    <b v="0"/>
    <m/>
  </r>
  <r>
    <s v="TK61113"/>
    <d v="2023-03-04T18:25:00"/>
    <s v="email"/>
    <x v="3"/>
    <x v="0"/>
    <s v="Request to the API rate limit"/>
    <n v="18"/>
    <d v="2023-03-07T06:54:38"/>
    <b v="1"/>
    <m/>
  </r>
  <r>
    <s v="TK63092"/>
    <d v="2023-03-04T18:31:00"/>
    <s v="email"/>
    <x v="0"/>
    <x v="3"/>
    <s v="Request to the invoice for last month"/>
    <n v="151"/>
    <m/>
    <b v="0"/>
    <m/>
  </r>
  <r>
    <s v="TK60175"/>
    <d v="2023-03-04T22:27:00"/>
    <s v="chat"/>
    <x v="1"/>
    <x v="1"/>
    <s v="Error when log in after password reset"/>
    <n v="303"/>
    <d v="2023-03-14T17:35:44"/>
    <b v="0"/>
    <m/>
  </r>
  <r>
    <s v="TK63572"/>
    <d v="2023-03-04T23:22:00"/>
    <s v="in-app"/>
    <x v="1"/>
    <x v="1"/>
    <s v="Error when downgrade my plan"/>
    <n v="954"/>
    <d v="2023-03-05T10:06:32"/>
    <b v="0"/>
    <m/>
  </r>
  <r>
    <s v="TK63726"/>
    <d v="2023-03-05T03:21:00"/>
    <s v="in-app"/>
    <x v="2"/>
    <x v="1"/>
    <s v="How do I the invoice for last month"/>
    <n v="15"/>
    <d v="2023-03-05T17:23:15"/>
    <b v="1"/>
    <m/>
  </r>
  <r>
    <s v="TK61240"/>
    <d v="2023-03-05T06:42:00"/>
    <s v="email"/>
    <x v="1"/>
    <x v="1"/>
    <s v="Issue with the dashboard loading slowly"/>
    <n v="189"/>
    <d v="2023-03-06T12:17:37"/>
    <b v="0"/>
    <m/>
  </r>
  <r>
    <s v="TK61517"/>
    <d v="2023-03-05T06:47:00"/>
    <s v="email"/>
    <x v="1"/>
    <x v="1"/>
    <s v="Unable to log in after password reset"/>
    <n v="23"/>
    <d v="2023-03-07T05:11:20"/>
    <b v="0"/>
    <m/>
  </r>
  <r>
    <s v="TK60359"/>
    <d v="2023-03-05T12:57:00"/>
    <s v="email"/>
    <x v="1"/>
    <x v="1"/>
    <s v="How do I a duplicate charge"/>
    <n v="118"/>
    <d v="2023-03-08T17:16:38"/>
    <b v="0"/>
    <n v="5"/>
  </r>
  <r>
    <s v="TK62404"/>
    <d v="2023-03-05T14:50:00"/>
    <s v="in-app"/>
    <x v="2"/>
    <x v="1"/>
    <s v="Cannot add a teammate"/>
    <n v="46"/>
    <d v="2023-03-09T08:02:48"/>
    <b v="0"/>
    <m/>
  </r>
  <r>
    <s v="TK62582"/>
    <d v="2023-03-05T16:15:00"/>
    <s v="email"/>
    <x v="2"/>
    <x v="1"/>
    <s v="How do I add a teammate"/>
    <n v="113"/>
    <d v="2023-03-06T08:25:11"/>
    <b v="0"/>
    <m/>
  </r>
  <r>
    <s v="TK61961"/>
    <d v="2023-03-05T21:11:00"/>
    <s v="in-app"/>
    <x v="1"/>
    <x v="0"/>
    <s v="Issue with add a teammate"/>
    <n v="16"/>
    <d v="2023-03-06T21:38:52"/>
    <b v="0"/>
    <m/>
  </r>
  <r>
    <s v="TK63559"/>
    <d v="2023-03-05T21:23:00"/>
    <s v="chat"/>
    <x v="1"/>
    <x v="3"/>
    <s v="Cannot downgrade my plan"/>
    <n v="117"/>
    <d v="2023-03-06T18:35:21"/>
    <b v="0"/>
    <n v="5"/>
  </r>
  <r>
    <s v="TK60544"/>
    <d v="2023-03-06T01:09:00"/>
    <s v="email"/>
    <x v="1"/>
    <x v="1"/>
    <s v="How do I downgrade my plan"/>
    <n v="261"/>
    <d v="2023-03-06T23:01:15"/>
    <b v="0"/>
    <n v="5"/>
  </r>
  <r>
    <s v="TK63529"/>
    <d v="2023-03-06T03:41:00"/>
    <s v="in-app"/>
    <x v="2"/>
    <x v="0"/>
    <s v="Cannot connecting the Snowflake sync"/>
    <n v="179"/>
    <d v="2023-03-07T05:36:12"/>
    <b v="0"/>
    <m/>
  </r>
  <r>
    <s v="TK63107"/>
    <d v="2023-03-06T04:41:00"/>
    <s v="in-app"/>
    <x v="2"/>
    <x v="3"/>
    <s v="How do I connecting the Snowflake sync"/>
    <n v="425"/>
    <d v="2023-03-06T21:46:25"/>
    <b v="0"/>
    <m/>
  </r>
  <r>
    <s v="TK63312"/>
    <d v="2023-03-06T09:18:00"/>
    <s v="phone"/>
    <x v="3"/>
    <x v="3"/>
    <s v="Issue with the invoice for last month"/>
    <n v="264"/>
    <d v="2023-03-09T09:26:37"/>
    <b v="1"/>
    <m/>
  </r>
  <r>
    <s v="TK63357"/>
    <d v="2023-03-06T11:52:00"/>
    <s v="chat"/>
    <x v="0"/>
    <x v="1"/>
    <s v="Unable to a duplicate charge"/>
    <n v="73"/>
    <d v="2023-03-07T03:41:36"/>
    <b v="0"/>
    <n v="4"/>
  </r>
  <r>
    <s v="TK60258"/>
    <d v="2023-03-06T13:19:00"/>
    <s v="email"/>
    <x v="1"/>
    <x v="0"/>
    <s v="Unable to log in after password reset"/>
    <n v="42"/>
    <d v="2023-03-06T22:09:35"/>
    <b v="0"/>
    <m/>
  </r>
  <r>
    <s v="TK61148"/>
    <d v="2023-03-06T21:17:00"/>
    <s v="email"/>
    <x v="0"/>
    <x v="2"/>
    <s v="Question about export my data"/>
    <n v="45"/>
    <d v="2023-03-06T21:42:02"/>
    <b v="0"/>
    <m/>
  </r>
  <r>
    <s v="TK62727"/>
    <d v="2023-03-06T22:36:00"/>
    <s v="chat"/>
    <x v="1"/>
    <x v="1"/>
    <s v="Question about export my data"/>
    <n v="55"/>
    <d v="2023-03-11T18:30:53"/>
    <b v="0"/>
    <m/>
  </r>
  <r>
    <s v="TK61304"/>
    <d v="2023-03-07T00:18:00"/>
    <s v="email"/>
    <x v="0"/>
    <x v="0"/>
    <s v="Request to two-factor authentication"/>
    <n v="19"/>
    <d v="2023-03-09T16:10:08"/>
    <b v="0"/>
    <n v="5"/>
  </r>
  <r>
    <s v="TK63845"/>
    <d v="2023-03-07T03:39:00"/>
    <s v="chat"/>
    <x v="1"/>
    <x v="0"/>
    <s v="Request to log in after password reset"/>
    <n v="55"/>
    <d v="2023-03-08T04:01:19"/>
    <b v="0"/>
    <m/>
  </r>
  <r>
    <s v="TK61206"/>
    <d v="2023-03-07T03:43:00"/>
    <s v="chat"/>
    <x v="0"/>
    <x v="3"/>
    <s v="Request to the invoice for last month"/>
    <n v="166"/>
    <d v="2023-03-08T06:52:43"/>
    <b v="0"/>
    <m/>
  </r>
  <r>
    <s v="TK63454"/>
    <d v="2023-03-07T04:13:00"/>
    <s v="chat"/>
    <x v="2"/>
    <x v="0"/>
    <s v="Request to webhook deliveries failing"/>
    <n v="33"/>
    <d v="2023-03-08T02:50:19"/>
    <b v="0"/>
    <m/>
  </r>
  <r>
    <s v="TK60939"/>
    <d v="2023-03-07T04:35:00"/>
    <s v="phone"/>
    <x v="1"/>
    <x v="2"/>
    <s v="Request to log in after password reset"/>
    <n v="13"/>
    <d v="2023-03-07T14:06:08"/>
    <b v="0"/>
    <m/>
  </r>
  <r>
    <s v="TK61383"/>
    <d v="2023-03-07T05:29:00"/>
    <s v="in-app"/>
    <x v="4"/>
    <x v="1"/>
    <s v="Issue with webhook deliveries failing"/>
    <m/>
    <d v="2023-03-08T22:30:15"/>
    <b v="0"/>
    <m/>
  </r>
  <r>
    <s v="TK61519"/>
    <d v="2023-03-07T08:03:00"/>
    <s v="chat"/>
    <x v="1"/>
    <x v="1"/>
    <s v="Error when add a teammate"/>
    <n v="27"/>
    <d v="2023-03-07T17:22:32"/>
    <b v="0"/>
    <m/>
  </r>
  <r>
    <s v="TK60983"/>
    <d v="2023-03-07T09:22:00"/>
    <s v="email"/>
    <x v="0"/>
    <x v="1"/>
    <s v="Error when downgrade my plan"/>
    <n v="114"/>
    <d v="2023-03-07T12:39:47"/>
    <b v="0"/>
    <m/>
  </r>
  <r>
    <s v="TK63783"/>
    <d v="2023-03-07T09:47:00"/>
    <s v="email"/>
    <x v="0"/>
    <x v="1"/>
    <s v="Unable to two-factor authentication"/>
    <n v="21"/>
    <d v="2023-03-11T03:45:26"/>
    <b v="0"/>
    <m/>
  </r>
  <r>
    <s v="TK62770"/>
    <d v="2023-03-07T14:27:00"/>
    <s v="chat"/>
    <x v="1"/>
    <x v="1"/>
    <s v="Error when log in after password reset"/>
    <m/>
    <d v="2023-03-10T05:26:49"/>
    <b v="0"/>
    <m/>
  </r>
  <r>
    <s v="TK60681"/>
    <d v="2023-03-07T16:27:00"/>
    <s v="email"/>
    <x v="4"/>
    <x v="1"/>
    <s v="Issue with the API rate limit"/>
    <n v="107"/>
    <d v="2023-03-18T13:05:57"/>
    <b v="1"/>
    <n v="5"/>
  </r>
  <r>
    <s v="TK61335"/>
    <d v="2023-03-07T21:49:00"/>
    <s v="in-app"/>
    <x v="3"/>
    <x v="1"/>
    <s v="Unable to two-factor authentication"/>
    <n v="66"/>
    <d v="2023-03-21T00:16:49"/>
    <b v="0"/>
    <n v="5"/>
  </r>
  <r>
    <s v="TK60897"/>
    <d v="2023-03-08T02:41:00"/>
    <s v="email"/>
    <x v="1"/>
    <x v="0"/>
    <s v="Request to export my data"/>
    <n v="31"/>
    <d v="2023-03-09T19:13:22"/>
    <b v="0"/>
    <n v="1"/>
  </r>
  <r>
    <s v="TK62340"/>
    <d v="2023-03-08T07:29:00"/>
    <s v="email"/>
    <x v="1"/>
    <x v="1"/>
    <s v="How do I webhook deliveries failing"/>
    <n v="42"/>
    <d v="2023-03-10T12:07:32"/>
    <b v="0"/>
    <m/>
  </r>
  <r>
    <s v="TK61754"/>
    <d v="2023-03-08T13:32:00"/>
    <s v="in-app"/>
    <x v="0"/>
    <x v="0"/>
    <s v="Error when the dashboard loading slowly"/>
    <n v="137"/>
    <d v="2023-03-08T17:55:44"/>
    <b v="0"/>
    <m/>
  </r>
  <r>
    <s v="TK60263"/>
    <d v="2023-03-08T13:47:00"/>
    <s v="phone"/>
    <x v="3"/>
    <x v="1"/>
    <s v="Unable to export my data"/>
    <n v="26"/>
    <d v="2023-03-10T00:52:58"/>
    <b v="0"/>
    <m/>
  </r>
  <r>
    <s v="TK61803"/>
    <d v="2023-03-08T22:36:00"/>
    <s v="email"/>
    <x v="2"/>
    <x v="1"/>
    <s v="Unable to a duplicate charge"/>
    <n v="31"/>
    <d v="2023-03-15T15:21:19"/>
    <b v="0"/>
    <m/>
  </r>
  <r>
    <s v="TK63870"/>
    <d v="2023-03-09T03:51:00"/>
    <s v="in-app"/>
    <x v="3"/>
    <x v="1"/>
    <s v="Cannot log in after password reset"/>
    <n v="81"/>
    <d v="2023-03-10T03:07:00"/>
    <b v="0"/>
    <n v="2"/>
  </r>
  <r>
    <s v="TK60260"/>
    <d v="2023-03-09T04:23:00"/>
    <s v="chat"/>
    <x v="4"/>
    <x v="0"/>
    <s v="Error when downgrade my plan"/>
    <n v="70"/>
    <d v="2023-03-09T15:20:16"/>
    <b v="1"/>
    <m/>
  </r>
  <r>
    <s v="TK61427"/>
    <d v="2023-03-09T06:37:00"/>
    <s v="email"/>
    <x v="3"/>
    <x v="3"/>
    <s v="Error when connecting the Snowflake sync"/>
    <n v="57"/>
    <d v="2023-03-11T08:41:53"/>
    <b v="0"/>
    <n v="3"/>
  </r>
  <r>
    <s v="TK61572"/>
    <d v="2023-03-09T07:00:00"/>
    <s v="chat"/>
    <x v="1"/>
    <x v="3"/>
    <s v="Question about connecting the Snowflake sync"/>
    <n v="64"/>
    <m/>
    <b v="0"/>
    <m/>
  </r>
  <r>
    <s v="TK62640"/>
    <d v="2023-03-09T08:15:00"/>
    <s v="email"/>
    <x v="0"/>
    <x v="3"/>
    <s v="Error when log in after password reset"/>
    <n v="78"/>
    <d v="2023-03-21T22:47:37"/>
    <b v="0"/>
    <m/>
  </r>
  <r>
    <s v="TK60528"/>
    <d v="2023-03-09T08:16:00"/>
    <s v="phone"/>
    <x v="0"/>
    <x v="0"/>
    <s v="How do I the API rate limit"/>
    <n v="17"/>
    <d v="2023-03-10T02:23:29"/>
    <b v="0"/>
    <m/>
  </r>
  <r>
    <s v="TK60781"/>
    <d v="2023-03-09T11:14:00"/>
    <s v="phone"/>
    <x v="0"/>
    <x v="2"/>
    <s v="Error when add a teammate"/>
    <n v="61"/>
    <d v="2023-03-09T19:14:46"/>
    <b v="0"/>
    <n v="5"/>
  </r>
  <r>
    <s v="TK62756"/>
    <d v="2023-03-09T14:03:00"/>
    <s v="email"/>
    <x v="2"/>
    <x v="3"/>
    <s v="Unable to webhook deliveries failing"/>
    <m/>
    <d v="2023-03-11T01:06:16"/>
    <b v="0"/>
    <m/>
  </r>
  <r>
    <s v="TK63134"/>
    <d v="2023-03-09T15:55:00"/>
    <s v="in-app"/>
    <x v="0"/>
    <x v="1"/>
    <s v="Unable to the dashboard loading slowly"/>
    <n v="298"/>
    <d v="2023-03-18T21:28:01"/>
    <b v="0"/>
    <n v="4"/>
  </r>
  <r>
    <s v="TK61537"/>
    <d v="2023-03-09T16:51:00"/>
    <s v="chat"/>
    <x v="3"/>
    <x v="1"/>
    <s v="Unable to a refund for an annual plan"/>
    <n v="145"/>
    <d v="2023-03-11T20:40:19"/>
    <b v="0"/>
    <n v="4"/>
  </r>
  <r>
    <s v="TK61088"/>
    <d v="2023-03-09T17:41:00"/>
    <s v="chat"/>
    <x v="2"/>
    <x v="1"/>
    <s v="How do I two-factor authentication"/>
    <n v="96"/>
    <d v="2023-03-10T05:18:51"/>
    <b v="0"/>
    <m/>
  </r>
  <r>
    <s v="TK62578"/>
    <d v="2023-03-09T19:12:00"/>
    <s v="phone"/>
    <x v="2"/>
    <x v="1"/>
    <s v="Issue with the dashboard loading slowly"/>
    <n v="654"/>
    <d v="2023-03-10T16:11:18"/>
    <b v="0"/>
    <n v="2"/>
  </r>
  <r>
    <s v="TK63636"/>
    <d v="2023-03-09T22:21:00"/>
    <s v="in-app"/>
    <x v="1"/>
    <x v="0"/>
    <s v="Cannot export my data"/>
    <n v="62"/>
    <d v="2023-03-11T10:15:01"/>
    <b v="0"/>
    <n v="2"/>
  </r>
  <r>
    <s v="TK63657"/>
    <d v="2023-03-10T00:10:00"/>
    <s v="email"/>
    <x v="1"/>
    <x v="0"/>
    <s v="How do I the dashboard loading slowly"/>
    <n v="63"/>
    <d v="2023-03-10T04:01:32"/>
    <b v="0"/>
    <m/>
  </r>
  <r>
    <s v="TK61270"/>
    <d v="2023-03-10T04:02:00"/>
    <s v="in-app"/>
    <x v="2"/>
    <x v="1"/>
    <s v="Request to downgrade my plan"/>
    <n v="267"/>
    <d v="2023-03-10T09:05:43"/>
    <b v="0"/>
    <n v="4"/>
  </r>
  <r>
    <s v="TK61272"/>
    <d v="2023-03-10T11:46:00"/>
    <s v="in-app"/>
    <x v="2"/>
    <x v="1"/>
    <s v="Error when add a teammate"/>
    <n v="150"/>
    <d v="2023-03-10T18:38:28"/>
    <b v="1"/>
    <m/>
  </r>
  <r>
    <s v="TK63236"/>
    <d v="2023-03-10T12:17:00"/>
    <s v="email"/>
    <x v="2"/>
    <x v="0"/>
    <s v="Cannot add a teammate"/>
    <n v="31"/>
    <d v="2023-03-10T12:58:04"/>
    <b v="0"/>
    <m/>
  </r>
  <r>
    <s v="TK62288"/>
    <d v="2023-03-10T18:45:00"/>
    <s v="email"/>
    <x v="4"/>
    <x v="3"/>
    <s v="How do I connecting the Snowflake sync"/>
    <n v="363"/>
    <d v="2023-03-11T12:15:14"/>
    <b v="1"/>
    <m/>
  </r>
  <r>
    <s v="TK63374"/>
    <d v="2023-03-10T20:10:00"/>
    <s v="chat"/>
    <x v="4"/>
    <x v="3"/>
    <s v="Question about the dashboard loading slowly"/>
    <n v="674"/>
    <d v="2023-03-10T23:44:46"/>
    <b v="1"/>
    <m/>
  </r>
  <r>
    <s v="TK63903"/>
    <d v="2023-03-11T05:08:00"/>
    <s v="in-app"/>
    <x v="0"/>
    <x v="1"/>
    <s v="Issue with log in after password reset"/>
    <n v="200"/>
    <d v="2023-03-12T15:04:07"/>
    <b v="0"/>
    <m/>
  </r>
  <r>
    <s v="TK60052"/>
    <d v="2023-03-11T05:35:00"/>
    <s v="email"/>
    <x v="1"/>
    <x v="1"/>
    <s v="Question about two-factor authentication"/>
    <n v="50"/>
    <m/>
    <b v="0"/>
    <m/>
  </r>
  <r>
    <s v="TK63145"/>
    <d v="2023-03-11T10:44:00"/>
    <s v="in-app"/>
    <x v="1"/>
    <x v="0"/>
    <s v="Cannot a duplicate charge"/>
    <n v="67"/>
    <d v="2023-03-12T02:36:23"/>
    <b v="0"/>
    <m/>
  </r>
  <r>
    <s v="TK60062"/>
    <d v="2023-03-11T12:32:00"/>
    <s v="email"/>
    <x v="2"/>
    <x v="3"/>
    <s v="Error when downgrade my plan"/>
    <n v="266"/>
    <d v="2023-03-17T22:30:40"/>
    <b v="0"/>
    <n v="5"/>
  </r>
  <r>
    <s v="TK62513"/>
    <d v="2023-03-11T12:39:00"/>
    <s v="email"/>
    <x v="0"/>
    <x v="3"/>
    <s v="Cannot export my data"/>
    <n v="157"/>
    <d v="2023-03-24T08:59:09"/>
    <b v="0"/>
    <n v="3"/>
  </r>
  <r>
    <s v="TK62755"/>
    <d v="2023-03-11T18:49:00"/>
    <s v="chat"/>
    <x v="0"/>
    <x v="3"/>
    <s v="Request to the invoice for last month"/>
    <n v="326"/>
    <d v="2023-03-12T03:12:01"/>
    <b v="0"/>
    <m/>
  </r>
  <r>
    <s v="TK60334"/>
    <d v="2023-03-12T05:33:00"/>
    <s v="chat"/>
    <x v="3"/>
    <x v="0"/>
    <s v="How do I the dashboard loading slowly"/>
    <n v="14"/>
    <d v="2023-03-15T06:09:53"/>
    <b v="0"/>
    <m/>
  </r>
  <r>
    <s v="TK62346"/>
    <d v="2023-03-12T06:54:00"/>
    <s v="email"/>
    <x v="1"/>
    <x v="0"/>
    <s v="Issue with two-factor authentication"/>
    <n v="30"/>
    <d v="2023-03-12T18:14:23"/>
    <b v="0"/>
    <m/>
  </r>
  <r>
    <s v="TK63367"/>
    <d v="2023-03-12T07:01:00"/>
    <s v="in-app"/>
    <x v="0"/>
    <x v="0"/>
    <s v="How do I the dashboard loading slowly"/>
    <m/>
    <d v="2023-03-14T20:24:28"/>
    <b v="0"/>
    <m/>
  </r>
  <r>
    <s v="TK62621"/>
    <d v="2023-03-12T10:31:00"/>
    <s v="in-app"/>
    <x v="2"/>
    <x v="1"/>
    <s v="Issue with webhook deliveries failing"/>
    <n v="32"/>
    <d v="2023-03-12T23:21:25"/>
    <b v="0"/>
    <n v="5"/>
  </r>
  <r>
    <s v="TK61043"/>
    <d v="2023-03-12T15:39:00"/>
    <s v="in-app"/>
    <x v="4"/>
    <x v="0"/>
    <s v="Cannot the API rate limit"/>
    <n v="78"/>
    <d v="2023-03-12T17:07:13"/>
    <b v="0"/>
    <m/>
  </r>
  <r>
    <s v="TK62565"/>
    <d v="2023-03-12T21:22:00"/>
    <s v="chat"/>
    <x v="1"/>
    <x v="1"/>
    <s v="How do I connecting the Snowflake sync"/>
    <n v="498"/>
    <d v="2023-03-13T04:17:33"/>
    <b v="0"/>
    <m/>
  </r>
  <r>
    <s v="TK62239"/>
    <d v="2023-03-13T02:45:00"/>
    <s v="in-app"/>
    <x v="2"/>
    <x v="0"/>
    <s v="Cannot add a teammate"/>
    <n v="9"/>
    <d v="2023-03-13T09:43:32"/>
    <b v="0"/>
    <n v="3"/>
  </r>
  <r>
    <s v="TK60768"/>
    <d v="2023-03-13T04:12:00"/>
    <s v="email"/>
    <x v="2"/>
    <x v="3"/>
    <s v="Issue with a refund for an annual plan"/>
    <n v="38"/>
    <d v="2023-03-13T12:50:36"/>
    <b v="0"/>
    <m/>
  </r>
  <r>
    <s v="TK61639"/>
    <d v="2023-03-13T05:44:00"/>
    <s v="email"/>
    <x v="3"/>
    <x v="1"/>
    <s v="Question about a duplicate charge"/>
    <n v="51"/>
    <d v="2023-03-14T09:45:26"/>
    <b v="1"/>
    <n v="5"/>
  </r>
  <r>
    <s v="TK60303"/>
    <d v="2023-03-13T07:47:00"/>
    <s v="chat"/>
    <x v="1"/>
    <x v="1"/>
    <s v="Request to webhook deliveries failing"/>
    <n v="156"/>
    <d v="2023-03-21T06:45:04"/>
    <b v="0"/>
    <n v="4"/>
  </r>
  <r>
    <s v="TK61706"/>
    <d v="2023-03-13T09:54:00"/>
    <s v="chat"/>
    <x v="2"/>
    <x v="1"/>
    <s v="How do I webhook deliveries failing"/>
    <n v="14"/>
    <d v="2023-03-13T21:56:06"/>
    <b v="0"/>
    <m/>
  </r>
  <r>
    <s v="TK63925"/>
    <d v="2023-03-13T14:12:00"/>
    <s v="chat"/>
    <x v="3"/>
    <x v="1"/>
    <s v="Request to a duplicate charge"/>
    <n v="172"/>
    <d v="2023-03-20T01:29:49"/>
    <b v="0"/>
    <m/>
  </r>
  <r>
    <s v="TK60147"/>
    <d v="2023-03-13T17:44:00"/>
    <s v="phone"/>
    <x v="2"/>
    <x v="1"/>
    <s v="Unable to a refund for an annual plan"/>
    <n v="217"/>
    <d v="2023-03-16T10:11:16"/>
    <b v="0"/>
    <n v="4"/>
  </r>
  <r>
    <s v="TK63245"/>
    <d v="2023-03-13T19:14:00"/>
    <s v="chat"/>
    <x v="4"/>
    <x v="2"/>
    <s v="Question about add a teammate"/>
    <n v="23"/>
    <d v="2023-03-13T21:11:22"/>
    <b v="1"/>
    <n v="5"/>
  </r>
  <r>
    <s v="TK62462"/>
    <d v="2023-03-13T21:31:00"/>
    <s v="email"/>
    <x v="2"/>
    <x v="1"/>
    <s v="Cannot the dashboard loading slowly"/>
    <n v="214"/>
    <d v="2023-03-20T21:04:41"/>
    <b v="0"/>
    <m/>
  </r>
  <r>
    <s v="TK63203"/>
    <d v="2023-03-13T22:18:00"/>
    <s v="email"/>
    <x v="1"/>
    <x v="3"/>
    <s v="Question about the dashboard loading slowly"/>
    <n v="75"/>
    <d v="2023-03-14T19:22:20"/>
    <b v="0"/>
    <n v="4"/>
  </r>
  <r>
    <s v="TK61731"/>
    <d v="2023-03-13T23:17:00"/>
    <s v="in-app"/>
    <x v="2"/>
    <x v="1"/>
    <s v="How do I export my data"/>
    <n v="660"/>
    <d v="2023-03-14T06:28:01"/>
    <b v="0"/>
    <m/>
  </r>
  <r>
    <s v="TK61118"/>
    <d v="2023-03-13T23:38:00"/>
    <s v="in-app"/>
    <x v="1"/>
    <x v="1"/>
    <s v="Request to a refund for an annual plan"/>
    <n v="37"/>
    <d v="2023-03-18T01:55:01"/>
    <b v="0"/>
    <m/>
  </r>
  <r>
    <s v="TK60495"/>
    <d v="2023-03-14T02:57:00"/>
    <s v="email"/>
    <x v="1"/>
    <x v="3"/>
    <s v="Issue with export my data"/>
    <n v="273"/>
    <d v="2023-03-16T00:24:19"/>
    <b v="0"/>
    <m/>
  </r>
  <r>
    <s v="TK63476"/>
    <d v="2023-03-14T04:25:00"/>
    <s v="chat"/>
    <x v="2"/>
    <x v="1"/>
    <s v="Request to the invoice for last month"/>
    <n v="21"/>
    <d v="2023-03-16T20:24:43"/>
    <b v="0"/>
    <m/>
  </r>
  <r>
    <s v="TK60890"/>
    <d v="2023-03-14T06:57:00"/>
    <s v="in-app"/>
    <x v="2"/>
    <x v="2"/>
    <s v="Issue with two-factor authentication"/>
    <n v="5"/>
    <d v="2023-03-14T08:23:54"/>
    <b v="0"/>
    <m/>
  </r>
  <r>
    <s v="TK62660"/>
    <d v="2023-03-14T13:58:00"/>
    <s v="chat"/>
    <x v="1"/>
    <x v="1"/>
    <s v="Unable to a duplicate charge"/>
    <n v="8"/>
    <d v="2023-03-15T21:44:23"/>
    <b v="0"/>
    <n v="5"/>
  </r>
  <r>
    <s v="TK62765"/>
    <d v="2023-03-14T14:04:00"/>
    <s v="phone"/>
    <x v="1"/>
    <x v="3"/>
    <s v="Unable to a duplicate charge"/>
    <n v="55"/>
    <d v="2023-03-15T06:25:44"/>
    <b v="1"/>
    <m/>
  </r>
  <r>
    <s v="TK62786"/>
    <d v="2023-03-14T16:16:00"/>
    <s v="phone"/>
    <x v="1"/>
    <x v="1"/>
    <s v="Cannot webhook deliveries failing"/>
    <n v="287"/>
    <d v="2023-03-23T23:53:47"/>
    <b v="1"/>
    <m/>
  </r>
  <r>
    <s v="TK63020"/>
    <d v="2023-03-14T16:37:00"/>
    <s v="in-app"/>
    <x v="1"/>
    <x v="0"/>
    <s v="Request to log in after password reset"/>
    <n v="7"/>
    <d v="2023-03-15T23:56:22"/>
    <b v="0"/>
    <m/>
  </r>
  <r>
    <s v="TK63223"/>
    <d v="2023-03-14T17:53:00"/>
    <s v="in-app"/>
    <x v="4"/>
    <x v="2"/>
    <s v="Issue with a refund for an annual plan"/>
    <n v="9"/>
    <d v="2023-03-14T19:28:04"/>
    <b v="0"/>
    <m/>
  </r>
  <r>
    <s v="TK62662"/>
    <d v="2023-03-14T18:49:00"/>
    <s v="email"/>
    <x v="1"/>
    <x v="1"/>
    <s v="Question about the dashboard loading slowly"/>
    <n v="106"/>
    <d v="2023-03-16T02:16:22"/>
    <b v="0"/>
    <n v="1"/>
  </r>
  <r>
    <s v="TK63081"/>
    <d v="2023-03-15T00:53:00"/>
    <s v="email"/>
    <x v="1"/>
    <x v="1"/>
    <s v="Unable to export my data"/>
    <n v="184"/>
    <d v="2023-03-15T18:32:39"/>
    <b v="0"/>
    <m/>
  </r>
  <r>
    <s v="TK62530"/>
    <d v="2023-03-15T08:56:00"/>
    <s v="email"/>
    <x v="1"/>
    <x v="0"/>
    <s v="Error when a duplicate charge"/>
    <n v="59"/>
    <d v="2023-03-15T20:09:33"/>
    <b v="0"/>
    <m/>
  </r>
  <r>
    <s v="TK62104"/>
    <d v="2023-03-15T09:57:00"/>
    <s v="email"/>
    <x v="1"/>
    <x v="1"/>
    <s v="How do I the API rate limit"/>
    <n v="155"/>
    <m/>
    <b v="0"/>
    <m/>
  </r>
  <r>
    <s v="TK62202"/>
    <d v="2023-03-15T13:18:00"/>
    <s v="email"/>
    <x v="2"/>
    <x v="3"/>
    <s v="Issue with the dashboard loading slowly"/>
    <n v="520"/>
    <d v="2023-03-19T15:58:34"/>
    <b v="0"/>
    <m/>
  </r>
  <r>
    <s v="TK63255"/>
    <d v="2023-03-15T14:46:00"/>
    <s v="chat"/>
    <x v="2"/>
    <x v="0"/>
    <s v="Error when export my data"/>
    <n v="146"/>
    <d v="2023-03-16T21:08:10"/>
    <b v="0"/>
    <m/>
  </r>
  <r>
    <s v="TK62502"/>
    <d v="2023-03-15T16:29:00"/>
    <s v="email"/>
    <x v="2"/>
    <x v="0"/>
    <s v="Error when the API rate limit"/>
    <n v="17"/>
    <d v="2023-03-16T19:49:46"/>
    <b v="1"/>
    <m/>
  </r>
  <r>
    <s v="TK61066"/>
    <d v="2023-03-15T18:18:00"/>
    <s v="phone"/>
    <x v="2"/>
    <x v="1"/>
    <s v="How do I downgrade my plan"/>
    <n v="177"/>
    <d v="2023-03-17T13:49:09"/>
    <b v="0"/>
    <m/>
  </r>
  <r>
    <s v="TK60848"/>
    <d v="2023-03-15T23:33:00"/>
    <s v="phone"/>
    <x v="4"/>
    <x v="3"/>
    <s v="Question about log in after password reset"/>
    <n v="57"/>
    <d v="2023-03-20T07:55:47"/>
    <b v="0"/>
    <m/>
  </r>
  <r>
    <s v="TK63131"/>
    <d v="2023-03-16T09:26:00"/>
    <s v="phone"/>
    <x v="0"/>
    <x v="0"/>
    <s v="Question about webhook deliveries failing"/>
    <n v="80"/>
    <d v="2023-03-16T19:14:53"/>
    <b v="0"/>
    <m/>
  </r>
  <r>
    <s v="TK62808"/>
    <d v="2023-03-16T09:35:00"/>
    <s v="chat"/>
    <x v="1"/>
    <x v="1"/>
    <s v="Issue with export my data"/>
    <n v="29"/>
    <d v="2023-03-17T13:09:05"/>
    <b v="0"/>
    <n v="4"/>
  </r>
  <r>
    <s v="TK63571"/>
    <d v="2023-03-16T11:31:00"/>
    <s v="email"/>
    <x v="2"/>
    <x v="1"/>
    <s v="Request to a refund for an annual plan"/>
    <n v="188"/>
    <d v="2023-03-16T16:26:17"/>
    <b v="0"/>
    <m/>
  </r>
  <r>
    <s v="TK60163"/>
    <d v="2023-03-16T14:03:00"/>
    <s v="email"/>
    <x v="0"/>
    <x v="3"/>
    <s v="Cannot connecting the Snowflake sync"/>
    <n v="334"/>
    <d v="2023-03-16T20:59:26"/>
    <b v="0"/>
    <m/>
  </r>
  <r>
    <s v="TK61320"/>
    <d v="2023-03-16T14:08:00"/>
    <s v="in-app"/>
    <x v="2"/>
    <x v="1"/>
    <s v="Cannot the dashboard loading slowly"/>
    <n v="124"/>
    <d v="2023-03-17T05:02:45"/>
    <b v="0"/>
    <n v="4"/>
  </r>
  <r>
    <s v="TK61587"/>
    <d v="2023-03-16T23:08:00"/>
    <s v="email"/>
    <x v="2"/>
    <x v="1"/>
    <s v="Error when the invoice for last month"/>
    <n v="49"/>
    <d v="2023-03-17T12:52:27"/>
    <b v="0"/>
    <m/>
  </r>
  <r>
    <s v="TK63000"/>
    <d v="2023-03-17T12:23:00"/>
    <s v="email"/>
    <x v="1"/>
    <x v="3"/>
    <s v="Cannot the dashboard loading slowly"/>
    <n v="323"/>
    <d v="2023-04-08T03:46:39"/>
    <b v="0"/>
    <m/>
  </r>
  <r>
    <s v="TK61074"/>
    <d v="2023-03-17T13:17:00"/>
    <s v="email"/>
    <x v="3"/>
    <x v="1"/>
    <s v="Error when the dashboard loading slowly"/>
    <n v="297"/>
    <d v="2023-03-19T06:19:55"/>
    <b v="1"/>
    <m/>
  </r>
  <r>
    <s v="TK63983"/>
    <d v="2023-03-17T17:39:00"/>
    <s v="email"/>
    <x v="1"/>
    <x v="1"/>
    <s v="Question about the API rate limit"/>
    <n v="130"/>
    <d v="2023-03-17T23:03:35"/>
    <b v="0"/>
    <m/>
  </r>
  <r>
    <s v="TK61141"/>
    <d v="2023-03-17T18:47:00"/>
    <s v="phone"/>
    <x v="0"/>
    <x v="3"/>
    <s v="Error when the dashboard loading slowly"/>
    <n v="31"/>
    <d v="2023-03-21T18:55:42"/>
    <b v="0"/>
    <m/>
  </r>
  <r>
    <s v="TK60999"/>
    <d v="2023-03-17T18:56:00"/>
    <s v="in-app"/>
    <x v="1"/>
    <x v="3"/>
    <s v="How do I the dashboard loading slowly"/>
    <n v="91"/>
    <d v="2023-03-19T14:43:20"/>
    <b v="1"/>
    <n v="4"/>
  </r>
  <r>
    <s v="TK62421"/>
    <d v="2023-03-17T20:22:00"/>
    <s v="in-app"/>
    <x v="0"/>
    <x v="1"/>
    <s v="Request to downgrade my plan"/>
    <n v="83"/>
    <d v="2023-03-19T23:18:35"/>
    <b v="1"/>
    <n v="5"/>
  </r>
  <r>
    <s v="TK62604"/>
    <d v="2023-03-17T21:01:00"/>
    <s v="chat"/>
    <x v="1"/>
    <x v="1"/>
    <s v="Cannot add a teammate"/>
    <n v="88"/>
    <d v="2023-04-05T01:10:01"/>
    <b v="0"/>
    <n v="3"/>
  </r>
  <r>
    <s v="TK63915"/>
    <d v="2023-03-17T23:26:00"/>
    <s v="in-app"/>
    <x v="4"/>
    <x v="1"/>
    <s v="Error when a refund for an annual plan"/>
    <n v="419"/>
    <d v="2023-03-18T12:53:37"/>
    <b v="0"/>
    <m/>
  </r>
  <r>
    <s v="TK62477"/>
    <d v="2023-03-18T05:01:00"/>
    <s v="chat"/>
    <x v="3"/>
    <x v="1"/>
    <s v="How do I the dashboard loading slowly"/>
    <n v="300"/>
    <d v="2023-03-21T00:53:05"/>
    <b v="0"/>
    <n v="5"/>
  </r>
  <r>
    <s v="TK60355"/>
    <d v="2023-03-18T06:14:00"/>
    <s v="email"/>
    <x v="1"/>
    <x v="1"/>
    <s v="Question about log in after password reset"/>
    <n v="39"/>
    <d v="2023-03-18T20:06:16"/>
    <b v="0"/>
    <m/>
  </r>
  <r>
    <s v="TK60673"/>
    <d v="2023-03-18T07:16:00"/>
    <s v="email"/>
    <x v="1"/>
    <x v="3"/>
    <s v="Error when log in after password reset"/>
    <n v="67"/>
    <d v="2023-03-24T02:28:02"/>
    <b v="0"/>
    <n v="3"/>
  </r>
  <r>
    <s v="TK60221"/>
    <d v="2023-03-18T13:01:00"/>
    <s v="in-app"/>
    <x v="1"/>
    <x v="2"/>
    <s v="Cannot add a teammate"/>
    <n v="38"/>
    <d v="2023-03-19T03:50:50"/>
    <b v="0"/>
    <m/>
  </r>
  <r>
    <s v="TK60176"/>
    <d v="2023-03-18T17:43:00"/>
    <s v="email"/>
    <x v="2"/>
    <x v="3"/>
    <s v="Request to the dashboard loading slowly"/>
    <n v="255"/>
    <d v="2023-03-20T05:30:44"/>
    <b v="0"/>
    <n v="4"/>
  </r>
  <r>
    <s v="TK61186"/>
    <d v="2023-03-18T18:01:00"/>
    <s v="email"/>
    <x v="3"/>
    <x v="1"/>
    <s v="Issue with webhook deliveries failing"/>
    <n v="82"/>
    <d v="2023-03-21T23:24:58"/>
    <b v="0"/>
    <n v="4"/>
  </r>
  <r>
    <s v="TK60350"/>
    <d v="2023-03-18T18:15:00"/>
    <s v="in-app"/>
    <x v="2"/>
    <x v="2"/>
    <s v="Issue with log in after password reset"/>
    <n v="35"/>
    <d v="2023-03-18T19:05:53"/>
    <b v="0"/>
    <m/>
  </r>
  <r>
    <s v="TK61574"/>
    <d v="2023-03-18T21:02:00"/>
    <s v="email"/>
    <x v="2"/>
    <x v="3"/>
    <s v="Issue with webhook deliveries failing"/>
    <n v="238"/>
    <d v="2023-03-19T06:16:18"/>
    <b v="0"/>
    <m/>
  </r>
  <r>
    <s v="TK60076"/>
    <d v="2023-03-18T22:15:00"/>
    <s v="chat"/>
    <x v="3"/>
    <x v="1"/>
    <s v="Issue with a refund for an annual plan"/>
    <n v="112"/>
    <d v="2023-03-30T00:49:23"/>
    <b v="0"/>
    <m/>
  </r>
  <r>
    <s v="TK63280"/>
    <d v="2023-03-18T23:25:00"/>
    <s v="email"/>
    <x v="2"/>
    <x v="3"/>
    <s v="Question about add a teammate"/>
    <n v="89"/>
    <d v="2023-03-22T14:38:16"/>
    <b v="1"/>
    <m/>
  </r>
  <r>
    <s v="TK61627"/>
    <d v="2023-03-19T00:09:00"/>
    <s v="email"/>
    <x v="1"/>
    <x v="3"/>
    <s v="Unable to the dashboard loading slowly"/>
    <n v="49"/>
    <d v="2023-03-20T01:20:06"/>
    <b v="0"/>
    <m/>
  </r>
  <r>
    <s v="TK62558"/>
    <d v="2023-03-19T02:00:00"/>
    <s v="email"/>
    <x v="1"/>
    <x v="0"/>
    <s v="Unable to a refund for an annual plan"/>
    <n v="58"/>
    <d v="2023-03-21T13:17:12"/>
    <b v="0"/>
    <n v="5"/>
  </r>
  <r>
    <s v="TK62423"/>
    <d v="2023-03-19T05:43:00"/>
    <s v="chat"/>
    <x v="1"/>
    <x v="0"/>
    <s v="Error when two-factor authentication"/>
    <n v="1492"/>
    <d v="2023-03-19T18:48:41"/>
    <b v="0"/>
    <m/>
  </r>
  <r>
    <s v="TK62324"/>
    <d v="2023-03-19T06:03:00"/>
    <s v="email"/>
    <x v="1"/>
    <x v="1"/>
    <s v="Question about downgrade my plan"/>
    <n v="42"/>
    <d v="2023-03-19T22:09:21"/>
    <b v="0"/>
    <n v="5"/>
  </r>
  <r>
    <s v="TK62550"/>
    <d v="2023-03-19T06:27:00"/>
    <s v="email"/>
    <x v="1"/>
    <x v="3"/>
    <s v="Request to export my data"/>
    <n v="86"/>
    <d v="2023-03-28T11:21:50"/>
    <b v="0"/>
    <m/>
  </r>
  <r>
    <s v="TK62228"/>
    <d v="2023-03-19T08:02:00"/>
    <s v="phone"/>
    <x v="1"/>
    <x v="1"/>
    <s v="Cannot the API rate limit"/>
    <n v="96"/>
    <d v="2023-03-19T17:15:08"/>
    <b v="0"/>
    <m/>
  </r>
  <r>
    <s v="TK62498"/>
    <d v="2023-03-19T09:00:00"/>
    <s v="email"/>
    <x v="1"/>
    <x v="1"/>
    <s v="How do I the invoice for last month"/>
    <n v="34"/>
    <d v="2023-03-22T15:49:32"/>
    <b v="0"/>
    <n v="4"/>
  </r>
  <r>
    <s v="TK62046"/>
    <d v="2023-03-19T12:04:00"/>
    <s v="chat"/>
    <x v="3"/>
    <x v="1"/>
    <s v="Unable to export my data"/>
    <n v="48"/>
    <d v="2023-03-21T17:47:57"/>
    <b v="0"/>
    <n v="4"/>
  </r>
  <r>
    <s v="TK60988"/>
    <d v="2023-03-19T14:05:00"/>
    <s v="phone"/>
    <x v="1"/>
    <x v="3"/>
    <s v="Issue with log in after password reset"/>
    <n v="553"/>
    <d v="2023-03-24T12:38:17"/>
    <b v="1"/>
    <n v="5"/>
  </r>
  <r>
    <s v="TK61301"/>
    <d v="2023-03-19T14:55:00"/>
    <s v="email"/>
    <x v="4"/>
    <x v="1"/>
    <s v="How do I two-factor authentication"/>
    <n v="12"/>
    <d v="2023-03-20T07:13:37"/>
    <b v="0"/>
    <n v="3"/>
  </r>
  <r>
    <s v="TK63494"/>
    <d v="2023-03-19T14:59:00"/>
    <s v="in-app"/>
    <x v="1"/>
    <x v="1"/>
    <s v="Request to the invoice for last month"/>
    <n v="205"/>
    <d v="2023-03-20T14:39:16"/>
    <b v="0"/>
    <m/>
  </r>
  <r>
    <s v="TK60575"/>
    <d v="2023-03-19T17:57:00"/>
    <s v="phone"/>
    <x v="0"/>
    <x v="1"/>
    <s v="Unable to two-factor authentication"/>
    <n v="187"/>
    <d v="2023-03-20T15:55:42"/>
    <b v="0"/>
    <m/>
  </r>
  <r>
    <s v="TK60109"/>
    <d v="2023-03-19T18:40:00"/>
    <s v="email"/>
    <x v="1"/>
    <x v="0"/>
    <s v="Issue with the API rate limit"/>
    <n v="42"/>
    <d v="2023-03-20T10:28:34"/>
    <b v="0"/>
    <m/>
  </r>
  <r>
    <s v="TK63516"/>
    <d v="2023-03-19T20:48:00"/>
    <s v="email"/>
    <x v="1"/>
    <x v="1"/>
    <s v="Issue with the invoice for last month"/>
    <n v="160"/>
    <d v="2023-03-20T08:10:19"/>
    <b v="0"/>
    <m/>
  </r>
  <r>
    <s v="TK61727"/>
    <d v="2023-03-19T21:23:00"/>
    <s v="phone"/>
    <x v="0"/>
    <x v="1"/>
    <s v="Error when the invoice for last month"/>
    <n v="482"/>
    <d v="2023-03-19T23:37:40"/>
    <b v="0"/>
    <m/>
  </r>
  <r>
    <s v="TK60214"/>
    <d v="2023-03-20T08:00:00"/>
    <s v="email"/>
    <x v="0"/>
    <x v="1"/>
    <s v="Unable to add a teammate"/>
    <n v="362"/>
    <d v="2023-03-23T10:27:50"/>
    <b v="0"/>
    <m/>
  </r>
  <r>
    <s v="TK60229"/>
    <d v="2023-03-20T08:52:00"/>
    <s v="in-app"/>
    <x v="2"/>
    <x v="1"/>
    <s v="Unable to a duplicate charge"/>
    <n v="77"/>
    <d v="2023-03-20T12:01:48"/>
    <b v="1"/>
    <n v="5"/>
  </r>
  <r>
    <s v="TK61398"/>
    <d v="2023-03-20T12:09:00"/>
    <s v="email"/>
    <x v="0"/>
    <x v="3"/>
    <s v="Question about the dashboard loading slowly"/>
    <n v="145"/>
    <d v="2023-03-21T13:48:38"/>
    <b v="0"/>
    <m/>
  </r>
  <r>
    <s v="TK63790"/>
    <d v="2023-03-20T13:55:00"/>
    <s v="in-app"/>
    <x v="2"/>
    <x v="1"/>
    <s v="Error when log in after password reset"/>
    <n v="45"/>
    <d v="2023-03-29T03:26:35"/>
    <b v="0"/>
    <m/>
  </r>
  <r>
    <s v="TK63235"/>
    <d v="2023-03-20T15:48:00"/>
    <s v="chat"/>
    <x v="1"/>
    <x v="1"/>
    <s v="Unable to a duplicate charge"/>
    <n v="306"/>
    <d v="2023-03-21T11:03:23"/>
    <b v="0"/>
    <m/>
  </r>
  <r>
    <s v="TK60797"/>
    <d v="2023-03-20T17:04:00"/>
    <s v="in-app"/>
    <x v="1"/>
    <x v="1"/>
    <s v="Issue with the API rate limit"/>
    <m/>
    <d v="2023-03-23T03:07:18"/>
    <b v="0"/>
    <n v="4"/>
  </r>
  <r>
    <s v="TK60004"/>
    <d v="2023-03-20T20:11:00"/>
    <s v="in-app"/>
    <x v="0"/>
    <x v="1"/>
    <s v="Request to log in after password reset"/>
    <n v="45"/>
    <d v="2023-03-21T05:52:37"/>
    <b v="0"/>
    <n v="4"/>
  </r>
  <r>
    <s v="TK60826"/>
    <d v="2023-03-20T21:54:00"/>
    <s v="in-app"/>
    <x v="0"/>
    <x v="0"/>
    <s v="Error when the dashboard loading slowly"/>
    <n v="5"/>
    <d v="2023-03-22T04:28:26"/>
    <b v="0"/>
    <m/>
  </r>
  <r>
    <s v="TK61192"/>
    <d v="2023-03-21T04:20:00"/>
    <s v="chat"/>
    <x v="0"/>
    <x v="1"/>
    <s v="Question about downgrade my plan"/>
    <n v="202"/>
    <d v="2023-03-21T07:03:59"/>
    <b v="0"/>
    <n v="4"/>
  </r>
  <r>
    <s v="TK62847"/>
    <d v="2023-03-21T05:56:00"/>
    <s v="phone"/>
    <x v="1"/>
    <x v="0"/>
    <s v="Issue with export my data"/>
    <n v="28"/>
    <d v="2023-03-22T11:55:36"/>
    <b v="0"/>
    <m/>
  </r>
  <r>
    <s v="TK61031"/>
    <d v="2023-03-21T07:36:00"/>
    <s v="in-app"/>
    <x v="0"/>
    <x v="3"/>
    <s v="Unable to connecting the Snowflake sync"/>
    <n v="271"/>
    <d v="2023-03-22T10:47:32"/>
    <b v="0"/>
    <n v="4"/>
  </r>
  <r>
    <s v="TK61886"/>
    <d v="2023-03-21T12:30:00"/>
    <s v="email"/>
    <x v="2"/>
    <x v="1"/>
    <s v="Issue with the API rate limit"/>
    <n v="188"/>
    <d v="2023-03-22T00:07:18"/>
    <b v="0"/>
    <n v="1"/>
  </r>
  <r>
    <s v="TK60361"/>
    <d v="2023-03-21T22:53:00"/>
    <s v="in-app"/>
    <x v="1"/>
    <x v="0"/>
    <s v="Request to downgrade my plan"/>
    <n v="56"/>
    <d v="2023-03-22T09:59:15"/>
    <b v="0"/>
    <m/>
  </r>
  <r>
    <s v="TK63407"/>
    <d v="2023-03-22T00:22:00"/>
    <s v="chat"/>
    <x v="1"/>
    <x v="1"/>
    <s v="Error when two-factor authentication"/>
    <n v="963"/>
    <d v="2023-03-22T15:43:07"/>
    <b v="0"/>
    <m/>
  </r>
  <r>
    <s v="TK60805"/>
    <d v="2023-03-22T11:49:00"/>
    <s v="email"/>
    <x v="0"/>
    <x v="0"/>
    <s v="Error when two-factor authentication"/>
    <n v="11"/>
    <d v="2023-03-24T10:42:27"/>
    <b v="0"/>
    <n v="4"/>
  </r>
  <r>
    <s v="TK61999"/>
    <d v="2023-03-22T14:09:00"/>
    <s v="email"/>
    <x v="1"/>
    <x v="1"/>
    <s v="Unable to downgrade my plan"/>
    <n v="199"/>
    <d v="2023-03-26T17:01:29"/>
    <b v="0"/>
    <m/>
  </r>
  <r>
    <s v="TK60793"/>
    <d v="2023-03-22T16:41:00"/>
    <s v="chat"/>
    <x v="1"/>
    <x v="1"/>
    <s v="Unable to export my data"/>
    <n v="244"/>
    <d v="2023-03-23T13:11:07"/>
    <b v="0"/>
    <m/>
  </r>
  <r>
    <s v="TK62069"/>
    <d v="2023-03-22T17:44:00"/>
    <s v="chat"/>
    <x v="2"/>
    <x v="0"/>
    <s v="Error when webhook deliveries failing"/>
    <n v="51"/>
    <d v="2023-03-31T21:46:14"/>
    <b v="0"/>
    <m/>
  </r>
  <r>
    <s v="TK63601"/>
    <d v="2023-03-22T20:29:00"/>
    <s v="email"/>
    <x v="4"/>
    <x v="1"/>
    <s v="Error when export my data"/>
    <n v="17"/>
    <d v="2023-03-23T10:23:22"/>
    <b v="0"/>
    <m/>
  </r>
  <r>
    <s v="TK60700"/>
    <d v="2023-03-22T22:42:00"/>
    <s v="in-app"/>
    <x v="1"/>
    <x v="3"/>
    <s v="Issue with downgrade my plan"/>
    <n v="91"/>
    <d v="2023-03-26T17:57:51"/>
    <b v="0"/>
    <m/>
  </r>
  <r>
    <s v="TK63487"/>
    <d v="2023-03-23T01:02:00"/>
    <s v="chat"/>
    <x v="3"/>
    <x v="1"/>
    <s v="Unable to connecting the Snowflake sync"/>
    <n v="159"/>
    <d v="2023-03-24T12:28:02"/>
    <b v="0"/>
    <n v="5"/>
  </r>
  <r>
    <s v="TK62548"/>
    <d v="2023-03-23T04:13:00"/>
    <s v="chat"/>
    <x v="1"/>
    <x v="0"/>
    <s v="How do I downgrade my plan"/>
    <n v="26"/>
    <d v="2023-03-23T18:15:02"/>
    <b v="0"/>
    <n v="4"/>
  </r>
  <r>
    <s v="TK60880"/>
    <d v="2023-03-23T07:07:00"/>
    <s v="chat"/>
    <x v="4"/>
    <x v="1"/>
    <s v="Cannot the API rate limit"/>
    <n v="37"/>
    <d v="2023-03-26T01:03:46"/>
    <b v="0"/>
    <m/>
  </r>
  <r>
    <s v="TK60901"/>
    <d v="2023-03-23T09:12:00"/>
    <s v="in-app"/>
    <x v="1"/>
    <x v="3"/>
    <s v="Error when a refund for an annual plan"/>
    <n v="1909"/>
    <d v="2023-04-04T23:35:19"/>
    <b v="0"/>
    <m/>
  </r>
  <r>
    <s v="TK62078"/>
    <d v="2023-03-23T10:21:00"/>
    <s v="chat"/>
    <x v="1"/>
    <x v="1"/>
    <s v="Cannot webhook deliveries failing"/>
    <n v="398"/>
    <m/>
    <b v="0"/>
    <m/>
  </r>
  <r>
    <s v="TK62491"/>
    <d v="2023-03-23T10:44:00"/>
    <s v="email"/>
    <x v="1"/>
    <x v="1"/>
    <s v="Issue with downgrade my plan"/>
    <n v="66"/>
    <m/>
    <b v="0"/>
    <m/>
  </r>
  <r>
    <s v="TK63836"/>
    <d v="2023-03-23T13:28:00"/>
    <s v="chat"/>
    <x v="1"/>
    <x v="1"/>
    <s v="How do I add a teammate"/>
    <n v="323"/>
    <m/>
    <b v="0"/>
    <m/>
  </r>
  <r>
    <s v="TK63411"/>
    <d v="2023-03-23T15:11:00"/>
    <s v="chat"/>
    <x v="1"/>
    <x v="1"/>
    <s v="Issue with log in after password reset"/>
    <n v="192"/>
    <d v="2023-03-31T01:36:18"/>
    <b v="0"/>
    <m/>
  </r>
  <r>
    <s v="TK62303"/>
    <d v="2023-03-23T15:47:00"/>
    <s v="chat"/>
    <x v="4"/>
    <x v="0"/>
    <s v="How do I log in after password reset"/>
    <n v="12"/>
    <d v="2023-03-24T20:37:45"/>
    <b v="0"/>
    <m/>
  </r>
  <r>
    <s v="TK60748"/>
    <d v="2023-03-23T19:10:00"/>
    <s v="phone"/>
    <x v="3"/>
    <x v="2"/>
    <s v="Unable to add a teammate"/>
    <n v="21"/>
    <d v="2023-03-23T19:52:46"/>
    <b v="0"/>
    <m/>
  </r>
  <r>
    <s v="TK62249"/>
    <d v="2023-03-23T21:23:00"/>
    <s v="phone"/>
    <x v="0"/>
    <x v="1"/>
    <s v="Cannot the invoice for last month"/>
    <n v="33"/>
    <d v="2023-03-24T04:23:55"/>
    <b v="0"/>
    <n v="5"/>
  </r>
  <r>
    <s v="TK60818"/>
    <d v="2023-03-24T00:53:00"/>
    <s v="chat"/>
    <x v="4"/>
    <x v="1"/>
    <s v="Request to webhook deliveries failing"/>
    <n v="67"/>
    <d v="2023-03-24T09:27:14"/>
    <b v="0"/>
    <m/>
  </r>
  <r>
    <s v="TK60471"/>
    <d v="2023-03-24T02:00:00"/>
    <s v="chat"/>
    <x v="1"/>
    <x v="3"/>
    <s v="Error when the invoice for last month"/>
    <n v="118"/>
    <d v="2023-03-26T02:33:19"/>
    <b v="0"/>
    <m/>
  </r>
  <r>
    <s v="TK63467"/>
    <d v="2023-03-24T03:52:00"/>
    <s v="email"/>
    <x v="2"/>
    <x v="0"/>
    <s v="Error when log in after password reset"/>
    <n v="26"/>
    <d v="2023-03-26T15:43:18"/>
    <b v="0"/>
    <n v="5"/>
  </r>
  <r>
    <s v="TK62549"/>
    <d v="2023-03-24T04:51:00"/>
    <s v="chat"/>
    <x v="4"/>
    <x v="1"/>
    <s v="Question about a refund for an annual plan"/>
    <n v="663"/>
    <m/>
    <b v="0"/>
    <m/>
  </r>
  <r>
    <s v="TK62160"/>
    <d v="2023-03-24T04:55:00"/>
    <s v="chat"/>
    <x v="1"/>
    <x v="1"/>
    <s v="Question about export my data"/>
    <n v="53"/>
    <d v="2023-04-09T18:09:21"/>
    <b v="0"/>
    <m/>
  </r>
  <r>
    <s v="TK62991"/>
    <d v="2023-03-24T05:20:00"/>
    <s v="email"/>
    <x v="4"/>
    <x v="0"/>
    <s v="Error when two-factor authentication"/>
    <n v="21"/>
    <d v="2023-03-24T09:47:43"/>
    <b v="0"/>
    <n v="5"/>
  </r>
  <r>
    <s v="TK62659"/>
    <d v="2023-03-24T08:05:00"/>
    <s v="email"/>
    <x v="3"/>
    <x v="0"/>
    <s v="Request to the API rate limit"/>
    <n v="18"/>
    <d v="2023-03-24T13:56:29"/>
    <b v="0"/>
    <n v="4"/>
  </r>
  <r>
    <s v="TK62269"/>
    <d v="2023-03-24T12:25:00"/>
    <s v="phone"/>
    <x v="1"/>
    <x v="1"/>
    <s v="Cannot connecting the Snowflake sync"/>
    <n v="224"/>
    <d v="2023-03-25T04:40:49"/>
    <b v="0"/>
    <m/>
  </r>
  <r>
    <s v="TK60331"/>
    <d v="2023-03-24T13:21:00"/>
    <s v="email"/>
    <x v="2"/>
    <x v="3"/>
    <s v="Request to log in after password reset"/>
    <n v="150"/>
    <d v="2023-03-30T22:28:07"/>
    <b v="0"/>
    <m/>
  </r>
  <r>
    <s v="TK61389"/>
    <d v="2023-03-24T15:22:00"/>
    <s v="email"/>
    <x v="2"/>
    <x v="3"/>
    <s v="Issue with the dashboard loading slowly"/>
    <n v="88"/>
    <d v="2023-03-26T13:20:23"/>
    <b v="0"/>
    <n v="3"/>
  </r>
  <r>
    <s v="TK63778"/>
    <d v="2023-03-24T15:34:00"/>
    <s v="chat"/>
    <x v="0"/>
    <x v="3"/>
    <s v="Unable to downgrade my plan"/>
    <n v="182"/>
    <d v="2023-03-26T06:37:24"/>
    <b v="1"/>
    <m/>
  </r>
  <r>
    <s v="TK60561"/>
    <d v="2023-03-24T16:24:00"/>
    <s v="chat"/>
    <x v="2"/>
    <x v="1"/>
    <s v="Issue with a refund for an annual plan"/>
    <n v="41"/>
    <d v="2023-03-26T21:16:24"/>
    <b v="0"/>
    <m/>
  </r>
  <r>
    <s v="TK62910"/>
    <d v="2023-03-24T20:52:00"/>
    <s v="email"/>
    <x v="4"/>
    <x v="1"/>
    <s v="Cannot downgrade my plan"/>
    <n v="42"/>
    <d v="2023-03-27T06:48:01"/>
    <b v="0"/>
    <n v="5"/>
  </r>
  <r>
    <s v="TK62199"/>
    <d v="2023-03-25T05:28:00"/>
    <s v="email"/>
    <x v="2"/>
    <x v="0"/>
    <s v="How do I the invoice for last month"/>
    <n v="71"/>
    <d v="2023-03-25T10:16:41"/>
    <b v="0"/>
    <m/>
  </r>
  <r>
    <s v="TK62393"/>
    <d v="2023-03-25T06:40:00"/>
    <s v="chat"/>
    <x v="1"/>
    <x v="3"/>
    <s v="Question about a duplicate charge"/>
    <n v="393"/>
    <d v="2023-03-26T20:03:16"/>
    <b v="0"/>
    <m/>
  </r>
  <r>
    <s v="TK61077"/>
    <d v="2023-03-25T19:27:00"/>
    <s v="in-app"/>
    <x v="1"/>
    <x v="1"/>
    <s v="Unable to connecting the Snowflake sync"/>
    <n v="18"/>
    <d v="2023-03-26T16:26:14"/>
    <b v="0"/>
    <m/>
  </r>
  <r>
    <s v="TK60738"/>
    <d v="2023-03-25T20:34:00"/>
    <s v="in-app"/>
    <x v="0"/>
    <x v="1"/>
    <s v="Cannot export my data"/>
    <n v="93"/>
    <d v="2023-03-26T09:10:33"/>
    <b v="0"/>
    <n v="4"/>
  </r>
  <r>
    <s v="TK61820"/>
    <d v="2023-03-25T22:48:00"/>
    <s v="email"/>
    <x v="1"/>
    <x v="1"/>
    <s v="Error when log in after password reset"/>
    <n v="88"/>
    <d v="2023-03-27T11:12:46"/>
    <b v="1"/>
    <m/>
  </r>
  <r>
    <s v="TK60947"/>
    <d v="2023-03-25T23:39:00"/>
    <s v="chat"/>
    <x v="2"/>
    <x v="0"/>
    <s v="Cannot webhook deliveries failing"/>
    <n v="6"/>
    <d v="2023-03-26T08:48:54"/>
    <b v="0"/>
    <m/>
  </r>
  <r>
    <s v="TK62921"/>
    <d v="2023-03-26T04:20:00"/>
    <s v="in-app"/>
    <x v="2"/>
    <x v="3"/>
    <s v="Question about export my data"/>
    <n v="369"/>
    <d v="2023-04-06T12:19:31"/>
    <b v="0"/>
    <m/>
  </r>
  <r>
    <s v="TK61375"/>
    <d v="2023-03-26T04:30:00"/>
    <s v="phone"/>
    <x v="1"/>
    <x v="3"/>
    <s v="Issue with two-factor authentication"/>
    <n v="77"/>
    <d v="2023-03-30T04:28:52"/>
    <b v="0"/>
    <m/>
  </r>
  <r>
    <s v="TK62918"/>
    <d v="2023-03-26T05:17:00"/>
    <s v="phone"/>
    <x v="4"/>
    <x v="2"/>
    <s v="Error when a duplicate charge"/>
    <n v="8"/>
    <d v="2023-03-26T13:30:17"/>
    <b v="0"/>
    <m/>
  </r>
  <r>
    <s v="TK62733"/>
    <d v="2023-03-26T07:42:00"/>
    <s v="email"/>
    <x v="2"/>
    <x v="1"/>
    <s v="Issue with add a teammate"/>
    <n v="110"/>
    <d v="2023-03-26T20:14:40"/>
    <b v="0"/>
    <m/>
  </r>
  <r>
    <s v="TK61929"/>
    <d v="2023-03-26T07:45:00"/>
    <s v="email"/>
    <x v="3"/>
    <x v="1"/>
    <s v="Request to add a teammate"/>
    <n v="407"/>
    <d v="2023-03-28T14:51:44"/>
    <b v="0"/>
    <m/>
  </r>
  <r>
    <s v="TK63749"/>
    <d v="2023-03-26T12:07:00"/>
    <s v="in-app"/>
    <x v="3"/>
    <x v="1"/>
    <s v="How do I add a teammate"/>
    <n v="43"/>
    <d v="2023-03-27T09:29:25"/>
    <b v="0"/>
    <n v="4"/>
  </r>
  <r>
    <s v="TK63604"/>
    <d v="2023-03-26T13:00:00"/>
    <s v="in-app"/>
    <x v="1"/>
    <x v="1"/>
    <s v="Request to log in after password reset"/>
    <n v="124"/>
    <d v="2023-03-27T15:20:50"/>
    <b v="0"/>
    <n v="2"/>
  </r>
  <r>
    <s v="TK61688"/>
    <d v="2023-03-26T16:23:00"/>
    <s v="email"/>
    <x v="1"/>
    <x v="1"/>
    <s v="Question about downgrade my plan"/>
    <n v="652"/>
    <d v="2023-03-28T19:50:14"/>
    <b v="0"/>
    <m/>
  </r>
  <r>
    <s v="TK61380"/>
    <d v="2023-03-26T19:20:00"/>
    <s v="email"/>
    <x v="0"/>
    <x v="1"/>
    <s v="Question about the dashboard loading slowly"/>
    <n v="164"/>
    <d v="2023-03-27T18:05:39"/>
    <b v="0"/>
    <m/>
  </r>
  <r>
    <s v="TK62814"/>
    <d v="2023-03-27T05:33:00"/>
    <s v="email"/>
    <x v="2"/>
    <x v="1"/>
    <s v="Request to add a teammate"/>
    <n v="47"/>
    <d v="2023-03-31T18:38:19"/>
    <b v="0"/>
    <m/>
  </r>
  <r>
    <s v="TK61525"/>
    <d v="2023-03-27T09:29:00"/>
    <s v="email"/>
    <x v="1"/>
    <x v="0"/>
    <s v="How do I the dashboard loading slowly"/>
    <n v="48"/>
    <d v="2023-03-28T02:35:38"/>
    <b v="0"/>
    <n v="5"/>
  </r>
  <r>
    <s v="TK60281"/>
    <d v="2023-03-27T11:48:00"/>
    <s v="in-app"/>
    <x v="1"/>
    <x v="0"/>
    <s v="Issue with two-factor authentication"/>
    <n v="20"/>
    <d v="2023-03-29T14:51:42"/>
    <b v="0"/>
    <m/>
  </r>
  <r>
    <s v="TK62122"/>
    <d v="2023-03-27T13:53:00"/>
    <s v="email"/>
    <x v="0"/>
    <x v="0"/>
    <s v="Cannot a duplicate charge"/>
    <n v="61"/>
    <d v="2023-03-28T05:46:06"/>
    <b v="0"/>
    <n v="5"/>
  </r>
  <r>
    <s v="TK60233"/>
    <d v="2023-03-27T16:05:00"/>
    <s v="email"/>
    <x v="3"/>
    <x v="3"/>
    <s v="Error when add a teammate"/>
    <m/>
    <d v="2023-03-30T19:08:14"/>
    <b v="0"/>
    <m/>
  </r>
  <r>
    <s v="TK60564"/>
    <d v="2023-03-27T16:58:00"/>
    <s v="chat"/>
    <x v="4"/>
    <x v="1"/>
    <s v="Unable to connecting the Snowflake sync"/>
    <n v="16"/>
    <d v="2023-03-28T06:35:19"/>
    <b v="0"/>
    <n v="1"/>
  </r>
  <r>
    <s v="TK60783"/>
    <d v="2023-03-27T17:09:00"/>
    <s v="email"/>
    <x v="4"/>
    <x v="1"/>
    <s v="Issue with connecting the Snowflake sync"/>
    <n v="254"/>
    <d v="2023-03-27T18:16:43"/>
    <b v="0"/>
    <m/>
  </r>
  <r>
    <s v="TK63561"/>
    <d v="2023-03-28T01:28:00"/>
    <s v="chat"/>
    <x v="2"/>
    <x v="1"/>
    <s v="Question about the invoice for last month"/>
    <n v="194"/>
    <d v="2023-03-28T11:40:58"/>
    <b v="0"/>
    <n v="5"/>
  </r>
  <r>
    <s v="TK62440"/>
    <d v="2023-03-28T01:40:00"/>
    <s v="email"/>
    <x v="4"/>
    <x v="3"/>
    <s v="Request to log in after password reset"/>
    <n v="530"/>
    <d v="2023-03-30T08:40:52"/>
    <b v="0"/>
    <n v="5"/>
  </r>
  <r>
    <s v="TK61428"/>
    <d v="2023-03-28T02:21:00"/>
    <s v="phone"/>
    <x v="1"/>
    <x v="3"/>
    <s v="Error when the invoice for last month"/>
    <n v="95"/>
    <d v="2023-04-01T15:00:05"/>
    <b v="0"/>
    <m/>
  </r>
  <r>
    <s v="TK63832"/>
    <d v="2023-03-28T05:26:00"/>
    <s v="chat"/>
    <x v="1"/>
    <x v="3"/>
    <s v="Cannot log in after password reset"/>
    <n v="602"/>
    <d v="2023-05-17T02:10:49"/>
    <b v="0"/>
    <m/>
  </r>
  <r>
    <s v="TK61583"/>
    <d v="2023-03-28T06:07:00"/>
    <s v="in-app"/>
    <x v="1"/>
    <x v="3"/>
    <s v="Request to two-factor authentication"/>
    <n v="147"/>
    <d v="2023-03-30T18:18:12"/>
    <b v="0"/>
    <m/>
  </r>
  <r>
    <s v="TK61365"/>
    <d v="2023-03-28T07:53:00"/>
    <s v="email"/>
    <x v="3"/>
    <x v="0"/>
    <s v="Error when export my data"/>
    <n v="16"/>
    <d v="2023-03-29T03:28:43"/>
    <b v="0"/>
    <m/>
  </r>
  <r>
    <s v="TK61033"/>
    <d v="2023-03-28T10:07:00"/>
    <s v="email"/>
    <x v="0"/>
    <x v="3"/>
    <s v="Error when webhook deliveries failing"/>
    <n v="142"/>
    <d v="2023-04-02T09:55:47"/>
    <b v="0"/>
    <m/>
  </r>
  <r>
    <s v="TK63844"/>
    <d v="2023-03-28T10:58:00"/>
    <s v="email"/>
    <x v="0"/>
    <x v="3"/>
    <s v="Error when export my data"/>
    <n v="561"/>
    <d v="2023-04-03T22:13:50"/>
    <b v="0"/>
    <n v="2"/>
  </r>
  <r>
    <s v="TK61970"/>
    <d v="2023-03-28T22:44:00"/>
    <s v="chat"/>
    <x v="2"/>
    <x v="1"/>
    <s v="Error when log in after password reset"/>
    <n v="118"/>
    <d v="2023-03-30T17:16:07"/>
    <b v="0"/>
    <m/>
  </r>
  <r>
    <s v="TK62414"/>
    <d v="2023-03-29T00:31:00"/>
    <s v="email"/>
    <x v="4"/>
    <x v="2"/>
    <s v="Cannot add a teammate"/>
    <n v="9"/>
    <d v="2023-03-29T01:23:07"/>
    <b v="0"/>
    <n v="5"/>
  </r>
  <r>
    <s v="TK63398"/>
    <d v="2023-03-29T02:35:00"/>
    <s v="email"/>
    <x v="1"/>
    <x v="3"/>
    <s v="Error when a duplicate charge"/>
    <n v="483"/>
    <d v="2023-04-01T18:07:23"/>
    <b v="0"/>
    <n v="5"/>
  </r>
  <r>
    <s v="TK62118"/>
    <d v="2023-03-29T02:38:00"/>
    <s v="email"/>
    <x v="3"/>
    <x v="3"/>
    <s v="Cannot export my data"/>
    <n v="166"/>
    <d v="2023-03-30T17:31:53"/>
    <b v="0"/>
    <m/>
  </r>
  <r>
    <s v="TK61283"/>
    <d v="2023-03-29T07:41:00"/>
    <s v="in-app"/>
    <x v="0"/>
    <x v="0"/>
    <s v="How do I a refund for an annual plan"/>
    <n v="28"/>
    <d v="2023-03-29T14:37:40"/>
    <b v="0"/>
    <m/>
  </r>
  <r>
    <s v="TK60366"/>
    <d v="2023-03-29T12:44:00"/>
    <s v="phone"/>
    <x v="1"/>
    <x v="2"/>
    <s v="Unable to the dashboard loading slowly"/>
    <m/>
    <d v="2023-03-29T19:41:49"/>
    <b v="0"/>
    <m/>
  </r>
  <r>
    <s v="TK60277"/>
    <d v="2023-03-29T12:56:00"/>
    <s v="in-app"/>
    <x v="4"/>
    <x v="1"/>
    <s v="Request to downgrade my plan"/>
    <n v="180"/>
    <d v="2023-03-29T22:43:44"/>
    <b v="0"/>
    <m/>
  </r>
  <r>
    <s v="TK61095"/>
    <d v="2023-03-29T15:03:00"/>
    <s v="email"/>
    <x v="3"/>
    <x v="1"/>
    <s v="Question about the API rate limit"/>
    <n v="51"/>
    <d v="2023-04-11T07:10:24"/>
    <b v="0"/>
    <m/>
  </r>
  <r>
    <s v="TK60199"/>
    <d v="2023-03-29T15:39:00"/>
    <s v="in-app"/>
    <x v="1"/>
    <x v="1"/>
    <s v="Unable to the API rate limit"/>
    <n v="126"/>
    <d v="2023-04-01T08:26:16"/>
    <b v="0"/>
    <m/>
  </r>
  <r>
    <s v="TK63446"/>
    <d v="2023-03-29T15:40:00"/>
    <s v="email"/>
    <x v="1"/>
    <x v="1"/>
    <s v="Question about webhook deliveries failing"/>
    <n v="236"/>
    <d v="2023-03-31T21:26:12"/>
    <b v="0"/>
    <n v="3"/>
  </r>
  <r>
    <s v="TK61522"/>
    <d v="2023-03-29T15:47:00"/>
    <s v="email"/>
    <x v="3"/>
    <x v="1"/>
    <s v="Issue with the invoice for last month"/>
    <n v="691"/>
    <d v="2023-03-31T00:29:33"/>
    <b v="0"/>
    <m/>
  </r>
  <r>
    <s v="TK62555"/>
    <d v="2023-03-29T16:47:00"/>
    <s v="in-app"/>
    <x v="3"/>
    <x v="1"/>
    <s v="Unable to log in after password reset"/>
    <n v="88"/>
    <d v="2023-03-30T12:57:21"/>
    <b v="0"/>
    <m/>
  </r>
  <r>
    <s v="TK62720"/>
    <d v="2023-03-29T17:35:00"/>
    <s v="in-app"/>
    <x v="2"/>
    <x v="3"/>
    <s v="Unable to the dashboard loading slowly"/>
    <n v="622"/>
    <d v="2023-04-01T15:58:48"/>
    <b v="0"/>
    <m/>
  </r>
  <r>
    <s v="TK63627"/>
    <d v="2023-03-29T21:22:00"/>
    <s v="email"/>
    <x v="3"/>
    <x v="2"/>
    <s v="Cannot webhook deliveries failing"/>
    <n v="21"/>
    <d v="2023-03-30T01:12:12"/>
    <b v="1"/>
    <m/>
  </r>
  <r>
    <s v="TK60989"/>
    <d v="2023-03-29T22:00:00"/>
    <s v="chat"/>
    <x v="4"/>
    <x v="1"/>
    <s v="Request to log in after password reset"/>
    <n v="280"/>
    <d v="2023-03-30T11:44:54"/>
    <b v="0"/>
    <m/>
  </r>
  <r>
    <s v="TK62908"/>
    <d v="2023-03-29T22:02:00"/>
    <s v="email"/>
    <x v="2"/>
    <x v="1"/>
    <s v="Cannot downgrade my plan"/>
    <n v="34"/>
    <d v="2023-03-31T15:15:52"/>
    <b v="0"/>
    <m/>
  </r>
  <r>
    <s v="TK61973"/>
    <d v="2023-03-30T04:48:00"/>
    <s v="email"/>
    <x v="2"/>
    <x v="1"/>
    <s v="Issue with a duplicate charge"/>
    <n v="66"/>
    <d v="2023-03-30T13:21:17"/>
    <b v="0"/>
    <n v="4"/>
  </r>
  <r>
    <s v="TK61341"/>
    <d v="2023-03-30T06:31:00"/>
    <s v="phone"/>
    <x v="1"/>
    <x v="1"/>
    <s v="Request to the invoice for last month"/>
    <n v="85"/>
    <d v="2023-03-31T02:21:38"/>
    <b v="0"/>
    <m/>
  </r>
  <r>
    <s v="TK63465"/>
    <d v="2023-03-30T07:15:00"/>
    <s v="in-app"/>
    <x v="0"/>
    <x v="3"/>
    <s v="Cannot add a teammate"/>
    <n v="140"/>
    <d v="2023-03-31T01:50:53"/>
    <b v="0"/>
    <m/>
  </r>
  <r>
    <s v="TK62008"/>
    <d v="2023-03-30T09:08:00"/>
    <s v="chat"/>
    <x v="0"/>
    <x v="1"/>
    <s v="Cannot a refund for an annual plan"/>
    <n v="24"/>
    <d v="2023-03-30T15:12:24"/>
    <b v="0"/>
    <m/>
  </r>
  <r>
    <s v="TK63990"/>
    <d v="2023-03-30T10:37:00"/>
    <s v="in-app"/>
    <x v="1"/>
    <x v="0"/>
    <s v="Request to connecting the Snowflake sync"/>
    <n v="27"/>
    <d v="2023-04-01T18:41:01"/>
    <b v="0"/>
    <n v="5"/>
  </r>
  <r>
    <s v="TK61498"/>
    <d v="2023-03-30T11:42:00"/>
    <s v="email"/>
    <x v="4"/>
    <x v="0"/>
    <s v="Error when add a teammate"/>
    <n v="71"/>
    <d v="2023-03-30T13:39:36"/>
    <b v="0"/>
    <m/>
  </r>
  <r>
    <s v="TK63135"/>
    <d v="2023-03-30T14:22:00"/>
    <s v="chat"/>
    <x v="3"/>
    <x v="1"/>
    <s v="Cannot add a teammate"/>
    <n v="205"/>
    <d v="2023-04-05T08:16:32"/>
    <b v="0"/>
    <n v="5"/>
  </r>
  <r>
    <s v="TK60905"/>
    <d v="2023-03-30T15:17:00"/>
    <s v="in-app"/>
    <x v="1"/>
    <x v="0"/>
    <s v="Request to webhook deliveries failing"/>
    <n v="9"/>
    <m/>
    <b v="0"/>
    <m/>
  </r>
  <r>
    <s v="TK63759"/>
    <d v="2023-03-30T23:25:00"/>
    <s v="email"/>
    <x v="2"/>
    <x v="0"/>
    <s v="Unable to log in after password reset"/>
    <n v="5"/>
    <d v="2023-03-31T07:53:36"/>
    <b v="0"/>
    <m/>
  </r>
  <r>
    <s v="TK63969"/>
    <d v="2023-03-30T23:31:00"/>
    <s v="phone"/>
    <x v="4"/>
    <x v="1"/>
    <s v="Question about the invoice for last month"/>
    <n v="256"/>
    <d v="2023-03-31T08:01:45"/>
    <b v="0"/>
    <m/>
  </r>
  <r>
    <s v="TK63261"/>
    <d v="2023-03-31T01:57:00"/>
    <s v="chat"/>
    <x v="2"/>
    <x v="1"/>
    <s v="Request to log in after password reset"/>
    <n v="340"/>
    <d v="2023-03-31T16:34:44"/>
    <b v="0"/>
    <m/>
  </r>
  <r>
    <s v="TK60360"/>
    <d v="2023-03-31T06:07:00"/>
    <s v="phone"/>
    <x v="2"/>
    <x v="0"/>
    <s v="Issue with the dashboard loading slowly"/>
    <n v="13"/>
    <d v="2023-03-31T12:27:30"/>
    <b v="0"/>
    <n v="4"/>
  </r>
  <r>
    <s v="TK62919"/>
    <d v="2023-03-31T07:39:00"/>
    <s v="in-app"/>
    <x v="2"/>
    <x v="1"/>
    <s v="Question about downgrade my plan"/>
    <n v="26"/>
    <d v="2023-03-31T23:38:31"/>
    <b v="0"/>
    <m/>
  </r>
  <r>
    <s v="TK63826"/>
    <d v="2023-03-31T09:01:00"/>
    <s v="chat"/>
    <x v="1"/>
    <x v="3"/>
    <s v="Request to add a teammate"/>
    <n v="454"/>
    <d v="2023-04-02T10:20:14"/>
    <b v="0"/>
    <m/>
  </r>
  <r>
    <s v="TK60039"/>
    <d v="2023-03-31T10:15:00"/>
    <s v="chat"/>
    <x v="2"/>
    <x v="1"/>
    <s v="Question about the API rate limit"/>
    <n v="195"/>
    <d v="2023-04-01T04:05:28"/>
    <b v="0"/>
    <m/>
  </r>
  <r>
    <s v="TK60643"/>
    <d v="2023-03-31T11:11:00"/>
    <s v="chat"/>
    <x v="1"/>
    <x v="2"/>
    <s v="How do I the invoice for last month"/>
    <n v="3"/>
    <d v="2023-03-31T18:04:37"/>
    <b v="0"/>
    <m/>
  </r>
  <r>
    <s v="TK63813"/>
    <d v="2023-03-31T12:40:00"/>
    <s v="chat"/>
    <x v="1"/>
    <x v="0"/>
    <s v="Issue with export my data"/>
    <n v="318"/>
    <d v="2023-04-01T18:50:36"/>
    <b v="0"/>
    <m/>
  </r>
  <r>
    <s v="TK61963"/>
    <d v="2023-03-31T15:25:00"/>
    <s v="chat"/>
    <x v="2"/>
    <x v="0"/>
    <s v="Question about a duplicate charge"/>
    <n v="35"/>
    <m/>
    <b v="0"/>
    <m/>
  </r>
  <r>
    <s v="TK63994"/>
    <d v="2023-03-31T17:27:00"/>
    <s v="in-app"/>
    <x v="0"/>
    <x v="0"/>
    <s v="Error when the dashboard loading slowly"/>
    <n v="47"/>
    <d v="2023-04-01T08:05:16"/>
    <b v="0"/>
    <n v="5"/>
  </r>
  <r>
    <s v="TK63002"/>
    <d v="2023-03-31T20:29:00"/>
    <s v="email"/>
    <x v="0"/>
    <x v="1"/>
    <s v="Request to connecting the Snowflake sync"/>
    <n v="187"/>
    <d v="2023-03-31T22:25:55"/>
    <b v="0"/>
    <n v="5"/>
  </r>
  <r>
    <s v="TK60993"/>
    <d v="2023-03-31T20:30:00"/>
    <s v="phone"/>
    <x v="2"/>
    <x v="0"/>
    <s v="Question about webhook deliveries failing"/>
    <n v="44"/>
    <d v="2023-04-01T00:25:06"/>
    <b v="0"/>
    <n v="5"/>
  </r>
  <r>
    <s v="TK63012"/>
    <d v="2023-03-31T22:22:00"/>
    <s v="phone"/>
    <x v="0"/>
    <x v="1"/>
    <s v="Issue with a duplicate charge"/>
    <n v="109"/>
    <d v="2023-04-01T11:05:01"/>
    <b v="0"/>
    <m/>
  </r>
  <r>
    <s v="TK60396"/>
    <d v="2023-03-31T23:12:00"/>
    <s v="phone"/>
    <x v="2"/>
    <x v="0"/>
    <s v="Cannot the invoice for last month"/>
    <n v="67"/>
    <d v="2023-04-01T13:23:07"/>
    <b v="0"/>
    <n v="5"/>
  </r>
  <r>
    <s v="TK62670"/>
    <d v="2023-03-31T23:31:00"/>
    <s v="chat"/>
    <x v="2"/>
    <x v="1"/>
    <s v="Unable to the dashboard loading slowly"/>
    <m/>
    <d v="2023-04-01T08:20:40"/>
    <b v="0"/>
    <n v="4"/>
  </r>
  <r>
    <s v="TK61753"/>
    <d v="2023-04-01T05:26:00"/>
    <s v="in-app"/>
    <x v="4"/>
    <x v="3"/>
    <s v="Cannot the invoice for last month"/>
    <n v="167"/>
    <d v="2023-04-04T17:33:14"/>
    <b v="0"/>
    <n v="5"/>
  </r>
  <r>
    <s v="TK61060"/>
    <d v="2023-04-01T14:30:00"/>
    <s v="email"/>
    <x v="3"/>
    <x v="0"/>
    <s v="Unable to a refund for an annual plan"/>
    <n v="15"/>
    <d v="2023-04-02T12:14:11"/>
    <b v="0"/>
    <m/>
  </r>
  <r>
    <s v="TK60049"/>
    <d v="2023-04-01T20:17:00"/>
    <s v="in-app"/>
    <x v="1"/>
    <x v="1"/>
    <s v="Issue with the invoice for last month"/>
    <n v="75"/>
    <d v="2023-04-07T02:34:48"/>
    <b v="0"/>
    <m/>
  </r>
  <r>
    <s v="TK62722"/>
    <d v="2023-04-01T23:06:00"/>
    <s v="chat"/>
    <x v="3"/>
    <x v="3"/>
    <s v="Unable to a refund for an annual plan"/>
    <n v="579"/>
    <d v="2023-04-03T04:05:24"/>
    <b v="0"/>
    <n v="3"/>
  </r>
  <r>
    <s v="TK63715"/>
    <d v="2023-04-02T06:20:00"/>
    <s v="in-app"/>
    <x v="1"/>
    <x v="1"/>
    <s v="How do I a refund for an annual plan"/>
    <n v="122"/>
    <d v="2023-04-08T18:42:23"/>
    <b v="0"/>
    <m/>
  </r>
  <r>
    <s v="TK60839"/>
    <d v="2023-04-02T07:06:00"/>
    <s v="email"/>
    <x v="1"/>
    <x v="0"/>
    <s v="Question about webhook deliveries failing"/>
    <n v="17"/>
    <d v="2023-04-03T11:48:31"/>
    <b v="0"/>
    <m/>
  </r>
  <r>
    <s v="TK61401"/>
    <d v="2023-04-02T08:12:00"/>
    <s v="in-app"/>
    <x v="4"/>
    <x v="1"/>
    <s v="Cannot a refund for an annual plan"/>
    <n v="13"/>
    <d v="2023-04-04T03:41:39"/>
    <b v="0"/>
    <m/>
  </r>
  <r>
    <s v="TK60586"/>
    <d v="2023-04-02T08:50:00"/>
    <s v="chat"/>
    <x v="1"/>
    <x v="1"/>
    <s v="Unable to the invoice for last month"/>
    <n v="155"/>
    <m/>
    <b v="0"/>
    <m/>
  </r>
  <r>
    <s v="TK62067"/>
    <d v="2023-04-02T11:53:00"/>
    <s v="chat"/>
    <x v="3"/>
    <x v="3"/>
    <s v="Request to the API rate limit"/>
    <n v="332"/>
    <d v="2023-04-06T10:09:22"/>
    <b v="0"/>
    <m/>
  </r>
  <r>
    <s v="TK63956"/>
    <d v="2023-04-02T18:41:00"/>
    <s v="chat"/>
    <x v="2"/>
    <x v="3"/>
    <s v="Error when the invoice for last month"/>
    <n v="106"/>
    <d v="2023-04-05T10:45:23"/>
    <b v="0"/>
    <n v="5"/>
  </r>
  <r>
    <s v="TK63028"/>
    <d v="2023-04-02T20:16:00"/>
    <s v="chat"/>
    <x v="4"/>
    <x v="1"/>
    <s v="How do I webhook deliveries failing"/>
    <n v="256"/>
    <d v="2023-04-03T14:19:54"/>
    <b v="0"/>
    <m/>
  </r>
  <r>
    <s v="TK62108"/>
    <d v="2023-04-02T21:10:00"/>
    <s v="email"/>
    <x v="1"/>
    <x v="1"/>
    <s v="How do I the invoice for last month"/>
    <n v="388"/>
    <d v="2023-04-06T05:48:25"/>
    <b v="0"/>
    <m/>
  </r>
  <r>
    <s v="TK62250"/>
    <d v="2023-04-02T22:27:00"/>
    <s v="in-app"/>
    <x v="1"/>
    <x v="1"/>
    <s v="Question about a duplicate charge"/>
    <n v="50"/>
    <d v="2023-04-03T10:10:56"/>
    <b v="0"/>
    <n v="4"/>
  </r>
  <r>
    <s v="TK62365"/>
    <d v="2023-04-03T02:06:00"/>
    <s v="chat"/>
    <x v="1"/>
    <x v="1"/>
    <s v="Issue with a refund for an annual plan"/>
    <n v="68"/>
    <d v="2023-04-12T01:24:30"/>
    <b v="0"/>
    <n v="5"/>
  </r>
  <r>
    <s v="TK60621"/>
    <d v="2023-04-03T04:00:00"/>
    <s v="phone"/>
    <x v="0"/>
    <x v="1"/>
    <s v="How do I export my data"/>
    <n v="108"/>
    <d v="2023-04-03T10:32:35"/>
    <b v="0"/>
    <n v="5"/>
  </r>
  <r>
    <s v="TK62774"/>
    <d v="2023-04-03T04:01:00"/>
    <s v="chat"/>
    <x v="1"/>
    <x v="1"/>
    <s v="Cannot the invoice for last month"/>
    <n v="103"/>
    <m/>
    <b v="0"/>
    <m/>
  </r>
  <r>
    <s v="TK61334"/>
    <d v="2023-04-03T05:08:00"/>
    <s v="in-app"/>
    <x v="2"/>
    <x v="3"/>
    <s v="Question about downgrade my plan"/>
    <n v="175"/>
    <d v="2023-04-06T05:07:21"/>
    <b v="0"/>
    <m/>
  </r>
  <r>
    <s v="TK60407"/>
    <d v="2023-04-03T08:37:00"/>
    <s v="in-app"/>
    <x v="1"/>
    <x v="3"/>
    <s v="Unable to a duplicate charge"/>
    <n v="317"/>
    <d v="2023-05-02T01:10:19"/>
    <b v="0"/>
    <n v="5"/>
  </r>
  <r>
    <s v="TK63347"/>
    <d v="2023-04-03T11:27:00"/>
    <s v="chat"/>
    <x v="1"/>
    <x v="2"/>
    <s v="Unable to the API rate limit"/>
    <n v="21"/>
    <d v="2023-04-03T20:54:53"/>
    <b v="0"/>
    <m/>
  </r>
  <r>
    <s v="TK63809"/>
    <d v="2023-04-03T14:08:00"/>
    <s v="email"/>
    <x v="2"/>
    <x v="1"/>
    <s v="Issue with log in after password reset"/>
    <n v="12"/>
    <d v="2023-04-04T07:34:34"/>
    <b v="0"/>
    <m/>
  </r>
  <r>
    <s v="TK63445"/>
    <d v="2023-04-03T14:17:00"/>
    <s v="chat"/>
    <x v="1"/>
    <x v="3"/>
    <s v="Unable to a duplicate charge"/>
    <n v="480"/>
    <d v="2023-04-07T10:41:15"/>
    <b v="0"/>
    <m/>
  </r>
  <r>
    <s v="TK61643"/>
    <d v="2023-04-03T14:23:00"/>
    <s v="in-app"/>
    <x v="4"/>
    <x v="0"/>
    <s v="Request to the API rate limit"/>
    <n v="16"/>
    <d v="2023-04-03T18:27:48"/>
    <b v="0"/>
    <n v="1"/>
  </r>
  <r>
    <s v="TK60339"/>
    <d v="2023-04-03T14:35:00"/>
    <s v="chat"/>
    <x v="4"/>
    <x v="1"/>
    <s v="How do I export my data"/>
    <n v="206"/>
    <d v="2023-04-05T18:33:44"/>
    <b v="0"/>
    <m/>
  </r>
  <r>
    <s v="TK61044"/>
    <d v="2023-04-03T15:31:00"/>
    <s v="in-app"/>
    <x v="0"/>
    <x v="0"/>
    <s v="How do I connecting the Snowflake sync"/>
    <n v="17"/>
    <d v="2023-04-03T18:40:24"/>
    <b v="0"/>
    <m/>
  </r>
  <r>
    <s v="TK63461"/>
    <d v="2023-04-03T15:57:00"/>
    <s v="phone"/>
    <x v="3"/>
    <x v="1"/>
    <s v="Cannot the API rate limit"/>
    <n v="75"/>
    <d v="2023-04-05T00:44:38"/>
    <b v="0"/>
    <m/>
  </r>
  <r>
    <s v="TK62024"/>
    <d v="2023-04-03T16:38:00"/>
    <s v="email"/>
    <x v="4"/>
    <x v="0"/>
    <s v="How do I connecting the Snowflake sync"/>
    <n v="8"/>
    <d v="2023-04-03T18:30:54"/>
    <b v="0"/>
    <m/>
  </r>
  <r>
    <s v="TK61701"/>
    <d v="2023-04-03T16:59:00"/>
    <s v="phone"/>
    <x v="3"/>
    <x v="3"/>
    <s v="Cannot a refund for an annual plan"/>
    <n v="331"/>
    <m/>
    <b v="0"/>
    <m/>
  </r>
  <r>
    <s v="TK61541"/>
    <d v="2023-04-03T22:17:00"/>
    <s v="email"/>
    <x v="4"/>
    <x v="1"/>
    <s v="Question about downgrade my plan"/>
    <n v="40"/>
    <d v="2023-04-04T19:22:12"/>
    <b v="0"/>
    <m/>
  </r>
  <r>
    <s v="TK63372"/>
    <d v="2023-04-03T22:27:00"/>
    <s v="in-app"/>
    <x v="1"/>
    <x v="1"/>
    <s v="How do I two-factor authentication"/>
    <n v="123"/>
    <d v="2023-04-04T04:01:30"/>
    <b v="0"/>
    <m/>
  </r>
  <r>
    <s v="TK62897"/>
    <d v="2023-04-04T07:27:00"/>
    <s v="chat"/>
    <x v="0"/>
    <x v="3"/>
    <s v="Request to downgrade my plan"/>
    <n v="32"/>
    <d v="2023-04-08T14:31:25"/>
    <b v="1"/>
    <m/>
  </r>
  <r>
    <s v="TK63104"/>
    <d v="2023-04-04T09:30:00"/>
    <s v="chat"/>
    <x v="1"/>
    <x v="1"/>
    <s v="Cannot the API rate limit"/>
    <n v="76"/>
    <d v="2023-04-06T17:02:54"/>
    <b v="0"/>
    <m/>
  </r>
  <r>
    <s v="TK60573"/>
    <d v="2023-04-04T14:11:00"/>
    <s v="phone"/>
    <x v="2"/>
    <x v="3"/>
    <s v="How do I add a teammate"/>
    <n v="857"/>
    <m/>
    <b v="0"/>
    <m/>
  </r>
  <r>
    <s v="TK61373"/>
    <d v="2023-04-04T14:44:00"/>
    <s v="email"/>
    <x v="2"/>
    <x v="1"/>
    <s v="Error when downgrade my plan"/>
    <n v="79"/>
    <d v="2023-04-07T03:42:58"/>
    <b v="0"/>
    <m/>
  </r>
  <r>
    <s v="TK63112"/>
    <d v="2023-04-04T14:46:00"/>
    <s v="in-app"/>
    <x v="1"/>
    <x v="2"/>
    <s v="Error when webhook deliveries failing"/>
    <n v="7"/>
    <d v="2023-04-04T23:19:30"/>
    <b v="0"/>
    <m/>
  </r>
  <r>
    <s v="TK61241"/>
    <d v="2023-04-04T16:53:00"/>
    <s v="chat"/>
    <x v="4"/>
    <x v="3"/>
    <s v="Cannot the dashboard loading slowly"/>
    <n v="213"/>
    <d v="2023-04-04T23:24:13"/>
    <b v="0"/>
    <m/>
  </r>
  <r>
    <s v="TK60834"/>
    <d v="2023-04-04T18:00:00"/>
    <s v="email"/>
    <x v="3"/>
    <x v="0"/>
    <s v="Unable to log in after password reset"/>
    <n v="7"/>
    <d v="2023-04-07T19:22:34"/>
    <b v="0"/>
    <m/>
  </r>
  <r>
    <s v="TK62402"/>
    <d v="2023-04-04T19:25:00"/>
    <s v="email"/>
    <x v="2"/>
    <x v="1"/>
    <s v="Request to add a teammate"/>
    <n v="131"/>
    <d v="2023-04-27T15:47:46"/>
    <b v="0"/>
    <n v="4"/>
  </r>
  <r>
    <s v="TK63438"/>
    <d v="2023-04-04T19:29:00"/>
    <s v="in-app"/>
    <x v="4"/>
    <x v="1"/>
    <s v="Issue with the dashboard loading slowly"/>
    <n v="150"/>
    <d v="2023-04-05T08:09:09"/>
    <b v="0"/>
    <m/>
  </r>
  <r>
    <s v="TK61855"/>
    <d v="2023-04-04T19:39:00"/>
    <s v="in-app"/>
    <x v="0"/>
    <x v="2"/>
    <s v="How do I two-factor authentication"/>
    <n v="24"/>
    <d v="2023-04-04T21:55:04"/>
    <b v="0"/>
    <n v="3"/>
  </r>
  <r>
    <s v="TK60497"/>
    <d v="2023-04-04T20:37:00"/>
    <s v="in-app"/>
    <x v="1"/>
    <x v="3"/>
    <s v="Issue with the invoice for last month"/>
    <n v="142"/>
    <d v="2023-04-10T19:33:44"/>
    <b v="0"/>
    <m/>
  </r>
  <r>
    <s v="TK60204"/>
    <d v="2023-04-04T21:07:00"/>
    <s v="chat"/>
    <x v="4"/>
    <x v="0"/>
    <s v="How do I add a teammate"/>
    <n v="22"/>
    <d v="2023-04-04T23:56:29"/>
    <b v="1"/>
    <m/>
  </r>
  <r>
    <s v="TK63929"/>
    <d v="2023-04-04T22:35:00"/>
    <s v="email"/>
    <x v="2"/>
    <x v="0"/>
    <s v="How do I the API rate limit"/>
    <m/>
    <d v="2023-04-05T12:14:59"/>
    <b v="0"/>
    <m/>
  </r>
  <r>
    <s v="TK61673"/>
    <d v="2023-04-05T00:35:00"/>
    <s v="chat"/>
    <x v="1"/>
    <x v="1"/>
    <s v="Question about downgrade my plan"/>
    <n v="323"/>
    <m/>
    <b v="0"/>
    <m/>
  </r>
  <r>
    <s v="TK61096"/>
    <d v="2023-04-05T03:35:00"/>
    <s v="chat"/>
    <x v="0"/>
    <x v="1"/>
    <s v="Question about the dashboard loading slowly"/>
    <n v="33"/>
    <m/>
    <b v="0"/>
    <m/>
  </r>
  <r>
    <s v="TK62215"/>
    <d v="2023-04-05T08:35:00"/>
    <s v="email"/>
    <x v="1"/>
    <x v="1"/>
    <s v="How do I a refund for an annual plan"/>
    <n v="151"/>
    <d v="2023-04-05T16:37:43"/>
    <b v="0"/>
    <m/>
  </r>
  <r>
    <s v="TK60084"/>
    <d v="2023-04-05T09:55:00"/>
    <s v="chat"/>
    <x v="3"/>
    <x v="1"/>
    <s v="Issue with the API rate limit"/>
    <n v="16"/>
    <d v="2023-04-06T13:32:43"/>
    <b v="0"/>
    <m/>
  </r>
  <r>
    <s v="TK62708"/>
    <d v="2023-04-05T10:34:00"/>
    <s v="phone"/>
    <x v="2"/>
    <x v="1"/>
    <s v="Unable to add a teammate"/>
    <n v="22"/>
    <d v="2023-04-06T11:38:02"/>
    <b v="0"/>
    <n v="4"/>
  </r>
  <r>
    <s v="TK60411"/>
    <d v="2023-04-05T13:19:00"/>
    <s v="email"/>
    <x v="2"/>
    <x v="2"/>
    <s v="Cannot downgrade my plan"/>
    <n v="31"/>
    <d v="2023-04-05T18:50:40"/>
    <b v="0"/>
    <n v="2"/>
  </r>
  <r>
    <s v="TK60178"/>
    <d v="2023-04-05T19:54:00"/>
    <s v="chat"/>
    <x v="4"/>
    <x v="1"/>
    <s v="Cannot webhook deliveries failing"/>
    <n v="119"/>
    <d v="2023-04-05T21:14:17"/>
    <b v="0"/>
    <m/>
  </r>
  <r>
    <s v="TK63222"/>
    <d v="2023-04-05T20:04:00"/>
    <s v="chat"/>
    <x v="1"/>
    <x v="0"/>
    <s v="Question about export my data"/>
    <n v="31"/>
    <d v="2023-04-07T01:06:59"/>
    <b v="0"/>
    <m/>
  </r>
  <r>
    <s v="TK61721"/>
    <d v="2023-04-05T21:34:00"/>
    <s v="email"/>
    <x v="1"/>
    <x v="3"/>
    <s v="How do I the dashboard loading slowly"/>
    <n v="179"/>
    <d v="2023-04-14T14:58:02"/>
    <b v="0"/>
    <n v="4"/>
  </r>
  <r>
    <s v="TK61904"/>
    <d v="2023-04-05T22:51:00"/>
    <s v="email"/>
    <x v="0"/>
    <x v="3"/>
    <s v="How do I log in after password reset"/>
    <n v="248"/>
    <d v="2023-04-19T01:46:51"/>
    <b v="0"/>
    <m/>
  </r>
  <r>
    <s v="TK63364"/>
    <d v="2023-04-06T00:25:00"/>
    <s v="email"/>
    <x v="4"/>
    <x v="1"/>
    <s v="Issue with the dashboard loading slowly"/>
    <n v="160"/>
    <d v="2023-04-06T07:47:15"/>
    <b v="0"/>
    <m/>
  </r>
  <r>
    <s v="TK62663"/>
    <d v="2023-04-06T03:14:00"/>
    <s v="email"/>
    <x v="2"/>
    <x v="1"/>
    <s v="Error when export my data"/>
    <n v="642"/>
    <d v="2023-04-06T09:16:32"/>
    <b v="0"/>
    <m/>
  </r>
  <r>
    <s v="TK61055"/>
    <d v="2023-04-06T05:24:00"/>
    <s v="chat"/>
    <x v="3"/>
    <x v="1"/>
    <s v="Unable to webhook deliveries failing"/>
    <n v="358"/>
    <d v="2023-04-07T17:28:25"/>
    <b v="0"/>
    <n v="3"/>
  </r>
  <r>
    <s v="TK62425"/>
    <d v="2023-04-06T18:02:00"/>
    <s v="chat"/>
    <x v="3"/>
    <x v="0"/>
    <s v="How do I log in after password reset"/>
    <n v="13"/>
    <d v="2023-04-07T17:29:06"/>
    <b v="0"/>
    <m/>
  </r>
  <r>
    <s v="TK62439"/>
    <d v="2023-04-06T19:15:00"/>
    <s v="phone"/>
    <x v="2"/>
    <x v="1"/>
    <s v="Cannot connecting the Snowflake sync"/>
    <n v="99"/>
    <d v="2023-04-06T20:49:27"/>
    <b v="0"/>
    <n v="2"/>
  </r>
  <r>
    <s v="TK63297"/>
    <d v="2023-04-06T20:31:00"/>
    <s v="in-app"/>
    <x v="3"/>
    <x v="0"/>
    <s v="Request to the API rate limit"/>
    <n v="38"/>
    <d v="2023-04-06T22:12:33"/>
    <b v="0"/>
    <m/>
  </r>
  <r>
    <s v="TK61712"/>
    <d v="2023-04-06T21:40:00"/>
    <s v="chat"/>
    <x v="0"/>
    <x v="0"/>
    <s v="Issue with connecting the Snowflake sync"/>
    <n v="13"/>
    <d v="2023-04-07T12:01:55"/>
    <b v="0"/>
    <m/>
  </r>
  <r>
    <s v="TK61281"/>
    <d v="2023-04-07T03:18:00"/>
    <s v="in-app"/>
    <x v="4"/>
    <x v="1"/>
    <s v="How do I the API rate limit"/>
    <n v="44"/>
    <d v="2023-04-07T15:02:00"/>
    <b v="0"/>
    <n v="5"/>
  </r>
  <r>
    <s v="TK60445"/>
    <d v="2023-04-07T04:27:00"/>
    <s v="phone"/>
    <x v="1"/>
    <x v="1"/>
    <s v="How do I two-factor authentication"/>
    <n v="99"/>
    <d v="2023-04-07T13:09:47"/>
    <b v="1"/>
    <n v="4"/>
  </r>
  <r>
    <s v="TK60860"/>
    <d v="2023-04-07T05:07:00"/>
    <s v="chat"/>
    <x v="0"/>
    <x v="0"/>
    <s v="Unable to export my data"/>
    <n v="34"/>
    <d v="2023-04-07T06:53:09"/>
    <b v="0"/>
    <m/>
  </r>
  <r>
    <s v="TK62528"/>
    <d v="2023-04-07T06:40:00"/>
    <s v="in-app"/>
    <x v="1"/>
    <x v="1"/>
    <s v="Question about connecting the Snowflake sync"/>
    <n v="217"/>
    <d v="2023-04-07T22:47:24"/>
    <b v="0"/>
    <n v="3"/>
  </r>
  <r>
    <s v="TK63147"/>
    <d v="2023-04-07T13:00:00"/>
    <s v="email"/>
    <x v="1"/>
    <x v="0"/>
    <s v="Unable to a refund for an annual plan"/>
    <n v="153"/>
    <d v="2023-04-08T12:43:06"/>
    <b v="0"/>
    <m/>
  </r>
  <r>
    <s v="TK63333"/>
    <d v="2023-04-07T19:04:00"/>
    <s v="email"/>
    <x v="2"/>
    <x v="0"/>
    <s v="Issue with the dashboard loading slowly"/>
    <n v="52"/>
    <d v="2023-04-07T23:19:36"/>
    <b v="0"/>
    <n v="5"/>
  </r>
  <r>
    <s v="TK61757"/>
    <d v="2023-04-07T23:05:00"/>
    <s v="in-app"/>
    <x v="4"/>
    <x v="3"/>
    <s v="Unable to add a teammate"/>
    <n v="589"/>
    <d v="2023-04-09T03:05:52"/>
    <b v="0"/>
    <m/>
  </r>
  <r>
    <s v="TK61132"/>
    <d v="2023-04-08T04:18:00"/>
    <s v="chat"/>
    <x v="0"/>
    <x v="1"/>
    <s v="Question about two-factor authentication"/>
    <n v="49"/>
    <d v="2023-04-09T03:07:07"/>
    <b v="0"/>
    <m/>
  </r>
  <r>
    <s v="TK63772"/>
    <d v="2023-04-08T06:06:00"/>
    <s v="in-app"/>
    <x v="4"/>
    <x v="1"/>
    <s v="Request to webhook deliveries failing"/>
    <n v="291"/>
    <d v="2023-04-11T14:50:53"/>
    <b v="1"/>
    <m/>
  </r>
  <r>
    <s v="TK61129"/>
    <d v="2023-04-08T06:57:00"/>
    <s v="email"/>
    <x v="3"/>
    <x v="1"/>
    <s v="Error when a duplicate charge"/>
    <n v="69"/>
    <d v="2023-04-08T23:37:04"/>
    <b v="0"/>
    <n v="5"/>
  </r>
  <r>
    <s v="TK60167"/>
    <d v="2023-04-08T10:05:00"/>
    <s v="phone"/>
    <x v="2"/>
    <x v="1"/>
    <s v="Unable to connecting the Snowflake sync"/>
    <n v="110"/>
    <d v="2023-04-14T23:13:02"/>
    <b v="0"/>
    <m/>
  </r>
  <r>
    <s v="TK60810"/>
    <d v="2023-04-08T10:30:00"/>
    <s v="phone"/>
    <x v="1"/>
    <x v="0"/>
    <s v="Question about downgrade my plan"/>
    <n v="24"/>
    <d v="2023-04-09T11:46:57"/>
    <b v="0"/>
    <n v="3"/>
  </r>
  <r>
    <s v="TK63577"/>
    <d v="2023-04-08T15:15:00"/>
    <s v="in-app"/>
    <x v="4"/>
    <x v="1"/>
    <s v="Question about log in after password reset"/>
    <n v="42"/>
    <d v="2023-04-09T02:48:55"/>
    <b v="0"/>
    <m/>
  </r>
  <r>
    <s v="TK63393"/>
    <d v="2023-04-08T20:41:00"/>
    <s v="chat"/>
    <x v="0"/>
    <x v="3"/>
    <s v="Unable to a duplicate charge"/>
    <n v="153"/>
    <d v="2023-04-12T04:21:15"/>
    <b v="0"/>
    <m/>
  </r>
  <r>
    <s v="TK61584"/>
    <d v="2023-04-08T22:26:00"/>
    <s v="chat"/>
    <x v="4"/>
    <x v="3"/>
    <s v="Issue with downgrade my plan"/>
    <m/>
    <d v="2023-04-12T17:35:24"/>
    <b v="0"/>
    <n v="5"/>
  </r>
  <r>
    <s v="TK60027"/>
    <d v="2023-04-08T23:40:00"/>
    <s v="phone"/>
    <x v="2"/>
    <x v="3"/>
    <s v="Cannot two-factor authentication"/>
    <n v="345"/>
    <d v="2023-04-09T10:56:43"/>
    <b v="1"/>
    <n v="3"/>
  </r>
  <r>
    <s v="TK63517"/>
    <d v="2023-04-09T00:29:00"/>
    <s v="phone"/>
    <x v="3"/>
    <x v="1"/>
    <s v="Issue with the invoice for last month"/>
    <n v="28"/>
    <d v="2023-04-13T18:55:51"/>
    <b v="0"/>
    <m/>
  </r>
  <r>
    <s v="TK61939"/>
    <d v="2023-04-09T03:26:00"/>
    <s v="email"/>
    <x v="4"/>
    <x v="0"/>
    <s v="Request to webhook deliveries failing"/>
    <n v="18"/>
    <d v="2023-04-09T05:13:19"/>
    <b v="0"/>
    <m/>
  </r>
  <r>
    <s v="TK63714"/>
    <d v="2023-04-09T03:54:00"/>
    <s v="chat"/>
    <x v="0"/>
    <x v="3"/>
    <s v="Request to a refund for an annual plan"/>
    <n v="264"/>
    <d v="2023-04-10T08:29:20"/>
    <b v="0"/>
    <n v="5"/>
  </r>
  <r>
    <s v="TK63642"/>
    <d v="2023-04-09T03:55:00"/>
    <s v="in-app"/>
    <x v="1"/>
    <x v="1"/>
    <s v="How do I export my data"/>
    <n v="156"/>
    <d v="2023-04-09T14:56:38"/>
    <b v="0"/>
    <m/>
  </r>
  <r>
    <s v="TK62057"/>
    <d v="2023-04-09T08:34:00"/>
    <s v="phone"/>
    <x v="1"/>
    <x v="0"/>
    <s v="Error when export my data"/>
    <n v="24"/>
    <d v="2023-04-09T18:54:12"/>
    <b v="1"/>
    <n v="4"/>
  </r>
  <r>
    <s v="TK60047"/>
    <d v="2023-04-09T09:50:00"/>
    <s v="email"/>
    <x v="0"/>
    <x v="0"/>
    <s v="Issue with the API rate limit"/>
    <n v="74"/>
    <d v="2023-04-09T14:02:25"/>
    <b v="0"/>
    <n v="3"/>
  </r>
  <r>
    <s v="TK60902"/>
    <d v="2023-04-09T12:02:00"/>
    <s v="email"/>
    <x v="0"/>
    <x v="1"/>
    <s v="How do I the invoice for last month"/>
    <n v="187"/>
    <d v="2023-04-10T07:18:37"/>
    <b v="0"/>
    <n v="1"/>
  </r>
  <r>
    <s v="TK62267"/>
    <d v="2023-04-09T17:31:00"/>
    <s v="chat"/>
    <x v="3"/>
    <x v="3"/>
    <s v="Issue with two-factor authentication"/>
    <n v="78"/>
    <d v="2023-04-20T00:39:44"/>
    <b v="0"/>
    <m/>
  </r>
  <r>
    <s v="TK62547"/>
    <d v="2023-04-09T21:02:00"/>
    <s v="email"/>
    <x v="1"/>
    <x v="1"/>
    <s v="Unable to add a teammate"/>
    <n v="272"/>
    <m/>
    <b v="0"/>
    <m/>
  </r>
  <r>
    <s v="TK62005"/>
    <d v="2023-04-09T23:14:00"/>
    <s v="chat"/>
    <x v="2"/>
    <x v="2"/>
    <s v="Question about a refund for an annual plan"/>
    <n v="2"/>
    <d v="2023-04-10T00:10:50"/>
    <b v="0"/>
    <m/>
  </r>
  <r>
    <s v="TK62635"/>
    <d v="2023-04-10T01:13:00"/>
    <s v="in-app"/>
    <x v="0"/>
    <x v="1"/>
    <s v="Question about two-factor authentication"/>
    <n v="5"/>
    <d v="2023-04-11T05:11:10"/>
    <b v="0"/>
    <n v="4"/>
  </r>
  <r>
    <s v="TK62397"/>
    <d v="2023-04-10T02:23:00"/>
    <s v="in-app"/>
    <x v="2"/>
    <x v="1"/>
    <s v="Question about downgrade my plan"/>
    <n v="18"/>
    <d v="2023-04-11T06:35:58"/>
    <b v="0"/>
    <m/>
  </r>
  <r>
    <s v="TK62048"/>
    <d v="2023-04-10T04:12:00"/>
    <s v="in-app"/>
    <x v="1"/>
    <x v="0"/>
    <s v="Question about the invoice for last month"/>
    <n v="66"/>
    <d v="2023-04-30T06:08:17"/>
    <b v="0"/>
    <n v="4"/>
  </r>
  <r>
    <s v="TK62098"/>
    <d v="2023-04-10T06:01:00"/>
    <s v="email"/>
    <x v="4"/>
    <x v="1"/>
    <s v="Error when the dashboard loading slowly"/>
    <n v="34"/>
    <d v="2023-04-12T11:31:45"/>
    <b v="0"/>
    <n v="5"/>
  </r>
  <r>
    <s v="TK61831"/>
    <d v="2023-04-10T06:42:00"/>
    <s v="chat"/>
    <x v="3"/>
    <x v="1"/>
    <s v="How do I webhook deliveries failing"/>
    <n v="28"/>
    <d v="2023-04-11T04:09:42"/>
    <b v="0"/>
    <n v="5"/>
  </r>
  <r>
    <s v="TK60136"/>
    <d v="2023-04-10T08:42:00"/>
    <s v="email"/>
    <x v="1"/>
    <x v="1"/>
    <s v="Error when the dashboard loading slowly"/>
    <n v="152"/>
    <d v="2023-04-10T16:21:02"/>
    <b v="0"/>
    <m/>
  </r>
  <r>
    <s v="TK63006"/>
    <d v="2023-04-10T09:09:00"/>
    <s v="in-app"/>
    <x v="3"/>
    <x v="1"/>
    <s v="Cannot webhook deliveries failing"/>
    <n v="679"/>
    <d v="2023-04-14T18:52:07"/>
    <b v="0"/>
    <m/>
  </r>
  <r>
    <s v="TK60980"/>
    <d v="2023-04-10T10:45:00"/>
    <s v="phone"/>
    <x v="2"/>
    <x v="1"/>
    <s v="Cannot export my data"/>
    <n v="60"/>
    <d v="2023-04-13T16:41:24"/>
    <b v="0"/>
    <n v="5"/>
  </r>
  <r>
    <s v="TK61087"/>
    <d v="2023-04-10T10:55:00"/>
    <s v="email"/>
    <x v="2"/>
    <x v="1"/>
    <s v="Cannot two-factor authentication"/>
    <n v="526"/>
    <d v="2023-04-14T21:40:54"/>
    <b v="0"/>
    <m/>
  </r>
  <r>
    <s v="TK63199"/>
    <d v="2023-04-10T15:40:00"/>
    <s v="chat"/>
    <x v="1"/>
    <x v="3"/>
    <s v="How do I a duplicate charge"/>
    <n v="65"/>
    <m/>
    <b v="0"/>
    <m/>
  </r>
  <r>
    <s v="TK62932"/>
    <d v="2023-04-10T16:20:00"/>
    <s v="email"/>
    <x v="4"/>
    <x v="3"/>
    <s v="Issue with downgrade my plan"/>
    <n v="181"/>
    <d v="2023-04-12T07:12:45"/>
    <b v="0"/>
    <m/>
  </r>
  <r>
    <s v="TK60180"/>
    <d v="2023-04-10T18:07:00"/>
    <s v="email"/>
    <x v="1"/>
    <x v="3"/>
    <s v="Error when add a teammate"/>
    <n v="233"/>
    <d v="2023-04-15T22:46:31"/>
    <b v="0"/>
    <n v="5"/>
  </r>
  <r>
    <s v="TK62219"/>
    <d v="2023-04-10T21:33:00"/>
    <s v="chat"/>
    <x v="2"/>
    <x v="1"/>
    <s v="Issue with connecting the Snowflake sync"/>
    <n v="95"/>
    <d v="2023-04-10T23:34:03"/>
    <b v="0"/>
    <m/>
  </r>
  <r>
    <s v="TK62690"/>
    <d v="2023-04-10T23:46:00"/>
    <s v="email"/>
    <x v="3"/>
    <x v="0"/>
    <s v="Issue with add a teammate"/>
    <n v="68"/>
    <m/>
    <b v="0"/>
    <m/>
  </r>
  <r>
    <s v="TK63251"/>
    <d v="2023-04-11T00:45:00"/>
    <s v="email"/>
    <x v="1"/>
    <x v="1"/>
    <s v="Request to webhook deliveries failing"/>
    <n v="56"/>
    <d v="2023-04-12T08:33:45"/>
    <b v="0"/>
    <n v="4"/>
  </r>
  <r>
    <s v="TK62375"/>
    <d v="2023-04-11T02:25:00"/>
    <s v="email"/>
    <x v="1"/>
    <x v="1"/>
    <s v="Request to add a teammate"/>
    <n v="146"/>
    <d v="2023-05-01T00:45:52"/>
    <b v="0"/>
    <m/>
  </r>
  <r>
    <s v="TK61909"/>
    <d v="2023-04-11T04:15:00"/>
    <s v="chat"/>
    <x v="2"/>
    <x v="1"/>
    <s v="Question about export my data"/>
    <n v="174"/>
    <d v="2023-04-11T06:06:27"/>
    <b v="0"/>
    <m/>
  </r>
  <r>
    <s v="TK62537"/>
    <d v="2023-04-11T06:43:00"/>
    <s v="email"/>
    <x v="2"/>
    <x v="3"/>
    <s v="Request to the invoice for last month"/>
    <n v="214"/>
    <d v="2023-04-12T13:45:31"/>
    <b v="0"/>
    <m/>
  </r>
  <r>
    <s v="TK61279"/>
    <d v="2023-04-11T07:10:00"/>
    <s v="chat"/>
    <x v="0"/>
    <x v="0"/>
    <s v="Error when two-factor authentication"/>
    <n v="142"/>
    <d v="2023-04-11T09:30:10"/>
    <b v="0"/>
    <m/>
  </r>
  <r>
    <s v="TK60395"/>
    <d v="2023-04-11T09:26:00"/>
    <s v="email"/>
    <x v="0"/>
    <x v="1"/>
    <s v="Unable to two-factor authentication"/>
    <n v="179"/>
    <d v="2023-04-11T12:08:42"/>
    <b v="0"/>
    <m/>
  </r>
  <r>
    <s v="TK62041"/>
    <d v="2023-04-11T12:01:00"/>
    <s v="chat"/>
    <x v="1"/>
    <x v="0"/>
    <s v="How do I a duplicate charge"/>
    <n v="50"/>
    <m/>
    <b v="0"/>
    <m/>
  </r>
  <r>
    <s v="TK61816"/>
    <d v="2023-04-11T14:14:00"/>
    <s v="chat"/>
    <x v="0"/>
    <x v="1"/>
    <s v="Error when a duplicate charge"/>
    <n v="11"/>
    <d v="2023-04-12T02:28:49"/>
    <b v="0"/>
    <n v="5"/>
  </r>
  <r>
    <s v="TK60485"/>
    <d v="2023-04-11T15:00:00"/>
    <s v="in-app"/>
    <x v="0"/>
    <x v="3"/>
    <s v="Error when two-factor authentication"/>
    <n v="55"/>
    <d v="2023-04-12T07:11:15"/>
    <b v="0"/>
    <n v="5"/>
  </r>
  <r>
    <s v="TK61562"/>
    <d v="2023-04-11T15:50:00"/>
    <s v="email"/>
    <x v="1"/>
    <x v="1"/>
    <s v="Error when export my data"/>
    <n v="86"/>
    <d v="2023-04-13T08:46:02"/>
    <b v="0"/>
    <m/>
  </r>
  <r>
    <s v="TK63305"/>
    <d v="2023-04-11T16:19:00"/>
    <s v="email"/>
    <x v="2"/>
    <x v="1"/>
    <s v="Error when the dashboard loading slowly"/>
    <n v="69"/>
    <d v="2023-04-12T13:43:28"/>
    <b v="0"/>
    <m/>
  </r>
  <r>
    <s v="TK60832"/>
    <d v="2023-04-11T18:26:00"/>
    <s v="chat"/>
    <x v="4"/>
    <x v="1"/>
    <s v="Question about connecting the Snowflake sync"/>
    <n v="224"/>
    <d v="2023-04-12T14:23:25"/>
    <b v="0"/>
    <m/>
  </r>
  <r>
    <s v="TK61732"/>
    <d v="2023-04-11T21:49:00"/>
    <s v="chat"/>
    <x v="1"/>
    <x v="1"/>
    <s v="Unable to export my data"/>
    <n v="200"/>
    <d v="2023-04-16T02:03:20"/>
    <b v="0"/>
    <m/>
  </r>
  <r>
    <s v="TK62694"/>
    <d v="2023-04-12T05:55:00"/>
    <s v="in-app"/>
    <x v="4"/>
    <x v="1"/>
    <s v="Issue with the dashboard loading slowly"/>
    <n v="27"/>
    <d v="2023-04-13T04:44:37"/>
    <b v="0"/>
    <n v="2"/>
  </r>
  <r>
    <s v="TK63700"/>
    <d v="2023-04-12T10:39:00"/>
    <s v="phone"/>
    <x v="3"/>
    <x v="1"/>
    <s v="Request to the API rate limit"/>
    <n v="102"/>
    <d v="2023-04-22T15:13:21"/>
    <b v="0"/>
    <m/>
  </r>
  <r>
    <s v="TK61252"/>
    <d v="2023-04-12T14:54:00"/>
    <s v="chat"/>
    <x v="2"/>
    <x v="0"/>
    <s v="Issue with a duplicate charge"/>
    <n v="99"/>
    <d v="2023-04-12T18:22:03"/>
    <b v="1"/>
    <m/>
  </r>
  <r>
    <s v="TK63050"/>
    <d v="2023-04-12T15:15:00"/>
    <s v="email"/>
    <x v="1"/>
    <x v="2"/>
    <s v="Cannot webhook deliveries failing"/>
    <n v="21"/>
    <d v="2023-04-12T15:42:50"/>
    <b v="0"/>
    <m/>
  </r>
  <r>
    <s v="TK60415"/>
    <d v="2023-04-12T17:12:00"/>
    <s v="chat"/>
    <x v="4"/>
    <x v="1"/>
    <s v="How do I log in after password reset"/>
    <n v="15"/>
    <d v="2023-04-13T01:08:25"/>
    <b v="0"/>
    <m/>
  </r>
  <r>
    <s v="TK60784"/>
    <d v="2023-04-13T03:10:00"/>
    <s v="chat"/>
    <x v="2"/>
    <x v="0"/>
    <s v="Request to log in after password reset"/>
    <n v="8"/>
    <d v="2023-04-19T17:34:17"/>
    <b v="0"/>
    <m/>
  </r>
  <r>
    <s v="TK60872"/>
    <d v="2023-04-13T04:09:00"/>
    <s v="in-app"/>
    <x v="1"/>
    <x v="0"/>
    <s v="How do I two-factor authentication"/>
    <n v="113"/>
    <d v="2023-04-14T05:05:21"/>
    <b v="0"/>
    <m/>
  </r>
  <r>
    <s v="TK63435"/>
    <d v="2023-04-13T04:36:00"/>
    <s v="email"/>
    <x v="1"/>
    <x v="1"/>
    <s v="Cannot connecting the Snowflake sync"/>
    <n v="46"/>
    <d v="2023-04-15T05:57:30"/>
    <b v="0"/>
    <n v="2"/>
  </r>
  <r>
    <s v="TK61663"/>
    <d v="2023-04-13T08:46:00"/>
    <s v="email"/>
    <x v="1"/>
    <x v="1"/>
    <s v="Unable to add a teammate"/>
    <n v="229"/>
    <d v="2023-04-18T00:02:49"/>
    <b v="0"/>
    <n v="5"/>
  </r>
  <r>
    <s v="TK61808"/>
    <d v="2023-04-13T11:29:00"/>
    <s v="chat"/>
    <x v="0"/>
    <x v="1"/>
    <s v="How do I add a teammate"/>
    <n v="82"/>
    <d v="2023-04-16T00:30:04"/>
    <b v="0"/>
    <m/>
  </r>
  <r>
    <s v="TK61491"/>
    <d v="2023-04-13T14:15:00"/>
    <s v="chat"/>
    <x v="1"/>
    <x v="1"/>
    <s v="Issue with a duplicate charge"/>
    <n v="18"/>
    <m/>
    <b v="0"/>
    <m/>
  </r>
  <r>
    <s v="TK60252"/>
    <d v="2023-04-13T15:56:00"/>
    <s v="in-app"/>
    <x v="2"/>
    <x v="1"/>
    <s v="Request to a refund for an annual plan"/>
    <n v="474"/>
    <d v="2023-04-15T06:29:55"/>
    <b v="1"/>
    <n v="4"/>
  </r>
  <r>
    <s v="TK60820"/>
    <d v="2023-04-13T17:33:00"/>
    <s v="email"/>
    <x v="1"/>
    <x v="1"/>
    <s v="Question about connecting the Snowflake sync"/>
    <n v="322"/>
    <d v="2023-04-14T18:54:37"/>
    <b v="0"/>
    <n v="2"/>
  </r>
  <r>
    <s v="TK60033"/>
    <d v="2023-04-13T18:04:00"/>
    <s v="email"/>
    <x v="4"/>
    <x v="1"/>
    <s v="Unable to the invoice for last month"/>
    <n v="139"/>
    <d v="2023-04-18T15:57:13"/>
    <b v="0"/>
    <m/>
  </r>
  <r>
    <s v="TK61736"/>
    <d v="2023-04-13T21:04:00"/>
    <s v="email"/>
    <x v="4"/>
    <x v="1"/>
    <s v="Request to the API rate limit"/>
    <m/>
    <d v="2023-04-24T06:21:03"/>
    <b v="1"/>
    <m/>
  </r>
  <r>
    <s v="TK61508"/>
    <d v="2023-04-13T23:27:00"/>
    <s v="phone"/>
    <x v="0"/>
    <x v="0"/>
    <s v="How do I export my data"/>
    <n v="85"/>
    <d v="2023-04-14T03:46:08"/>
    <b v="0"/>
    <n v="3"/>
  </r>
  <r>
    <s v="TK61479"/>
    <d v="2023-04-14T01:43:00"/>
    <s v="email"/>
    <x v="1"/>
    <x v="1"/>
    <s v="Issue with the invoice for last month"/>
    <n v="266"/>
    <d v="2023-04-16T15:03:29"/>
    <b v="1"/>
    <n v="4"/>
  </r>
  <r>
    <s v="TK63879"/>
    <d v="2023-04-14T03:35:00"/>
    <s v="chat"/>
    <x v="4"/>
    <x v="1"/>
    <s v="Request to two-factor authentication"/>
    <n v="311"/>
    <d v="2023-04-14T20:04:02"/>
    <b v="0"/>
    <m/>
  </r>
  <r>
    <s v="TK63974"/>
    <d v="2023-04-14T05:09:00"/>
    <s v="chat"/>
    <x v="1"/>
    <x v="0"/>
    <s v="Cannot the invoice for last month"/>
    <n v="91"/>
    <d v="2023-04-14T12:17:00"/>
    <b v="0"/>
    <n v="3"/>
  </r>
  <r>
    <s v="TK62339"/>
    <d v="2023-04-14T05:17:00"/>
    <s v="in-app"/>
    <x v="0"/>
    <x v="1"/>
    <s v="How do I add a teammate"/>
    <n v="100"/>
    <d v="2023-04-17T19:23:18"/>
    <b v="0"/>
    <m/>
  </r>
  <r>
    <s v="TK61214"/>
    <d v="2023-04-14T08:28:00"/>
    <s v="chat"/>
    <x v="4"/>
    <x v="0"/>
    <s v="Error when two-factor authentication"/>
    <n v="26"/>
    <d v="2023-04-14T13:50:16"/>
    <b v="0"/>
    <m/>
  </r>
  <r>
    <s v="TK62726"/>
    <d v="2023-04-14T09:43:00"/>
    <s v="in-app"/>
    <x v="3"/>
    <x v="1"/>
    <s v="How do I connecting the Snowflake sync"/>
    <n v="78"/>
    <d v="2023-04-14T12:52:18"/>
    <b v="0"/>
    <m/>
  </r>
  <r>
    <s v="TK61001"/>
    <d v="2023-04-14T09:56:00"/>
    <s v="email"/>
    <x v="2"/>
    <x v="1"/>
    <s v="Error when the dashboard loading slowly"/>
    <n v="205"/>
    <d v="2023-04-15T06:45:33"/>
    <b v="0"/>
    <n v="4"/>
  </r>
  <r>
    <s v="TK63486"/>
    <d v="2023-04-14T13:42:00"/>
    <s v="in-app"/>
    <x v="1"/>
    <x v="1"/>
    <s v="Issue with add a teammate"/>
    <n v="37"/>
    <d v="2023-04-15T17:41:25"/>
    <b v="0"/>
    <n v="5"/>
  </r>
  <r>
    <s v="TK63210"/>
    <d v="2023-04-14T17:48:00"/>
    <s v="phone"/>
    <x v="2"/>
    <x v="3"/>
    <s v="Cannot the API rate limit"/>
    <n v="225"/>
    <d v="2023-04-15T22:33:29"/>
    <b v="0"/>
    <m/>
  </r>
  <r>
    <s v="TK63462"/>
    <d v="2023-04-14T18:43:00"/>
    <s v="email"/>
    <x v="4"/>
    <x v="0"/>
    <s v="Issue with downgrade my plan"/>
    <n v="21"/>
    <d v="2023-04-15T02:08:24"/>
    <b v="0"/>
    <n v="4"/>
  </r>
  <r>
    <s v="TK61409"/>
    <d v="2023-04-14T19:45:00"/>
    <s v="email"/>
    <x v="4"/>
    <x v="3"/>
    <s v="Cannot the invoice for last month"/>
    <n v="172"/>
    <d v="2023-04-15T12:22:16"/>
    <b v="0"/>
    <n v="3"/>
  </r>
  <r>
    <s v="TK61257"/>
    <d v="2023-04-14T19:52:00"/>
    <s v="email"/>
    <x v="2"/>
    <x v="0"/>
    <s v="Cannot the dashboard loading slowly"/>
    <n v="33"/>
    <d v="2023-04-16T07:56:08"/>
    <b v="0"/>
    <m/>
  </r>
  <r>
    <s v="TK62124"/>
    <d v="2023-04-14T22:24:00"/>
    <s v="phone"/>
    <x v="0"/>
    <x v="1"/>
    <s v="Cannot webhook deliveries failing"/>
    <n v="101"/>
    <d v="2023-04-15T02:30:53"/>
    <b v="0"/>
    <n v="4"/>
  </r>
  <r>
    <s v="TK61523"/>
    <d v="2023-04-14T22:49:00"/>
    <s v="in-app"/>
    <x v="4"/>
    <x v="1"/>
    <s v="Cannot connecting the Snowflake sync"/>
    <n v="303"/>
    <d v="2023-04-15T12:53:01"/>
    <b v="0"/>
    <m/>
  </r>
  <r>
    <s v="TK62965"/>
    <d v="2023-04-15T00:40:00"/>
    <s v="email"/>
    <x v="3"/>
    <x v="0"/>
    <s v="Question about add a teammate"/>
    <n v="17"/>
    <m/>
    <b v="0"/>
    <m/>
  </r>
  <r>
    <s v="TK61470"/>
    <d v="2023-04-15T05:25:00"/>
    <s v="chat"/>
    <x v="4"/>
    <x v="1"/>
    <s v="Unable to add a teammate"/>
    <n v="76"/>
    <d v="2023-04-16T10:36:09"/>
    <b v="1"/>
    <n v="5"/>
  </r>
  <r>
    <s v="TK60827"/>
    <d v="2023-04-15T06:00:00"/>
    <s v="chat"/>
    <x v="1"/>
    <x v="1"/>
    <s v="Error when export my data"/>
    <n v="129"/>
    <d v="2023-04-15T11:50:53"/>
    <b v="0"/>
    <n v="4"/>
  </r>
  <r>
    <s v="TK62577"/>
    <d v="2023-04-15T07:00:00"/>
    <s v="in-app"/>
    <x v="1"/>
    <x v="0"/>
    <s v="Question about add a teammate"/>
    <n v="39"/>
    <d v="2023-04-15T22:41:49"/>
    <b v="0"/>
    <n v="5"/>
  </r>
  <r>
    <s v="TK60742"/>
    <d v="2023-04-15T07:37:00"/>
    <s v="chat"/>
    <x v="2"/>
    <x v="2"/>
    <s v="Error when add a teammate"/>
    <n v="34"/>
    <d v="2023-04-15T11:21:38"/>
    <b v="0"/>
    <m/>
  </r>
  <r>
    <s v="TK61610"/>
    <d v="2023-04-15T07:47:00"/>
    <s v="email"/>
    <x v="1"/>
    <x v="1"/>
    <s v="Issue with connecting the Snowflake sync"/>
    <n v="40"/>
    <d v="2023-04-17T16:36:41"/>
    <b v="0"/>
    <m/>
  </r>
  <r>
    <s v="TK62799"/>
    <d v="2023-04-15T08:18:00"/>
    <s v="email"/>
    <x v="0"/>
    <x v="2"/>
    <s v="Issue with a duplicate charge"/>
    <n v="18"/>
    <d v="2023-04-15T15:36:48"/>
    <b v="0"/>
    <n v="1"/>
  </r>
  <r>
    <s v="TK62820"/>
    <d v="2023-04-15T09:25:00"/>
    <s v="phone"/>
    <x v="1"/>
    <x v="2"/>
    <s v="Issue with add a teammate"/>
    <n v="37"/>
    <d v="2023-04-15T19:36:52"/>
    <b v="0"/>
    <m/>
  </r>
  <r>
    <s v="TK61152"/>
    <d v="2023-04-15T09:33:00"/>
    <s v="in-app"/>
    <x v="0"/>
    <x v="1"/>
    <s v="Error when add a teammate"/>
    <n v="248"/>
    <d v="2023-04-17T07:19:03"/>
    <b v="0"/>
    <m/>
  </r>
  <r>
    <s v="TK61853"/>
    <d v="2023-04-15T11:06:00"/>
    <s v="phone"/>
    <x v="0"/>
    <x v="1"/>
    <s v="Question about the dashboard loading slowly"/>
    <n v="97"/>
    <d v="2023-04-16T00:55:48"/>
    <b v="0"/>
    <m/>
  </r>
  <r>
    <s v="TK63200"/>
    <d v="2023-04-15T12:21:00"/>
    <s v="phone"/>
    <x v="1"/>
    <x v="3"/>
    <s v="How do I connecting the Snowflake sync"/>
    <m/>
    <d v="2023-05-01T20:19:09"/>
    <b v="0"/>
    <n v="5"/>
  </r>
  <r>
    <s v="TK60864"/>
    <d v="2023-04-15T12:50:00"/>
    <s v="in-app"/>
    <x v="2"/>
    <x v="0"/>
    <s v="Issue with add a teammate"/>
    <n v="101"/>
    <d v="2023-04-15T13:42:45"/>
    <b v="0"/>
    <m/>
  </r>
  <r>
    <s v="TK62818"/>
    <d v="2023-04-15T13:04:00"/>
    <s v="chat"/>
    <x v="0"/>
    <x v="1"/>
    <s v="Issue with two-factor authentication"/>
    <n v="136"/>
    <d v="2023-04-16T09:00:09"/>
    <b v="0"/>
    <m/>
  </r>
  <r>
    <s v="TK62229"/>
    <d v="2023-04-15T13:46:00"/>
    <s v="in-app"/>
    <x v="2"/>
    <x v="1"/>
    <s v="Error when downgrade my plan"/>
    <n v="83"/>
    <d v="2023-04-21T09:54:40"/>
    <b v="1"/>
    <n v="5"/>
  </r>
  <r>
    <s v="TK61895"/>
    <d v="2023-04-15T14:56:00"/>
    <s v="email"/>
    <x v="3"/>
    <x v="1"/>
    <s v="Request to a refund for an annual plan"/>
    <n v="70"/>
    <d v="2023-04-16T20:12:06"/>
    <b v="0"/>
    <n v="2"/>
  </r>
  <r>
    <s v="TK61434"/>
    <d v="2023-04-15T15:13:00"/>
    <s v="chat"/>
    <x v="1"/>
    <x v="0"/>
    <s v="Issue with the dashboard loading slowly"/>
    <n v="50"/>
    <d v="2023-04-17T01:40:05"/>
    <b v="0"/>
    <m/>
  </r>
  <r>
    <s v="TK60845"/>
    <d v="2023-04-15T15:39:00"/>
    <s v="email"/>
    <x v="0"/>
    <x v="1"/>
    <s v="Cannot downgrade my plan"/>
    <n v="55"/>
    <d v="2023-04-16T21:14:39"/>
    <b v="0"/>
    <n v="4"/>
  </r>
  <r>
    <s v="TK63596"/>
    <d v="2023-04-15T18:32:00"/>
    <s v="phone"/>
    <x v="2"/>
    <x v="3"/>
    <s v="Question about the API rate limit"/>
    <n v="185"/>
    <d v="2023-04-17T10:27:28"/>
    <b v="0"/>
    <m/>
  </r>
  <r>
    <s v="TK60146"/>
    <d v="2023-04-15T18:41:00"/>
    <s v="email"/>
    <x v="0"/>
    <x v="1"/>
    <s v="Unable to webhook deliveries failing"/>
    <n v="31"/>
    <d v="2023-04-16T04:01:41"/>
    <b v="0"/>
    <n v="1"/>
  </r>
  <r>
    <s v="TK63673"/>
    <d v="2023-04-15T23:36:00"/>
    <s v="chat"/>
    <x v="2"/>
    <x v="0"/>
    <s v="Issue with log in after password reset"/>
    <n v="83"/>
    <d v="2023-04-16T03:17:52"/>
    <b v="1"/>
    <m/>
  </r>
  <r>
    <s v="TK62562"/>
    <d v="2023-04-16T00:32:00"/>
    <s v="email"/>
    <x v="4"/>
    <x v="0"/>
    <s v="Request to add a teammate"/>
    <n v="14"/>
    <d v="2023-04-17T14:47:21"/>
    <b v="0"/>
    <m/>
  </r>
  <r>
    <s v="TK62544"/>
    <d v="2023-04-16T06:29:00"/>
    <s v="in-app"/>
    <x v="2"/>
    <x v="0"/>
    <s v="How do I downgrade my plan"/>
    <n v="18"/>
    <d v="2023-04-20T14:57:25"/>
    <b v="0"/>
    <m/>
  </r>
  <r>
    <s v="TK60498"/>
    <d v="2023-04-16T07:06:00"/>
    <s v="email"/>
    <x v="1"/>
    <x v="0"/>
    <s v="How do I log in after password reset"/>
    <n v="38"/>
    <d v="2023-04-16T21:33:26"/>
    <b v="0"/>
    <m/>
  </r>
  <r>
    <s v="TK62901"/>
    <d v="2023-04-16T07:51:00"/>
    <s v="in-app"/>
    <x v="4"/>
    <x v="0"/>
    <s v="Error when two-factor authentication"/>
    <n v="106"/>
    <d v="2023-04-16T19:08:14"/>
    <b v="0"/>
    <m/>
  </r>
  <r>
    <s v="TK60087"/>
    <d v="2023-04-16T08:28:00"/>
    <s v="email"/>
    <x v="2"/>
    <x v="1"/>
    <s v="Request to connecting the Snowflake sync"/>
    <n v="92"/>
    <d v="2023-04-21T12:47:49"/>
    <b v="0"/>
    <m/>
  </r>
  <r>
    <s v="TK60162"/>
    <d v="2023-04-16T08:53:00"/>
    <s v="chat"/>
    <x v="3"/>
    <x v="1"/>
    <s v="Issue with export my data"/>
    <n v="131"/>
    <d v="2023-04-16T22:15:47"/>
    <b v="0"/>
    <m/>
  </r>
  <r>
    <s v="TK61080"/>
    <d v="2023-04-16T11:15:00"/>
    <s v="in-app"/>
    <x v="2"/>
    <x v="1"/>
    <s v="Unable to export my data"/>
    <n v="135"/>
    <d v="2023-04-17T21:30:58"/>
    <b v="0"/>
    <m/>
  </r>
  <r>
    <s v="TK63676"/>
    <d v="2023-04-16T14:07:00"/>
    <s v="in-app"/>
    <x v="2"/>
    <x v="1"/>
    <s v="Cannot the API rate limit"/>
    <n v="129"/>
    <d v="2023-04-16T20:33:23"/>
    <b v="1"/>
    <n v="4"/>
  </r>
  <r>
    <s v="TK60010"/>
    <d v="2023-04-16T16:30:00"/>
    <s v="email"/>
    <x v="2"/>
    <x v="1"/>
    <s v="Unable to downgrade my plan"/>
    <n v="148"/>
    <d v="2023-04-18T17:52:59"/>
    <b v="0"/>
    <m/>
  </r>
  <r>
    <s v="TK62337"/>
    <d v="2023-04-16T20:30:00"/>
    <s v="in-app"/>
    <x v="0"/>
    <x v="0"/>
    <s v="Unable to export my data"/>
    <n v="220"/>
    <d v="2023-04-17T11:45:47"/>
    <b v="0"/>
    <m/>
  </r>
  <r>
    <s v="TK62171"/>
    <d v="2023-04-16T21:27:00"/>
    <s v="email"/>
    <x v="3"/>
    <x v="3"/>
    <s v="Request to downgrade my plan"/>
    <n v="47"/>
    <d v="2023-04-18T03:14:49"/>
    <b v="0"/>
    <m/>
  </r>
  <r>
    <s v="TK63182"/>
    <d v="2023-04-16T23:25:00"/>
    <s v="email"/>
    <x v="2"/>
    <x v="1"/>
    <s v="Issue with two-factor authentication"/>
    <n v="385"/>
    <m/>
    <b v="0"/>
    <m/>
  </r>
  <r>
    <s v="TK60932"/>
    <d v="2023-04-17T03:40:00"/>
    <s v="email"/>
    <x v="1"/>
    <x v="3"/>
    <s v="Cannot export my data"/>
    <n v="155"/>
    <d v="2023-04-18T14:17:43"/>
    <b v="0"/>
    <m/>
  </r>
  <r>
    <s v="TK62493"/>
    <d v="2023-04-17T08:22:00"/>
    <s v="chat"/>
    <x v="4"/>
    <x v="1"/>
    <s v="Request to downgrade my plan"/>
    <n v="262"/>
    <d v="2023-04-17T13:55:58"/>
    <b v="0"/>
    <m/>
  </r>
  <r>
    <s v="TK61361"/>
    <d v="2023-04-17T09:41:00"/>
    <s v="phone"/>
    <x v="4"/>
    <x v="2"/>
    <s v="How do I webhook deliveries failing"/>
    <n v="13"/>
    <d v="2023-04-17T13:21:18"/>
    <b v="0"/>
    <m/>
  </r>
  <r>
    <s v="TK61728"/>
    <d v="2023-04-17T12:11:00"/>
    <s v="in-app"/>
    <x v="3"/>
    <x v="1"/>
    <s v="How do I downgrade my plan"/>
    <n v="188"/>
    <d v="2023-04-19T16:40:39"/>
    <b v="0"/>
    <m/>
  </r>
  <r>
    <s v="TK62557"/>
    <d v="2023-04-17T15:19:00"/>
    <s v="in-app"/>
    <x v="2"/>
    <x v="1"/>
    <s v="How do I the dashboard loading slowly"/>
    <n v="82"/>
    <d v="2023-04-18T05:56:40"/>
    <b v="0"/>
    <n v="2"/>
  </r>
  <r>
    <s v="TK62836"/>
    <d v="2023-04-17T18:19:00"/>
    <s v="email"/>
    <x v="1"/>
    <x v="1"/>
    <s v="How do I log in after password reset"/>
    <n v="162"/>
    <d v="2023-04-22T12:05:33"/>
    <b v="0"/>
    <n v="4"/>
  </r>
  <r>
    <s v="TK61007"/>
    <d v="2023-04-17T20:03:00"/>
    <s v="chat"/>
    <x v="1"/>
    <x v="1"/>
    <s v="Unable to the invoice for last month"/>
    <n v="105"/>
    <d v="2023-04-18T14:59:08"/>
    <b v="0"/>
    <m/>
  </r>
  <r>
    <s v="TK62139"/>
    <d v="2023-04-17T21:04:00"/>
    <s v="chat"/>
    <x v="3"/>
    <x v="1"/>
    <s v="How do I the invoice for last month"/>
    <n v="92"/>
    <d v="2023-04-18T19:25:06"/>
    <b v="0"/>
    <m/>
  </r>
  <r>
    <s v="TK62268"/>
    <d v="2023-04-17T21:23:00"/>
    <s v="in-app"/>
    <x v="3"/>
    <x v="0"/>
    <s v="Request to the dashboard loading slowly"/>
    <n v="58"/>
    <d v="2023-04-18T10:56:25"/>
    <b v="0"/>
    <m/>
  </r>
  <r>
    <s v="TK63947"/>
    <d v="2023-04-17T21:23:00"/>
    <s v="chat"/>
    <x v="2"/>
    <x v="3"/>
    <s v="Question about a duplicate charge"/>
    <n v="250"/>
    <d v="2023-05-04T18:00:43"/>
    <b v="0"/>
    <n v="4"/>
  </r>
  <r>
    <s v="TK63545"/>
    <d v="2023-04-17T22:32:00"/>
    <s v="in-app"/>
    <x v="1"/>
    <x v="3"/>
    <s v="Unable to connecting the Snowflake sync"/>
    <n v="125"/>
    <d v="2023-05-22T12:12:19"/>
    <b v="0"/>
    <m/>
  </r>
  <r>
    <s v="TK60317"/>
    <d v="2023-04-18T00:22:00"/>
    <s v="email"/>
    <x v="0"/>
    <x v="1"/>
    <s v="Unable to the dashboard loading slowly"/>
    <n v="63"/>
    <d v="2023-04-18T22:39:59"/>
    <b v="0"/>
    <m/>
  </r>
  <r>
    <s v="TK62629"/>
    <d v="2023-04-18T02:26:00"/>
    <s v="in-app"/>
    <x v="2"/>
    <x v="0"/>
    <s v="Request to a duplicate charge"/>
    <n v="43"/>
    <d v="2023-04-21T15:14:31"/>
    <b v="0"/>
    <m/>
  </r>
  <r>
    <s v="TK62743"/>
    <d v="2023-04-18T03:41:00"/>
    <s v="chat"/>
    <x v="1"/>
    <x v="1"/>
    <s v="Issue with log in after password reset"/>
    <n v="46"/>
    <d v="2023-04-18T12:49:22"/>
    <b v="0"/>
    <m/>
  </r>
  <r>
    <s v="TK62608"/>
    <d v="2023-04-18T06:07:00"/>
    <s v="chat"/>
    <x v="1"/>
    <x v="1"/>
    <s v="Question about the API rate limit"/>
    <n v="121"/>
    <d v="2023-04-18T17:13:01"/>
    <b v="0"/>
    <m/>
  </r>
  <r>
    <s v="TK60282"/>
    <d v="2023-04-18T08:04:00"/>
    <s v="chat"/>
    <x v="2"/>
    <x v="0"/>
    <s v="Issue with a duplicate charge"/>
    <n v="32"/>
    <d v="2023-04-18T15:38:12"/>
    <b v="1"/>
    <n v="4"/>
  </r>
  <r>
    <s v="TK63387"/>
    <d v="2023-04-18T16:23:00"/>
    <s v="chat"/>
    <x v="0"/>
    <x v="1"/>
    <s v="Request to export my data"/>
    <n v="9"/>
    <d v="2023-04-19T06:07:28"/>
    <b v="0"/>
    <n v="5"/>
  </r>
  <r>
    <s v="TK63575"/>
    <d v="2023-04-18T16:32:00"/>
    <s v="in-app"/>
    <x v="2"/>
    <x v="1"/>
    <s v="Error when the invoice for last month"/>
    <n v="94"/>
    <d v="2023-04-18T19:54:27"/>
    <b v="0"/>
    <m/>
  </r>
  <r>
    <s v="TK60707"/>
    <d v="2023-04-18T16:52:00"/>
    <s v="in-app"/>
    <x v="2"/>
    <x v="0"/>
    <s v="Issue with connecting the Snowflake sync"/>
    <n v="87"/>
    <d v="2023-04-19T06:28:10"/>
    <b v="0"/>
    <n v="4"/>
  </r>
  <r>
    <s v="TK61458"/>
    <d v="2023-04-18T20:08:00"/>
    <s v="email"/>
    <x v="1"/>
    <x v="1"/>
    <s v="Issue with a refund for an annual plan"/>
    <n v="75"/>
    <d v="2023-04-19T17:44:33"/>
    <b v="0"/>
    <m/>
  </r>
  <r>
    <s v="TK63008"/>
    <d v="2023-04-18T20:21:00"/>
    <s v="in-app"/>
    <x v="4"/>
    <x v="3"/>
    <s v="Error when the invoice for last month"/>
    <n v="41"/>
    <d v="2023-04-24T16:42:36"/>
    <b v="0"/>
    <m/>
  </r>
  <r>
    <s v="TK60202"/>
    <d v="2023-04-18T21:50:00"/>
    <s v="email"/>
    <x v="0"/>
    <x v="1"/>
    <s v="Issue with a refund for an annual plan"/>
    <n v="110"/>
    <d v="2023-04-19T02:09:49"/>
    <b v="0"/>
    <m/>
  </r>
  <r>
    <s v="TK61536"/>
    <d v="2023-04-18T22:43:00"/>
    <s v="email"/>
    <x v="3"/>
    <x v="0"/>
    <s v="Issue with a refund for an annual plan"/>
    <n v="58"/>
    <d v="2023-04-19T04:08:35"/>
    <b v="0"/>
    <m/>
  </r>
  <r>
    <s v="TK63244"/>
    <d v="2023-04-19T00:19:00"/>
    <s v="phone"/>
    <x v="1"/>
    <x v="0"/>
    <s v="Issue with two-factor authentication"/>
    <n v="77"/>
    <d v="2023-04-19T04:47:16"/>
    <b v="0"/>
    <m/>
  </r>
  <r>
    <s v="TK61885"/>
    <d v="2023-04-19T08:20:00"/>
    <s v="chat"/>
    <x v="1"/>
    <x v="1"/>
    <s v="Request to connecting the Snowflake sync"/>
    <n v="84"/>
    <d v="2023-04-19T18:37:44"/>
    <b v="1"/>
    <m/>
  </r>
  <r>
    <s v="TK63691"/>
    <d v="2023-04-19T11:28:00"/>
    <s v="chat"/>
    <x v="1"/>
    <x v="1"/>
    <s v="Unable to a refund for an annual plan"/>
    <n v="40"/>
    <d v="2023-04-24T03:42:58"/>
    <b v="0"/>
    <n v="2"/>
  </r>
  <r>
    <s v="TK61530"/>
    <d v="2023-04-19T17:23:00"/>
    <s v="phone"/>
    <x v="2"/>
    <x v="3"/>
    <s v="Error when webhook deliveries failing"/>
    <n v="67"/>
    <d v="2023-04-20T16:38:49"/>
    <b v="0"/>
    <m/>
  </r>
  <r>
    <s v="TK62551"/>
    <d v="2023-04-19T21:05:00"/>
    <s v="email"/>
    <x v="1"/>
    <x v="1"/>
    <s v="Unable to add a teammate"/>
    <n v="92"/>
    <d v="2023-04-28T02:02:07"/>
    <b v="0"/>
    <m/>
  </r>
  <r>
    <s v="TK61581"/>
    <d v="2023-04-19T21:23:00"/>
    <s v="phone"/>
    <x v="1"/>
    <x v="1"/>
    <s v="Error when export my data"/>
    <n v="154"/>
    <d v="2023-04-21T00:23:57"/>
    <b v="0"/>
    <m/>
  </r>
  <r>
    <s v="TK61690"/>
    <d v="2023-04-19T22:25:00"/>
    <s v="in-app"/>
    <x v="2"/>
    <x v="0"/>
    <s v="Cannot add a teammate"/>
    <n v="46"/>
    <d v="2023-04-20T06:51:38"/>
    <b v="0"/>
    <n v="5"/>
  </r>
  <r>
    <s v="TK60328"/>
    <d v="2023-04-19T22:55:00"/>
    <s v="email"/>
    <x v="2"/>
    <x v="3"/>
    <s v="Issue with the dashboard loading slowly"/>
    <n v="292"/>
    <d v="2023-04-20T23:54:18"/>
    <b v="0"/>
    <n v="3"/>
  </r>
  <r>
    <s v="TK63133"/>
    <d v="2023-04-20T01:58:00"/>
    <s v="chat"/>
    <x v="0"/>
    <x v="0"/>
    <s v="Request to a duplicate charge"/>
    <n v="27"/>
    <d v="2023-04-20T16:53:25"/>
    <b v="0"/>
    <m/>
  </r>
  <r>
    <s v="TK62751"/>
    <d v="2023-04-20T10:12:00"/>
    <s v="chat"/>
    <x v="4"/>
    <x v="1"/>
    <s v="Unable to the dashboard loading slowly"/>
    <n v="49"/>
    <d v="2023-04-21T02:26:27"/>
    <b v="0"/>
    <m/>
  </r>
  <r>
    <s v="TK60451"/>
    <d v="2023-04-20T12:36:00"/>
    <s v="chat"/>
    <x v="1"/>
    <x v="1"/>
    <s v="Issue with the API rate limit"/>
    <m/>
    <d v="2023-05-14T18:51:29"/>
    <b v="0"/>
    <m/>
  </r>
  <r>
    <s v="TK62602"/>
    <d v="2023-04-20T16:13:00"/>
    <s v="in-app"/>
    <x v="1"/>
    <x v="1"/>
    <s v="How do I log in after password reset"/>
    <n v="124"/>
    <d v="2023-04-21T23:09:53"/>
    <b v="0"/>
    <m/>
  </r>
  <r>
    <s v="TK60972"/>
    <d v="2023-04-20T16:46:00"/>
    <s v="chat"/>
    <x v="2"/>
    <x v="1"/>
    <s v="Cannot connecting the Snowflake sync"/>
    <n v="7"/>
    <d v="2023-04-21T13:19:49"/>
    <b v="0"/>
    <m/>
  </r>
  <r>
    <s v="TK60509"/>
    <d v="2023-04-20T17:42:00"/>
    <s v="chat"/>
    <x v="3"/>
    <x v="3"/>
    <s v="Request to webhook deliveries failing"/>
    <n v="811"/>
    <d v="2023-04-29T12:37:10"/>
    <b v="0"/>
    <m/>
  </r>
  <r>
    <s v="TK62426"/>
    <d v="2023-04-20T19:14:00"/>
    <s v="in-app"/>
    <x v="0"/>
    <x v="2"/>
    <s v="Unable to a refund for an annual plan"/>
    <n v="22"/>
    <d v="2023-04-20T21:42:46"/>
    <b v="0"/>
    <m/>
  </r>
  <r>
    <s v="TK62467"/>
    <d v="2023-04-20T21:27:00"/>
    <s v="email"/>
    <x v="1"/>
    <x v="0"/>
    <s v="Issue with a refund for an annual plan"/>
    <n v="12"/>
    <d v="2023-04-22T07:44:13"/>
    <b v="0"/>
    <n v="2"/>
  </r>
  <r>
    <s v="TK61321"/>
    <d v="2023-04-21T04:10:00"/>
    <s v="phone"/>
    <x v="4"/>
    <x v="1"/>
    <s v="Cannot add a teammate"/>
    <n v="21"/>
    <d v="2023-05-14T22:06:59"/>
    <b v="0"/>
    <m/>
  </r>
  <r>
    <s v="TK60354"/>
    <d v="2023-04-21T04:41:00"/>
    <s v="email"/>
    <x v="1"/>
    <x v="1"/>
    <s v="Request to the invoice for last month"/>
    <n v="14"/>
    <d v="2023-04-22T07:51:06"/>
    <b v="0"/>
    <m/>
  </r>
  <r>
    <s v="TK61657"/>
    <d v="2023-04-21T07:57:00"/>
    <s v="chat"/>
    <x v="1"/>
    <x v="0"/>
    <s v="Unable to log in after password reset"/>
    <n v="20"/>
    <d v="2023-04-22T17:03:00"/>
    <b v="0"/>
    <m/>
  </r>
  <r>
    <s v="TK62856"/>
    <d v="2023-04-21T11:07:00"/>
    <s v="in-app"/>
    <x v="1"/>
    <x v="1"/>
    <s v="Issue with a refund for an annual plan"/>
    <n v="189"/>
    <d v="2023-04-25T07:31:17"/>
    <b v="0"/>
    <n v="5"/>
  </r>
  <r>
    <s v="TK60173"/>
    <d v="2023-04-21T14:27:00"/>
    <s v="chat"/>
    <x v="4"/>
    <x v="3"/>
    <s v="Issue with a duplicate charge"/>
    <n v="48"/>
    <d v="2023-04-22T09:07:31"/>
    <b v="0"/>
    <m/>
  </r>
  <r>
    <s v="TK61121"/>
    <d v="2023-04-21T15:54:00"/>
    <s v="email"/>
    <x v="0"/>
    <x v="3"/>
    <s v="How do I log in after password reset"/>
    <n v="253"/>
    <d v="2023-04-24T03:27:38"/>
    <b v="0"/>
    <m/>
  </r>
  <r>
    <s v="TK63623"/>
    <d v="2023-04-21T16:45:00"/>
    <s v="email"/>
    <x v="3"/>
    <x v="3"/>
    <s v="Request to a duplicate charge"/>
    <n v="659"/>
    <d v="2023-04-23T13:31:56"/>
    <b v="0"/>
    <m/>
  </r>
  <r>
    <s v="TK60192"/>
    <d v="2023-04-21T17:52:00"/>
    <s v="email"/>
    <x v="2"/>
    <x v="1"/>
    <s v="Question about the dashboard loading slowly"/>
    <n v="117"/>
    <d v="2023-04-22T11:44:28"/>
    <b v="1"/>
    <n v="4"/>
  </r>
  <r>
    <s v="TK62843"/>
    <d v="2023-04-22T01:39:00"/>
    <s v="in-app"/>
    <x v="3"/>
    <x v="1"/>
    <s v="Error when add a teammate"/>
    <n v="63"/>
    <d v="2023-04-22T14:04:24"/>
    <b v="0"/>
    <n v="4"/>
  </r>
  <r>
    <s v="TK61490"/>
    <d v="2023-04-22T02:03:00"/>
    <s v="chat"/>
    <x v="4"/>
    <x v="1"/>
    <s v="Cannot two-factor authentication"/>
    <n v="107"/>
    <m/>
    <b v="0"/>
    <m/>
  </r>
  <r>
    <s v="TK60230"/>
    <d v="2023-04-22T03:25:00"/>
    <s v="chat"/>
    <x v="3"/>
    <x v="0"/>
    <s v="Cannot two-factor authentication"/>
    <n v="4"/>
    <d v="2023-04-24T05:23:49"/>
    <b v="0"/>
    <n v="4"/>
  </r>
  <r>
    <s v="TK63478"/>
    <d v="2023-04-22T03:37:00"/>
    <s v="chat"/>
    <x v="0"/>
    <x v="1"/>
    <s v="Request to the invoice for last month"/>
    <n v="196"/>
    <d v="2023-04-22T08:57:59"/>
    <b v="0"/>
    <n v="5"/>
  </r>
  <r>
    <s v="TK62839"/>
    <d v="2023-04-22T04:59:00"/>
    <s v="email"/>
    <x v="1"/>
    <x v="1"/>
    <s v="Issue with a refund for an annual plan"/>
    <m/>
    <d v="2023-04-23T15:48:36"/>
    <b v="0"/>
    <n v="5"/>
  </r>
  <r>
    <s v="TK61313"/>
    <d v="2023-04-22T06:18:00"/>
    <s v="email"/>
    <x v="3"/>
    <x v="2"/>
    <s v="How do I a refund for an annual plan"/>
    <n v="47"/>
    <d v="2023-04-22T11:59:00"/>
    <b v="0"/>
    <m/>
  </r>
  <r>
    <s v="TK61232"/>
    <d v="2023-04-22T07:21:00"/>
    <s v="chat"/>
    <x v="1"/>
    <x v="1"/>
    <s v="Issue with downgrade my plan"/>
    <n v="74"/>
    <d v="2023-04-24T09:35:03"/>
    <b v="0"/>
    <m/>
  </r>
  <r>
    <s v="TK63258"/>
    <d v="2023-04-22T10:58:00"/>
    <s v="in-app"/>
    <x v="1"/>
    <x v="3"/>
    <s v="Unable to a refund for an annual plan"/>
    <n v="77"/>
    <d v="2023-05-19T17:23:32"/>
    <b v="0"/>
    <m/>
  </r>
  <r>
    <s v="TK60400"/>
    <d v="2023-04-22T14:09:00"/>
    <s v="phone"/>
    <x v="0"/>
    <x v="1"/>
    <s v="Request to two-factor authentication"/>
    <n v="75"/>
    <d v="2023-04-23T04:34:44"/>
    <b v="0"/>
    <m/>
  </r>
  <r>
    <s v="TK63574"/>
    <d v="2023-04-22T16:27:00"/>
    <s v="email"/>
    <x v="2"/>
    <x v="3"/>
    <s v="Request to a refund for an annual plan"/>
    <n v="262"/>
    <d v="2023-04-24T08:07:55"/>
    <b v="0"/>
    <n v="5"/>
  </r>
  <r>
    <s v="TK63489"/>
    <d v="2023-04-22T16:28:00"/>
    <s v="email"/>
    <x v="1"/>
    <x v="3"/>
    <s v="Unable to webhook deliveries failing"/>
    <n v="640"/>
    <d v="2023-04-24T09:59:43"/>
    <b v="0"/>
    <n v="5"/>
  </r>
  <r>
    <s v="TK60684"/>
    <d v="2023-04-22T17:27:00"/>
    <s v="chat"/>
    <x v="2"/>
    <x v="0"/>
    <s v="Request to downgrade my plan"/>
    <n v="81"/>
    <d v="2023-04-25T02:25:21"/>
    <b v="1"/>
    <m/>
  </r>
  <r>
    <s v="TK60776"/>
    <d v="2023-04-22T18:06:00"/>
    <s v="chat"/>
    <x v="4"/>
    <x v="0"/>
    <s v="How do I export my data"/>
    <n v="312"/>
    <d v="2023-04-23T04:26:10"/>
    <b v="0"/>
    <m/>
  </r>
  <r>
    <s v="TK63056"/>
    <d v="2023-04-22T18:38:00"/>
    <s v="email"/>
    <x v="0"/>
    <x v="1"/>
    <s v="Question about the API rate limit"/>
    <n v="89"/>
    <d v="2023-04-25T03:12:38"/>
    <b v="0"/>
    <n v="2"/>
  </r>
  <r>
    <s v="TK60895"/>
    <d v="2023-04-22T18:41:00"/>
    <s v="in-app"/>
    <x v="4"/>
    <x v="0"/>
    <s v="How do I the dashboard loading slowly"/>
    <n v="117"/>
    <d v="2023-04-23T01:05:14"/>
    <b v="0"/>
    <n v="1"/>
  </r>
  <r>
    <s v="TK61947"/>
    <d v="2023-04-23T00:03:00"/>
    <s v="chat"/>
    <x v="2"/>
    <x v="1"/>
    <s v="How do I two-factor authentication"/>
    <n v="764"/>
    <d v="2023-04-25T17:30:34"/>
    <b v="0"/>
    <m/>
  </r>
  <r>
    <s v="TK60014"/>
    <d v="2023-04-23T05:52:00"/>
    <s v="chat"/>
    <x v="0"/>
    <x v="3"/>
    <s v="Cannot the dashboard loading slowly"/>
    <n v="186"/>
    <d v="2023-04-26T12:13:26"/>
    <b v="0"/>
    <m/>
  </r>
  <r>
    <s v="TK60515"/>
    <d v="2023-04-23T09:12:00"/>
    <s v="chat"/>
    <x v="2"/>
    <x v="1"/>
    <s v="Issue with a duplicate charge"/>
    <n v="27"/>
    <d v="2023-04-23T18:25:52"/>
    <b v="0"/>
    <m/>
  </r>
  <r>
    <s v="TK63274"/>
    <d v="2023-04-23T17:14:00"/>
    <s v="in-app"/>
    <x v="0"/>
    <x v="3"/>
    <s v="Unable to the API rate limit"/>
    <n v="182"/>
    <d v="2023-04-24T15:57:22"/>
    <b v="0"/>
    <n v="5"/>
  </r>
  <r>
    <s v="TK63381"/>
    <d v="2023-04-23T17:30:00"/>
    <s v="email"/>
    <x v="2"/>
    <x v="3"/>
    <s v="Request to the dashboard loading slowly"/>
    <n v="333"/>
    <d v="2023-05-03T13:07:30"/>
    <b v="0"/>
    <m/>
  </r>
  <r>
    <s v="TK61316"/>
    <d v="2023-04-23T20:10:00"/>
    <s v="email"/>
    <x v="1"/>
    <x v="3"/>
    <s v="Question about a duplicate charge"/>
    <m/>
    <d v="2023-04-25T15:11:10"/>
    <b v="0"/>
    <m/>
  </r>
  <r>
    <s v="TK62898"/>
    <d v="2023-04-24T02:19:00"/>
    <s v="email"/>
    <x v="0"/>
    <x v="1"/>
    <s v="Issue with a duplicate charge"/>
    <n v="346"/>
    <d v="2023-04-24T12:26:40"/>
    <b v="0"/>
    <n v="5"/>
  </r>
  <r>
    <s v="TK61607"/>
    <d v="2023-04-24T02:38:00"/>
    <s v="email"/>
    <x v="2"/>
    <x v="0"/>
    <s v="Cannot downgrade my plan"/>
    <n v="17"/>
    <d v="2023-04-24T16:12:08"/>
    <b v="0"/>
    <m/>
  </r>
  <r>
    <s v="TK61503"/>
    <d v="2023-04-24T03:11:00"/>
    <s v="chat"/>
    <x v="1"/>
    <x v="1"/>
    <s v="Unable to log in after password reset"/>
    <n v="121"/>
    <d v="2023-04-30T11:12:56"/>
    <b v="0"/>
    <m/>
  </r>
  <r>
    <s v="TK63248"/>
    <d v="2023-04-24T05:02:00"/>
    <s v="email"/>
    <x v="2"/>
    <x v="0"/>
    <s v="Question about downgrade my plan"/>
    <n v="19"/>
    <d v="2023-04-24T06:28:20"/>
    <b v="0"/>
    <m/>
  </r>
  <r>
    <s v="TK63395"/>
    <d v="2023-04-24T05:06:00"/>
    <s v="in-app"/>
    <x v="2"/>
    <x v="1"/>
    <s v="Unable to log in after password reset"/>
    <n v="37"/>
    <d v="2023-04-24T11:17:20"/>
    <b v="0"/>
    <m/>
  </r>
  <r>
    <s v="TK60795"/>
    <d v="2023-04-24T06:36:00"/>
    <s v="email"/>
    <x v="3"/>
    <x v="3"/>
    <s v="Unable to a duplicate charge"/>
    <n v="94"/>
    <d v="2023-04-25T19:02:13"/>
    <b v="1"/>
    <n v="4"/>
  </r>
  <r>
    <s v="TK63848"/>
    <d v="2023-04-24T08:04:00"/>
    <s v="chat"/>
    <x v="1"/>
    <x v="1"/>
    <s v="How do I log in after password reset"/>
    <n v="159"/>
    <d v="2023-04-26T07:24:53"/>
    <b v="0"/>
    <n v="5"/>
  </r>
  <r>
    <s v="TK61019"/>
    <d v="2023-04-24T09:02:00"/>
    <s v="in-app"/>
    <x v="1"/>
    <x v="3"/>
    <s v="Cannot add a teammate"/>
    <m/>
    <d v="2023-04-26T22:08:25"/>
    <b v="0"/>
    <m/>
  </r>
  <r>
    <s v="TK63390"/>
    <d v="2023-04-24T09:41:00"/>
    <s v="chat"/>
    <x v="3"/>
    <x v="0"/>
    <s v="Cannot the invoice for last month"/>
    <n v="105"/>
    <d v="2023-04-25T15:22:55"/>
    <b v="0"/>
    <n v="4"/>
  </r>
  <r>
    <s v="TK63804"/>
    <d v="2023-04-24T14:15:00"/>
    <s v="email"/>
    <x v="3"/>
    <x v="1"/>
    <s v="Request to the API rate limit"/>
    <n v="135"/>
    <d v="2023-04-24T18:05:36"/>
    <b v="0"/>
    <n v="5"/>
  </r>
  <r>
    <s v="TK61090"/>
    <d v="2023-04-24T19:41:00"/>
    <s v="chat"/>
    <x v="2"/>
    <x v="2"/>
    <s v="Cannot two-factor authentication"/>
    <n v="28"/>
    <d v="2023-04-24T22:00:41"/>
    <b v="0"/>
    <m/>
  </r>
  <r>
    <s v="TK60868"/>
    <d v="2023-04-24T20:52:00"/>
    <s v="chat"/>
    <x v="1"/>
    <x v="3"/>
    <s v="How do I add a teammate"/>
    <n v="406"/>
    <m/>
    <b v="0"/>
    <m/>
  </r>
  <r>
    <s v="TK60806"/>
    <d v="2023-04-25T01:35:00"/>
    <s v="email"/>
    <x v="4"/>
    <x v="1"/>
    <s v="Cannot the API rate limit"/>
    <n v="23"/>
    <d v="2023-04-25T23:03:33"/>
    <b v="0"/>
    <m/>
  </r>
  <r>
    <s v="TK60265"/>
    <d v="2023-04-25T03:37:00"/>
    <s v="email"/>
    <x v="2"/>
    <x v="1"/>
    <s v="Unable to the API rate limit"/>
    <n v="184"/>
    <d v="2023-04-26T05:35:23"/>
    <b v="0"/>
    <m/>
  </r>
  <r>
    <s v="TK62831"/>
    <d v="2023-04-25T04:37:00"/>
    <s v="chat"/>
    <x v="1"/>
    <x v="1"/>
    <s v="Issue with a refund for an annual plan"/>
    <n v="187"/>
    <d v="2023-04-26T12:23:12"/>
    <b v="0"/>
    <m/>
  </r>
  <r>
    <s v="TK60447"/>
    <d v="2023-04-25T06:07:00"/>
    <s v="in-app"/>
    <x v="4"/>
    <x v="1"/>
    <s v="Error when connecting the Snowflake sync"/>
    <n v="187"/>
    <d v="2023-04-25T22:32:14"/>
    <b v="0"/>
    <m/>
  </r>
  <r>
    <s v="TK61414"/>
    <d v="2023-04-25T07:31:00"/>
    <s v="email"/>
    <x v="3"/>
    <x v="1"/>
    <s v="Request to add a teammate"/>
    <n v="195"/>
    <d v="2023-04-26T00:20:21"/>
    <b v="0"/>
    <m/>
  </r>
  <r>
    <s v="TK60837"/>
    <d v="2023-04-25T13:37:00"/>
    <s v="chat"/>
    <x v="2"/>
    <x v="1"/>
    <s v="Request to export my data"/>
    <n v="135"/>
    <d v="2023-04-25T22:32:05"/>
    <b v="0"/>
    <n v="4"/>
  </r>
  <r>
    <s v="TK63441"/>
    <d v="2023-04-25T13:58:00"/>
    <s v="in-app"/>
    <x v="4"/>
    <x v="3"/>
    <s v="Issue with a duplicate charge"/>
    <n v="463"/>
    <d v="2023-04-26T03:33:01"/>
    <b v="0"/>
    <n v="5"/>
  </r>
  <r>
    <s v="TK60110"/>
    <d v="2023-04-25T14:48:00"/>
    <s v="email"/>
    <x v="1"/>
    <x v="3"/>
    <s v="Request to log in after password reset"/>
    <n v="615"/>
    <d v="2023-05-06T03:44:25"/>
    <b v="0"/>
    <n v="5"/>
  </r>
  <r>
    <s v="TK62192"/>
    <d v="2023-04-25T15:24:00"/>
    <s v="phone"/>
    <x v="3"/>
    <x v="1"/>
    <s v="Error when add a teammate"/>
    <n v="383"/>
    <d v="2023-04-27T03:47:42"/>
    <b v="1"/>
    <m/>
  </r>
  <r>
    <s v="TK61022"/>
    <d v="2023-04-25T17:41:00"/>
    <s v="email"/>
    <x v="1"/>
    <x v="1"/>
    <s v="Unable to a refund for an annual plan"/>
    <n v="441"/>
    <d v="2023-04-27T10:08:33"/>
    <b v="0"/>
    <m/>
  </r>
  <r>
    <s v="TK60066"/>
    <d v="2023-04-26T09:45:00"/>
    <s v="in-app"/>
    <x v="2"/>
    <x v="3"/>
    <s v="How do I connecting the Snowflake sync"/>
    <n v="260"/>
    <d v="2023-04-30T21:29:43"/>
    <b v="0"/>
    <m/>
  </r>
  <r>
    <s v="TK62959"/>
    <d v="2023-04-26T14:29:00"/>
    <s v="phone"/>
    <x v="1"/>
    <x v="1"/>
    <s v="Unable to the invoice for last month"/>
    <n v="52"/>
    <d v="2023-04-29T01:13:49"/>
    <b v="0"/>
    <m/>
  </r>
  <r>
    <s v="TK61984"/>
    <d v="2023-04-26T17:48:00"/>
    <s v="chat"/>
    <x v="2"/>
    <x v="3"/>
    <s v="How do I connecting the Snowflake sync"/>
    <n v="25"/>
    <d v="2023-04-27T06:37:24"/>
    <b v="1"/>
    <m/>
  </r>
  <r>
    <s v="TK61612"/>
    <d v="2023-04-26T18:19:00"/>
    <s v="in-app"/>
    <x v="0"/>
    <x v="2"/>
    <s v="How do I add a teammate"/>
    <n v="9"/>
    <d v="2023-04-26T19:54:53"/>
    <b v="0"/>
    <m/>
  </r>
  <r>
    <s v="TK61453"/>
    <d v="2023-04-26T19:29:00"/>
    <s v="email"/>
    <x v="1"/>
    <x v="1"/>
    <s v="Question about a refund for an annual plan"/>
    <n v="66"/>
    <d v="2023-04-28T15:10:47"/>
    <b v="0"/>
    <n v="1"/>
  </r>
  <r>
    <s v="TK60914"/>
    <d v="2023-04-27T00:00:00"/>
    <s v="in-app"/>
    <x v="1"/>
    <x v="1"/>
    <s v="Request to connecting the Snowflake sync"/>
    <n v="33"/>
    <d v="2023-05-01T07:36:59"/>
    <b v="0"/>
    <m/>
  </r>
  <r>
    <s v="TK60419"/>
    <d v="2023-04-27T00:17:00"/>
    <s v="in-app"/>
    <x v="4"/>
    <x v="1"/>
    <s v="Issue with log in after password reset"/>
    <n v="140"/>
    <d v="2023-04-27T15:00:48"/>
    <b v="0"/>
    <n v="4"/>
  </r>
  <r>
    <s v="TK60362"/>
    <d v="2023-04-27T05:46:00"/>
    <s v="phone"/>
    <x v="1"/>
    <x v="1"/>
    <s v="Question about a duplicate charge"/>
    <n v="45"/>
    <d v="2023-04-30T01:49:20"/>
    <b v="0"/>
    <n v="3"/>
  </r>
  <r>
    <s v="TK60237"/>
    <d v="2023-04-27T08:16:00"/>
    <s v="chat"/>
    <x v="1"/>
    <x v="2"/>
    <s v="Error when downgrade my plan"/>
    <n v="2"/>
    <d v="2023-04-27T20:59:06"/>
    <b v="0"/>
    <m/>
  </r>
  <r>
    <s v="TK63384"/>
    <d v="2023-04-27T12:32:00"/>
    <s v="email"/>
    <x v="3"/>
    <x v="1"/>
    <s v="How do I a duplicate charge"/>
    <n v="61"/>
    <d v="2023-04-28T12:02:07"/>
    <b v="0"/>
    <n v="5"/>
  </r>
  <r>
    <s v="TK62302"/>
    <d v="2023-04-27T21:45:00"/>
    <s v="email"/>
    <x v="4"/>
    <x v="0"/>
    <s v="Issue with the invoice for last month"/>
    <n v="68"/>
    <d v="2023-04-28T15:49:54"/>
    <b v="0"/>
    <n v="1"/>
  </r>
  <r>
    <s v="TK63422"/>
    <d v="2023-04-28T01:04:00"/>
    <s v="email"/>
    <x v="0"/>
    <x v="1"/>
    <s v="Unable to the invoice for last month"/>
    <m/>
    <d v="2023-04-28T09:54:10"/>
    <b v="0"/>
    <m/>
  </r>
  <r>
    <s v="TK61187"/>
    <d v="2023-04-28T03:58:00"/>
    <s v="chat"/>
    <x v="2"/>
    <x v="2"/>
    <s v="Request to a refund for an annual plan"/>
    <n v="20"/>
    <d v="2023-04-28T10:14:28"/>
    <b v="0"/>
    <n v="5"/>
  </r>
  <r>
    <s v="TK60871"/>
    <d v="2023-04-28T05:23:00"/>
    <s v="email"/>
    <x v="1"/>
    <x v="2"/>
    <s v="How do I add a teammate"/>
    <n v="22"/>
    <d v="2023-04-28T07:17:29"/>
    <b v="0"/>
    <m/>
  </r>
  <r>
    <s v="TK60623"/>
    <d v="2023-04-28T16:14:00"/>
    <s v="email"/>
    <x v="1"/>
    <x v="2"/>
    <s v="Question about webhook deliveries failing"/>
    <n v="12"/>
    <d v="2023-04-28T18:01:12"/>
    <b v="0"/>
    <m/>
  </r>
  <r>
    <s v="TK60787"/>
    <d v="2023-04-28T18:50:00"/>
    <s v="chat"/>
    <x v="2"/>
    <x v="0"/>
    <s v="Error when export my data"/>
    <n v="17"/>
    <d v="2023-05-01T10:05:56"/>
    <b v="0"/>
    <n v="5"/>
  </r>
  <r>
    <s v="TK61883"/>
    <d v="2023-04-28T20:09:00"/>
    <s v="in-app"/>
    <x v="2"/>
    <x v="1"/>
    <s v="Unable to two-factor authentication"/>
    <n v="198"/>
    <d v="2023-05-04T16:25:13"/>
    <b v="0"/>
    <m/>
  </r>
  <r>
    <s v="TK61216"/>
    <d v="2023-04-28T20:35:00"/>
    <s v="email"/>
    <x v="1"/>
    <x v="2"/>
    <s v="Question about log in after password reset"/>
    <n v="52"/>
    <d v="2023-04-29T02:19:35"/>
    <b v="0"/>
    <m/>
  </r>
  <r>
    <s v="TK63264"/>
    <d v="2023-04-28T22:57:00"/>
    <s v="email"/>
    <x v="2"/>
    <x v="1"/>
    <s v="Question about log in after password reset"/>
    <n v="71"/>
    <d v="2023-04-29T00:44:54"/>
    <b v="0"/>
    <n v="5"/>
  </r>
  <r>
    <s v="TK61126"/>
    <d v="2023-04-29T10:58:00"/>
    <s v="email"/>
    <x v="0"/>
    <x v="3"/>
    <s v="Request to log in after password reset"/>
    <n v="147"/>
    <d v="2023-05-02T23:13:41"/>
    <b v="0"/>
    <n v="4"/>
  </r>
  <r>
    <s v="TK63420"/>
    <d v="2023-04-29T11:21:00"/>
    <s v="email"/>
    <x v="3"/>
    <x v="1"/>
    <s v="Cannot the invoice for last month"/>
    <n v="29"/>
    <d v="2023-04-29T17:34:53"/>
    <b v="0"/>
    <m/>
  </r>
  <r>
    <s v="TK60337"/>
    <d v="2023-04-29T12:06:00"/>
    <s v="email"/>
    <x v="3"/>
    <x v="1"/>
    <s v="Request to a duplicate charge"/>
    <n v="34"/>
    <d v="2023-05-01T19:28:13"/>
    <b v="0"/>
    <n v="5"/>
  </r>
  <r>
    <s v="TK63294"/>
    <d v="2023-04-29T13:06:00"/>
    <s v="phone"/>
    <x v="3"/>
    <x v="1"/>
    <s v="Request to two-factor authentication"/>
    <m/>
    <d v="2023-05-01T00:40:49"/>
    <b v="0"/>
    <m/>
  </r>
  <r>
    <s v="TK60151"/>
    <d v="2023-04-29T13:45:00"/>
    <s v="email"/>
    <x v="1"/>
    <x v="0"/>
    <s v="Request to two-factor authentication"/>
    <n v="17"/>
    <d v="2023-04-30T02:28:41"/>
    <b v="0"/>
    <m/>
  </r>
  <r>
    <s v="TK61163"/>
    <d v="2023-04-29T17:50:00"/>
    <s v="phone"/>
    <x v="1"/>
    <x v="2"/>
    <s v="Question about a duplicate charge"/>
    <n v="83"/>
    <d v="2023-05-01T21:43:10"/>
    <b v="0"/>
    <m/>
  </r>
  <r>
    <s v="TK61920"/>
    <d v="2023-04-29T17:57:00"/>
    <s v="chat"/>
    <x v="3"/>
    <x v="3"/>
    <s v="Request to webhook deliveries failing"/>
    <n v="366"/>
    <m/>
    <b v="0"/>
    <m/>
  </r>
  <r>
    <s v="TK62246"/>
    <d v="2023-04-29T18:15:00"/>
    <s v="email"/>
    <x v="3"/>
    <x v="1"/>
    <s v="Issue with a refund for an annual plan"/>
    <n v="83"/>
    <d v="2023-05-01T22:33:38"/>
    <b v="0"/>
    <m/>
  </r>
  <r>
    <s v="TK61526"/>
    <d v="2023-04-29T20:41:00"/>
    <s v="email"/>
    <x v="4"/>
    <x v="1"/>
    <s v="Unable to downgrade my plan"/>
    <m/>
    <d v="2023-04-30T10:42:01"/>
    <b v="0"/>
    <m/>
  </r>
  <r>
    <s v="TK60743"/>
    <d v="2023-04-29T20:56:00"/>
    <s v="email"/>
    <x v="4"/>
    <x v="3"/>
    <s v="Unable to the API rate limit"/>
    <n v="105"/>
    <m/>
    <b v="0"/>
    <m/>
  </r>
  <r>
    <s v="TK62378"/>
    <d v="2023-04-29T22:13:00"/>
    <s v="email"/>
    <x v="3"/>
    <x v="1"/>
    <s v="Unable to the invoice for last month"/>
    <n v="354"/>
    <d v="2023-04-30T01:28:32"/>
    <b v="0"/>
    <n v="4"/>
  </r>
  <r>
    <s v="TK61636"/>
    <d v="2023-04-29T23:02:00"/>
    <s v="phone"/>
    <x v="0"/>
    <x v="1"/>
    <s v="Error when connecting the Snowflake sync"/>
    <n v="467"/>
    <d v="2023-05-01T23:11:16"/>
    <b v="0"/>
    <m/>
  </r>
  <r>
    <s v="TK60736"/>
    <d v="2023-04-30T10:21:00"/>
    <s v="in-app"/>
    <x v="1"/>
    <x v="0"/>
    <s v="Error when a duplicate charge"/>
    <n v="28"/>
    <d v="2023-04-30T16:30:35"/>
    <b v="0"/>
    <m/>
  </r>
  <r>
    <s v="TK63563"/>
    <d v="2023-04-30T11:46:00"/>
    <s v="email"/>
    <x v="1"/>
    <x v="0"/>
    <s v="Request to the API rate limit"/>
    <n v="38"/>
    <d v="2023-05-09T01:23:19"/>
    <b v="0"/>
    <m/>
  </r>
  <r>
    <s v="TK63914"/>
    <d v="2023-04-30T12:11:00"/>
    <s v="chat"/>
    <x v="0"/>
    <x v="3"/>
    <s v="Request to the dashboard loading slowly"/>
    <n v="118"/>
    <d v="2023-05-06T20:30:19"/>
    <b v="0"/>
    <n v="4"/>
  </r>
  <r>
    <s v="TK63246"/>
    <d v="2023-04-30T13:46:00"/>
    <s v="chat"/>
    <x v="1"/>
    <x v="0"/>
    <s v="Unable to downgrade my plan"/>
    <n v="34"/>
    <m/>
    <b v="0"/>
    <m/>
  </r>
  <r>
    <s v="TK60542"/>
    <d v="2023-04-30T13:53:00"/>
    <s v="chat"/>
    <x v="4"/>
    <x v="1"/>
    <s v="How do I connecting the Snowflake sync"/>
    <n v="25"/>
    <d v="2023-05-02T09:49:56"/>
    <b v="0"/>
    <m/>
  </r>
  <r>
    <s v="TK62894"/>
    <d v="2023-04-30T15:09:00"/>
    <s v="in-app"/>
    <x v="1"/>
    <x v="3"/>
    <s v="Error when a duplicate charge"/>
    <n v="217"/>
    <d v="2023-05-06T18:40:06"/>
    <b v="0"/>
    <m/>
  </r>
  <r>
    <s v="TK60430"/>
    <d v="2023-04-30T15:10:00"/>
    <s v="in-app"/>
    <x v="2"/>
    <x v="2"/>
    <s v="Cannot the API rate limit"/>
    <n v="2"/>
    <d v="2023-04-30T17:33:12"/>
    <b v="0"/>
    <m/>
  </r>
  <r>
    <s v="TK61135"/>
    <d v="2023-04-30T23:57:00"/>
    <s v="email"/>
    <x v="2"/>
    <x v="3"/>
    <s v="Issue with add a teammate"/>
    <n v="133"/>
    <d v="2023-05-04T22:07:34"/>
    <b v="1"/>
    <m/>
  </r>
  <r>
    <s v="TK61100"/>
    <d v="2023-05-01T00:02:00"/>
    <s v="phone"/>
    <x v="2"/>
    <x v="2"/>
    <s v="Cannot connecting the Snowflake sync"/>
    <n v="15"/>
    <d v="2023-05-01T08:44:55"/>
    <b v="0"/>
    <m/>
  </r>
  <r>
    <s v="TK62002"/>
    <d v="2023-05-01T00:19:00"/>
    <s v="chat"/>
    <x v="1"/>
    <x v="1"/>
    <s v="Issue with the dashboard loading slowly"/>
    <n v="28"/>
    <d v="2023-05-01T22:20:33"/>
    <b v="0"/>
    <n v="5"/>
  </r>
  <r>
    <s v="TK61784"/>
    <d v="2023-05-01T01:02:00"/>
    <s v="in-app"/>
    <x v="0"/>
    <x v="0"/>
    <s v="How do I a duplicate charge"/>
    <n v="39"/>
    <d v="2023-05-01T08:24:41"/>
    <b v="0"/>
    <n v="5"/>
  </r>
  <r>
    <s v="TK62165"/>
    <d v="2023-05-01T01:17:00"/>
    <s v="email"/>
    <x v="0"/>
    <x v="1"/>
    <s v="How do I log in after password reset"/>
    <n v="61"/>
    <d v="2023-05-01T04:51:55"/>
    <b v="0"/>
    <n v="5"/>
  </r>
  <r>
    <s v="TK61285"/>
    <d v="2023-05-01T07:02:00"/>
    <s v="email"/>
    <x v="2"/>
    <x v="1"/>
    <s v="Cannot export my data"/>
    <n v="178"/>
    <d v="2023-05-01T11:03:34"/>
    <b v="0"/>
    <m/>
  </r>
  <r>
    <s v="TK61388"/>
    <d v="2023-05-01T07:26:00"/>
    <s v="email"/>
    <x v="0"/>
    <x v="3"/>
    <s v="Unable to connecting the Snowflake sync"/>
    <n v="136"/>
    <d v="2023-05-11T14:27:42"/>
    <b v="1"/>
    <n v="5"/>
  </r>
  <r>
    <s v="TK63118"/>
    <d v="2023-05-01T12:11:00"/>
    <s v="email"/>
    <x v="3"/>
    <x v="3"/>
    <s v="Error when export my data"/>
    <n v="30"/>
    <d v="2023-05-21T23:36:02"/>
    <b v="0"/>
    <n v="3"/>
  </r>
  <r>
    <s v="TK63013"/>
    <d v="2023-05-01T12:59:00"/>
    <s v="chat"/>
    <x v="3"/>
    <x v="1"/>
    <s v="How do I two-factor authentication"/>
    <n v="88"/>
    <d v="2023-05-05T08:40:49"/>
    <b v="0"/>
    <n v="1"/>
  </r>
  <r>
    <s v="TK61379"/>
    <d v="2023-05-01T13:02:00"/>
    <s v="chat"/>
    <x v="1"/>
    <x v="1"/>
    <s v="Issue with webhook deliveries failing"/>
    <n v="33"/>
    <d v="2023-05-02T04:48:00"/>
    <b v="0"/>
    <m/>
  </r>
  <r>
    <s v="TK60984"/>
    <d v="2023-05-01T18:52:00"/>
    <s v="chat"/>
    <x v="3"/>
    <x v="3"/>
    <s v="Cannot log in after password reset"/>
    <n v="533"/>
    <d v="2023-05-01T20:23:38"/>
    <b v="0"/>
    <m/>
  </r>
  <r>
    <s v="TK62034"/>
    <d v="2023-05-01T21:10:00"/>
    <s v="email"/>
    <x v="1"/>
    <x v="1"/>
    <s v="Error when the dashboard loading slowly"/>
    <n v="190"/>
    <d v="2023-05-03T03:41:18"/>
    <b v="0"/>
    <m/>
  </r>
  <r>
    <s v="TK62725"/>
    <d v="2023-05-02T03:33:00"/>
    <s v="chat"/>
    <x v="3"/>
    <x v="1"/>
    <s v="Unable to the invoice for last month"/>
    <n v="29"/>
    <d v="2023-05-19T13:04:39"/>
    <b v="0"/>
    <m/>
  </r>
  <r>
    <s v="TK62944"/>
    <d v="2023-05-02T05:57:00"/>
    <s v="email"/>
    <x v="0"/>
    <x v="0"/>
    <s v="Error when the dashboard loading slowly"/>
    <n v="26"/>
    <d v="2023-05-02T08:00:36"/>
    <b v="0"/>
    <m/>
  </r>
  <r>
    <s v="TK60380"/>
    <d v="2023-05-02T05:58:00"/>
    <s v="chat"/>
    <x v="4"/>
    <x v="0"/>
    <s v="Request to downgrade my plan"/>
    <n v="55"/>
    <m/>
    <b v="0"/>
    <m/>
  </r>
  <r>
    <s v="TK61717"/>
    <d v="2023-05-02T06:31:00"/>
    <s v="chat"/>
    <x v="1"/>
    <x v="1"/>
    <s v="Issue with downgrade my plan"/>
    <n v="121"/>
    <d v="2023-05-02T11:59:25"/>
    <b v="0"/>
    <m/>
  </r>
  <r>
    <s v="TK60689"/>
    <d v="2023-05-02T07:37:00"/>
    <s v="email"/>
    <x v="3"/>
    <x v="1"/>
    <s v="Unable to log in after password reset"/>
    <m/>
    <d v="2023-05-10T11:58:11"/>
    <b v="0"/>
    <m/>
  </r>
  <r>
    <s v="TK60297"/>
    <d v="2023-05-02T08:10:00"/>
    <s v="chat"/>
    <x v="3"/>
    <x v="0"/>
    <s v="Unable to two-factor authentication"/>
    <n v="64"/>
    <d v="2023-05-06T01:51:41"/>
    <b v="0"/>
    <n v="5"/>
  </r>
  <r>
    <s v="TK60614"/>
    <d v="2023-05-02T10:48:00"/>
    <s v="email"/>
    <x v="4"/>
    <x v="0"/>
    <s v="How do I two-factor authentication"/>
    <n v="40"/>
    <d v="2023-05-02T14:29:24"/>
    <b v="0"/>
    <n v="4"/>
  </r>
  <r>
    <s v="TK61650"/>
    <d v="2023-05-02T11:16:00"/>
    <s v="phone"/>
    <x v="2"/>
    <x v="2"/>
    <s v="How do I export my data"/>
    <n v="16"/>
    <d v="2023-05-02T19:55:04"/>
    <b v="0"/>
    <m/>
  </r>
  <r>
    <s v="TK61707"/>
    <d v="2023-05-02T11:53:00"/>
    <s v="phone"/>
    <x v="1"/>
    <x v="1"/>
    <s v="Request to the invoice for last month"/>
    <n v="137"/>
    <d v="2023-05-10T01:15:52"/>
    <b v="0"/>
    <m/>
  </r>
  <r>
    <s v="TK63176"/>
    <d v="2023-05-02T11:54:00"/>
    <s v="email"/>
    <x v="1"/>
    <x v="3"/>
    <s v="Issue with the dashboard loading slowly"/>
    <n v="773"/>
    <d v="2023-05-02T19:41:40"/>
    <b v="0"/>
    <m/>
  </r>
  <r>
    <s v="TK63146"/>
    <d v="2023-05-02T15:30:00"/>
    <s v="in-app"/>
    <x v="3"/>
    <x v="1"/>
    <s v="Error when a refund for an annual plan"/>
    <n v="53"/>
    <d v="2023-05-04T16:49:22"/>
    <b v="0"/>
    <m/>
  </r>
  <r>
    <s v="TK63504"/>
    <d v="2023-05-02T17:11:00"/>
    <s v="phone"/>
    <x v="3"/>
    <x v="0"/>
    <s v="Issue with two-factor authentication"/>
    <n v="241"/>
    <d v="2023-05-07T02:15:02"/>
    <b v="0"/>
    <n v="4"/>
  </r>
  <r>
    <s v="TK60596"/>
    <d v="2023-05-03T02:57:00"/>
    <s v="email"/>
    <x v="3"/>
    <x v="1"/>
    <s v="Error when add a teammate"/>
    <n v="157"/>
    <d v="2023-05-04T04:47:13"/>
    <b v="0"/>
    <m/>
  </r>
  <r>
    <s v="TK61339"/>
    <d v="2023-05-03T05:29:00"/>
    <s v="chat"/>
    <x v="4"/>
    <x v="1"/>
    <s v="Cannot the dashboard loading slowly"/>
    <n v="20"/>
    <d v="2023-05-03T14:56:55"/>
    <b v="0"/>
    <m/>
  </r>
  <r>
    <s v="TK63315"/>
    <d v="2023-05-03T06:25:00"/>
    <s v="phone"/>
    <x v="1"/>
    <x v="1"/>
    <s v="Request to a refund for an annual plan"/>
    <n v="101"/>
    <d v="2023-05-05T10:01:17"/>
    <b v="0"/>
    <n v="5"/>
  </r>
  <r>
    <s v="TK62164"/>
    <d v="2023-05-03T06:35:00"/>
    <s v="chat"/>
    <x v="1"/>
    <x v="1"/>
    <s v="Error when export my data"/>
    <n v="142"/>
    <d v="2023-05-06T17:24:34"/>
    <b v="0"/>
    <n v="1"/>
  </r>
  <r>
    <s v="TK62256"/>
    <d v="2023-05-03T07:25:00"/>
    <s v="chat"/>
    <x v="3"/>
    <x v="3"/>
    <s v="Unable to two-factor authentication"/>
    <n v="423"/>
    <d v="2023-05-03T15:18:33"/>
    <b v="0"/>
    <m/>
  </r>
  <r>
    <s v="TK60316"/>
    <d v="2023-05-03T07:50:00"/>
    <s v="phone"/>
    <x v="4"/>
    <x v="1"/>
    <s v="Error when export my data"/>
    <n v="192"/>
    <d v="2023-05-04T13:33:09"/>
    <b v="0"/>
    <m/>
  </r>
  <r>
    <s v="TK61819"/>
    <d v="2023-05-03T08:10:00"/>
    <s v="email"/>
    <x v="1"/>
    <x v="1"/>
    <s v="Request to webhook deliveries failing"/>
    <n v="122"/>
    <d v="2023-05-04T08:58:12"/>
    <b v="0"/>
    <m/>
  </r>
  <r>
    <s v="TK61867"/>
    <d v="2023-05-03T11:43:00"/>
    <s v="in-app"/>
    <x v="1"/>
    <x v="0"/>
    <s v="Question about a duplicate charge"/>
    <n v="51"/>
    <d v="2023-05-03T21:20:59"/>
    <b v="0"/>
    <n v="5"/>
  </r>
  <r>
    <s v="TK63449"/>
    <d v="2023-05-03T18:49:00"/>
    <s v="email"/>
    <x v="3"/>
    <x v="0"/>
    <s v="Error when two-factor authentication"/>
    <n v="19"/>
    <d v="2023-05-05T00:47:19"/>
    <b v="0"/>
    <m/>
  </r>
  <r>
    <s v="TK63221"/>
    <d v="2023-05-03T20:15:00"/>
    <s v="in-app"/>
    <x v="1"/>
    <x v="3"/>
    <s v="Request to log in after password reset"/>
    <n v="723"/>
    <d v="2023-07-31T14:43:50"/>
    <b v="0"/>
    <n v="3"/>
  </r>
  <r>
    <s v="TK60454"/>
    <d v="2023-05-03T22:03:00"/>
    <s v="email"/>
    <x v="4"/>
    <x v="1"/>
    <s v="How do I two-factor authentication"/>
    <n v="266"/>
    <d v="2023-05-04T16:39:06"/>
    <b v="0"/>
    <n v="5"/>
  </r>
  <r>
    <s v="TK61356"/>
    <d v="2023-05-03T23:34:00"/>
    <s v="phone"/>
    <x v="1"/>
    <x v="1"/>
    <s v="How do I the invoice for last month"/>
    <n v="141"/>
    <d v="2023-05-04T11:12:21"/>
    <b v="0"/>
    <m/>
  </r>
  <r>
    <s v="TK62321"/>
    <d v="2023-05-04T04:33:00"/>
    <s v="email"/>
    <x v="0"/>
    <x v="0"/>
    <s v="How do I a refund for an annual plan"/>
    <n v="48"/>
    <d v="2023-05-04T08:07:14"/>
    <b v="0"/>
    <m/>
  </r>
  <r>
    <s v="TK63065"/>
    <d v="2023-05-04T04:36:00"/>
    <s v="email"/>
    <x v="4"/>
    <x v="3"/>
    <s v="Question about the API rate limit"/>
    <n v="154"/>
    <d v="2023-05-07T22:59:41"/>
    <b v="0"/>
    <m/>
  </r>
  <r>
    <s v="TK63972"/>
    <d v="2023-05-04T05:41:00"/>
    <s v="email"/>
    <x v="0"/>
    <x v="1"/>
    <s v="Unable to log in after password reset"/>
    <n v="141"/>
    <d v="2023-05-05T12:13:58"/>
    <b v="1"/>
    <n v="1"/>
  </r>
  <r>
    <s v="TK63812"/>
    <d v="2023-05-04T05:59:00"/>
    <s v="phone"/>
    <x v="1"/>
    <x v="3"/>
    <s v="Question about the dashboard loading slowly"/>
    <n v="233"/>
    <d v="2023-05-06T14:56:52"/>
    <b v="0"/>
    <m/>
  </r>
  <r>
    <s v="TK63589"/>
    <d v="2023-05-04T09:33:00"/>
    <s v="email"/>
    <x v="2"/>
    <x v="0"/>
    <s v="How do I export my data"/>
    <n v="39"/>
    <d v="2023-05-06T05:18:46"/>
    <b v="0"/>
    <n v="1"/>
  </r>
  <r>
    <s v="TK60268"/>
    <d v="2023-05-04T09:37:00"/>
    <s v="in-app"/>
    <x v="2"/>
    <x v="1"/>
    <s v="Issue with export my data"/>
    <m/>
    <d v="2023-05-05T21:03:00"/>
    <b v="0"/>
    <n v="5"/>
  </r>
  <r>
    <s v="TK61861"/>
    <d v="2023-05-04T11:16:00"/>
    <s v="email"/>
    <x v="4"/>
    <x v="1"/>
    <s v="Unable to two-factor authentication"/>
    <n v="43"/>
    <m/>
    <b v="0"/>
    <m/>
  </r>
  <r>
    <s v="TK61063"/>
    <d v="2023-05-04T14:01:00"/>
    <s v="chat"/>
    <x v="4"/>
    <x v="1"/>
    <s v="Error when export my data"/>
    <n v="62"/>
    <d v="2023-05-06T07:19:39"/>
    <b v="0"/>
    <m/>
  </r>
  <r>
    <s v="TK60184"/>
    <d v="2023-05-04T16:02:00"/>
    <s v="email"/>
    <x v="3"/>
    <x v="1"/>
    <s v="Issue with downgrade my plan"/>
    <n v="476"/>
    <d v="2023-05-08T00:56:52"/>
    <b v="0"/>
    <n v="4"/>
  </r>
  <r>
    <s v="TK62622"/>
    <d v="2023-05-04T20:32:00"/>
    <s v="phone"/>
    <x v="4"/>
    <x v="1"/>
    <s v="Cannot connecting the Snowflake sync"/>
    <n v="26"/>
    <d v="2023-05-05T03:47:09"/>
    <b v="0"/>
    <n v="4"/>
  </r>
  <r>
    <s v="TK62906"/>
    <d v="2023-05-04T22:45:00"/>
    <s v="phone"/>
    <x v="1"/>
    <x v="1"/>
    <s v="Request to add a teammate"/>
    <n v="300"/>
    <d v="2023-05-14T03:12:36"/>
    <b v="0"/>
    <m/>
  </r>
  <r>
    <s v="TK61179"/>
    <d v="2023-05-04T23:27:00"/>
    <s v="in-app"/>
    <x v="4"/>
    <x v="1"/>
    <s v="How do I add a teammate"/>
    <n v="129"/>
    <d v="2023-05-06T01:54:03"/>
    <b v="0"/>
    <n v="4"/>
  </r>
  <r>
    <s v="TK62466"/>
    <d v="2023-05-05T05:24:00"/>
    <s v="email"/>
    <x v="4"/>
    <x v="0"/>
    <s v="Request to log in after password reset"/>
    <n v="100"/>
    <d v="2023-05-05T09:44:37"/>
    <b v="0"/>
    <m/>
  </r>
  <r>
    <s v="TK61638"/>
    <d v="2023-05-05T09:57:00"/>
    <s v="chat"/>
    <x v="1"/>
    <x v="1"/>
    <s v="Cannot the dashboard loading slowly"/>
    <n v="61"/>
    <d v="2023-05-07T12:36:11"/>
    <b v="0"/>
    <m/>
  </r>
  <r>
    <s v="TK63234"/>
    <d v="2023-05-05T10:42:00"/>
    <s v="email"/>
    <x v="1"/>
    <x v="1"/>
    <s v="Unable to the API rate limit"/>
    <n v="63"/>
    <d v="2023-05-06T03:19:46"/>
    <b v="0"/>
    <n v="5"/>
  </r>
  <r>
    <s v="TK60353"/>
    <d v="2023-05-05T12:28:00"/>
    <s v="email"/>
    <x v="4"/>
    <x v="3"/>
    <s v="Issue with add a teammate"/>
    <n v="469"/>
    <d v="2023-05-07T00:28:18"/>
    <b v="1"/>
    <m/>
  </r>
  <r>
    <s v="TK63507"/>
    <d v="2023-05-05T19:52:00"/>
    <s v="email"/>
    <x v="3"/>
    <x v="0"/>
    <s v="Cannot the invoice for last month"/>
    <n v="50"/>
    <d v="2023-05-12T02:31:22"/>
    <b v="0"/>
    <m/>
  </r>
  <r>
    <s v="TK60311"/>
    <d v="2023-05-05T20:21:00"/>
    <s v="email"/>
    <x v="4"/>
    <x v="1"/>
    <s v="Issue with a duplicate charge"/>
    <n v="152"/>
    <d v="2023-05-06T18:49:06"/>
    <b v="1"/>
    <m/>
  </r>
  <r>
    <s v="TK63359"/>
    <d v="2023-05-05T21:14:00"/>
    <s v="chat"/>
    <x v="2"/>
    <x v="1"/>
    <s v="Cannot log in after password reset"/>
    <n v="282"/>
    <d v="2023-05-09T01:55:50"/>
    <b v="0"/>
    <m/>
  </r>
  <r>
    <s v="TK60708"/>
    <d v="2023-05-06T02:31:00"/>
    <s v="email"/>
    <x v="3"/>
    <x v="1"/>
    <s v="Cannot log in after password reset"/>
    <n v="31"/>
    <d v="2023-05-16T01:31:43"/>
    <b v="0"/>
    <m/>
  </r>
  <r>
    <s v="TK60330"/>
    <d v="2023-05-06T08:16:00"/>
    <s v="chat"/>
    <x v="2"/>
    <x v="0"/>
    <s v="Request to webhook deliveries failing"/>
    <n v="146"/>
    <d v="2023-05-07T00:59:06"/>
    <b v="0"/>
    <m/>
  </r>
  <r>
    <s v="TK62538"/>
    <d v="2023-05-06T08:43:00"/>
    <s v="email"/>
    <x v="0"/>
    <x v="3"/>
    <s v="Error when export my data"/>
    <n v="347"/>
    <d v="2023-05-07T00:58:31"/>
    <b v="0"/>
    <m/>
  </r>
  <r>
    <s v="TK60267"/>
    <d v="2023-05-06T08:55:00"/>
    <s v="phone"/>
    <x v="1"/>
    <x v="3"/>
    <s v="Issue with a refund for an annual plan"/>
    <n v="70"/>
    <d v="2023-05-12T05:16:41"/>
    <b v="0"/>
    <m/>
  </r>
  <r>
    <s v="TK60187"/>
    <d v="2023-05-06T12:26:00"/>
    <s v="email"/>
    <x v="3"/>
    <x v="0"/>
    <s v="Request to the invoice for last month"/>
    <n v="39"/>
    <d v="2023-05-06T14:40:37"/>
    <b v="0"/>
    <m/>
  </r>
  <r>
    <s v="TK63787"/>
    <d v="2023-05-06T12:40:00"/>
    <s v="email"/>
    <x v="2"/>
    <x v="1"/>
    <s v="Issue with two-factor authentication"/>
    <n v="35"/>
    <d v="2023-05-09T04:41:28"/>
    <b v="0"/>
    <m/>
  </r>
  <r>
    <s v="TK62392"/>
    <d v="2023-05-06T15:38:00"/>
    <s v="chat"/>
    <x v="2"/>
    <x v="1"/>
    <s v="Unable to connecting the Snowflake sync"/>
    <n v="86"/>
    <d v="2023-05-07T02:54:07"/>
    <b v="0"/>
    <m/>
  </r>
  <r>
    <s v="TK60710"/>
    <d v="2023-05-06T17:33:00"/>
    <s v="in-app"/>
    <x v="1"/>
    <x v="1"/>
    <s v="Request to the dashboard loading slowly"/>
    <n v="30"/>
    <d v="2023-05-08T19:07:23"/>
    <b v="0"/>
    <m/>
  </r>
  <r>
    <s v="TK60472"/>
    <d v="2023-05-06T18:50:00"/>
    <s v="in-app"/>
    <x v="2"/>
    <x v="0"/>
    <s v="Error when log in after password reset"/>
    <n v="30"/>
    <d v="2023-05-07T03:41:51"/>
    <b v="0"/>
    <m/>
  </r>
  <r>
    <s v="TK60470"/>
    <d v="2023-05-06T19:28:00"/>
    <s v="chat"/>
    <x v="1"/>
    <x v="1"/>
    <s v="Cannot webhook deliveries failing"/>
    <n v="542"/>
    <d v="2023-05-07T22:25:12"/>
    <b v="0"/>
    <m/>
  </r>
  <r>
    <s v="TK60861"/>
    <d v="2023-05-06T20:21:00"/>
    <s v="phone"/>
    <x v="0"/>
    <x v="3"/>
    <s v="Issue with log in after password reset"/>
    <n v="1313"/>
    <d v="2023-05-07T19:51:22"/>
    <b v="1"/>
    <m/>
  </r>
  <r>
    <s v="TK61964"/>
    <d v="2023-05-06T23:02:00"/>
    <s v="in-app"/>
    <x v="1"/>
    <x v="1"/>
    <s v="Issue with a refund for an annual plan"/>
    <n v="41"/>
    <d v="2023-05-10T20:14:46"/>
    <b v="0"/>
    <n v="4"/>
  </r>
  <r>
    <s v="TK60666"/>
    <d v="2023-05-07T06:42:00"/>
    <s v="email"/>
    <x v="1"/>
    <x v="1"/>
    <s v="Issue with export my data"/>
    <n v="146"/>
    <d v="2023-05-08T07:00:02"/>
    <b v="0"/>
    <n v="5"/>
  </r>
  <r>
    <s v="TK63719"/>
    <d v="2023-05-07T09:39:00"/>
    <s v="in-app"/>
    <x v="1"/>
    <x v="1"/>
    <s v="Request to export my data"/>
    <n v="84"/>
    <d v="2023-05-18T07:57:20"/>
    <b v="0"/>
    <m/>
  </r>
  <r>
    <s v="TK63084"/>
    <d v="2023-05-07T11:25:00"/>
    <s v="in-app"/>
    <x v="1"/>
    <x v="1"/>
    <s v="Error when connecting the Snowflake sync"/>
    <n v="92"/>
    <d v="2023-05-07T23:48:22"/>
    <b v="0"/>
    <m/>
  </r>
  <r>
    <s v="TK62852"/>
    <d v="2023-05-07T14:52:00"/>
    <s v="chat"/>
    <x v="2"/>
    <x v="3"/>
    <s v="How do I the API rate limit"/>
    <n v="1693"/>
    <d v="2023-05-08T23:30:03"/>
    <b v="0"/>
    <m/>
  </r>
  <r>
    <s v="TK61858"/>
    <d v="2023-05-07T15:44:00"/>
    <s v="chat"/>
    <x v="2"/>
    <x v="0"/>
    <s v="Error when a refund for an annual plan"/>
    <n v="4"/>
    <d v="2023-05-08T12:02:16"/>
    <b v="0"/>
    <n v="3"/>
  </r>
  <r>
    <s v="TK60511"/>
    <d v="2023-05-07T16:45:00"/>
    <s v="phone"/>
    <x v="1"/>
    <x v="0"/>
    <s v="Error when log in after password reset"/>
    <n v="24"/>
    <d v="2023-05-07T23:13:55"/>
    <b v="0"/>
    <n v="4"/>
  </r>
  <r>
    <s v="TK63125"/>
    <d v="2023-05-07T18:37:00"/>
    <s v="email"/>
    <x v="4"/>
    <x v="1"/>
    <s v="Question about downgrade my plan"/>
    <n v="81"/>
    <d v="2023-05-09T00:53:13"/>
    <b v="0"/>
    <m/>
  </r>
  <r>
    <s v="TK63375"/>
    <d v="2023-05-07T18:50:00"/>
    <s v="email"/>
    <x v="1"/>
    <x v="1"/>
    <s v="Unable to connecting the Snowflake sync"/>
    <n v="186"/>
    <d v="2023-05-07T22:54:52"/>
    <b v="0"/>
    <m/>
  </r>
  <r>
    <s v="TK61997"/>
    <d v="2023-05-07T20:07:00"/>
    <s v="email"/>
    <x v="2"/>
    <x v="1"/>
    <s v="Error when add a teammate"/>
    <m/>
    <d v="2023-05-08T03:20:40"/>
    <b v="0"/>
    <m/>
  </r>
  <r>
    <s v="TK61069"/>
    <d v="2023-05-07T20:13:00"/>
    <s v="chat"/>
    <x v="3"/>
    <x v="0"/>
    <s v="Error when a refund for an annual plan"/>
    <n v="456"/>
    <d v="2023-05-08T09:49:10"/>
    <b v="1"/>
    <m/>
  </r>
  <r>
    <s v="TK61748"/>
    <d v="2023-05-07T21:19:00"/>
    <s v="email"/>
    <x v="2"/>
    <x v="3"/>
    <s v="Issue with add a teammate"/>
    <n v="225"/>
    <d v="2023-05-09T23:47:17"/>
    <b v="0"/>
    <m/>
  </r>
  <r>
    <s v="TK63931"/>
    <d v="2023-05-08T01:06:00"/>
    <s v="in-app"/>
    <x v="2"/>
    <x v="1"/>
    <s v="Question about the API rate limit"/>
    <n v="139"/>
    <d v="2023-05-08T07:36:12"/>
    <b v="0"/>
    <m/>
  </r>
  <r>
    <s v="TK61535"/>
    <d v="2023-05-08T01:14:00"/>
    <s v="in-app"/>
    <x v="1"/>
    <x v="1"/>
    <s v="Unable to webhook deliveries failing"/>
    <n v="211"/>
    <m/>
    <b v="0"/>
    <m/>
  </r>
  <r>
    <s v="TK60212"/>
    <d v="2023-05-08T01:53:00"/>
    <s v="email"/>
    <x v="1"/>
    <x v="2"/>
    <s v="Error when two-factor authentication"/>
    <n v="13"/>
    <d v="2023-05-12T08:31:14"/>
    <b v="0"/>
    <m/>
  </r>
  <r>
    <s v="TK61538"/>
    <d v="2023-05-08T04:19:00"/>
    <s v="chat"/>
    <x v="2"/>
    <x v="0"/>
    <s v="Cannot the API rate limit"/>
    <n v="110"/>
    <d v="2023-05-08T09:57:36"/>
    <b v="0"/>
    <n v="4"/>
  </r>
  <r>
    <s v="TK62594"/>
    <d v="2023-05-08T09:48:00"/>
    <s v="in-app"/>
    <x v="1"/>
    <x v="2"/>
    <s v="How do I add a teammate"/>
    <n v="64"/>
    <m/>
    <b v="0"/>
    <m/>
  </r>
  <r>
    <s v="TK62245"/>
    <d v="2023-05-08T12:46:00"/>
    <s v="chat"/>
    <x v="2"/>
    <x v="2"/>
    <s v="Request to export my data"/>
    <n v="19"/>
    <d v="2023-05-08T19:05:20"/>
    <b v="0"/>
    <n v="5"/>
  </r>
  <r>
    <s v="TK63712"/>
    <d v="2023-05-08T12:48:00"/>
    <s v="email"/>
    <x v="1"/>
    <x v="2"/>
    <s v="Issue with downgrade my plan"/>
    <n v="6"/>
    <d v="2023-05-08T18:54:35"/>
    <b v="0"/>
    <m/>
  </r>
  <r>
    <s v="TK61333"/>
    <d v="2023-05-08T13:03:00"/>
    <s v="chat"/>
    <x v="0"/>
    <x v="1"/>
    <s v="Request to a duplicate charge"/>
    <n v="39"/>
    <d v="2023-05-09T00:00:04"/>
    <b v="0"/>
    <m/>
  </r>
  <r>
    <s v="TK60008"/>
    <d v="2023-05-08T19:18:00"/>
    <s v="in-app"/>
    <x v="1"/>
    <x v="3"/>
    <s v="Issue with the dashboard loading slowly"/>
    <n v="194"/>
    <d v="2023-05-24T04:08:07"/>
    <b v="0"/>
    <n v="5"/>
  </r>
  <r>
    <s v="TK63101"/>
    <d v="2023-05-08T19:19:00"/>
    <s v="in-app"/>
    <x v="1"/>
    <x v="3"/>
    <s v="Unable to a refund for an annual plan"/>
    <n v="143"/>
    <d v="2023-05-10T18:10:27"/>
    <b v="0"/>
    <m/>
  </r>
  <r>
    <s v="TK60065"/>
    <d v="2023-05-08T20:39:00"/>
    <s v="email"/>
    <x v="2"/>
    <x v="1"/>
    <s v="Error when the API rate limit"/>
    <n v="290"/>
    <d v="2023-05-10T16:51:10"/>
    <b v="1"/>
    <m/>
  </r>
  <r>
    <s v="TK63774"/>
    <d v="2023-05-08T21:47:00"/>
    <s v="email"/>
    <x v="1"/>
    <x v="0"/>
    <s v="Issue with webhook deliveries failing"/>
    <n v="37"/>
    <m/>
    <b v="0"/>
    <m/>
  </r>
  <r>
    <s v="TK61887"/>
    <d v="2023-05-09T07:27:00"/>
    <s v="email"/>
    <x v="2"/>
    <x v="0"/>
    <s v="Question about the invoice for last month"/>
    <n v="27"/>
    <d v="2023-05-09T17:39:28"/>
    <b v="0"/>
    <m/>
  </r>
  <r>
    <s v="TK60463"/>
    <d v="2023-05-09T08:42:00"/>
    <s v="phone"/>
    <x v="4"/>
    <x v="1"/>
    <s v="Unable to the API rate limit"/>
    <n v="548"/>
    <d v="2023-05-11T19:49:31"/>
    <b v="0"/>
    <m/>
  </r>
  <r>
    <s v="TK63492"/>
    <d v="2023-05-09T08:51:00"/>
    <s v="phone"/>
    <x v="0"/>
    <x v="0"/>
    <s v="Cannot add a teammate"/>
    <m/>
    <d v="2023-05-09T18:51:40"/>
    <b v="0"/>
    <m/>
  </r>
  <r>
    <s v="TK63829"/>
    <d v="2023-05-09T11:08:00"/>
    <s v="email"/>
    <x v="2"/>
    <x v="1"/>
    <s v="Question about downgrade my plan"/>
    <n v="70"/>
    <d v="2023-05-10T10:25:45"/>
    <b v="0"/>
    <m/>
  </r>
  <r>
    <s v="TK62581"/>
    <d v="2023-05-09T12:25:00"/>
    <s v="phone"/>
    <x v="4"/>
    <x v="3"/>
    <s v="Cannot the API rate limit"/>
    <n v="176"/>
    <d v="2023-05-10T08:07:17"/>
    <b v="0"/>
    <m/>
  </r>
  <r>
    <s v="TK62534"/>
    <d v="2023-05-09T14:40:00"/>
    <s v="email"/>
    <x v="1"/>
    <x v="1"/>
    <s v="Cannot export my data"/>
    <m/>
    <d v="2023-05-15T22:50:52"/>
    <b v="0"/>
    <m/>
  </r>
  <r>
    <s v="TK63579"/>
    <d v="2023-05-09T16:11:00"/>
    <s v="in-app"/>
    <x v="2"/>
    <x v="3"/>
    <s v="Cannot downgrade my plan"/>
    <n v="36"/>
    <m/>
    <b v="0"/>
    <m/>
  </r>
  <r>
    <s v="TK62773"/>
    <d v="2023-05-09T16:48:00"/>
    <s v="email"/>
    <x v="1"/>
    <x v="1"/>
    <s v="Error when webhook deliveries failing"/>
    <n v="89"/>
    <d v="2023-05-12T06:29:39"/>
    <b v="0"/>
    <m/>
  </r>
  <r>
    <s v="TK60959"/>
    <d v="2023-05-09T18:10:00"/>
    <s v="email"/>
    <x v="3"/>
    <x v="1"/>
    <s v="Request to export my data"/>
    <n v="96"/>
    <d v="2023-05-11T00:16:54"/>
    <b v="0"/>
    <m/>
  </r>
  <r>
    <s v="TK61817"/>
    <d v="2023-05-09T21:01:00"/>
    <s v="in-app"/>
    <x v="4"/>
    <x v="0"/>
    <s v="Error when log in after password reset"/>
    <n v="56"/>
    <d v="2023-05-10T12:39:10"/>
    <b v="0"/>
    <n v="5"/>
  </r>
  <r>
    <s v="TK61153"/>
    <d v="2023-05-09T23:31:00"/>
    <s v="chat"/>
    <x v="3"/>
    <x v="3"/>
    <s v="Request to the dashboard loading slowly"/>
    <n v="54"/>
    <d v="2023-05-31T21:27:51"/>
    <b v="0"/>
    <m/>
  </r>
  <r>
    <s v="TK61667"/>
    <d v="2023-05-10T02:50:00"/>
    <s v="phone"/>
    <x v="4"/>
    <x v="3"/>
    <s v="Question about the API rate limit"/>
    <n v="534"/>
    <d v="2023-05-11T12:54:21"/>
    <b v="0"/>
    <m/>
  </r>
  <r>
    <s v="TK60808"/>
    <d v="2023-05-10T02:59:00"/>
    <s v="chat"/>
    <x v="0"/>
    <x v="0"/>
    <s v="How do I connecting the Snowflake sync"/>
    <n v="37"/>
    <d v="2023-05-10T09:40:44"/>
    <b v="0"/>
    <m/>
  </r>
  <r>
    <s v="TK63346"/>
    <d v="2023-05-10T03:41:00"/>
    <s v="phone"/>
    <x v="1"/>
    <x v="1"/>
    <s v="Request to webhook deliveries failing"/>
    <n v="131"/>
    <d v="2023-05-10T22:23:03"/>
    <b v="0"/>
    <n v="5"/>
  </r>
  <r>
    <s v="TK62710"/>
    <d v="2023-05-10T04:37:00"/>
    <s v="phone"/>
    <x v="4"/>
    <x v="3"/>
    <s v="Error when log in after password reset"/>
    <n v="24"/>
    <d v="2023-05-10T23:37:42"/>
    <b v="0"/>
    <n v="5"/>
  </r>
  <r>
    <s v="TK61774"/>
    <d v="2023-05-10T09:16:00"/>
    <s v="chat"/>
    <x v="3"/>
    <x v="0"/>
    <s v="Unable to the invoice for last month"/>
    <n v="138"/>
    <d v="2023-05-11T04:19:16"/>
    <b v="0"/>
    <n v="4"/>
  </r>
  <r>
    <s v="TK63858"/>
    <d v="2023-05-10T09:34:00"/>
    <s v="chat"/>
    <x v="2"/>
    <x v="1"/>
    <s v="How do I the API rate limit"/>
    <n v="80"/>
    <d v="2023-05-10T16:00:44"/>
    <b v="1"/>
    <m/>
  </r>
  <r>
    <s v="TK61161"/>
    <d v="2023-05-10T10:32:00"/>
    <s v="email"/>
    <x v="2"/>
    <x v="1"/>
    <s v="Request to a duplicate charge"/>
    <n v="36"/>
    <d v="2023-05-11T11:21:01"/>
    <b v="0"/>
    <m/>
  </r>
  <r>
    <s v="TK63389"/>
    <d v="2023-05-10T12:07:00"/>
    <s v="email"/>
    <x v="2"/>
    <x v="2"/>
    <s v="Issue with two-factor authentication"/>
    <n v="4"/>
    <d v="2023-05-10T13:14:36"/>
    <b v="0"/>
    <m/>
  </r>
  <r>
    <s v="TK61071"/>
    <d v="2023-05-10T14:40:00"/>
    <s v="email"/>
    <x v="1"/>
    <x v="2"/>
    <s v="Question about webhook deliveries failing"/>
    <n v="1"/>
    <m/>
    <b v="0"/>
    <m/>
  </r>
  <r>
    <s v="TK63839"/>
    <d v="2023-05-10T14:40:00"/>
    <s v="chat"/>
    <x v="4"/>
    <x v="0"/>
    <s v="How do I a duplicate charge"/>
    <n v="22"/>
    <d v="2023-05-10T16:16:59"/>
    <b v="0"/>
    <n v="4"/>
  </r>
  <r>
    <s v="TK63095"/>
    <d v="2023-05-10T22:09:00"/>
    <s v="chat"/>
    <x v="1"/>
    <x v="0"/>
    <s v="Error when the API rate limit"/>
    <n v="21"/>
    <d v="2023-05-13T03:35:34"/>
    <b v="0"/>
    <m/>
  </r>
  <r>
    <s v="TK61592"/>
    <d v="2023-05-11T01:09:00"/>
    <s v="phone"/>
    <x v="3"/>
    <x v="1"/>
    <s v="Request to export my data"/>
    <n v="150"/>
    <m/>
    <b v="0"/>
    <m/>
  </r>
  <r>
    <s v="TK63597"/>
    <d v="2023-05-11T02:29:00"/>
    <s v="email"/>
    <x v="1"/>
    <x v="3"/>
    <s v="Request to a duplicate charge"/>
    <n v="305"/>
    <d v="2023-05-11T21:58:38"/>
    <b v="0"/>
    <m/>
  </r>
  <r>
    <s v="TK63046"/>
    <d v="2023-05-11T03:59:00"/>
    <s v="phone"/>
    <x v="0"/>
    <x v="2"/>
    <s v="Issue with connecting the Snowflake sync"/>
    <n v="4"/>
    <d v="2023-05-11T10:33:22"/>
    <b v="0"/>
    <n v="1"/>
  </r>
  <r>
    <s v="TK61488"/>
    <d v="2023-05-11T08:33:00"/>
    <s v="email"/>
    <x v="2"/>
    <x v="3"/>
    <s v="Request to the API rate limit"/>
    <m/>
    <d v="2023-05-15T17:33:34"/>
    <b v="1"/>
    <n v="4"/>
  </r>
  <r>
    <s v="TK62481"/>
    <d v="2023-05-11T08:48:00"/>
    <s v="email"/>
    <x v="3"/>
    <x v="1"/>
    <s v="Error when the dashboard loading slowly"/>
    <n v="171"/>
    <d v="2023-05-13T00:57:56"/>
    <b v="0"/>
    <n v="4"/>
  </r>
  <r>
    <s v="TK60351"/>
    <d v="2023-05-11T12:47:00"/>
    <s v="chat"/>
    <x v="0"/>
    <x v="0"/>
    <s v="Request to the dashboard loading slowly"/>
    <n v="58"/>
    <d v="2023-05-12T13:26:48"/>
    <b v="0"/>
    <n v="4"/>
  </r>
  <r>
    <s v="TK61617"/>
    <d v="2023-05-11T13:36:00"/>
    <s v="chat"/>
    <x v="1"/>
    <x v="2"/>
    <s v="Request to downgrade my plan"/>
    <n v="8"/>
    <d v="2023-05-12T12:32:16"/>
    <b v="0"/>
    <m/>
  </r>
  <r>
    <s v="TK60429"/>
    <d v="2023-05-11T15:00:00"/>
    <s v="chat"/>
    <x v="4"/>
    <x v="2"/>
    <s v="Request to webhook deliveries failing"/>
    <n v="27"/>
    <d v="2023-05-11T23:53:14"/>
    <b v="0"/>
    <m/>
  </r>
  <r>
    <s v="TK61170"/>
    <d v="2023-05-11T17:07:00"/>
    <s v="phone"/>
    <x v="1"/>
    <x v="1"/>
    <s v="Issue with the API rate limit"/>
    <n v="357"/>
    <d v="2023-05-18T07:46:10"/>
    <b v="0"/>
    <m/>
  </r>
  <r>
    <s v="TK60259"/>
    <d v="2023-05-11T17:29:00"/>
    <s v="in-app"/>
    <x v="4"/>
    <x v="2"/>
    <s v="Question about two-factor authentication"/>
    <m/>
    <d v="2023-05-12T02:15:30"/>
    <b v="0"/>
    <m/>
  </r>
  <r>
    <s v="TK61546"/>
    <d v="2023-05-12T00:07:00"/>
    <s v="email"/>
    <x v="2"/>
    <x v="0"/>
    <s v="Error when the dashboard loading slowly"/>
    <n v="81"/>
    <d v="2023-05-13T09:34:40"/>
    <b v="1"/>
    <n v="4"/>
  </r>
  <r>
    <s v="TK60896"/>
    <d v="2023-05-12T00:56:00"/>
    <s v="in-app"/>
    <x v="1"/>
    <x v="1"/>
    <s v="Question about the invoice for last month"/>
    <n v="190"/>
    <m/>
    <b v="0"/>
    <m/>
  </r>
  <r>
    <s v="TK63457"/>
    <d v="2023-05-12T01:03:00"/>
    <s v="chat"/>
    <x v="1"/>
    <x v="1"/>
    <s v="Issue with export my data"/>
    <n v="27"/>
    <d v="2023-05-15T01:24:53"/>
    <b v="0"/>
    <m/>
  </r>
  <r>
    <s v="TK60706"/>
    <d v="2023-05-12T01:30:00"/>
    <s v="email"/>
    <x v="1"/>
    <x v="0"/>
    <s v="Unable to add a teammate"/>
    <n v="405"/>
    <d v="2023-05-12T16:23:48"/>
    <b v="0"/>
    <m/>
  </r>
  <r>
    <s v="TK60219"/>
    <d v="2023-05-12T01:43:00"/>
    <s v="chat"/>
    <x v="4"/>
    <x v="1"/>
    <s v="Error when webhook deliveries failing"/>
    <n v="13"/>
    <d v="2023-05-14T16:33:48"/>
    <b v="0"/>
    <m/>
  </r>
  <r>
    <s v="TK62112"/>
    <d v="2023-05-12T02:10:00"/>
    <s v="chat"/>
    <x v="2"/>
    <x v="1"/>
    <s v="Unable to the API rate limit"/>
    <n v="66"/>
    <d v="2023-05-17T15:26:01"/>
    <b v="0"/>
    <m/>
  </r>
  <r>
    <s v="TK61802"/>
    <d v="2023-05-12T02:28:00"/>
    <s v="phone"/>
    <x v="2"/>
    <x v="2"/>
    <s v="Question about two-factor authentication"/>
    <n v="7"/>
    <d v="2023-05-12T09:04:31"/>
    <b v="1"/>
    <n v="1"/>
  </r>
  <r>
    <s v="TK62540"/>
    <d v="2023-05-12T06:52:00"/>
    <s v="email"/>
    <x v="4"/>
    <x v="1"/>
    <s v="Error when log in after password reset"/>
    <n v="89"/>
    <d v="2023-05-13T23:35:04"/>
    <b v="0"/>
    <n v="1"/>
  </r>
  <r>
    <s v="TK62619"/>
    <d v="2023-05-12T08:58:00"/>
    <s v="email"/>
    <x v="1"/>
    <x v="1"/>
    <s v="Error when downgrade my plan"/>
    <n v="23"/>
    <d v="2023-05-25T13:18:03"/>
    <b v="0"/>
    <m/>
  </r>
  <r>
    <s v="TK61084"/>
    <d v="2023-05-12T10:56:00"/>
    <s v="phone"/>
    <x v="1"/>
    <x v="3"/>
    <s v="Cannot downgrade my plan"/>
    <n v="152"/>
    <d v="2023-05-18T21:55:59"/>
    <b v="0"/>
    <m/>
  </r>
  <r>
    <s v="TK63126"/>
    <d v="2023-05-12T11:24:00"/>
    <s v="in-app"/>
    <x v="1"/>
    <x v="0"/>
    <s v="Question about connecting the Snowflake sync"/>
    <n v="77"/>
    <d v="2023-05-12T21:45:39"/>
    <b v="0"/>
    <n v="5"/>
  </r>
  <r>
    <s v="TK62413"/>
    <d v="2023-05-12T17:46:00"/>
    <s v="phone"/>
    <x v="1"/>
    <x v="2"/>
    <s v="Question about a duplicate charge"/>
    <n v="46"/>
    <d v="2023-05-13T07:19:01"/>
    <b v="0"/>
    <m/>
  </r>
  <r>
    <s v="TK62468"/>
    <d v="2023-05-12T18:01:00"/>
    <s v="chat"/>
    <x v="4"/>
    <x v="3"/>
    <s v="How do I a refund for an annual plan"/>
    <n v="171"/>
    <d v="2023-05-17T19:33:33"/>
    <b v="0"/>
    <m/>
  </r>
  <r>
    <s v="TK61344"/>
    <d v="2023-05-12T18:20:00"/>
    <s v="in-app"/>
    <x v="2"/>
    <x v="3"/>
    <s v="How do I export my data"/>
    <n v="91"/>
    <d v="2023-05-13T17:42:08"/>
    <b v="0"/>
    <m/>
  </r>
  <r>
    <s v="TK62738"/>
    <d v="2023-05-12T19:25:00"/>
    <s v="email"/>
    <x v="4"/>
    <x v="1"/>
    <s v="Question about two-factor authentication"/>
    <n v="13"/>
    <d v="2023-05-13T17:09:36"/>
    <b v="0"/>
    <m/>
  </r>
  <r>
    <s v="TK63730"/>
    <d v="2023-05-12T20:31:00"/>
    <s v="email"/>
    <x v="4"/>
    <x v="0"/>
    <s v="How do I add a teammate"/>
    <n v="6"/>
    <d v="2023-05-13T01:34:19"/>
    <b v="0"/>
    <m/>
  </r>
  <r>
    <s v="TK60909"/>
    <d v="2023-05-12T21:40:00"/>
    <s v="email"/>
    <x v="1"/>
    <x v="3"/>
    <s v="Unable to a duplicate charge"/>
    <n v="180"/>
    <d v="2023-05-13T10:00:43"/>
    <b v="0"/>
    <m/>
  </r>
  <r>
    <s v="TK63564"/>
    <d v="2023-05-12T22:22:00"/>
    <s v="in-app"/>
    <x v="2"/>
    <x v="1"/>
    <s v="Issue with export my data"/>
    <m/>
    <d v="2023-05-13T05:56:41"/>
    <b v="1"/>
    <n v="3"/>
  </r>
  <r>
    <s v="TK63926"/>
    <d v="2023-05-12T23:12:00"/>
    <s v="chat"/>
    <x v="4"/>
    <x v="3"/>
    <s v="Question about the API rate limit"/>
    <n v="144"/>
    <d v="2023-05-14T18:48:23"/>
    <b v="0"/>
    <m/>
  </r>
  <r>
    <s v="TK62336"/>
    <d v="2023-05-13T00:01:00"/>
    <s v="email"/>
    <x v="2"/>
    <x v="0"/>
    <s v="Error when a duplicate charge"/>
    <n v="18"/>
    <d v="2023-05-13T13:19:40"/>
    <b v="1"/>
    <m/>
  </r>
  <r>
    <s v="TK62096"/>
    <d v="2023-05-13T06:03:00"/>
    <s v="in-app"/>
    <x v="2"/>
    <x v="1"/>
    <s v="Issue with log in after password reset"/>
    <n v="862"/>
    <d v="2023-05-14T07:39:13"/>
    <b v="0"/>
    <m/>
  </r>
  <r>
    <s v="TK62463"/>
    <d v="2023-05-13T06:15:00"/>
    <s v="in-app"/>
    <x v="2"/>
    <x v="1"/>
    <s v="Error when a refund for an annual plan"/>
    <n v="121"/>
    <d v="2023-05-13T13:02:57"/>
    <b v="0"/>
    <m/>
  </r>
  <r>
    <s v="TK62896"/>
    <d v="2023-05-13T08:50:00"/>
    <s v="chat"/>
    <x v="1"/>
    <x v="1"/>
    <s v="Issue with a refund for an annual plan"/>
    <n v="86"/>
    <d v="2023-05-13T22:37:14"/>
    <b v="0"/>
    <m/>
  </r>
  <r>
    <s v="TK63645"/>
    <d v="2023-05-13T13:21:00"/>
    <s v="in-app"/>
    <x v="0"/>
    <x v="1"/>
    <s v="Error when two-factor authentication"/>
    <n v="30"/>
    <d v="2023-05-13T21:34:41"/>
    <b v="0"/>
    <m/>
  </r>
  <r>
    <s v="TK63745"/>
    <d v="2023-05-13T20:38:00"/>
    <s v="email"/>
    <x v="3"/>
    <x v="1"/>
    <s v="Cannot connecting the Snowflake sync"/>
    <n v="251"/>
    <d v="2023-05-22T15:39:58"/>
    <b v="0"/>
    <m/>
  </r>
  <r>
    <s v="TK61988"/>
    <d v="2023-05-13T20:57:00"/>
    <s v="chat"/>
    <x v="1"/>
    <x v="1"/>
    <s v="Question about two-factor authentication"/>
    <n v="531"/>
    <d v="2023-05-15T19:03:32"/>
    <b v="0"/>
    <m/>
  </r>
  <r>
    <s v="TK63232"/>
    <d v="2023-05-13T20:58:00"/>
    <s v="in-app"/>
    <x v="0"/>
    <x v="1"/>
    <s v="Unable to connecting the Snowflake sync"/>
    <n v="57"/>
    <d v="2023-05-14T13:30:14"/>
    <b v="0"/>
    <m/>
  </r>
  <r>
    <s v="TK62792"/>
    <d v="2023-05-13T21:55:00"/>
    <s v="email"/>
    <x v="2"/>
    <x v="3"/>
    <s v="Unable to webhook deliveries failing"/>
    <n v="301"/>
    <d v="2023-05-14T13:43:08"/>
    <b v="0"/>
    <n v="5"/>
  </r>
  <r>
    <s v="TK63747"/>
    <d v="2023-05-14T04:54:00"/>
    <s v="email"/>
    <x v="2"/>
    <x v="2"/>
    <s v="Question about downgrade my plan"/>
    <n v="29"/>
    <d v="2023-05-14T05:09:43"/>
    <b v="0"/>
    <m/>
  </r>
  <r>
    <s v="TK60089"/>
    <d v="2023-05-14T06:42:00"/>
    <s v="phone"/>
    <x v="3"/>
    <x v="1"/>
    <s v="Question about webhook deliveries failing"/>
    <n v="227"/>
    <d v="2023-05-16T21:20:41"/>
    <b v="1"/>
    <n v="4"/>
  </r>
  <r>
    <s v="TK61915"/>
    <d v="2023-05-14T07:31:00"/>
    <s v="chat"/>
    <x v="3"/>
    <x v="1"/>
    <s v="Unable to two-factor authentication"/>
    <n v="484"/>
    <d v="2023-05-15T15:25:27"/>
    <b v="0"/>
    <m/>
  </r>
  <r>
    <s v="TK62291"/>
    <d v="2023-05-14T08:57:00"/>
    <s v="email"/>
    <x v="1"/>
    <x v="1"/>
    <s v="Issue with a refund for an annual plan"/>
    <n v="195"/>
    <d v="2023-05-16T01:31:10"/>
    <b v="0"/>
    <m/>
  </r>
  <r>
    <s v="TK63765"/>
    <d v="2023-05-14T11:30:00"/>
    <s v="chat"/>
    <x v="4"/>
    <x v="1"/>
    <s v="Error when export my data"/>
    <n v="275"/>
    <d v="2023-05-19T18:43:10"/>
    <b v="0"/>
    <m/>
  </r>
  <r>
    <s v="TK62506"/>
    <d v="2023-05-14T13:01:00"/>
    <s v="chat"/>
    <x v="2"/>
    <x v="3"/>
    <s v="Cannot add a teammate"/>
    <n v="101"/>
    <d v="2023-05-19T11:53:17"/>
    <b v="0"/>
    <m/>
  </r>
  <r>
    <s v="TK62697"/>
    <d v="2023-05-14T13:19:00"/>
    <s v="chat"/>
    <x v="2"/>
    <x v="1"/>
    <s v="Cannot a duplicate charge"/>
    <n v="7"/>
    <d v="2023-05-16T15:46:09"/>
    <b v="0"/>
    <m/>
  </r>
  <r>
    <s v="TK60195"/>
    <d v="2023-05-14T17:38:00"/>
    <s v="phone"/>
    <x v="2"/>
    <x v="1"/>
    <s v="Cannot add a teammate"/>
    <n v="261"/>
    <d v="2023-05-15T22:59:04"/>
    <b v="0"/>
    <m/>
  </r>
  <r>
    <s v="TK62888"/>
    <d v="2023-05-14T19:55:00"/>
    <s v="in-app"/>
    <x v="3"/>
    <x v="1"/>
    <s v="Request to downgrade my plan"/>
    <n v="221"/>
    <d v="2023-05-18T06:15:20"/>
    <b v="0"/>
    <m/>
  </r>
  <r>
    <s v="TK63470"/>
    <d v="2023-05-14T20:44:00"/>
    <s v="in-app"/>
    <x v="0"/>
    <x v="0"/>
    <s v="Question about connecting the Snowflake sync"/>
    <m/>
    <d v="2023-05-16T01:28:57"/>
    <b v="0"/>
    <m/>
  </r>
  <r>
    <s v="TK62068"/>
    <d v="2023-05-14T23:26:00"/>
    <s v="in-app"/>
    <x v="0"/>
    <x v="3"/>
    <s v="Issue with add a teammate"/>
    <n v="83"/>
    <d v="2023-05-16T08:43:49"/>
    <b v="0"/>
    <m/>
  </r>
  <r>
    <s v="TK61237"/>
    <d v="2023-05-14T23:35:00"/>
    <s v="phone"/>
    <x v="2"/>
    <x v="1"/>
    <s v="Request to two-factor authentication"/>
    <n v="115"/>
    <d v="2023-05-15T23:18:01"/>
    <b v="0"/>
    <m/>
  </r>
  <r>
    <s v="TK63997"/>
    <d v="2023-05-15T00:32:00"/>
    <s v="chat"/>
    <x v="1"/>
    <x v="3"/>
    <s v="Cannot the invoice for last month"/>
    <n v="419"/>
    <d v="2023-05-15T19:21:40"/>
    <b v="0"/>
    <n v="2"/>
  </r>
  <r>
    <s v="TK61250"/>
    <d v="2023-05-15T02:48:00"/>
    <s v="in-app"/>
    <x v="2"/>
    <x v="0"/>
    <s v="Question about a refund for an annual plan"/>
    <n v="89"/>
    <d v="2023-05-15T22:21:09"/>
    <b v="0"/>
    <m/>
  </r>
  <r>
    <s v="TK60762"/>
    <d v="2023-05-15T02:57:00"/>
    <s v="in-app"/>
    <x v="4"/>
    <x v="1"/>
    <s v="Error when the invoice for last month"/>
    <n v="38"/>
    <d v="2023-05-16T16:47:40"/>
    <b v="0"/>
    <n v="5"/>
  </r>
  <r>
    <s v="TK62021"/>
    <d v="2023-05-15T03:49:00"/>
    <s v="email"/>
    <x v="3"/>
    <x v="1"/>
    <s v="Request to a refund for an annual plan"/>
    <n v="474"/>
    <d v="2023-05-15T04:52:21"/>
    <b v="0"/>
    <m/>
  </r>
  <r>
    <s v="TK61436"/>
    <d v="2023-05-15T05:39:00"/>
    <s v="email"/>
    <x v="1"/>
    <x v="3"/>
    <s v="Error when the invoice for last month"/>
    <n v="751"/>
    <d v="2023-05-21T14:15:07"/>
    <b v="1"/>
    <m/>
  </r>
  <r>
    <s v="TK62161"/>
    <d v="2023-05-15T17:53:00"/>
    <s v="in-app"/>
    <x v="0"/>
    <x v="2"/>
    <s v="Request to the invoice for last month"/>
    <n v="19"/>
    <d v="2023-05-15T19:30:19"/>
    <b v="0"/>
    <m/>
  </r>
  <r>
    <s v="TK62470"/>
    <d v="2023-05-15T20:34:00"/>
    <s v="phone"/>
    <x v="2"/>
    <x v="3"/>
    <s v="Request to two-factor authentication"/>
    <n v="34"/>
    <d v="2023-05-17T04:32:59"/>
    <b v="0"/>
    <m/>
  </r>
  <r>
    <s v="TK63885"/>
    <d v="2023-05-16T03:37:00"/>
    <s v="chat"/>
    <x v="0"/>
    <x v="0"/>
    <s v="Error when downgrade my plan"/>
    <n v="162"/>
    <d v="2023-05-16T07:30:57"/>
    <b v="1"/>
    <m/>
  </r>
  <r>
    <s v="TK63273"/>
    <d v="2023-05-16T04:59:00"/>
    <s v="in-app"/>
    <x v="1"/>
    <x v="1"/>
    <s v="Error when two-factor authentication"/>
    <n v="74"/>
    <d v="2023-05-17T04:15:30"/>
    <b v="0"/>
    <m/>
  </r>
  <r>
    <s v="TK62003"/>
    <d v="2023-05-16T06:44:00"/>
    <s v="in-app"/>
    <x v="4"/>
    <x v="1"/>
    <s v="Unable to the API rate limit"/>
    <n v="141"/>
    <m/>
    <b v="0"/>
    <m/>
  </r>
  <r>
    <s v="TK62745"/>
    <d v="2023-05-16T12:06:00"/>
    <s v="email"/>
    <x v="1"/>
    <x v="0"/>
    <s v="Error when add a teammate"/>
    <n v="127"/>
    <d v="2023-05-18T16:31:13"/>
    <b v="0"/>
    <m/>
  </r>
  <r>
    <s v="TK60821"/>
    <d v="2023-05-16T13:17:00"/>
    <s v="in-app"/>
    <x v="4"/>
    <x v="1"/>
    <s v="Question about webhook deliveries failing"/>
    <n v="184"/>
    <d v="2023-05-20T22:21:35"/>
    <b v="0"/>
    <n v="5"/>
  </r>
  <r>
    <s v="TK63687"/>
    <d v="2023-05-16T16:15:00"/>
    <s v="chat"/>
    <x v="3"/>
    <x v="1"/>
    <s v="Request to webhook deliveries failing"/>
    <n v="278"/>
    <d v="2023-05-19T22:43:21"/>
    <b v="0"/>
    <m/>
  </r>
  <r>
    <s v="TK63405"/>
    <d v="2023-05-16T18:16:00"/>
    <s v="chat"/>
    <x v="2"/>
    <x v="1"/>
    <s v="Request to downgrade my plan"/>
    <n v="106"/>
    <d v="2023-05-19T18:11:45"/>
    <b v="0"/>
    <m/>
  </r>
  <r>
    <s v="TK63075"/>
    <d v="2023-05-16T21:58:00"/>
    <s v="chat"/>
    <x v="2"/>
    <x v="1"/>
    <s v="How do I two-factor authentication"/>
    <n v="38"/>
    <d v="2023-05-17T02:10:29"/>
    <b v="0"/>
    <m/>
  </r>
  <r>
    <s v="TK63603"/>
    <d v="2023-05-17T04:39:00"/>
    <s v="in-app"/>
    <x v="1"/>
    <x v="3"/>
    <s v="Cannot log in after password reset"/>
    <n v="989"/>
    <d v="2023-05-28T12:56:02"/>
    <b v="0"/>
    <m/>
  </r>
  <r>
    <s v="TK61188"/>
    <d v="2023-05-17T05:19:00"/>
    <s v="chat"/>
    <x v="4"/>
    <x v="0"/>
    <s v="Question about connecting the Snowflake sync"/>
    <n v="15"/>
    <d v="2023-05-17T08:54:11"/>
    <b v="0"/>
    <m/>
  </r>
  <r>
    <s v="TK61314"/>
    <d v="2023-05-17T06:39:00"/>
    <s v="email"/>
    <x v="1"/>
    <x v="0"/>
    <s v="Cannot the dashboard loading slowly"/>
    <n v="79"/>
    <m/>
    <b v="0"/>
    <m/>
  </r>
  <r>
    <s v="TK62777"/>
    <d v="2023-05-17T08:19:00"/>
    <s v="in-app"/>
    <x v="2"/>
    <x v="2"/>
    <s v="Cannot export my data"/>
    <n v="12"/>
    <d v="2023-05-17T17:12:37"/>
    <b v="0"/>
    <m/>
  </r>
  <r>
    <s v="TK61008"/>
    <d v="2023-05-17T11:06:00"/>
    <s v="email"/>
    <x v="1"/>
    <x v="1"/>
    <s v="Cannot a duplicate charge"/>
    <n v="39"/>
    <d v="2023-05-18T06:54:01"/>
    <b v="0"/>
    <m/>
  </r>
  <r>
    <s v="TK63019"/>
    <d v="2023-05-17T15:00:00"/>
    <s v="email"/>
    <x v="4"/>
    <x v="0"/>
    <s v="Error when log in after password reset"/>
    <n v="150"/>
    <d v="2023-05-18T02:17:38"/>
    <b v="0"/>
    <m/>
  </r>
  <r>
    <s v="TK60630"/>
    <d v="2023-05-17T15:31:00"/>
    <s v="email"/>
    <x v="4"/>
    <x v="0"/>
    <s v="Unable to the dashboard loading slowly"/>
    <n v="105"/>
    <d v="2023-05-17T15:54:22"/>
    <b v="0"/>
    <m/>
  </r>
  <r>
    <s v="TK60474"/>
    <d v="2023-05-17T15:36:00"/>
    <s v="chat"/>
    <x v="2"/>
    <x v="1"/>
    <s v="Issue with a refund for an annual plan"/>
    <n v="36"/>
    <d v="2023-05-17T20:57:15"/>
    <b v="0"/>
    <n v="4"/>
  </r>
  <r>
    <s v="TK62060"/>
    <d v="2023-05-17T16:10:00"/>
    <s v="in-app"/>
    <x v="0"/>
    <x v="2"/>
    <s v="Issue with export my data"/>
    <n v="4"/>
    <d v="2023-05-17T17:08:43"/>
    <b v="1"/>
    <n v="3"/>
  </r>
  <r>
    <s v="TK60969"/>
    <d v="2023-05-17T16:41:00"/>
    <s v="email"/>
    <x v="0"/>
    <x v="3"/>
    <s v="Request to the dashboard loading slowly"/>
    <n v="397"/>
    <d v="2023-05-18T21:53:27"/>
    <b v="0"/>
    <n v="3"/>
  </r>
  <r>
    <s v="TK60777"/>
    <d v="2023-05-17T16:42:00"/>
    <s v="chat"/>
    <x v="2"/>
    <x v="1"/>
    <s v="Error when the dashboard loading slowly"/>
    <n v="129"/>
    <d v="2023-05-17T21:47:07"/>
    <b v="0"/>
    <m/>
  </r>
  <r>
    <s v="TK63560"/>
    <d v="2023-05-17T17:35:00"/>
    <s v="email"/>
    <x v="3"/>
    <x v="3"/>
    <s v="Cannot export my data"/>
    <n v="222"/>
    <d v="2023-05-31T05:53:34"/>
    <b v="0"/>
    <n v="3"/>
  </r>
  <r>
    <s v="TK63191"/>
    <d v="2023-05-17T18:46:00"/>
    <s v="in-app"/>
    <x v="2"/>
    <x v="1"/>
    <s v="Cannot downgrade my plan"/>
    <n v="15"/>
    <d v="2023-05-18T16:28:07"/>
    <b v="0"/>
    <m/>
  </r>
  <r>
    <s v="TK61949"/>
    <d v="2023-05-17T21:11:00"/>
    <s v="email"/>
    <x v="3"/>
    <x v="2"/>
    <s v="Cannot webhook deliveries failing"/>
    <n v="9"/>
    <d v="2023-05-18T10:29:31"/>
    <b v="0"/>
    <m/>
  </r>
  <r>
    <s v="TK60968"/>
    <d v="2023-05-17T22:07:00"/>
    <s v="in-app"/>
    <x v="3"/>
    <x v="0"/>
    <s v="Error when export my data"/>
    <n v="16"/>
    <d v="2023-05-18T23:33:03"/>
    <b v="0"/>
    <m/>
  </r>
  <r>
    <s v="TK61580"/>
    <d v="2023-05-17T23:44:00"/>
    <s v="chat"/>
    <x v="2"/>
    <x v="3"/>
    <s v="Cannot the invoice for last month"/>
    <n v="54"/>
    <d v="2023-05-19T18:09:11"/>
    <b v="1"/>
    <n v="5"/>
  </r>
  <r>
    <s v="TK63231"/>
    <d v="2023-05-18T00:50:00"/>
    <s v="chat"/>
    <x v="3"/>
    <x v="1"/>
    <s v="Question about a duplicate charge"/>
    <n v="196"/>
    <d v="2023-05-19T03:18:38"/>
    <b v="0"/>
    <m/>
  </r>
  <r>
    <s v="TK62037"/>
    <d v="2023-05-18T04:53:00"/>
    <s v="chat"/>
    <x v="3"/>
    <x v="1"/>
    <s v="Unable to log in after password reset"/>
    <n v="287"/>
    <d v="2023-05-28T12:49:09"/>
    <b v="0"/>
    <m/>
  </r>
  <r>
    <s v="TK61198"/>
    <d v="2023-05-18T07:22:00"/>
    <s v="in-app"/>
    <x v="0"/>
    <x v="1"/>
    <s v="Request to downgrade my plan"/>
    <n v="13"/>
    <d v="2023-05-22T16:38:18"/>
    <b v="0"/>
    <m/>
  </r>
  <r>
    <s v="TK63352"/>
    <d v="2023-05-18T10:28:00"/>
    <s v="email"/>
    <x v="1"/>
    <x v="3"/>
    <s v="How do I two-factor authentication"/>
    <n v="368"/>
    <d v="2023-05-20T22:02:34"/>
    <b v="0"/>
    <m/>
  </r>
  <r>
    <s v="TK62824"/>
    <d v="2023-05-18T13:41:00"/>
    <s v="email"/>
    <x v="1"/>
    <x v="1"/>
    <s v="How do I export my data"/>
    <n v="35"/>
    <d v="2023-05-22T06:24:13"/>
    <b v="0"/>
    <m/>
  </r>
  <r>
    <s v="TK61173"/>
    <d v="2023-05-18T14:22:00"/>
    <s v="email"/>
    <x v="2"/>
    <x v="2"/>
    <s v="Issue with the API rate limit"/>
    <n v="7"/>
    <d v="2023-05-18T15:56:52"/>
    <b v="1"/>
    <m/>
  </r>
  <r>
    <s v="TK63716"/>
    <d v="2023-05-18T17:44:00"/>
    <s v="email"/>
    <x v="1"/>
    <x v="1"/>
    <s v="Issue with connecting the Snowflake sync"/>
    <n v="133"/>
    <d v="2023-05-21T07:19:21"/>
    <b v="0"/>
    <n v="5"/>
  </r>
  <r>
    <s v="TK60900"/>
    <d v="2023-05-19T00:30:00"/>
    <s v="email"/>
    <x v="1"/>
    <x v="1"/>
    <s v="Issue with connecting the Snowflake sync"/>
    <n v="14"/>
    <d v="2023-05-20T22:22:41"/>
    <b v="0"/>
    <m/>
  </r>
  <r>
    <s v="TK61039"/>
    <d v="2023-05-19T01:22:00"/>
    <s v="chat"/>
    <x v="1"/>
    <x v="1"/>
    <s v="Issue with the API rate limit"/>
    <n v="14"/>
    <d v="2023-05-26T03:37:41"/>
    <b v="0"/>
    <n v="5"/>
  </r>
  <r>
    <s v="TK63501"/>
    <d v="2023-05-19T02:15:00"/>
    <s v="email"/>
    <x v="1"/>
    <x v="1"/>
    <s v="Cannot webhook deliveries failing"/>
    <n v="29"/>
    <d v="2023-05-22T13:15:45"/>
    <b v="0"/>
    <m/>
  </r>
  <r>
    <s v="TK63500"/>
    <d v="2023-05-19T02:58:00"/>
    <s v="email"/>
    <x v="2"/>
    <x v="1"/>
    <s v="Question about a duplicate charge"/>
    <n v="204"/>
    <d v="2023-05-19T18:21:57"/>
    <b v="0"/>
    <n v="3"/>
  </r>
  <r>
    <s v="TK61797"/>
    <d v="2023-05-19T03:42:00"/>
    <s v="chat"/>
    <x v="4"/>
    <x v="1"/>
    <s v="Question about the API rate limit"/>
    <n v="18"/>
    <d v="2023-05-19T12:17:37"/>
    <b v="0"/>
    <m/>
  </r>
  <r>
    <s v="TK61177"/>
    <d v="2023-05-19T05:44:00"/>
    <s v="chat"/>
    <x v="3"/>
    <x v="0"/>
    <s v="Cannot two-factor authentication"/>
    <n v="52"/>
    <d v="2023-05-21T06:00:44"/>
    <b v="0"/>
    <m/>
  </r>
  <r>
    <s v="TK61421"/>
    <d v="2023-05-19T07:35:00"/>
    <s v="email"/>
    <x v="2"/>
    <x v="1"/>
    <s v="Issue with the dashboard loading slowly"/>
    <n v="30"/>
    <d v="2023-05-20T19:16:36"/>
    <b v="0"/>
    <m/>
  </r>
  <r>
    <s v="TK61881"/>
    <d v="2023-05-19T07:47:00"/>
    <s v="phone"/>
    <x v="2"/>
    <x v="3"/>
    <s v="Question about the dashboard loading slowly"/>
    <n v="89"/>
    <d v="2023-05-19T23:02:53"/>
    <b v="0"/>
    <m/>
  </r>
  <r>
    <s v="TK62451"/>
    <d v="2023-05-19T10:05:00"/>
    <s v="chat"/>
    <x v="0"/>
    <x v="0"/>
    <s v="Unable to the invoice for last month"/>
    <n v="25"/>
    <d v="2023-05-20T03:25:36"/>
    <b v="0"/>
    <n v="5"/>
  </r>
  <r>
    <s v="TK62132"/>
    <d v="2023-05-19T10:34:00"/>
    <s v="email"/>
    <x v="1"/>
    <x v="0"/>
    <s v="Question about connecting the Snowflake sync"/>
    <n v="79"/>
    <d v="2023-05-20T01:31:22"/>
    <b v="0"/>
    <m/>
  </r>
  <r>
    <s v="TK61119"/>
    <d v="2023-05-19T12:37:00"/>
    <s v="email"/>
    <x v="2"/>
    <x v="1"/>
    <s v="How do I two-factor authentication"/>
    <n v="227"/>
    <d v="2023-05-20T21:54:10"/>
    <b v="0"/>
    <m/>
  </r>
  <r>
    <s v="TK60668"/>
    <d v="2023-05-19T20:25:00"/>
    <s v="email"/>
    <x v="4"/>
    <x v="1"/>
    <s v="How do I a duplicate charge"/>
    <n v="64"/>
    <d v="2023-05-20T23:59:24"/>
    <b v="0"/>
    <n v="2"/>
  </r>
  <r>
    <s v="TK60381"/>
    <d v="2023-05-19T20:36:00"/>
    <s v="phone"/>
    <x v="0"/>
    <x v="1"/>
    <s v="Cannot connecting the Snowflake sync"/>
    <n v="251"/>
    <d v="2023-05-23T02:28:20"/>
    <b v="0"/>
    <m/>
  </r>
  <r>
    <s v="TK63770"/>
    <d v="2023-05-19T22:47:00"/>
    <s v="email"/>
    <x v="3"/>
    <x v="2"/>
    <s v="How do I log in after password reset"/>
    <n v="41"/>
    <d v="2023-05-19T23:50:38"/>
    <b v="1"/>
    <m/>
  </r>
  <r>
    <s v="TK61658"/>
    <d v="2023-05-19T23:35:00"/>
    <s v="email"/>
    <x v="1"/>
    <x v="1"/>
    <s v="Error when the dashboard loading slowly"/>
    <n v="78"/>
    <d v="2023-05-20T18:09:52"/>
    <b v="1"/>
    <m/>
  </r>
  <r>
    <s v="TK63948"/>
    <d v="2023-05-20T00:03:00"/>
    <s v="email"/>
    <x v="2"/>
    <x v="1"/>
    <s v="Unable to connecting the Snowflake sync"/>
    <n v="11"/>
    <d v="2023-05-22T12:17:21"/>
    <b v="0"/>
    <n v="5"/>
  </r>
  <r>
    <s v="TK62135"/>
    <d v="2023-05-20T14:54:00"/>
    <s v="in-app"/>
    <x v="2"/>
    <x v="3"/>
    <s v="Unable to two-factor authentication"/>
    <n v="705"/>
    <d v="2023-05-21T17:05:15"/>
    <b v="0"/>
    <n v="2"/>
  </r>
  <r>
    <s v="TK61625"/>
    <d v="2023-05-20T17:18:00"/>
    <s v="in-app"/>
    <x v="3"/>
    <x v="1"/>
    <s v="Unable to downgrade my plan"/>
    <n v="146"/>
    <d v="2023-05-22T05:35:12"/>
    <b v="0"/>
    <m/>
  </r>
  <r>
    <s v="TK60538"/>
    <d v="2023-05-20T18:19:00"/>
    <s v="chat"/>
    <x v="1"/>
    <x v="2"/>
    <s v="Question about the invoice for last month"/>
    <n v="41"/>
    <d v="2023-05-21T02:37:02"/>
    <b v="0"/>
    <n v="4"/>
  </r>
  <r>
    <s v="TK60594"/>
    <d v="2023-05-21T06:13:00"/>
    <s v="chat"/>
    <x v="1"/>
    <x v="3"/>
    <s v="Question about the API rate limit"/>
    <n v="114"/>
    <d v="2023-05-24T17:09:49"/>
    <b v="0"/>
    <m/>
  </r>
  <r>
    <s v="TK60887"/>
    <d v="2023-05-21T10:52:00"/>
    <s v="email"/>
    <x v="4"/>
    <x v="3"/>
    <s v="Issue with connecting the Snowflake sync"/>
    <n v="157"/>
    <d v="2023-05-22T06:48:56"/>
    <b v="0"/>
    <m/>
  </r>
  <r>
    <s v="TK60500"/>
    <d v="2023-05-21T13:04:00"/>
    <s v="in-app"/>
    <x v="3"/>
    <x v="1"/>
    <s v="Question about connecting the Snowflake sync"/>
    <n v="355"/>
    <d v="2023-05-23T03:01:27"/>
    <b v="0"/>
    <m/>
  </r>
  <r>
    <s v="TK60518"/>
    <d v="2023-05-21T14:42:00"/>
    <s v="email"/>
    <x v="4"/>
    <x v="0"/>
    <s v="How do I two-factor authentication"/>
    <n v="130"/>
    <d v="2023-05-22T00:03:25"/>
    <b v="0"/>
    <m/>
  </r>
  <r>
    <s v="TK62059"/>
    <d v="2023-05-21T18:30:00"/>
    <s v="email"/>
    <x v="1"/>
    <x v="1"/>
    <s v="Issue with log in after password reset"/>
    <m/>
    <d v="2023-05-23T12:25:14"/>
    <b v="0"/>
    <n v="5"/>
  </r>
  <r>
    <s v="TK63800"/>
    <d v="2023-05-22T02:31:00"/>
    <s v="chat"/>
    <x v="3"/>
    <x v="1"/>
    <s v="Cannot downgrade my plan"/>
    <n v="657"/>
    <d v="2023-05-22T08:48:20"/>
    <b v="0"/>
    <m/>
  </r>
  <r>
    <s v="TK62964"/>
    <d v="2023-05-22T03:22:00"/>
    <s v="email"/>
    <x v="4"/>
    <x v="1"/>
    <s v="How do I log in after password reset"/>
    <n v="127"/>
    <d v="2023-05-22T07:00:21"/>
    <b v="0"/>
    <n v="4"/>
  </r>
  <r>
    <s v="TK60300"/>
    <d v="2023-05-22T06:15:00"/>
    <s v="in-app"/>
    <x v="2"/>
    <x v="1"/>
    <s v="Cannot add a teammate"/>
    <n v="49"/>
    <d v="2023-05-23T04:17:53"/>
    <b v="0"/>
    <m/>
  </r>
  <r>
    <s v="TK62980"/>
    <d v="2023-05-22T09:50:00"/>
    <s v="chat"/>
    <x v="2"/>
    <x v="1"/>
    <s v="Question about the invoice for last month"/>
    <n v="18"/>
    <d v="2023-05-25T04:02:53"/>
    <b v="0"/>
    <m/>
  </r>
  <r>
    <s v="TK60236"/>
    <d v="2023-05-22T11:27:00"/>
    <s v="email"/>
    <x v="3"/>
    <x v="0"/>
    <s v="Issue with export my data"/>
    <n v="309"/>
    <d v="2023-05-28T17:49:04"/>
    <b v="0"/>
    <m/>
  </r>
  <r>
    <s v="TK63432"/>
    <d v="2023-05-22T15:13:00"/>
    <s v="in-app"/>
    <x v="2"/>
    <x v="1"/>
    <s v="Cannot add a teammate"/>
    <n v="270"/>
    <d v="2023-05-22T21:34:58"/>
    <b v="0"/>
    <m/>
  </r>
  <r>
    <s v="TK61983"/>
    <d v="2023-05-22T15:40:00"/>
    <s v="phone"/>
    <x v="4"/>
    <x v="1"/>
    <s v="Issue with export my data"/>
    <n v="571"/>
    <d v="2023-05-23T16:24:44"/>
    <b v="0"/>
    <m/>
  </r>
  <r>
    <s v="TK63287"/>
    <d v="2023-05-22T21:07:00"/>
    <s v="chat"/>
    <x v="0"/>
    <x v="3"/>
    <s v="Question about add a teammate"/>
    <n v="33"/>
    <d v="2023-05-24T16:17:18"/>
    <b v="0"/>
    <m/>
  </r>
  <r>
    <s v="TK63370"/>
    <d v="2023-05-22T21:44:00"/>
    <s v="phone"/>
    <x v="1"/>
    <x v="1"/>
    <s v="How do I webhook deliveries failing"/>
    <n v="20"/>
    <d v="2023-05-30T06:24:39"/>
    <b v="0"/>
    <n v="5"/>
  </r>
  <r>
    <s v="TK62552"/>
    <d v="2023-05-22T21:59:00"/>
    <s v="chat"/>
    <x v="4"/>
    <x v="1"/>
    <s v="Issue with the invoice for last month"/>
    <n v="556"/>
    <d v="2023-05-23T06:52:29"/>
    <b v="0"/>
    <n v="4"/>
  </r>
  <r>
    <s v="TK63079"/>
    <d v="2023-05-22T22:29:00"/>
    <s v="email"/>
    <x v="4"/>
    <x v="3"/>
    <s v="Request to export my data"/>
    <n v="158"/>
    <d v="2023-05-24T01:57:13"/>
    <b v="0"/>
    <m/>
  </r>
  <r>
    <s v="TK63195"/>
    <d v="2023-05-23T02:59:00"/>
    <s v="email"/>
    <x v="1"/>
    <x v="0"/>
    <s v="How do I webhook deliveries failing"/>
    <n v="7"/>
    <d v="2023-05-31T02:22:37"/>
    <b v="0"/>
    <m/>
  </r>
  <r>
    <s v="TK62083"/>
    <d v="2023-05-23T06:35:00"/>
    <s v="email"/>
    <x v="2"/>
    <x v="0"/>
    <s v="Request to a refund for an annual plan"/>
    <n v="11"/>
    <d v="2023-05-24T05:16:02"/>
    <b v="0"/>
    <m/>
  </r>
  <r>
    <s v="TK62687"/>
    <d v="2023-05-23T09:26:00"/>
    <s v="chat"/>
    <x v="2"/>
    <x v="1"/>
    <s v="Error when the invoice for last month"/>
    <n v="112"/>
    <d v="2023-05-31T16:01:12"/>
    <b v="0"/>
    <n v="4"/>
  </r>
  <r>
    <s v="TK60833"/>
    <d v="2023-05-23T10:28:00"/>
    <s v="phone"/>
    <x v="1"/>
    <x v="2"/>
    <s v="Question about webhook deliveries failing"/>
    <n v="20"/>
    <d v="2023-05-23T13:08:38"/>
    <b v="0"/>
    <n v="3"/>
  </r>
  <r>
    <s v="TK61235"/>
    <d v="2023-05-23T17:22:00"/>
    <s v="email"/>
    <x v="0"/>
    <x v="0"/>
    <s v="Question about the invoice for last month"/>
    <n v="126"/>
    <d v="2023-05-23T19:19:21"/>
    <b v="0"/>
    <m/>
  </r>
  <r>
    <s v="TK61987"/>
    <d v="2023-05-23T17:48:00"/>
    <s v="email"/>
    <x v="0"/>
    <x v="3"/>
    <s v="Request to connecting the Snowflake sync"/>
    <n v="113"/>
    <d v="2023-05-23T20:15:43"/>
    <b v="0"/>
    <m/>
  </r>
  <r>
    <s v="TK63430"/>
    <d v="2023-05-23T18:00:00"/>
    <s v="email"/>
    <x v="3"/>
    <x v="0"/>
    <s v="How do I add a teammate"/>
    <n v="31"/>
    <d v="2023-05-28T12:57:02"/>
    <b v="0"/>
    <m/>
  </r>
  <r>
    <s v="TK63515"/>
    <d v="2023-05-23T20:51:00"/>
    <s v="email"/>
    <x v="3"/>
    <x v="1"/>
    <s v="Question about webhook deliveries failing"/>
    <n v="382"/>
    <d v="2023-05-26T09:57:39"/>
    <b v="0"/>
    <n v="5"/>
  </r>
  <r>
    <s v="TK63776"/>
    <d v="2023-05-24T01:08:00"/>
    <s v="in-app"/>
    <x v="1"/>
    <x v="1"/>
    <s v="How do I the API rate limit"/>
    <n v="30"/>
    <d v="2023-05-24T22:04:23"/>
    <b v="0"/>
    <n v="5"/>
  </r>
  <r>
    <s v="TK61992"/>
    <d v="2023-05-24T01:58:00"/>
    <s v="in-app"/>
    <x v="1"/>
    <x v="3"/>
    <s v="Unable to the invoice for last month"/>
    <n v="183"/>
    <d v="2023-05-26T03:09:16"/>
    <b v="0"/>
    <n v="3"/>
  </r>
  <r>
    <s v="TK63179"/>
    <d v="2023-05-24T03:13:00"/>
    <s v="email"/>
    <x v="1"/>
    <x v="0"/>
    <s v="Unable to the invoice for last month"/>
    <n v="215"/>
    <d v="2023-05-24T07:06:49"/>
    <b v="0"/>
    <n v="2"/>
  </r>
  <r>
    <s v="TK63475"/>
    <d v="2023-05-24T07:07:00"/>
    <s v="in-app"/>
    <x v="1"/>
    <x v="1"/>
    <s v="Question about the dashboard loading slowly"/>
    <n v="124"/>
    <d v="2023-05-31T10:03:24"/>
    <b v="0"/>
    <m/>
  </r>
  <r>
    <s v="TK62144"/>
    <d v="2023-05-24T07:09:00"/>
    <s v="email"/>
    <x v="2"/>
    <x v="1"/>
    <s v="Unable to a refund for an annual plan"/>
    <m/>
    <m/>
    <b v="0"/>
    <m/>
  </r>
  <r>
    <s v="TK63718"/>
    <d v="2023-05-25T09:23:00"/>
    <s v="email"/>
    <x v="1"/>
    <x v="0"/>
    <s v="Error when the dashboard loading slowly"/>
    <n v="474"/>
    <d v="2023-05-27T11:24:49"/>
    <b v="0"/>
    <m/>
  </r>
  <r>
    <s v="TK62238"/>
    <d v="2023-05-25T10:15:00"/>
    <s v="in-app"/>
    <x v="1"/>
    <x v="3"/>
    <s v="Error when two-factor authentication"/>
    <n v="65"/>
    <d v="2023-06-09T17:28:17"/>
    <b v="0"/>
    <n v="5"/>
  </r>
  <r>
    <s v="TK62235"/>
    <d v="2023-05-25T14:50:00"/>
    <s v="in-app"/>
    <x v="0"/>
    <x v="2"/>
    <s v="Error when the dashboard loading slowly"/>
    <n v="136"/>
    <d v="2023-05-25T17:11:40"/>
    <b v="0"/>
    <n v="4"/>
  </r>
  <r>
    <s v="TK62017"/>
    <d v="2023-05-25T15:55:00"/>
    <s v="chat"/>
    <x v="3"/>
    <x v="3"/>
    <s v="Question about downgrade my plan"/>
    <n v="76"/>
    <d v="2023-06-02T01:15:31"/>
    <b v="0"/>
    <m/>
  </r>
  <r>
    <s v="TK63044"/>
    <d v="2023-05-25T16:30:00"/>
    <s v="in-app"/>
    <x v="3"/>
    <x v="0"/>
    <s v="Question about the invoice for last month"/>
    <n v="129"/>
    <d v="2023-06-04T12:39:43"/>
    <b v="0"/>
    <m/>
  </r>
  <r>
    <s v="TK63298"/>
    <d v="2023-05-26T01:29:00"/>
    <s v="phone"/>
    <x v="1"/>
    <x v="1"/>
    <s v="Question about the dashboard loading slowly"/>
    <n v="124"/>
    <d v="2023-05-29T16:29:49"/>
    <b v="0"/>
    <m/>
  </r>
  <r>
    <s v="TK60973"/>
    <d v="2023-05-26T02:58:00"/>
    <s v="in-app"/>
    <x v="2"/>
    <x v="3"/>
    <s v="Cannot a duplicate charge"/>
    <n v="432"/>
    <d v="2023-05-26T09:04:38"/>
    <b v="0"/>
    <n v="3"/>
  </r>
  <r>
    <s v="TK61888"/>
    <d v="2023-05-26T04:16:00"/>
    <s v="email"/>
    <x v="0"/>
    <x v="1"/>
    <s v="Error when downgrade my plan"/>
    <n v="83"/>
    <d v="2023-05-26T21:07:57"/>
    <b v="0"/>
    <m/>
  </r>
  <r>
    <s v="TK62156"/>
    <d v="2023-05-26T10:04:00"/>
    <s v="chat"/>
    <x v="0"/>
    <x v="1"/>
    <s v="Error when webhook deliveries failing"/>
    <n v="261"/>
    <d v="2023-05-27T15:00:46"/>
    <b v="0"/>
    <m/>
  </r>
  <r>
    <s v="TK62489"/>
    <d v="2023-05-26T14:13:00"/>
    <s v="phone"/>
    <x v="4"/>
    <x v="3"/>
    <s v="Question about the API rate limit"/>
    <n v="407"/>
    <d v="2023-05-28T14:30:48"/>
    <b v="1"/>
    <n v="4"/>
  </r>
  <r>
    <s v="TK61234"/>
    <d v="2023-05-26T17:03:00"/>
    <s v="in-app"/>
    <x v="3"/>
    <x v="0"/>
    <s v="Question about the API rate limit"/>
    <n v="35"/>
    <d v="2023-05-26T23:16:57"/>
    <b v="0"/>
    <n v="4"/>
  </r>
  <r>
    <s v="TK63024"/>
    <d v="2023-05-26T19:17:00"/>
    <s v="chat"/>
    <x v="3"/>
    <x v="3"/>
    <s v="Request to the dashboard loading slowly"/>
    <n v="102"/>
    <d v="2023-05-31T13:31:16"/>
    <b v="0"/>
    <n v="5"/>
  </r>
  <r>
    <s v="TK62403"/>
    <d v="2023-05-26T20:27:00"/>
    <s v="email"/>
    <x v="4"/>
    <x v="1"/>
    <s v="Issue with log in after password reset"/>
    <n v="197"/>
    <d v="2023-05-27T23:32:16"/>
    <b v="1"/>
    <n v="5"/>
  </r>
  <r>
    <s v="TK60513"/>
    <d v="2023-05-26T22:33:00"/>
    <s v="chat"/>
    <x v="2"/>
    <x v="1"/>
    <s v="Unable to two-factor authentication"/>
    <n v="457"/>
    <d v="2023-05-27T02:12:48"/>
    <b v="0"/>
    <m/>
  </r>
  <r>
    <s v="TK60642"/>
    <d v="2023-05-26T22:55:00"/>
    <s v="email"/>
    <x v="3"/>
    <x v="2"/>
    <s v="Question about connecting the Snowflake sync"/>
    <n v="48"/>
    <d v="2023-05-27T03:13:13"/>
    <b v="0"/>
    <m/>
  </r>
  <r>
    <s v="TK60264"/>
    <d v="2023-05-27T00:13:00"/>
    <s v="in-app"/>
    <x v="4"/>
    <x v="1"/>
    <s v="Issue with a duplicate charge"/>
    <n v="50"/>
    <d v="2023-05-30T13:25:52"/>
    <b v="0"/>
    <n v="2"/>
  </r>
  <r>
    <s v="TK61756"/>
    <d v="2023-05-27T03:44:00"/>
    <s v="email"/>
    <x v="0"/>
    <x v="0"/>
    <s v="Unable to a refund for an annual plan"/>
    <n v="13"/>
    <d v="2023-05-28T22:09:55"/>
    <b v="0"/>
    <m/>
  </r>
  <r>
    <s v="TK62800"/>
    <d v="2023-05-27T04:14:00"/>
    <s v="email"/>
    <x v="0"/>
    <x v="2"/>
    <s v="Issue with webhook deliveries failing"/>
    <n v="13"/>
    <d v="2023-05-27T06:02:30"/>
    <b v="0"/>
    <m/>
  </r>
  <r>
    <s v="TK63822"/>
    <d v="2023-05-27T05:59:00"/>
    <s v="chat"/>
    <x v="1"/>
    <x v="1"/>
    <s v="Cannot connecting the Snowflake sync"/>
    <n v="21"/>
    <d v="2023-05-27T13:02:03"/>
    <b v="0"/>
    <m/>
  </r>
  <r>
    <s v="TK61825"/>
    <d v="2023-05-27T07:37:00"/>
    <s v="chat"/>
    <x v="1"/>
    <x v="0"/>
    <s v="Issue with two-factor authentication"/>
    <n v="27"/>
    <d v="2023-05-29T00:06:56"/>
    <b v="0"/>
    <n v="2"/>
  </r>
  <r>
    <s v="TK60778"/>
    <d v="2023-05-27T13:23:00"/>
    <s v="phone"/>
    <x v="0"/>
    <x v="1"/>
    <s v="How do I the invoice for last month"/>
    <n v="110"/>
    <d v="2023-05-28T08:15:29"/>
    <b v="0"/>
    <n v="5"/>
  </r>
  <r>
    <s v="TK63965"/>
    <d v="2023-05-27T18:14:00"/>
    <s v="chat"/>
    <x v="1"/>
    <x v="1"/>
    <s v="Cannot two-factor authentication"/>
    <n v="93"/>
    <d v="2023-05-28T05:50:54"/>
    <b v="0"/>
    <m/>
  </r>
  <r>
    <s v="TK63594"/>
    <d v="2023-05-27T21:24:00"/>
    <s v="in-app"/>
    <x v="3"/>
    <x v="0"/>
    <s v="How do I the dashboard loading slowly"/>
    <n v="54"/>
    <d v="2023-05-28T02:51:48"/>
    <b v="0"/>
    <m/>
  </r>
  <r>
    <s v="TK61540"/>
    <d v="2023-05-28T01:28:00"/>
    <s v="chat"/>
    <x v="3"/>
    <x v="1"/>
    <s v="Error when connecting the Snowflake sync"/>
    <n v="59"/>
    <d v="2023-06-16T12:02:11"/>
    <b v="0"/>
    <m/>
  </r>
  <r>
    <s v="TK63184"/>
    <d v="2023-05-28T01:42:00"/>
    <s v="chat"/>
    <x v="1"/>
    <x v="1"/>
    <s v="Unable to a duplicate charge"/>
    <n v="28"/>
    <m/>
    <b v="0"/>
    <m/>
  </r>
  <r>
    <s v="TK63536"/>
    <d v="2023-05-28T02:08:00"/>
    <s v="email"/>
    <x v="0"/>
    <x v="1"/>
    <s v="Request to downgrade my plan"/>
    <n v="25"/>
    <d v="2023-05-28T10:01:45"/>
    <b v="0"/>
    <n v="2"/>
  </r>
  <r>
    <s v="TK63100"/>
    <d v="2023-05-28T06:29:00"/>
    <s v="in-app"/>
    <x v="0"/>
    <x v="2"/>
    <s v="How do I downgrade my plan"/>
    <n v="67"/>
    <d v="2023-05-28T07:30:05"/>
    <b v="0"/>
    <m/>
  </r>
  <r>
    <s v="TK60877"/>
    <d v="2023-05-28T10:53:00"/>
    <s v="in-app"/>
    <x v="1"/>
    <x v="3"/>
    <s v="Question about the dashboard loading slowly"/>
    <n v="244"/>
    <d v="2023-05-29T13:03:30"/>
    <b v="0"/>
    <m/>
  </r>
  <r>
    <s v="TK60649"/>
    <d v="2023-05-28T12:22:00"/>
    <s v="in-app"/>
    <x v="0"/>
    <x v="3"/>
    <s v="Error when export my data"/>
    <n v="337"/>
    <d v="2023-05-29T12:58:11"/>
    <b v="0"/>
    <m/>
  </r>
  <r>
    <s v="TK63149"/>
    <d v="2023-05-28T14:08:00"/>
    <s v="email"/>
    <x v="3"/>
    <x v="0"/>
    <s v="Issue with log in after password reset"/>
    <n v="11"/>
    <d v="2023-05-28T16:02:41"/>
    <b v="0"/>
    <n v="4"/>
  </r>
  <r>
    <s v="TK63218"/>
    <d v="2023-05-28T17:05:00"/>
    <s v="email"/>
    <x v="2"/>
    <x v="1"/>
    <s v="Error when downgrade my plan"/>
    <n v="34"/>
    <d v="2023-05-29T10:41:53"/>
    <b v="0"/>
    <m/>
  </r>
  <r>
    <s v="TK60191"/>
    <d v="2023-05-28T22:16:00"/>
    <s v="chat"/>
    <x v="3"/>
    <x v="3"/>
    <s v="Issue with downgrade my plan"/>
    <n v="19"/>
    <d v="2023-05-30T17:51:48"/>
    <b v="0"/>
    <m/>
  </r>
  <r>
    <s v="TK63534"/>
    <d v="2023-05-28T23:47:00"/>
    <s v="email"/>
    <x v="4"/>
    <x v="0"/>
    <s v="Error when the dashboard loading slowly"/>
    <n v="7"/>
    <d v="2023-05-29T03:15:23"/>
    <b v="0"/>
    <m/>
  </r>
  <r>
    <s v="TK61597"/>
    <d v="2023-05-29T00:41:00"/>
    <s v="phone"/>
    <x v="1"/>
    <x v="1"/>
    <s v="Issue with the invoice for last month"/>
    <n v="529"/>
    <d v="2023-05-30T00:17:13"/>
    <b v="0"/>
    <m/>
  </r>
  <r>
    <s v="TK60634"/>
    <d v="2023-05-29T04:15:00"/>
    <s v="chat"/>
    <x v="2"/>
    <x v="0"/>
    <s v="Issue with log in after password reset"/>
    <n v="51"/>
    <d v="2023-05-29T14:55:40"/>
    <b v="0"/>
    <m/>
  </r>
  <r>
    <s v="TK63396"/>
    <d v="2023-05-29T08:05:00"/>
    <s v="phone"/>
    <x v="4"/>
    <x v="3"/>
    <s v="Error when the API rate limit"/>
    <n v="446"/>
    <d v="2023-05-30T05:46:43"/>
    <b v="0"/>
    <m/>
  </r>
  <r>
    <s v="TK62264"/>
    <d v="2023-05-29T10:45:00"/>
    <s v="phone"/>
    <x v="1"/>
    <x v="0"/>
    <s v="How do I the dashboard loading slowly"/>
    <n v="23"/>
    <d v="2023-05-30T15:58:35"/>
    <b v="0"/>
    <m/>
  </r>
  <r>
    <s v="TK61332"/>
    <d v="2023-05-29T11:09:00"/>
    <s v="chat"/>
    <x v="4"/>
    <x v="1"/>
    <s v="Request to the API rate limit"/>
    <n v="25"/>
    <d v="2023-06-03T03:12:55"/>
    <b v="0"/>
    <m/>
  </r>
  <r>
    <s v="TK61120"/>
    <d v="2023-05-29T11:42:00"/>
    <s v="chat"/>
    <x v="3"/>
    <x v="3"/>
    <s v="Error when the dashboard loading slowly"/>
    <n v="567"/>
    <m/>
    <b v="0"/>
    <m/>
  </r>
  <r>
    <s v="TK62205"/>
    <d v="2023-05-29T15:58:00"/>
    <s v="email"/>
    <x v="1"/>
    <x v="1"/>
    <s v="Unable to the API rate limit"/>
    <n v="18"/>
    <d v="2023-05-30T21:09:18"/>
    <b v="0"/>
    <m/>
  </r>
  <r>
    <s v="TK61424"/>
    <d v="2023-05-29T18:58:00"/>
    <s v="chat"/>
    <x v="0"/>
    <x v="3"/>
    <s v="Issue with log in after password reset"/>
    <n v="225"/>
    <d v="2023-06-05T08:39:15"/>
    <b v="0"/>
    <m/>
  </r>
  <r>
    <s v="TK60068"/>
    <d v="2023-05-29T19:06:00"/>
    <s v="in-app"/>
    <x v="3"/>
    <x v="0"/>
    <s v="Issue with a duplicate charge"/>
    <n v="18"/>
    <d v="2023-05-29T21:34:04"/>
    <b v="0"/>
    <n v="4"/>
  </r>
  <r>
    <s v="TK62262"/>
    <d v="2023-05-29T19:13:00"/>
    <s v="email"/>
    <x v="0"/>
    <x v="1"/>
    <s v="How do I the API rate limit"/>
    <n v="27"/>
    <d v="2023-05-30T09:33:51"/>
    <b v="0"/>
    <n v="4"/>
  </r>
  <r>
    <s v="TK62278"/>
    <d v="2023-05-29T19:14:00"/>
    <s v="email"/>
    <x v="2"/>
    <x v="0"/>
    <s v="Error when log in after password reset"/>
    <n v="58"/>
    <d v="2023-05-29T20:52:39"/>
    <b v="0"/>
    <n v="5"/>
  </r>
  <r>
    <s v="TK63924"/>
    <d v="2023-05-29T21:37:00"/>
    <s v="email"/>
    <x v="3"/>
    <x v="1"/>
    <s v="Issue with connecting the Snowflake sync"/>
    <n v="132"/>
    <d v="2023-06-01T12:58:40"/>
    <b v="0"/>
    <n v="1"/>
  </r>
  <r>
    <s v="TK62667"/>
    <d v="2023-05-30T05:01:00"/>
    <s v="in-app"/>
    <x v="0"/>
    <x v="2"/>
    <s v="Request to add a teammate"/>
    <n v="11"/>
    <d v="2023-05-30T07:23:43"/>
    <b v="0"/>
    <n v="5"/>
  </r>
  <r>
    <s v="TK62047"/>
    <d v="2023-05-30T07:25:00"/>
    <s v="email"/>
    <x v="1"/>
    <x v="1"/>
    <s v="Question about the dashboard loading slowly"/>
    <n v="39"/>
    <d v="2023-06-02T17:15:12"/>
    <b v="1"/>
    <m/>
  </r>
  <r>
    <s v="TK61430"/>
    <d v="2023-05-30T07:57:00"/>
    <s v="phone"/>
    <x v="1"/>
    <x v="3"/>
    <s v="Cannot connecting the Snowflake sync"/>
    <n v="159"/>
    <d v="2023-06-02T09:53:33"/>
    <b v="0"/>
    <m/>
  </r>
  <r>
    <s v="TK60543"/>
    <d v="2023-05-30T08:32:00"/>
    <s v="phone"/>
    <x v="1"/>
    <x v="1"/>
    <s v="Issue with a refund for an annual plan"/>
    <n v="310"/>
    <d v="2023-06-02T14:14:19"/>
    <b v="0"/>
    <m/>
  </r>
  <r>
    <s v="TK60285"/>
    <d v="2023-05-30T08:56:00"/>
    <s v="chat"/>
    <x v="0"/>
    <x v="1"/>
    <s v="How do I the invoice for last month"/>
    <n v="74"/>
    <d v="2023-06-01T22:09:58"/>
    <b v="0"/>
    <m/>
  </r>
  <r>
    <s v="TK62664"/>
    <d v="2023-05-30T13:13:00"/>
    <s v="email"/>
    <x v="0"/>
    <x v="1"/>
    <s v="How do I a duplicate charge"/>
    <n v="16"/>
    <d v="2023-05-30T20:02:26"/>
    <b v="0"/>
    <m/>
  </r>
  <r>
    <s v="TK60699"/>
    <d v="2023-05-30T14:43:00"/>
    <s v="chat"/>
    <x v="3"/>
    <x v="1"/>
    <s v="Unable to two-factor authentication"/>
    <m/>
    <d v="2023-05-31T23:05:04"/>
    <b v="0"/>
    <m/>
  </r>
  <r>
    <s v="TK62969"/>
    <d v="2023-05-30T15:37:00"/>
    <s v="in-app"/>
    <x v="0"/>
    <x v="1"/>
    <s v="Unable to log in after password reset"/>
    <n v="50"/>
    <d v="2023-05-31T03:46:42"/>
    <b v="0"/>
    <m/>
  </r>
  <r>
    <s v="TK61685"/>
    <d v="2023-05-30T19:17:00"/>
    <s v="email"/>
    <x v="3"/>
    <x v="3"/>
    <s v="Request to a refund for an annual plan"/>
    <n v="82"/>
    <d v="2023-05-31T04:27:51"/>
    <b v="0"/>
    <m/>
  </r>
  <r>
    <s v="TK62958"/>
    <d v="2023-05-31T04:10:00"/>
    <s v="in-app"/>
    <x v="2"/>
    <x v="3"/>
    <s v="Error when downgrade my plan"/>
    <n v="189"/>
    <d v="2023-06-06T23:10:49"/>
    <b v="0"/>
    <n v="1"/>
  </r>
  <r>
    <s v="TK60674"/>
    <d v="2023-05-31T04:33:00"/>
    <s v="phone"/>
    <x v="2"/>
    <x v="1"/>
    <s v="Request to a refund for an annual plan"/>
    <n v="368"/>
    <d v="2023-06-01T01:18:29"/>
    <b v="0"/>
    <n v="3"/>
  </r>
  <r>
    <s v="TK60570"/>
    <d v="2023-05-31T05:12:00"/>
    <s v="email"/>
    <x v="2"/>
    <x v="1"/>
    <s v="Question about two-factor authentication"/>
    <n v="27"/>
    <d v="2023-06-01T13:12:22"/>
    <b v="0"/>
    <m/>
  </r>
  <r>
    <s v="TK60957"/>
    <d v="2023-05-31T07:26:00"/>
    <s v="in-app"/>
    <x v="1"/>
    <x v="0"/>
    <s v="How do I export my data"/>
    <n v="81"/>
    <d v="2023-05-31T11:57:31"/>
    <b v="0"/>
    <m/>
  </r>
  <r>
    <s v="TK62086"/>
    <d v="2023-05-31T08:26:00"/>
    <s v="in-app"/>
    <x v="1"/>
    <x v="0"/>
    <s v="Issue with the API rate limit"/>
    <n v="32"/>
    <d v="2023-06-03T01:00:16"/>
    <b v="0"/>
    <m/>
  </r>
  <r>
    <s v="TK62114"/>
    <d v="2023-05-31T11:36:00"/>
    <s v="in-app"/>
    <x v="4"/>
    <x v="1"/>
    <s v="Request to export my data"/>
    <n v="194"/>
    <d v="2023-06-02T01:09:06"/>
    <b v="0"/>
    <m/>
  </r>
  <r>
    <s v="TK63410"/>
    <d v="2023-05-31T19:18:00"/>
    <s v="chat"/>
    <x v="4"/>
    <x v="2"/>
    <s v="Unable to two-factor authentication"/>
    <n v="35"/>
    <d v="2023-06-01T03:10:35"/>
    <b v="0"/>
    <m/>
  </r>
  <r>
    <s v="TK61598"/>
    <d v="2023-05-31T19:28:00"/>
    <s v="email"/>
    <x v="4"/>
    <x v="1"/>
    <s v="Question about the dashboard loading slowly"/>
    <n v="31"/>
    <d v="2023-05-31T22:51:39"/>
    <b v="0"/>
    <m/>
  </r>
  <r>
    <s v="TK62875"/>
    <d v="2023-05-31T21:17:00"/>
    <s v="in-app"/>
    <x v="2"/>
    <x v="0"/>
    <s v="Issue with a duplicate charge"/>
    <n v="35"/>
    <d v="2023-06-02T00:17:44"/>
    <b v="0"/>
    <m/>
  </r>
  <r>
    <s v="TK60607"/>
    <d v="2023-06-01T01:06:00"/>
    <s v="chat"/>
    <x v="1"/>
    <x v="0"/>
    <s v="Unable to the dashboard loading slowly"/>
    <n v="3"/>
    <d v="2023-06-02T15:51:05"/>
    <b v="0"/>
    <n v="5"/>
  </r>
  <r>
    <s v="TK60604"/>
    <d v="2023-06-01T02:15:00"/>
    <s v="in-app"/>
    <x v="0"/>
    <x v="1"/>
    <s v="Issue with a duplicate charge"/>
    <n v="113"/>
    <d v="2023-06-02T17:12:47"/>
    <b v="0"/>
    <n v="5"/>
  </r>
  <r>
    <s v="TK62087"/>
    <d v="2023-06-01T02:35:00"/>
    <s v="chat"/>
    <x v="1"/>
    <x v="1"/>
    <s v="Error when the invoice for last month"/>
    <n v="112"/>
    <d v="2023-06-02T17:18:24"/>
    <b v="0"/>
    <n v="3"/>
  </r>
  <r>
    <s v="TK63801"/>
    <d v="2023-06-01T02:55:00"/>
    <s v="email"/>
    <x v="1"/>
    <x v="1"/>
    <s v="Error when two-factor authentication"/>
    <n v="16"/>
    <d v="2023-06-08T11:42:38"/>
    <b v="0"/>
    <m/>
  </r>
  <r>
    <s v="TK61493"/>
    <d v="2023-06-01T02:59:00"/>
    <s v="email"/>
    <x v="4"/>
    <x v="1"/>
    <s v="Unable to webhook deliveries failing"/>
    <n v="265"/>
    <d v="2023-06-01T18:19:05"/>
    <b v="0"/>
    <n v="4"/>
  </r>
  <r>
    <s v="TK61056"/>
    <d v="2023-06-01T03:22:00"/>
    <s v="phone"/>
    <x v="3"/>
    <x v="0"/>
    <s v="How do I a refund for an annual plan"/>
    <n v="5"/>
    <m/>
    <b v="0"/>
    <m/>
  </r>
  <r>
    <s v="TK61985"/>
    <d v="2023-06-01T06:22:00"/>
    <s v="phone"/>
    <x v="4"/>
    <x v="0"/>
    <s v="Issue with add a teammate"/>
    <n v="26"/>
    <d v="2023-06-01T10:06:40"/>
    <b v="0"/>
    <m/>
  </r>
  <r>
    <s v="TK60278"/>
    <d v="2023-06-01T10:16:00"/>
    <s v="email"/>
    <x v="4"/>
    <x v="0"/>
    <s v="Question about a duplicate charge"/>
    <n v="64"/>
    <d v="2023-06-03T09:34:31"/>
    <b v="0"/>
    <m/>
  </r>
  <r>
    <s v="TK61615"/>
    <d v="2023-06-01T10:51:00"/>
    <s v="in-app"/>
    <x v="3"/>
    <x v="1"/>
    <s v="How do I export my data"/>
    <m/>
    <d v="2023-06-03T12:31:22"/>
    <b v="0"/>
    <m/>
  </r>
  <r>
    <s v="TK63400"/>
    <d v="2023-06-01T11:05:00"/>
    <s v="in-app"/>
    <x v="0"/>
    <x v="1"/>
    <s v="Error when the invoice for last month"/>
    <n v="189"/>
    <d v="2023-06-13T12:19:13"/>
    <b v="0"/>
    <m/>
  </r>
  <r>
    <s v="TK63757"/>
    <d v="2023-06-01T13:36:00"/>
    <s v="email"/>
    <x v="2"/>
    <x v="3"/>
    <s v="Issue with the dashboard loading slowly"/>
    <n v="276"/>
    <d v="2023-06-04T01:48:32"/>
    <b v="0"/>
    <m/>
  </r>
  <r>
    <s v="TK63230"/>
    <d v="2023-06-01T16:49:00"/>
    <s v="phone"/>
    <x v="1"/>
    <x v="1"/>
    <s v="Issue with the dashboard loading slowly"/>
    <n v="81"/>
    <d v="2023-06-01T21:12:48"/>
    <b v="0"/>
    <m/>
  </r>
  <r>
    <s v="TK62095"/>
    <d v="2023-06-02T02:47:00"/>
    <s v="email"/>
    <x v="0"/>
    <x v="1"/>
    <s v="Cannot add a teammate"/>
    <n v="166"/>
    <d v="2023-06-07T19:57:38"/>
    <b v="0"/>
    <m/>
  </r>
  <r>
    <s v="TK60442"/>
    <d v="2023-06-02T08:32:00"/>
    <s v="in-app"/>
    <x v="2"/>
    <x v="0"/>
    <s v="Issue with webhook deliveries failing"/>
    <n v="11"/>
    <d v="2023-06-02T09:05:59"/>
    <b v="0"/>
    <m/>
  </r>
  <r>
    <s v="TK63696"/>
    <d v="2023-06-02T08:44:00"/>
    <s v="phone"/>
    <x v="3"/>
    <x v="1"/>
    <s v="Error when a refund for an annual plan"/>
    <n v="202"/>
    <d v="2023-06-06T00:44:56"/>
    <b v="0"/>
    <m/>
  </r>
  <r>
    <s v="TK62646"/>
    <d v="2023-06-02T11:10:00"/>
    <s v="chat"/>
    <x v="4"/>
    <x v="1"/>
    <s v="Cannot a refund for an annual plan"/>
    <n v="48"/>
    <m/>
    <b v="0"/>
    <m/>
  </r>
  <r>
    <s v="TK62242"/>
    <d v="2023-06-02T16:13:00"/>
    <s v="email"/>
    <x v="1"/>
    <x v="1"/>
    <s v="Error when a duplicate charge"/>
    <n v="70"/>
    <d v="2023-06-05T03:33:07"/>
    <b v="0"/>
    <n v="1"/>
  </r>
  <r>
    <s v="TK63646"/>
    <d v="2023-06-02T16:14:00"/>
    <s v="phone"/>
    <x v="1"/>
    <x v="1"/>
    <s v="Request to the dashboard loading slowly"/>
    <n v="69"/>
    <d v="2023-06-04T20:18:41"/>
    <b v="0"/>
    <m/>
  </r>
  <r>
    <s v="TK63682"/>
    <d v="2023-06-02T16:31:00"/>
    <s v="email"/>
    <x v="3"/>
    <x v="1"/>
    <s v="How do I a refund for an annual plan"/>
    <n v="211"/>
    <d v="2023-06-06T19:11:22"/>
    <b v="0"/>
    <m/>
  </r>
  <r>
    <s v="TK61251"/>
    <d v="2023-06-02T16:36:00"/>
    <s v="phone"/>
    <x v="4"/>
    <x v="3"/>
    <s v="Cannot downgrade my plan"/>
    <n v="249"/>
    <d v="2023-06-05T04:16:30"/>
    <b v="0"/>
    <m/>
  </r>
  <r>
    <s v="TK63198"/>
    <d v="2023-06-02T17:18:00"/>
    <s v="chat"/>
    <x v="0"/>
    <x v="0"/>
    <s v="Cannot log in after password reset"/>
    <n v="24"/>
    <d v="2023-06-02T19:53:45"/>
    <b v="0"/>
    <m/>
  </r>
  <r>
    <s v="TK62377"/>
    <d v="2023-06-02T18:17:00"/>
    <s v="in-app"/>
    <x v="1"/>
    <x v="2"/>
    <s v="Question about webhook deliveries failing"/>
    <n v="12"/>
    <d v="2023-06-03T18:23:45"/>
    <b v="0"/>
    <m/>
  </r>
  <r>
    <s v="TK63869"/>
    <d v="2023-06-02T18:18:00"/>
    <s v="chat"/>
    <x v="1"/>
    <x v="1"/>
    <s v="Request to webhook deliveries failing"/>
    <n v="71"/>
    <d v="2023-06-03T21:32:10"/>
    <b v="0"/>
    <n v="5"/>
  </r>
  <r>
    <s v="TK60678"/>
    <d v="2023-06-03T02:50:00"/>
    <s v="email"/>
    <x v="3"/>
    <x v="3"/>
    <s v="Request to the dashboard loading slowly"/>
    <n v="688"/>
    <d v="2023-06-18T08:17:46"/>
    <b v="0"/>
    <m/>
  </r>
  <r>
    <s v="TK63363"/>
    <d v="2023-06-03T03:07:00"/>
    <s v="in-app"/>
    <x v="4"/>
    <x v="0"/>
    <s v="Unable to downgrade my plan"/>
    <n v="77"/>
    <d v="2023-06-03T04:22:43"/>
    <b v="0"/>
    <m/>
  </r>
  <r>
    <s v="TK60086"/>
    <d v="2023-06-03T10:39:00"/>
    <s v="phone"/>
    <x v="0"/>
    <x v="1"/>
    <s v="Question about a duplicate charge"/>
    <n v="73"/>
    <d v="2023-06-05T17:57:36"/>
    <b v="0"/>
    <m/>
  </r>
  <r>
    <s v="TK62387"/>
    <d v="2023-06-03T15:19:00"/>
    <s v="in-app"/>
    <x v="4"/>
    <x v="1"/>
    <s v="Cannot the API rate limit"/>
    <n v="355"/>
    <d v="2023-06-04T02:20:29"/>
    <b v="0"/>
    <n v="1"/>
  </r>
  <r>
    <s v="TK62866"/>
    <d v="2023-06-03T15:28:00"/>
    <s v="email"/>
    <x v="4"/>
    <x v="3"/>
    <s v="Question about add a teammate"/>
    <n v="210"/>
    <d v="2023-06-04T04:25:04"/>
    <b v="1"/>
    <m/>
  </r>
  <r>
    <s v="TK62448"/>
    <d v="2023-06-03T16:54:00"/>
    <s v="email"/>
    <x v="2"/>
    <x v="3"/>
    <s v="Question about the API rate limit"/>
    <n v="179"/>
    <d v="2023-06-04T08:51:26"/>
    <b v="0"/>
    <m/>
  </r>
  <r>
    <s v="TK62312"/>
    <d v="2023-06-03T17:34:00"/>
    <s v="chat"/>
    <x v="4"/>
    <x v="1"/>
    <s v="Request to the API rate limit"/>
    <n v="113"/>
    <d v="2023-06-06T02:57:11"/>
    <b v="0"/>
    <m/>
  </r>
  <r>
    <s v="TK60003"/>
    <d v="2023-06-03T19:13:00"/>
    <s v="in-app"/>
    <x v="2"/>
    <x v="3"/>
    <s v="Cannot the invoice for last month"/>
    <n v="188"/>
    <d v="2023-06-04T03:14:43"/>
    <b v="0"/>
    <n v="3"/>
  </r>
  <r>
    <s v="TK61815"/>
    <d v="2023-06-03T22:16:00"/>
    <s v="in-app"/>
    <x v="2"/>
    <x v="0"/>
    <s v="How do I two-factor authentication"/>
    <n v="37"/>
    <d v="2023-06-04T06:17:41"/>
    <b v="0"/>
    <m/>
  </r>
  <r>
    <s v="TK62458"/>
    <d v="2023-06-03T22:31:00"/>
    <s v="email"/>
    <x v="2"/>
    <x v="0"/>
    <s v="Request to a duplicate charge"/>
    <n v="229"/>
    <d v="2023-06-04T06:04:14"/>
    <b v="0"/>
    <m/>
  </r>
  <r>
    <s v="TK60888"/>
    <d v="2023-06-03T23:36:00"/>
    <s v="email"/>
    <x v="1"/>
    <x v="0"/>
    <s v="Request to the invoice for last month"/>
    <n v="68"/>
    <d v="2023-06-04T21:50:54"/>
    <b v="0"/>
    <m/>
  </r>
  <r>
    <s v="TK63444"/>
    <d v="2023-06-04T01:53:00"/>
    <s v="email"/>
    <x v="1"/>
    <x v="3"/>
    <s v="Unable to the invoice for last month"/>
    <n v="593"/>
    <d v="2023-06-05T20:31:15"/>
    <b v="0"/>
    <n v="5"/>
  </r>
  <r>
    <s v="TK63674"/>
    <d v="2023-06-04T08:03:00"/>
    <s v="email"/>
    <x v="2"/>
    <x v="1"/>
    <s v="Issue with the dashboard loading slowly"/>
    <n v="189"/>
    <d v="2023-06-05T20:10:05"/>
    <b v="0"/>
    <n v="4"/>
  </r>
  <r>
    <s v="TK62674"/>
    <d v="2023-06-04T11:32:00"/>
    <s v="in-app"/>
    <x v="2"/>
    <x v="1"/>
    <s v="Issue with downgrade my plan"/>
    <n v="324"/>
    <d v="2023-06-05T23:19:57"/>
    <b v="0"/>
    <m/>
  </r>
  <r>
    <s v="TK60140"/>
    <d v="2023-06-04T13:04:00"/>
    <s v="phone"/>
    <x v="1"/>
    <x v="1"/>
    <s v="Cannot add a teammate"/>
    <n v="59"/>
    <d v="2023-06-09T18:29:55"/>
    <b v="0"/>
    <m/>
  </r>
  <r>
    <s v="TK61404"/>
    <d v="2023-06-04T14:48:00"/>
    <s v="in-app"/>
    <x v="1"/>
    <x v="1"/>
    <s v="How do I downgrade my plan"/>
    <n v="166"/>
    <d v="2023-06-08T19:56:27"/>
    <b v="0"/>
    <m/>
  </r>
  <r>
    <s v="TK62522"/>
    <d v="2023-06-04T19:01:00"/>
    <s v="phone"/>
    <x v="2"/>
    <x v="0"/>
    <s v="Issue with two-factor authentication"/>
    <n v="86"/>
    <d v="2023-06-04T21:46:06"/>
    <b v="0"/>
    <m/>
  </r>
  <r>
    <s v="TK63078"/>
    <d v="2023-06-04T20:11:00"/>
    <s v="chat"/>
    <x v="1"/>
    <x v="1"/>
    <s v="Issue with webhook deliveries failing"/>
    <n v="46"/>
    <d v="2023-06-04T20:54:28"/>
    <b v="1"/>
    <m/>
  </r>
  <r>
    <s v="TK62052"/>
    <d v="2023-06-04T22:35:00"/>
    <s v="in-app"/>
    <x v="3"/>
    <x v="1"/>
    <s v="Request to the API rate limit"/>
    <n v="493"/>
    <d v="2023-06-06T21:44:46"/>
    <b v="1"/>
    <m/>
  </r>
  <r>
    <s v="TK63767"/>
    <d v="2023-06-05T03:11:00"/>
    <s v="chat"/>
    <x v="1"/>
    <x v="0"/>
    <s v="Issue with two-factor authentication"/>
    <n v="597"/>
    <d v="2023-06-05T11:29:22"/>
    <b v="0"/>
    <n v="4"/>
  </r>
  <r>
    <s v="TK63283"/>
    <d v="2023-06-05T04:40:00"/>
    <s v="email"/>
    <x v="2"/>
    <x v="1"/>
    <s v="How do I webhook deliveries failing"/>
    <n v="177"/>
    <d v="2023-06-10T06:36:30"/>
    <b v="1"/>
    <m/>
  </r>
  <r>
    <s v="TK62653"/>
    <d v="2023-06-05T17:00:00"/>
    <s v="chat"/>
    <x v="4"/>
    <x v="3"/>
    <s v="Unable to add a teammate"/>
    <n v="115"/>
    <d v="2023-06-06T04:04:14"/>
    <b v="0"/>
    <m/>
  </r>
  <r>
    <s v="TK61766"/>
    <d v="2023-06-05T22:05:00"/>
    <s v="email"/>
    <x v="2"/>
    <x v="1"/>
    <s v="How do I log in after password reset"/>
    <n v="80"/>
    <d v="2023-06-09T20:41:45"/>
    <b v="0"/>
    <m/>
  </r>
  <r>
    <s v="TK63942"/>
    <d v="2023-06-06T00:45:00"/>
    <s v="email"/>
    <x v="1"/>
    <x v="2"/>
    <s v="How do I a refund for an annual plan"/>
    <n v="54"/>
    <d v="2023-06-06T14:07:16"/>
    <b v="0"/>
    <m/>
  </r>
  <r>
    <s v="TK63339"/>
    <d v="2023-06-06T02:51:00"/>
    <s v="in-app"/>
    <x v="1"/>
    <x v="0"/>
    <s v="How do I export my data"/>
    <n v="47"/>
    <d v="2023-06-08T06:08:17"/>
    <b v="0"/>
    <n v="2"/>
  </r>
  <r>
    <s v="TK63887"/>
    <d v="2023-06-06T05:29:00"/>
    <s v="chat"/>
    <x v="1"/>
    <x v="3"/>
    <s v="Request to webhook deliveries failing"/>
    <n v="314"/>
    <d v="2023-06-18T13:52:40"/>
    <b v="0"/>
    <m/>
  </r>
  <r>
    <s v="TK61642"/>
    <d v="2023-06-06T06:23:00"/>
    <s v="in-app"/>
    <x v="1"/>
    <x v="3"/>
    <s v="Error when connecting the Snowflake sync"/>
    <n v="1326"/>
    <d v="2023-06-06T21:42:51"/>
    <b v="1"/>
    <m/>
  </r>
  <r>
    <s v="TK61910"/>
    <d v="2023-06-06T07:59:00"/>
    <s v="chat"/>
    <x v="3"/>
    <x v="1"/>
    <s v="Error when the dashboard loading slowly"/>
    <n v="132"/>
    <d v="2023-06-07T00:22:34"/>
    <b v="1"/>
    <n v="1"/>
  </r>
  <r>
    <s v="TK60001"/>
    <d v="2023-06-06T08:42:00"/>
    <s v="email"/>
    <x v="2"/>
    <x v="1"/>
    <s v="Question about connecting the Snowflake sync"/>
    <n v="76"/>
    <d v="2023-06-08T18:23:25"/>
    <b v="0"/>
    <m/>
  </r>
  <r>
    <s v="TK61207"/>
    <d v="2023-06-06T12:20:00"/>
    <s v="email"/>
    <x v="0"/>
    <x v="1"/>
    <s v="Question about the dashboard loading slowly"/>
    <n v="90"/>
    <d v="2023-06-06T22:03:28"/>
    <b v="1"/>
    <n v="5"/>
  </r>
  <r>
    <s v="TK63490"/>
    <d v="2023-06-07T01:41:00"/>
    <s v="in-app"/>
    <x v="4"/>
    <x v="3"/>
    <s v="Request to add a teammate"/>
    <n v="91"/>
    <d v="2023-06-08T06:29:17"/>
    <b v="0"/>
    <m/>
  </r>
  <r>
    <s v="TK61485"/>
    <d v="2023-06-07T03:37:00"/>
    <s v="chat"/>
    <x v="2"/>
    <x v="0"/>
    <s v="How do I webhook deliveries failing"/>
    <n v="38"/>
    <d v="2023-06-07T09:41:51"/>
    <b v="1"/>
    <m/>
  </r>
  <r>
    <s v="TK62703"/>
    <d v="2023-06-07T05:31:00"/>
    <s v="in-app"/>
    <x v="1"/>
    <x v="3"/>
    <s v="Cannot connecting the Snowflake sync"/>
    <m/>
    <d v="2023-06-15T00:41:03"/>
    <b v="1"/>
    <m/>
  </r>
  <r>
    <s v="TK61677"/>
    <d v="2023-06-07T05:53:00"/>
    <s v="email"/>
    <x v="0"/>
    <x v="1"/>
    <s v="How do I connecting the Snowflake sync"/>
    <n v="92"/>
    <d v="2023-06-07T12:26:50"/>
    <b v="0"/>
    <m/>
  </r>
  <r>
    <s v="TK60734"/>
    <d v="2023-06-07T08:05:00"/>
    <s v="phone"/>
    <x v="1"/>
    <x v="1"/>
    <s v="Error when connecting the Snowflake sync"/>
    <n v="219"/>
    <d v="2023-06-11T21:06:43"/>
    <b v="0"/>
    <m/>
  </r>
  <r>
    <s v="TK61614"/>
    <d v="2023-06-07T13:27:00"/>
    <s v="chat"/>
    <x v="2"/>
    <x v="3"/>
    <s v="Question about the API rate limit"/>
    <n v="127"/>
    <d v="2023-06-08T01:35:33"/>
    <b v="0"/>
    <m/>
  </r>
  <r>
    <s v="TK63539"/>
    <d v="2023-06-07T13:58:00"/>
    <s v="email"/>
    <x v="4"/>
    <x v="2"/>
    <s v="Error when two-factor authentication"/>
    <n v="3"/>
    <m/>
    <b v="0"/>
    <m/>
  </r>
  <r>
    <s v="TK61618"/>
    <d v="2023-06-07T15:35:00"/>
    <s v="chat"/>
    <x v="1"/>
    <x v="1"/>
    <s v="Cannot connecting the Snowflake sync"/>
    <n v="59"/>
    <d v="2023-06-14T07:33:35"/>
    <b v="0"/>
    <n v="5"/>
  </r>
  <r>
    <s v="TK63055"/>
    <d v="2023-06-07T18:51:00"/>
    <s v="email"/>
    <x v="3"/>
    <x v="1"/>
    <s v="Issue with connecting the Snowflake sync"/>
    <n v="198"/>
    <d v="2023-06-07T21:29:02"/>
    <b v="0"/>
    <m/>
  </r>
  <r>
    <s v="TK60536"/>
    <d v="2023-06-07T19:33:00"/>
    <s v="in-app"/>
    <x v="0"/>
    <x v="1"/>
    <s v="Error when export my data"/>
    <n v="59"/>
    <d v="2023-06-08T03:48:57"/>
    <b v="0"/>
    <m/>
  </r>
  <r>
    <s v="TK63650"/>
    <d v="2023-06-07T19:34:00"/>
    <s v="email"/>
    <x v="4"/>
    <x v="0"/>
    <s v="Issue with a duplicate charge"/>
    <n v="23"/>
    <d v="2023-06-07T22:21:48"/>
    <b v="0"/>
    <m/>
  </r>
  <r>
    <s v="TK60555"/>
    <d v="2023-06-07T21:42:00"/>
    <s v="in-app"/>
    <x v="2"/>
    <x v="1"/>
    <s v="Request to connecting the Snowflake sync"/>
    <n v="24"/>
    <d v="2023-06-08T12:32:24"/>
    <b v="0"/>
    <m/>
  </r>
  <r>
    <s v="TK60305"/>
    <d v="2023-06-08T00:25:00"/>
    <s v="chat"/>
    <x v="3"/>
    <x v="3"/>
    <s v="Unable to log in after password reset"/>
    <n v="55"/>
    <d v="2023-06-18T01:00:28"/>
    <b v="0"/>
    <m/>
  </r>
  <r>
    <s v="TK61435"/>
    <d v="2023-06-08T01:54:00"/>
    <s v="email"/>
    <x v="1"/>
    <x v="1"/>
    <s v="Cannot two-factor authentication"/>
    <n v="54"/>
    <d v="2023-06-13T15:29:40"/>
    <b v="0"/>
    <n v="4"/>
  </r>
  <r>
    <s v="TK61444"/>
    <d v="2023-06-08T05:00:00"/>
    <s v="chat"/>
    <x v="2"/>
    <x v="2"/>
    <s v="Cannot a duplicate charge"/>
    <n v="4"/>
    <d v="2023-06-08T08:04:09"/>
    <b v="0"/>
    <m/>
  </r>
  <r>
    <s v="TK63161"/>
    <d v="2023-06-08T06:32:00"/>
    <s v="email"/>
    <x v="3"/>
    <x v="3"/>
    <s v="Issue with the API rate limit"/>
    <n v="69"/>
    <d v="2023-06-09T09:14:24"/>
    <b v="0"/>
    <m/>
  </r>
  <r>
    <s v="TK63240"/>
    <d v="2023-06-08T08:04:00"/>
    <s v="chat"/>
    <x v="2"/>
    <x v="3"/>
    <s v="Unable to two-factor authentication"/>
    <n v="628"/>
    <d v="2023-06-15T17:38:55"/>
    <b v="0"/>
    <m/>
  </r>
  <r>
    <s v="TK61506"/>
    <d v="2023-06-08T09:10:00"/>
    <s v="chat"/>
    <x v="4"/>
    <x v="1"/>
    <s v="Cannot a refund for an annual plan"/>
    <n v="124"/>
    <d v="2023-06-11T00:04:25"/>
    <b v="0"/>
    <m/>
  </r>
  <r>
    <s v="TK62632"/>
    <d v="2023-06-08T09:44:00"/>
    <s v="chat"/>
    <x v="3"/>
    <x v="0"/>
    <s v="Cannot a refund for an annual plan"/>
    <n v="62"/>
    <d v="2023-06-09T22:10:53"/>
    <b v="0"/>
    <m/>
  </r>
  <r>
    <s v="TK63816"/>
    <d v="2023-06-08T11:30:00"/>
    <s v="phone"/>
    <x v="3"/>
    <x v="1"/>
    <s v="How do I downgrade my plan"/>
    <n v="18"/>
    <d v="2023-06-09T01:59:49"/>
    <b v="0"/>
    <m/>
  </r>
  <r>
    <s v="TK60100"/>
    <d v="2023-06-08T12:44:00"/>
    <s v="in-app"/>
    <x v="1"/>
    <x v="1"/>
    <s v="How do I the invoice for last month"/>
    <n v="10"/>
    <d v="2023-06-11T00:23:38"/>
    <b v="0"/>
    <m/>
  </r>
  <r>
    <s v="TK62325"/>
    <d v="2023-06-08T14:08:00"/>
    <s v="chat"/>
    <x v="3"/>
    <x v="0"/>
    <s v="Unable to webhook deliveries failing"/>
    <n v="118"/>
    <d v="2023-06-09T09:11:45"/>
    <b v="0"/>
    <m/>
  </r>
  <r>
    <s v="TK63068"/>
    <d v="2023-06-08T15:13:00"/>
    <s v="email"/>
    <x v="4"/>
    <x v="0"/>
    <s v="Issue with the API rate limit"/>
    <n v="108"/>
    <d v="2023-06-08T16:30:50"/>
    <b v="0"/>
    <m/>
  </r>
  <r>
    <s v="TK60439"/>
    <d v="2023-06-08T16:44:00"/>
    <s v="phone"/>
    <x v="2"/>
    <x v="0"/>
    <s v="Question about the API rate limit"/>
    <n v="23"/>
    <d v="2023-06-12T05:40:33"/>
    <b v="0"/>
    <n v="5"/>
  </r>
  <r>
    <s v="TK63018"/>
    <d v="2023-06-08T17:33:00"/>
    <s v="email"/>
    <x v="2"/>
    <x v="1"/>
    <s v="Unable to two-factor authentication"/>
    <n v="86"/>
    <d v="2023-06-10T08:12:29"/>
    <b v="0"/>
    <n v="5"/>
  </r>
  <r>
    <s v="TK63889"/>
    <d v="2023-06-08T18:45:00"/>
    <s v="email"/>
    <x v="2"/>
    <x v="0"/>
    <s v="How do I export my data"/>
    <n v="63"/>
    <d v="2023-06-08T21:26:03"/>
    <b v="0"/>
    <m/>
  </r>
  <r>
    <s v="TK61350"/>
    <d v="2023-06-08T20:43:00"/>
    <s v="email"/>
    <x v="1"/>
    <x v="1"/>
    <s v="Request to the dashboard loading slowly"/>
    <n v="454"/>
    <d v="2023-06-09T21:04:21"/>
    <b v="1"/>
    <n v="4"/>
  </r>
  <r>
    <s v="TK62724"/>
    <d v="2023-06-08T22:21:00"/>
    <s v="email"/>
    <x v="4"/>
    <x v="0"/>
    <s v="Error when downgrade my plan"/>
    <n v="22"/>
    <m/>
    <b v="0"/>
    <m/>
  </r>
  <r>
    <s v="TK60652"/>
    <d v="2023-06-09T00:21:00"/>
    <s v="chat"/>
    <x v="1"/>
    <x v="1"/>
    <s v="Cannot the dashboard loading slowly"/>
    <m/>
    <d v="2023-06-11T22:32:58"/>
    <b v="0"/>
    <n v="1"/>
  </r>
  <r>
    <s v="TK60207"/>
    <d v="2023-06-09T00:40:00"/>
    <s v="chat"/>
    <x v="1"/>
    <x v="0"/>
    <s v="Request to a refund for an annual plan"/>
    <n v="11"/>
    <d v="2023-06-09T16:17:01"/>
    <b v="0"/>
    <m/>
  </r>
  <r>
    <s v="TK62283"/>
    <d v="2023-06-09T02:09:00"/>
    <s v="chat"/>
    <x v="1"/>
    <x v="0"/>
    <s v="Unable to the dashboard loading slowly"/>
    <n v="135"/>
    <d v="2023-06-10T16:35:21"/>
    <b v="0"/>
    <m/>
  </r>
  <r>
    <s v="TK61524"/>
    <d v="2023-06-09T02:10:00"/>
    <s v="email"/>
    <x v="2"/>
    <x v="0"/>
    <s v="Error when export my data"/>
    <m/>
    <d v="2023-06-09T04:44:07"/>
    <b v="0"/>
    <m/>
  </r>
  <r>
    <s v="TK60413"/>
    <d v="2023-06-09T03:06:00"/>
    <s v="phone"/>
    <x v="4"/>
    <x v="1"/>
    <s v="Unable to export my data"/>
    <n v="170"/>
    <d v="2023-06-10T10:45:58"/>
    <b v="0"/>
    <m/>
  </r>
  <r>
    <s v="TK63988"/>
    <d v="2023-06-09T04:08:00"/>
    <s v="email"/>
    <x v="1"/>
    <x v="1"/>
    <s v="Question about connecting the Snowflake sync"/>
    <n v="135"/>
    <d v="2023-06-10T01:10:11"/>
    <b v="0"/>
    <m/>
  </r>
  <r>
    <s v="TK63641"/>
    <d v="2023-06-09T12:18:00"/>
    <s v="email"/>
    <x v="2"/>
    <x v="0"/>
    <s v="Request to the dashboard loading slowly"/>
    <m/>
    <d v="2023-06-11T21:51:14"/>
    <b v="0"/>
    <m/>
  </r>
  <r>
    <s v="TK62410"/>
    <d v="2023-06-09T13:54:00"/>
    <s v="phone"/>
    <x v="1"/>
    <x v="2"/>
    <s v="Question about the dashboard loading slowly"/>
    <n v="125"/>
    <m/>
    <b v="0"/>
    <m/>
  </r>
  <r>
    <s v="TK62494"/>
    <d v="2023-06-09T15:40:00"/>
    <s v="email"/>
    <x v="2"/>
    <x v="2"/>
    <s v="Error when the invoice for last month"/>
    <n v="41"/>
    <m/>
    <b v="0"/>
    <m/>
  </r>
  <r>
    <s v="TK61664"/>
    <d v="2023-06-09T21:00:00"/>
    <s v="email"/>
    <x v="4"/>
    <x v="0"/>
    <s v="Cannot a refund for an annual plan"/>
    <n v="41"/>
    <d v="2023-06-10T12:20:32"/>
    <b v="0"/>
    <n v="5"/>
  </r>
  <r>
    <s v="TK62840"/>
    <d v="2023-06-09T22:15:00"/>
    <s v="phone"/>
    <x v="2"/>
    <x v="0"/>
    <s v="How do I connecting the Snowflake sync"/>
    <n v="472"/>
    <m/>
    <b v="0"/>
    <m/>
  </r>
  <r>
    <s v="TK63843"/>
    <d v="2023-06-09T23:05:00"/>
    <s v="chat"/>
    <x v="4"/>
    <x v="1"/>
    <s v="Unable to add a teammate"/>
    <n v="139"/>
    <d v="2023-06-15T15:25:34"/>
    <b v="0"/>
    <n v="5"/>
  </r>
  <r>
    <s v="TK60388"/>
    <d v="2023-06-10T02:05:00"/>
    <s v="chat"/>
    <x v="4"/>
    <x v="1"/>
    <s v="Cannot webhook deliveries failing"/>
    <n v="16"/>
    <d v="2023-06-12T15:54:57"/>
    <b v="0"/>
    <m/>
  </r>
  <r>
    <s v="TK61360"/>
    <d v="2023-06-10T03:57:00"/>
    <s v="phone"/>
    <x v="1"/>
    <x v="3"/>
    <s v="Unable to downgrade my plan"/>
    <n v="220"/>
    <d v="2023-06-20T22:38:31"/>
    <b v="0"/>
    <n v="5"/>
  </r>
  <r>
    <s v="TK60943"/>
    <d v="2023-06-10T04:00:00"/>
    <s v="phone"/>
    <x v="1"/>
    <x v="1"/>
    <s v="Question about a duplicate charge"/>
    <n v="91"/>
    <d v="2023-06-12T03:12:33"/>
    <b v="0"/>
    <m/>
  </r>
  <r>
    <s v="TK61500"/>
    <d v="2023-06-10T05:50:00"/>
    <s v="in-app"/>
    <x v="1"/>
    <x v="1"/>
    <s v="Unable to add a teammate"/>
    <n v="182"/>
    <d v="2023-06-13T02:31:10"/>
    <b v="0"/>
    <m/>
  </r>
  <r>
    <s v="TK61406"/>
    <d v="2023-06-10T06:25:00"/>
    <s v="in-app"/>
    <x v="4"/>
    <x v="0"/>
    <s v="Cannot the dashboard loading slowly"/>
    <n v="46"/>
    <d v="2023-06-10T13:38:58"/>
    <b v="0"/>
    <m/>
  </r>
  <r>
    <s v="TK62598"/>
    <d v="2023-06-10T09:13:00"/>
    <s v="chat"/>
    <x v="2"/>
    <x v="1"/>
    <s v="Error when add a teammate"/>
    <n v="57"/>
    <d v="2023-06-10T14:07:34"/>
    <b v="0"/>
    <m/>
  </r>
  <r>
    <s v="TK63243"/>
    <d v="2023-06-10T10:38:00"/>
    <s v="chat"/>
    <x v="2"/>
    <x v="0"/>
    <s v="Unable to export my data"/>
    <n v="426"/>
    <d v="2023-06-11T18:51:26"/>
    <b v="0"/>
    <m/>
  </r>
  <r>
    <s v="TK62301"/>
    <d v="2023-06-10T14:43:00"/>
    <s v="email"/>
    <x v="2"/>
    <x v="0"/>
    <s v="How do I two-factor authentication"/>
    <n v="62"/>
    <d v="2023-06-11T04:57:59"/>
    <b v="0"/>
    <m/>
  </r>
  <r>
    <s v="TK60599"/>
    <d v="2023-06-10T15:31:00"/>
    <s v="chat"/>
    <x v="0"/>
    <x v="1"/>
    <s v="Cannot log in after password reset"/>
    <n v="55"/>
    <d v="2023-06-11T08:22:47"/>
    <b v="0"/>
    <n v="5"/>
  </r>
  <r>
    <s v="TK61563"/>
    <d v="2023-06-10T18:13:00"/>
    <s v="in-app"/>
    <x v="2"/>
    <x v="0"/>
    <s v="Cannot export my data"/>
    <n v="28"/>
    <m/>
    <b v="0"/>
    <m/>
  </r>
  <r>
    <s v="TK60884"/>
    <d v="2023-06-10T19:33:00"/>
    <s v="email"/>
    <x v="4"/>
    <x v="3"/>
    <s v="Cannot the API rate limit"/>
    <n v="326"/>
    <d v="2023-06-13T22:02:56"/>
    <b v="0"/>
    <m/>
  </r>
  <r>
    <s v="TK62438"/>
    <d v="2023-06-10T19:46:00"/>
    <s v="chat"/>
    <x v="4"/>
    <x v="3"/>
    <s v="Error when connecting the Snowflake sync"/>
    <n v="40"/>
    <d v="2023-06-18T10:04:29"/>
    <b v="0"/>
    <m/>
  </r>
  <r>
    <s v="TK61390"/>
    <d v="2023-06-10T22:09:00"/>
    <s v="in-app"/>
    <x v="3"/>
    <x v="2"/>
    <s v="Unable to the API rate limit"/>
    <n v="11"/>
    <d v="2023-06-11T01:57:49"/>
    <b v="0"/>
    <n v="5"/>
  </r>
  <r>
    <s v="TK61516"/>
    <d v="2023-06-11T00:53:00"/>
    <s v="email"/>
    <x v="4"/>
    <x v="3"/>
    <s v="Error when the API rate limit"/>
    <n v="79"/>
    <d v="2023-06-11T15:19:24"/>
    <b v="0"/>
    <n v="2"/>
  </r>
  <r>
    <s v="TK61325"/>
    <d v="2023-06-11T01:06:00"/>
    <s v="phone"/>
    <x v="1"/>
    <x v="1"/>
    <s v="Error when the invoice for last month"/>
    <n v="40"/>
    <m/>
    <b v="0"/>
    <m/>
  </r>
  <r>
    <s v="TK61788"/>
    <d v="2023-06-11T02:04:00"/>
    <s v="phone"/>
    <x v="1"/>
    <x v="0"/>
    <s v="Request to downgrade my plan"/>
    <n v="50"/>
    <d v="2023-06-11T12:16:10"/>
    <b v="0"/>
    <m/>
  </r>
  <r>
    <s v="TK61654"/>
    <d v="2023-06-11T06:06:00"/>
    <s v="chat"/>
    <x v="0"/>
    <x v="1"/>
    <s v="Cannot a duplicate charge"/>
    <n v="413"/>
    <d v="2023-06-13T02:48:27"/>
    <b v="0"/>
    <m/>
  </r>
  <r>
    <s v="TK61158"/>
    <d v="2023-06-11T09:31:00"/>
    <s v="in-app"/>
    <x v="3"/>
    <x v="1"/>
    <s v="Question about a refund for an annual plan"/>
    <n v="47"/>
    <m/>
    <b v="0"/>
    <m/>
  </r>
  <r>
    <s v="TK60048"/>
    <d v="2023-06-11T09:51:00"/>
    <s v="email"/>
    <x v="2"/>
    <x v="0"/>
    <s v="Cannot the API rate limit"/>
    <n v="35"/>
    <d v="2023-06-11T17:32:54"/>
    <b v="0"/>
    <m/>
  </r>
  <r>
    <s v="TK62784"/>
    <d v="2023-06-11T14:31:00"/>
    <s v="chat"/>
    <x v="2"/>
    <x v="1"/>
    <s v="How do I export my data"/>
    <n v="112"/>
    <d v="2023-06-14T05:05:16"/>
    <b v="0"/>
    <m/>
  </r>
  <r>
    <s v="TK62543"/>
    <d v="2023-06-11T16:32:00"/>
    <s v="email"/>
    <x v="1"/>
    <x v="1"/>
    <s v="Cannot log in after password reset"/>
    <n v="64"/>
    <d v="2023-06-13T08:43:20"/>
    <b v="0"/>
    <n v="5"/>
  </r>
  <r>
    <s v="TK61125"/>
    <d v="2023-06-11T16:42:00"/>
    <s v="chat"/>
    <x v="1"/>
    <x v="0"/>
    <s v="Issue with webhook deliveries failing"/>
    <n v="15"/>
    <d v="2023-06-12T08:18:33"/>
    <b v="0"/>
    <m/>
  </r>
  <r>
    <s v="TK63321"/>
    <d v="2023-06-12T01:41:00"/>
    <s v="chat"/>
    <x v="1"/>
    <x v="2"/>
    <s v="Issue with connecting the Snowflake sync"/>
    <n v="15"/>
    <d v="2023-06-12T03:51:37"/>
    <b v="0"/>
    <m/>
  </r>
  <r>
    <s v="TK61002"/>
    <d v="2023-06-12T01:55:00"/>
    <s v="email"/>
    <x v="0"/>
    <x v="0"/>
    <s v="Request to the API rate limit"/>
    <n v="135"/>
    <d v="2023-06-12T13:34:41"/>
    <b v="0"/>
    <m/>
  </r>
  <r>
    <s v="TK62019"/>
    <d v="2023-06-12T02:02:00"/>
    <s v="chat"/>
    <x v="0"/>
    <x v="0"/>
    <s v="Unable to a refund for an annual plan"/>
    <n v="57"/>
    <d v="2023-06-12T04:27:26"/>
    <b v="0"/>
    <n v="5"/>
  </r>
  <r>
    <s v="TK62766"/>
    <d v="2023-06-12T04:55:00"/>
    <s v="phone"/>
    <x v="1"/>
    <x v="1"/>
    <s v="Error when webhook deliveries failing"/>
    <n v="238"/>
    <d v="2023-06-13T02:32:32"/>
    <b v="0"/>
    <m/>
  </r>
  <r>
    <s v="TK61448"/>
    <d v="2023-06-12T06:00:00"/>
    <s v="chat"/>
    <x v="0"/>
    <x v="0"/>
    <s v="Unable to downgrade my plan"/>
    <n v="142"/>
    <m/>
    <b v="0"/>
    <m/>
  </r>
  <r>
    <s v="TK63086"/>
    <d v="2023-06-12T06:02:00"/>
    <s v="email"/>
    <x v="2"/>
    <x v="0"/>
    <s v="Question about the dashboard loading slowly"/>
    <n v="91"/>
    <d v="2023-06-12T10:36:30"/>
    <b v="0"/>
    <m/>
  </r>
  <r>
    <s v="TK62678"/>
    <d v="2023-06-12T08:47:00"/>
    <s v="chat"/>
    <x v="1"/>
    <x v="1"/>
    <s v="Error when a duplicate charge"/>
    <m/>
    <d v="2023-06-22T04:37:49"/>
    <b v="0"/>
    <m/>
  </r>
  <r>
    <s v="TK61854"/>
    <d v="2023-06-12T17:09:00"/>
    <s v="email"/>
    <x v="4"/>
    <x v="3"/>
    <s v="Error when two-factor authentication"/>
    <n v="143"/>
    <m/>
    <b v="0"/>
    <m/>
  </r>
  <r>
    <s v="TK61911"/>
    <d v="2023-06-12T18:29:00"/>
    <s v="email"/>
    <x v="2"/>
    <x v="1"/>
    <s v="How do I add a teammate"/>
    <n v="39"/>
    <d v="2023-06-13T02:52:42"/>
    <b v="0"/>
    <n v="5"/>
  </r>
  <r>
    <s v="TK61408"/>
    <d v="2023-06-12T19:45:00"/>
    <s v="phone"/>
    <x v="1"/>
    <x v="3"/>
    <s v="Request to webhook deliveries failing"/>
    <n v="200"/>
    <d v="2023-06-13T06:16:13"/>
    <b v="0"/>
    <m/>
  </r>
  <r>
    <s v="TK61652"/>
    <d v="2023-06-12T21:14:00"/>
    <s v="phone"/>
    <x v="0"/>
    <x v="2"/>
    <s v="Request to a refund for an annual plan"/>
    <n v="23"/>
    <d v="2023-06-13T02:51:30"/>
    <b v="0"/>
    <m/>
  </r>
  <r>
    <s v="TK62318"/>
    <d v="2023-06-12T23:51:00"/>
    <s v="in-app"/>
    <x v="1"/>
    <x v="1"/>
    <s v="How do I add a teammate"/>
    <n v="73"/>
    <d v="2023-06-14T23:38:29"/>
    <b v="0"/>
    <m/>
  </r>
  <r>
    <s v="TK61927"/>
    <d v="2023-06-13T02:04:00"/>
    <s v="chat"/>
    <x v="2"/>
    <x v="3"/>
    <s v="Request to webhook deliveries failing"/>
    <n v="169"/>
    <d v="2023-06-17T04:08:48"/>
    <b v="0"/>
    <m/>
  </r>
  <r>
    <s v="TK62412"/>
    <d v="2023-06-13T02:04:00"/>
    <s v="in-app"/>
    <x v="3"/>
    <x v="1"/>
    <s v="Request to the API rate limit"/>
    <n v="186"/>
    <d v="2023-07-01T07:35:07"/>
    <b v="0"/>
    <n v="5"/>
  </r>
  <r>
    <s v="TK63392"/>
    <d v="2023-06-13T07:12:00"/>
    <s v="in-app"/>
    <x v="3"/>
    <x v="0"/>
    <s v="Error when the API rate limit"/>
    <n v="20"/>
    <m/>
    <b v="0"/>
    <m/>
  </r>
  <r>
    <s v="TK62434"/>
    <d v="2023-06-13T08:52:00"/>
    <s v="chat"/>
    <x v="1"/>
    <x v="3"/>
    <s v="Issue with a duplicate charge"/>
    <n v="287"/>
    <d v="2023-06-16T17:16:00"/>
    <b v="0"/>
    <m/>
  </r>
  <r>
    <s v="TK62717"/>
    <d v="2023-06-13T12:09:00"/>
    <s v="chat"/>
    <x v="0"/>
    <x v="0"/>
    <s v="Request to log in after password reset"/>
    <n v="38"/>
    <d v="2023-06-13T13:25:47"/>
    <b v="0"/>
    <n v="1"/>
  </r>
  <r>
    <s v="TK62749"/>
    <d v="2023-06-13T17:52:00"/>
    <s v="chat"/>
    <x v="0"/>
    <x v="1"/>
    <s v="Unable to a duplicate charge"/>
    <n v="35"/>
    <d v="2023-06-16T02:43:22"/>
    <b v="0"/>
    <m/>
  </r>
  <r>
    <s v="TK62407"/>
    <d v="2023-06-14T01:27:00"/>
    <s v="phone"/>
    <x v="4"/>
    <x v="1"/>
    <s v="Question about a refund for an annual plan"/>
    <n v="302"/>
    <d v="2023-06-14T22:59:33"/>
    <b v="0"/>
    <n v="4"/>
  </r>
  <r>
    <s v="TK60156"/>
    <d v="2023-06-14T13:16:00"/>
    <s v="chat"/>
    <x v="1"/>
    <x v="3"/>
    <s v="Unable to the dashboard loading slowly"/>
    <n v="42"/>
    <d v="2023-06-18T14:54:55"/>
    <b v="0"/>
    <n v="4"/>
  </r>
  <r>
    <s v="TK61426"/>
    <d v="2023-06-14T13:56:00"/>
    <s v="phone"/>
    <x v="2"/>
    <x v="1"/>
    <s v="Request to downgrade my plan"/>
    <m/>
    <d v="2023-06-14T17:11:59"/>
    <b v="0"/>
    <n v="5"/>
  </r>
  <r>
    <s v="TK62193"/>
    <d v="2023-06-14T14:15:00"/>
    <s v="email"/>
    <x v="4"/>
    <x v="0"/>
    <s v="Error when a refund for an annual plan"/>
    <n v="29"/>
    <d v="2023-06-14T18:57:00"/>
    <b v="0"/>
    <m/>
  </r>
  <r>
    <s v="TK62695"/>
    <d v="2023-06-14T17:06:00"/>
    <s v="chat"/>
    <x v="1"/>
    <x v="1"/>
    <s v="Request to the API rate limit"/>
    <m/>
    <d v="2023-06-17T23:33:35"/>
    <b v="0"/>
    <m/>
  </r>
  <r>
    <s v="TK61450"/>
    <d v="2023-06-14T19:20:00"/>
    <s v="in-app"/>
    <x v="2"/>
    <x v="2"/>
    <s v="Question about a refund for an annual plan"/>
    <n v="18"/>
    <d v="2023-06-14T21:30:34"/>
    <b v="0"/>
    <m/>
  </r>
  <r>
    <s v="TK63872"/>
    <d v="2023-06-14T22:52:00"/>
    <s v="email"/>
    <x v="0"/>
    <x v="2"/>
    <s v="Unable to the dashboard loading slowly"/>
    <n v="22"/>
    <d v="2023-06-16T07:37:14"/>
    <b v="0"/>
    <m/>
  </r>
  <r>
    <s v="TK60023"/>
    <d v="2023-06-14T22:55:00"/>
    <s v="chat"/>
    <x v="2"/>
    <x v="2"/>
    <s v="Question about export my data"/>
    <n v="38"/>
    <d v="2023-06-15T06:36:00"/>
    <b v="0"/>
    <m/>
  </r>
  <r>
    <s v="TK61083"/>
    <d v="2023-06-14T23:51:00"/>
    <s v="email"/>
    <x v="3"/>
    <x v="1"/>
    <s v="Error when a duplicate charge"/>
    <n v="1185"/>
    <d v="2023-06-15T05:55:09"/>
    <b v="0"/>
    <m/>
  </r>
  <r>
    <s v="TK62672"/>
    <d v="2023-06-15T01:33:00"/>
    <s v="email"/>
    <x v="1"/>
    <x v="0"/>
    <s v="Cannot the API rate limit"/>
    <n v="31"/>
    <d v="2023-06-15T07:12:50"/>
    <b v="0"/>
    <n v="5"/>
  </r>
  <r>
    <s v="TK63799"/>
    <d v="2023-06-15T04:15:00"/>
    <s v="email"/>
    <x v="1"/>
    <x v="1"/>
    <s v="Unable to two-factor authentication"/>
    <n v="200"/>
    <m/>
    <b v="0"/>
    <m/>
  </r>
  <r>
    <s v="TK62737"/>
    <d v="2023-06-15T04:38:00"/>
    <s v="chat"/>
    <x v="1"/>
    <x v="2"/>
    <s v="Question about log in after password reset"/>
    <n v="51"/>
    <d v="2023-06-15T12:33:48"/>
    <b v="0"/>
    <n v="2"/>
  </r>
  <r>
    <s v="TK61122"/>
    <d v="2023-06-15T05:05:00"/>
    <s v="phone"/>
    <x v="2"/>
    <x v="1"/>
    <s v="How do I log in after password reset"/>
    <n v="49"/>
    <d v="2023-06-17T08:08:11"/>
    <b v="0"/>
    <m/>
  </r>
  <r>
    <s v="TK62177"/>
    <d v="2023-06-15T07:50:00"/>
    <s v="email"/>
    <x v="2"/>
    <x v="3"/>
    <s v="Issue with export my data"/>
    <n v="180"/>
    <d v="2023-06-16T07:41:25"/>
    <b v="0"/>
    <m/>
  </r>
  <r>
    <s v="TK62197"/>
    <d v="2023-06-15T08:20:00"/>
    <s v="chat"/>
    <x v="2"/>
    <x v="1"/>
    <s v="Cannot add a teammate"/>
    <n v="158"/>
    <d v="2023-06-17T05:38:43"/>
    <b v="0"/>
    <n v="5"/>
  </r>
  <r>
    <s v="TK62428"/>
    <d v="2023-06-15T08:40:00"/>
    <s v="chat"/>
    <x v="0"/>
    <x v="0"/>
    <s v="Cannot connecting the Snowflake sync"/>
    <n v="28"/>
    <d v="2023-06-15T10:28:59"/>
    <b v="0"/>
    <n v="5"/>
  </r>
  <r>
    <s v="TK61386"/>
    <d v="2023-06-15T10:10:00"/>
    <s v="email"/>
    <x v="2"/>
    <x v="0"/>
    <s v="Error when the dashboard loading slowly"/>
    <n v="172"/>
    <d v="2023-06-15T17:07:28"/>
    <b v="0"/>
    <n v="4"/>
  </r>
  <r>
    <s v="TK60703"/>
    <d v="2023-06-15T11:12:00"/>
    <s v="phone"/>
    <x v="1"/>
    <x v="1"/>
    <s v="Request to log in after password reset"/>
    <n v="98"/>
    <d v="2023-06-19T12:12:06"/>
    <b v="0"/>
    <m/>
  </r>
  <r>
    <s v="TK63229"/>
    <d v="2023-06-15T14:10:00"/>
    <s v="email"/>
    <x v="2"/>
    <x v="1"/>
    <s v="Error when log in after password reset"/>
    <n v="238"/>
    <d v="2023-06-16T10:26:12"/>
    <b v="0"/>
    <m/>
  </r>
  <r>
    <s v="TK60796"/>
    <d v="2023-06-15T16:59:00"/>
    <s v="email"/>
    <x v="0"/>
    <x v="2"/>
    <s v="How do I the API rate limit"/>
    <n v="34"/>
    <d v="2023-06-16T05:04:21"/>
    <b v="0"/>
    <m/>
  </r>
  <r>
    <s v="TK63976"/>
    <d v="2023-06-15T18:10:00"/>
    <s v="in-app"/>
    <x v="4"/>
    <x v="0"/>
    <s v="Unable to webhook deliveries failing"/>
    <n v="60"/>
    <d v="2023-06-16T00:06:07"/>
    <b v="0"/>
    <n v="5"/>
  </r>
  <r>
    <s v="TK61956"/>
    <d v="2023-06-15T18:52:00"/>
    <s v="email"/>
    <x v="1"/>
    <x v="0"/>
    <s v="Error when log in after password reset"/>
    <m/>
    <d v="2023-06-16T02:11:54"/>
    <b v="0"/>
    <m/>
  </r>
  <r>
    <s v="TK61231"/>
    <d v="2023-06-15T19:04:00"/>
    <s v="email"/>
    <x v="1"/>
    <x v="1"/>
    <s v="Request to the API rate limit"/>
    <n v="184"/>
    <d v="2023-06-20T09:53:49"/>
    <b v="0"/>
    <m/>
  </r>
  <r>
    <s v="TK61305"/>
    <d v="2023-06-15T19:40:00"/>
    <s v="email"/>
    <x v="1"/>
    <x v="0"/>
    <s v="Unable to a duplicate charge"/>
    <n v="10"/>
    <d v="2023-06-17T12:08:53"/>
    <b v="0"/>
    <m/>
  </r>
  <r>
    <s v="TK62882"/>
    <d v="2023-06-15T21:22:00"/>
    <s v="chat"/>
    <x v="3"/>
    <x v="1"/>
    <s v="Unable to a refund for an annual plan"/>
    <n v="192"/>
    <d v="2023-06-30T13:26:41"/>
    <b v="0"/>
    <n v="1"/>
  </r>
  <r>
    <s v="TK62188"/>
    <d v="2023-06-15T22:45:00"/>
    <s v="in-app"/>
    <x v="3"/>
    <x v="3"/>
    <s v="Cannot two-factor authentication"/>
    <n v="52"/>
    <d v="2023-06-24T14:20:12"/>
    <b v="0"/>
    <n v="3"/>
  </r>
  <r>
    <s v="TK60164"/>
    <d v="2023-06-15T23:14:00"/>
    <s v="phone"/>
    <x v="4"/>
    <x v="3"/>
    <s v="Cannot log in after password reset"/>
    <n v="1092"/>
    <d v="2023-06-16T14:51:08"/>
    <b v="0"/>
    <m/>
  </r>
  <r>
    <s v="TK62258"/>
    <d v="2023-06-16T00:03:00"/>
    <s v="phone"/>
    <x v="3"/>
    <x v="1"/>
    <s v="Cannot the API rate limit"/>
    <n v="37"/>
    <d v="2023-06-16T17:24:07"/>
    <b v="0"/>
    <m/>
  </r>
  <r>
    <s v="TK63434"/>
    <d v="2023-06-16T00:46:00"/>
    <s v="email"/>
    <x v="1"/>
    <x v="1"/>
    <s v="Request to the API rate limit"/>
    <n v="50"/>
    <d v="2023-06-17T07:53:27"/>
    <b v="0"/>
    <m/>
  </r>
  <r>
    <s v="TK60745"/>
    <d v="2023-06-16T06:19:00"/>
    <s v="phone"/>
    <x v="1"/>
    <x v="1"/>
    <s v="Issue with the invoice for last month"/>
    <n v="161"/>
    <d v="2023-06-21T09:43:39"/>
    <b v="0"/>
    <m/>
  </r>
  <r>
    <s v="TK62790"/>
    <d v="2023-06-16T08:41:00"/>
    <s v="chat"/>
    <x v="2"/>
    <x v="0"/>
    <s v="Error when two-factor authentication"/>
    <n v="16"/>
    <m/>
    <b v="0"/>
    <m/>
  </r>
  <r>
    <s v="TK62450"/>
    <d v="2023-06-16T12:52:00"/>
    <s v="email"/>
    <x v="2"/>
    <x v="2"/>
    <s v="Cannot two-factor authentication"/>
    <n v="26"/>
    <d v="2023-06-17T02:08:50"/>
    <b v="0"/>
    <m/>
  </r>
  <r>
    <s v="TK62718"/>
    <d v="2023-06-16T16:24:00"/>
    <s v="in-app"/>
    <x v="2"/>
    <x v="1"/>
    <s v="Error when webhook deliveries failing"/>
    <m/>
    <d v="2023-06-16T17:11:43"/>
    <b v="0"/>
    <n v="4"/>
  </r>
  <r>
    <s v="TK60398"/>
    <d v="2023-06-16T16:48:00"/>
    <s v="email"/>
    <x v="1"/>
    <x v="1"/>
    <s v="Cannot connecting the Snowflake sync"/>
    <n v="98"/>
    <d v="2023-06-18T05:22:26"/>
    <b v="0"/>
    <m/>
  </r>
  <r>
    <s v="TK60255"/>
    <d v="2023-06-16T18:42:00"/>
    <s v="in-app"/>
    <x v="4"/>
    <x v="1"/>
    <s v="Error when the invoice for last month"/>
    <n v="927"/>
    <d v="2023-06-17T02:54:04"/>
    <b v="0"/>
    <m/>
  </r>
  <r>
    <s v="TK63436"/>
    <d v="2023-06-17T00:42:00"/>
    <s v="chat"/>
    <x v="3"/>
    <x v="0"/>
    <s v="Unable to downgrade my plan"/>
    <n v="27"/>
    <d v="2023-06-18T01:13:46"/>
    <b v="0"/>
    <m/>
  </r>
  <r>
    <s v="TK63208"/>
    <d v="2023-06-17T02:10:00"/>
    <s v="chat"/>
    <x v="0"/>
    <x v="0"/>
    <s v="Issue with add a teammate"/>
    <n v="49"/>
    <d v="2023-06-17T07:16:07"/>
    <b v="0"/>
    <n v="5"/>
  </r>
  <r>
    <s v="TK62753"/>
    <d v="2023-06-17T03:59:00"/>
    <s v="phone"/>
    <x v="2"/>
    <x v="3"/>
    <s v="How do I a duplicate charge"/>
    <n v="1082"/>
    <d v="2023-06-19T21:44:43"/>
    <b v="0"/>
    <m/>
  </r>
  <r>
    <s v="TK62860"/>
    <d v="2023-06-17T05:00:00"/>
    <s v="in-app"/>
    <x v="2"/>
    <x v="1"/>
    <s v="Issue with webhook deliveries failing"/>
    <n v="14"/>
    <d v="2023-06-18T05:58:24"/>
    <b v="0"/>
    <m/>
  </r>
  <r>
    <s v="TK62661"/>
    <d v="2023-06-17T11:15:00"/>
    <s v="email"/>
    <x v="2"/>
    <x v="1"/>
    <s v="Cannot connecting the Snowflake sync"/>
    <n v="750"/>
    <d v="2023-06-20T03:42:59"/>
    <b v="0"/>
    <m/>
  </r>
  <r>
    <s v="TK61645"/>
    <d v="2023-06-17T12:34:00"/>
    <s v="email"/>
    <x v="0"/>
    <x v="2"/>
    <s v="How do I two-factor authentication"/>
    <n v="26"/>
    <d v="2023-06-18T04:41:08"/>
    <b v="0"/>
    <m/>
  </r>
  <r>
    <s v="TK61330"/>
    <d v="2023-06-17T12:39:00"/>
    <s v="email"/>
    <x v="3"/>
    <x v="1"/>
    <s v="Unable to the dashboard loading slowly"/>
    <n v="56"/>
    <m/>
    <b v="0"/>
    <m/>
  </r>
  <r>
    <s v="TK61531"/>
    <d v="2023-06-17T17:38:00"/>
    <s v="chat"/>
    <x v="2"/>
    <x v="1"/>
    <s v="Cannot two-factor authentication"/>
    <n v="240"/>
    <d v="2023-06-18T02:19:24"/>
    <b v="1"/>
    <m/>
  </r>
  <r>
    <s v="TK62274"/>
    <d v="2023-06-17T23:26:00"/>
    <s v="in-app"/>
    <x v="1"/>
    <x v="1"/>
    <s v="Request to export my data"/>
    <n v="298"/>
    <d v="2023-06-20T01:05:50"/>
    <b v="0"/>
    <m/>
  </r>
  <r>
    <s v="TK60132"/>
    <d v="2023-06-18T00:18:00"/>
    <s v="in-app"/>
    <x v="1"/>
    <x v="1"/>
    <s v="Unable to the dashboard loading slowly"/>
    <n v="50"/>
    <d v="2023-06-18T05:00:18"/>
    <b v="1"/>
    <m/>
  </r>
  <r>
    <s v="TK60636"/>
    <d v="2023-06-18T02:51:00"/>
    <s v="phone"/>
    <x v="4"/>
    <x v="1"/>
    <s v="Unable to export my data"/>
    <n v="367"/>
    <d v="2023-06-18T12:41:42"/>
    <b v="0"/>
    <n v="4"/>
  </r>
  <r>
    <s v="TK60898"/>
    <d v="2023-06-18T05:07:00"/>
    <s v="in-app"/>
    <x v="3"/>
    <x v="1"/>
    <s v="Question about downgrade my plan"/>
    <n v="508"/>
    <d v="2023-06-23T02:29:42"/>
    <b v="1"/>
    <m/>
  </r>
  <r>
    <s v="TK60391"/>
    <d v="2023-06-18T08:33:00"/>
    <s v="chat"/>
    <x v="0"/>
    <x v="0"/>
    <s v="Error when a duplicate charge"/>
    <n v="32"/>
    <d v="2023-06-19T19:17:12"/>
    <b v="0"/>
    <n v="4"/>
  </r>
  <r>
    <s v="TK62102"/>
    <d v="2023-06-18T13:08:00"/>
    <s v="email"/>
    <x v="2"/>
    <x v="1"/>
    <s v="How do I the dashboard loading slowly"/>
    <n v="34"/>
    <d v="2023-06-19T01:35:10"/>
    <b v="0"/>
    <n v="4"/>
  </r>
  <r>
    <s v="TK63901"/>
    <d v="2023-06-18T14:03:00"/>
    <s v="in-app"/>
    <x v="1"/>
    <x v="3"/>
    <s v="Issue with add a teammate"/>
    <n v="363"/>
    <d v="2023-06-21T14:13:19"/>
    <b v="1"/>
    <m/>
  </r>
  <r>
    <s v="TK61323"/>
    <d v="2023-06-18T18:42:00"/>
    <s v="in-app"/>
    <x v="4"/>
    <x v="0"/>
    <s v="Cannot a refund for an annual plan"/>
    <n v="4"/>
    <m/>
    <b v="0"/>
    <m/>
  </r>
  <r>
    <s v="TK63717"/>
    <d v="2023-06-18T23:49:00"/>
    <s v="chat"/>
    <x v="4"/>
    <x v="1"/>
    <s v="Request to connecting the Snowflake sync"/>
    <n v="78"/>
    <d v="2023-06-22T00:38:40"/>
    <b v="1"/>
    <m/>
  </r>
  <r>
    <s v="TK62184"/>
    <d v="2023-06-19T02:14:00"/>
    <s v="chat"/>
    <x v="2"/>
    <x v="1"/>
    <s v="Unable to log in after password reset"/>
    <n v="90"/>
    <d v="2023-06-20T10:48:13"/>
    <b v="0"/>
    <m/>
  </r>
  <r>
    <s v="TK61142"/>
    <d v="2023-06-19T04:40:00"/>
    <s v="in-app"/>
    <x v="0"/>
    <x v="1"/>
    <s v="Error when log in after password reset"/>
    <n v="236"/>
    <d v="2023-06-20T14:31:38"/>
    <b v="0"/>
    <m/>
  </r>
  <r>
    <s v="TK62296"/>
    <d v="2023-06-19T05:56:00"/>
    <s v="phone"/>
    <x v="2"/>
    <x v="0"/>
    <s v="Unable to a refund for an annual plan"/>
    <m/>
    <d v="2023-06-19T06:28:16"/>
    <b v="0"/>
    <n v="1"/>
  </r>
  <r>
    <s v="TK63254"/>
    <d v="2023-06-19T06:04:00"/>
    <s v="in-app"/>
    <x v="2"/>
    <x v="3"/>
    <s v="Cannot add a teammate"/>
    <n v="150"/>
    <d v="2023-06-24T01:39:10"/>
    <b v="1"/>
    <n v="2"/>
  </r>
  <r>
    <s v="TK60002"/>
    <d v="2023-06-19T07:33:00"/>
    <s v="in-app"/>
    <x v="1"/>
    <x v="1"/>
    <s v="Error when the dashboard loading slowly"/>
    <n v="93"/>
    <d v="2023-06-20T11:32:21"/>
    <b v="0"/>
    <m/>
  </r>
  <r>
    <s v="TK60648"/>
    <d v="2023-06-19T07:55:00"/>
    <s v="email"/>
    <x v="1"/>
    <x v="0"/>
    <s v="How do I the dashboard loading slowly"/>
    <n v="89"/>
    <d v="2023-06-20T11:05:55"/>
    <b v="0"/>
    <n v="3"/>
  </r>
  <r>
    <s v="TK61900"/>
    <d v="2023-06-19T08:28:00"/>
    <s v="email"/>
    <x v="0"/>
    <x v="0"/>
    <s v="Error when add a teammate"/>
    <n v="22"/>
    <d v="2023-06-25T09:36:48"/>
    <b v="0"/>
    <m/>
  </r>
  <r>
    <s v="TK62236"/>
    <d v="2023-06-19T14:45:00"/>
    <s v="chat"/>
    <x v="0"/>
    <x v="3"/>
    <s v="Unable to add a teammate"/>
    <n v="307"/>
    <d v="2023-06-19T20:30:28"/>
    <b v="0"/>
    <n v="4"/>
  </r>
  <r>
    <s v="TK63096"/>
    <d v="2023-06-19T14:51:00"/>
    <s v="in-app"/>
    <x v="2"/>
    <x v="1"/>
    <s v="Issue with a refund for an annual plan"/>
    <n v="262"/>
    <d v="2023-06-22T03:30:19"/>
    <b v="1"/>
    <m/>
  </r>
  <r>
    <s v="TK60335"/>
    <d v="2023-06-19T16:17:00"/>
    <s v="chat"/>
    <x v="0"/>
    <x v="1"/>
    <s v="Cannot connecting the Snowflake sync"/>
    <n v="23"/>
    <d v="2023-06-20T22:04:52"/>
    <b v="0"/>
    <n v="1"/>
  </r>
  <r>
    <s v="TK60098"/>
    <d v="2023-06-19T20:38:00"/>
    <s v="in-app"/>
    <x v="4"/>
    <x v="0"/>
    <s v="How do I export my data"/>
    <n v="36"/>
    <d v="2023-06-21T08:05:09"/>
    <b v="0"/>
    <m/>
  </r>
  <r>
    <s v="TK62867"/>
    <d v="2023-06-19T22:46:00"/>
    <s v="chat"/>
    <x v="2"/>
    <x v="1"/>
    <s v="Unable to the invoice for last month"/>
    <n v="54"/>
    <d v="2023-06-21T23:52:43"/>
    <b v="0"/>
    <m/>
  </r>
  <r>
    <s v="TK60764"/>
    <d v="2023-06-20T08:28:00"/>
    <s v="email"/>
    <x v="4"/>
    <x v="1"/>
    <s v="Error when downgrade my plan"/>
    <n v="46"/>
    <d v="2023-06-20T15:21:59"/>
    <b v="0"/>
    <n v="3"/>
  </r>
  <r>
    <s v="TK63328"/>
    <d v="2023-06-20T09:10:00"/>
    <s v="email"/>
    <x v="1"/>
    <x v="0"/>
    <s v="Unable to connecting the Snowflake sync"/>
    <n v="52"/>
    <d v="2023-06-27T19:55:01"/>
    <b v="0"/>
    <m/>
  </r>
  <r>
    <s v="TK62422"/>
    <d v="2023-06-20T10:46:00"/>
    <s v="chat"/>
    <x v="1"/>
    <x v="1"/>
    <s v="Unable to add a teammate"/>
    <n v="160"/>
    <d v="2023-06-21T01:03:48"/>
    <b v="0"/>
    <m/>
  </r>
  <r>
    <s v="TK62976"/>
    <d v="2023-06-20T12:12:00"/>
    <s v="email"/>
    <x v="2"/>
    <x v="3"/>
    <s v="Error when connecting the Snowflake sync"/>
    <n v="1179"/>
    <d v="2023-06-21T18:35:08"/>
    <b v="0"/>
    <n v="5"/>
  </r>
  <r>
    <s v="TK61518"/>
    <d v="2023-06-20T14:26:00"/>
    <s v="in-app"/>
    <x v="2"/>
    <x v="2"/>
    <s v="Cannot export my data"/>
    <n v="20"/>
    <d v="2023-06-20T14:28:32"/>
    <b v="0"/>
    <m/>
  </r>
  <r>
    <s v="TK62768"/>
    <d v="2023-06-20T18:22:00"/>
    <s v="in-app"/>
    <x v="2"/>
    <x v="1"/>
    <s v="Unable to a duplicate charge"/>
    <n v="104"/>
    <d v="2023-06-22T10:17:51"/>
    <b v="0"/>
    <m/>
  </r>
  <r>
    <s v="TK60593"/>
    <d v="2023-06-20T19:33:00"/>
    <s v="in-app"/>
    <x v="1"/>
    <x v="0"/>
    <s v="Unable to the dashboard loading slowly"/>
    <n v="31"/>
    <d v="2023-06-22T04:32:27"/>
    <b v="0"/>
    <m/>
  </r>
  <r>
    <s v="TK62035"/>
    <d v="2023-06-20T23:31:00"/>
    <s v="in-app"/>
    <x v="0"/>
    <x v="1"/>
    <s v="Question about the API rate limit"/>
    <n v="224"/>
    <d v="2023-06-21T17:32:07"/>
    <b v="0"/>
    <n v="1"/>
  </r>
  <r>
    <s v="TK63157"/>
    <d v="2023-06-20T23:31:00"/>
    <s v="email"/>
    <x v="0"/>
    <x v="1"/>
    <s v="Cannot two-factor authentication"/>
    <n v="174"/>
    <d v="2023-06-21T15:06:55"/>
    <b v="0"/>
    <m/>
  </r>
  <r>
    <s v="TK62822"/>
    <d v="2023-06-21T05:17:00"/>
    <s v="email"/>
    <x v="0"/>
    <x v="0"/>
    <s v="Issue with connecting the Snowflake sync"/>
    <n v="226"/>
    <d v="2023-06-21T16:41:46"/>
    <b v="0"/>
    <m/>
  </r>
  <r>
    <s v="TK60279"/>
    <d v="2023-06-21T08:36:00"/>
    <s v="email"/>
    <x v="2"/>
    <x v="2"/>
    <s v="Error when downgrade my plan"/>
    <n v="23"/>
    <d v="2023-06-21T09:30:16"/>
    <b v="0"/>
    <m/>
  </r>
  <r>
    <s v="TK60141"/>
    <d v="2023-06-21T08:37:00"/>
    <s v="email"/>
    <x v="1"/>
    <x v="3"/>
    <s v="Issue with two-factor authentication"/>
    <n v="109"/>
    <m/>
    <b v="0"/>
    <m/>
  </r>
  <r>
    <s v="TK62006"/>
    <d v="2023-06-21T10:50:00"/>
    <s v="phone"/>
    <x v="0"/>
    <x v="3"/>
    <s v="Question about the invoice for last month"/>
    <n v="310"/>
    <d v="2023-06-25T06:46:03"/>
    <b v="0"/>
    <m/>
  </r>
  <r>
    <s v="TK62992"/>
    <d v="2023-06-21T15:16:00"/>
    <s v="chat"/>
    <x v="3"/>
    <x v="1"/>
    <s v="Question about a refund for an annual plan"/>
    <n v="144"/>
    <d v="2023-06-29T23:16:00"/>
    <b v="0"/>
    <n v="4"/>
  </r>
  <r>
    <s v="TK62353"/>
    <d v="2023-06-21T17:33:00"/>
    <s v="chat"/>
    <x v="4"/>
    <x v="3"/>
    <s v="Question about log in after password reset"/>
    <n v="71"/>
    <d v="2023-06-22T15:00:33"/>
    <b v="0"/>
    <m/>
  </r>
  <r>
    <s v="TK62082"/>
    <d v="2023-06-21T18:26:00"/>
    <s v="email"/>
    <x v="3"/>
    <x v="3"/>
    <s v="How do I downgrade my plan"/>
    <n v="148"/>
    <d v="2023-06-27T23:49:37"/>
    <b v="0"/>
    <m/>
  </r>
  <r>
    <s v="TK61156"/>
    <d v="2023-06-22T00:55:00"/>
    <s v="in-app"/>
    <x v="3"/>
    <x v="1"/>
    <s v="Unable to a duplicate charge"/>
    <n v="101"/>
    <d v="2023-06-24T02:33:52"/>
    <b v="0"/>
    <m/>
  </r>
  <r>
    <s v="TK61629"/>
    <d v="2023-06-22T07:34:00"/>
    <s v="phone"/>
    <x v="1"/>
    <x v="1"/>
    <s v="Question about the dashboard loading slowly"/>
    <n v="32"/>
    <d v="2023-06-22T23:40:54"/>
    <b v="1"/>
    <n v="3"/>
  </r>
  <r>
    <s v="TK60377"/>
    <d v="2023-06-22T14:18:00"/>
    <s v="chat"/>
    <x v="1"/>
    <x v="3"/>
    <s v="Unable to log in after password reset"/>
    <n v="909"/>
    <d v="2023-06-27T15:38:21"/>
    <b v="0"/>
    <m/>
  </r>
  <r>
    <s v="TK61462"/>
    <d v="2023-06-22T14:40:00"/>
    <s v="email"/>
    <x v="1"/>
    <x v="3"/>
    <s v="Error when export my data"/>
    <n v="187"/>
    <m/>
    <b v="0"/>
    <m/>
  </r>
  <r>
    <s v="TK63155"/>
    <d v="2023-06-22T14:48:00"/>
    <s v="email"/>
    <x v="3"/>
    <x v="1"/>
    <s v="Request to the dashboard loading slowly"/>
    <n v="157"/>
    <d v="2023-06-25T05:16:08"/>
    <b v="0"/>
    <m/>
  </r>
  <r>
    <s v="TK61446"/>
    <d v="2023-06-22T14:53:00"/>
    <s v="in-app"/>
    <x v="2"/>
    <x v="3"/>
    <s v="Request to downgrade my plan"/>
    <n v="133"/>
    <d v="2023-07-04T03:49:00"/>
    <b v="0"/>
    <n v="4"/>
  </r>
  <r>
    <s v="TK61571"/>
    <d v="2023-06-22T15:19:00"/>
    <s v="chat"/>
    <x v="2"/>
    <x v="1"/>
    <s v="Cannot export my data"/>
    <n v="230"/>
    <d v="2023-06-22T23:26:58"/>
    <b v="0"/>
    <n v="2"/>
  </r>
  <r>
    <s v="TK60997"/>
    <d v="2023-06-22T17:18:00"/>
    <s v="email"/>
    <x v="4"/>
    <x v="1"/>
    <s v="Issue with log in after password reset"/>
    <n v="24"/>
    <d v="2023-06-23T00:38:29"/>
    <b v="0"/>
    <m/>
  </r>
  <r>
    <s v="TK63416"/>
    <d v="2023-06-22T21:21:00"/>
    <s v="chat"/>
    <x v="3"/>
    <x v="1"/>
    <s v="Error when a refund for an annual plan"/>
    <n v="322"/>
    <m/>
    <b v="0"/>
    <m/>
  </r>
  <r>
    <s v="TK60194"/>
    <d v="2023-06-23T03:12:00"/>
    <s v="phone"/>
    <x v="1"/>
    <x v="1"/>
    <s v="How do I the invoice for last month"/>
    <n v="33"/>
    <d v="2023-06-23T19:19:57"/>
    <b v="0"/>
    <m/>
  </r>
  <r>
    <s v="TK63141"/>
    <d v="2023-06-23T03:51:00"/>
    <s v="in-app"/>
    <x v="2"/>
    <x v="1"/>
    <s v="Error when downgrade my plan"/>
    <n v="123"/>
    <d v="2023-06-23T12:03:44"/>
    <b v="1"/>
    <m/>
  </r>
  <r>
    <s v="TK61093"/>
    <d v="2023-06-23T04:40:00"/>
    <s v="chat"/>
    <x v="0"/>
    <x v="1"/>
    <s v="Unable to add a teammate"/>
    <n v="161"/>
    <d v="2023-06-23T08:28:02"/>
    <b v="0"/>
    <m/>
  </r>
  <r>
    <s v="TK61377"/>
    <d v="2023-06-23T09:51:00"/>
    <s v="phone"/>
    <x v="2"/>
    <x v="1"/>
    <s v="Error when the dashboard loading slowly"/>
    <n v="1191"/>
    <d v="2023-06-23T15:24:24"/>
    <b v="0"/>
    <m/>
  </r>
  <r>
    <s v="TK60645"/>
    <d v="2023-06-23T10:21:00"/>
    <s v="chat"/>
    <x v="3"/>
    <x v="3"/>
    <s v="Question about a refund for an annual plan"/>
    <n v="126"/>
    <d v="2023-06-26T00:50:30"/>
    <b v="0"/>
    <m/>
  </r>
  <r>
    <s v="TK62408"/>
    <d v="2023-06-23T12:13:00"/>
    <s v="chat"/>
    <x v="2"/>
    <x v="1"/>
    <s v="Question about export my data"/>
    <n v="44"/>
    <d v="2023-06-29T11:59:10"/>
    <b v="0"/>
    <m/>
  </r>
  <r>
    <s v="TK63518"/>
    <d v="2023-06-23T13:24:00"/>
    <s v="chat"/>
    <x v="4"/>
    <x v="0"/>
    <s v="How do I the invoice for last month"/>
    <n v="40"/>
    <d v="2023-06-23T18:03:47"/>
    <b v="0"/>
    <m/>
  </r>
  <r>
    <s v="TK63427"/>
    <d v="2023-06-23T16:11:00"/>
    <s v="chat"/>
    <x v="4"/>
    <x v="1"/>
    <s v="Cannot the API rate limit"/>
    <n v="211"/>
    <d v="2023-06-23T18:53:53"/>
    <b v="0"/>
    <m/>
  </r>
  <r>
    <s v="TK63178"/>
    <d v="2023-06-23T16:33:00"/>
    <s v="in-app"/>
    <x v="3"/>
    <x v="0"/>
    <s v="Request to a duplicate charge"/>
    <n v="64"/>
    <d v="2023-06-27T12:46:37"/>
    <b v="0"/>
    <m/>
  </r>
  <r>
    <s v="TK62837"/>
    <d v="2023-06-23T23:25:00"/>
    <s v="phone"/>
    <x v="1"/>
    <x v="1"/>
    <s v="Question about the dashboard loading slowly"/>
    <n v="6"/>
    <d v="2023-06-24T14:55:56"/>
    <b v="0"/>
    <n v="5"/>
  </r>
  <r>
    <s v="TK62930"/>
    <d v="2023-06-24T00:31:00"/>
    <s v="in-app"/>
    <x v="2"/>
    <x v="1"/>
    <s v="Unable to connecting the Snowflake sync"/>
    <n v="29"/>
    <d v="2023-06-26T11:58:33"/>
    <b v="1"/>
    <m/>
  </r>
  <r>
    <s v="TK62040"/>
    <d v="2023-06-24T07:23:00"/>
    <s v="email"/>
    <x v="3"/>
    <x v="2"/>
    <s v="Unable to the invoice for last month"/>
    <n v="16"/>
    <d v="2023-06-25T03:05:04"/>
    <b v="0"/>
    <m/>
  </r>
  <r>
    <s v="TK62253"/>
    <d v="2023-06-24T08:16:00"/>
    <s v="email"/>
    <x v="2"/>
    <x v="3"/>
    <s v="Cannot add a teammate"/>
    <n v="55"/>
    <d v="2023-06-25T08:32:48"/>
    <b v="0"/>
    <m/>
  </r>
  <r>
    <s v="TK63310"/>
    <d v="2023-06-24T09:18:00"/>
    <s v="chat"/>
    <x v="4"/>
    <x v="1"/>
    <s v="Question about a duplicate charge"/>
    <n v="174"/>
    <d v="2023-06-24T13:30:46"/>
    <b v="0"/>
    <m/>
  </r>
  <r>
    <s v="TK62633"/>
    <d v="2023-06-24T14:01:00"/>
    <s v="chat"/>
    <x v="0"/>
    <x v="3"/>
    <s v="Cannot a refund for an annual plan"/>
    <n v="113"/>
    <d v="2023-06-24T23:13:42"/>
    <b v="0"/>
    <n v="5"/>
  </r>
  <r>
    <s v="TK63306"/>
    <d v="2023-06-24T14:40:00"/>
    <s v="in-app"/>
    <x v="1"/>
    <x v="0"/>
    <s v="Issue with two-factor authentication"/>
    <n v="27"/>
    <d v="2023-06-24T23:35:50"/>
    <b v="0"/>
    <m/>
  </r>
  <r>
    <s v="TK60055"/>
    <d v="2023-06-25T02:23:00"/>
    <s v="in-app"/>
    <x v="4"/>
    <x v="3"/>
    <s v="Request to the API rate limit"/>
    <n v="1577"/>
    <d v="2023-06-26T03:01:54"/>
    <b v="0"/>
    <m/>
  </r>
  <r>
    <s v="TK63570"/>
    <d v="2023-06-25T03:16:00"/>
    <s v="chat"/>
    <x v="4"/>
    <x v="1"/>
    <s v="Question about a refund for an annual plan"/>
    <n v="135"/>
    <d v="2023-06-25T11:22:19"/>
    <b v="1"/>
    <m/>
  </r>
  <r>
    <s v="TK63810"/>
    <d v="2023-06-25T06:24:00"/>
    <s v="email"/>
    <x v="0"/>
    <x v="1"/>
    <s v="Request to downgrade my plan"/>
    <n v="126"/>
    <d v="2023-06-27T06:54:53"/>
    <b v="0"/>
    <n v="5"/>
  </r>
  <r>
    <s v="TK60320"/>
    <d v="2023-06-25T06:57:00"/>
    <s v="chat"/>
    <x v="0"/>
    <x v="1"/>
    <s v="Unable to webhook deliveries failing"/>
    <n v="41"/>
    <d v="2023-06-25T21:10:45"/>
    <b v="0"/>
    <m/>
  </r>
  <r>
    <s v="TK60661"/>
    <d v="2023-06-25T18:48:00"/>
    <s v="phone"/>
    <x v="4"/>
    <x v="3"/>
    <s v="How do I the dashboard loading slowly"/>
    <n v="57"/>
    <d v="2023-06-25T21:57:00"/>
    <b v="0"/>
    <m/>
  </r>
  <r>
    <s v="TK61953"/>
    <d v="2023-06-25T21:52:00"/>
    <s v="chat"/>
    <x v="1"/>
    <x v="1"/>
    <s v="Unable to the API rate limit"/>
    <n v="68"/>
    <d v="2023-06-26T16:45:56"/>
    <b v="0"/>
    <m/>
  </r>
  <r>
    <s v="TK62394"/>
    <d v="2023-06-26T00:20:00"/>
    <s v="email"/>
    <x v="4"/>
    <x v="2"/>
    <s v="Cannot connecting the Snowflake sync"/>
    <n v="15"/>
    <d v="2023-06-26T02:23:40"/>
    <b v="0"/>
    <m/>
  </r>
  <r>
    <s v="TK60714"/>
    <d v="2023-06-26T02:38:00"/>
    <s v="email"/>
    <x v="4"/>
    <x v="1"/>
    <s v="Unable to export my data"/>
    <n v="9"/>
    <d v="2023-06-29T05:33:19"/>
    <b v="0"/>
    <n v="5"/>
  </r>
  <r>
    <s v="TK63771"/>
    <d v="2023-06-26T07:54:00"/>
    <s v="email"/>
    <x v="4"/>
    <x v="3"/>
    <s v="How do I two-factor authentication"/>
    <n v="203"/>
    <m/>
    <b v="0"/>
    <m/>
  </r>
  <r>
    <s v="TK62911"/>
    <d v="2023-06-26T08:38:00"/>
    <s v="chat"/>
    <x v="3"/>
    <x v="1"/>
    <s v="Unable to the invoice for last month"/>
    <n v="101"/>
    <d v="2023-06-27T23:39:20"/>
    <b v="0"/>
    <m/>
  </r>
  <r>
    <s v="TK60724"/>
    <d v="2023-06-26T09:33:00"/>
    <s v="email"/>
    <x v="0"/>
    <x v="0"/>
    <s v="Issue with the invoice for last month"/>
    <n v="57"/>
    <d v="2023-06-26T19:43:40"/>
    <b v="0"/>
    <m/>
  </r>
  <r>
    <s v="TK60116"/>
    <d v="2023-06-26T09:41:00"/>
    <s v="chat"/>
    <x v="0"/>
    <x v="3"/>
    <s v="Question about a duplicate charge"/>
    <n v="499"/>
    <d v="2023-06-26T12:51:28"/>
    <b v="0"/>
    <m/>
  </r>
  <r>
    <s v="TK63215"/>
    <d v="2023-06-26T12:36:00"/>
    <s v="phone"/>
    <x v="1"/>
    <x v="1"/>
    <s v="Unable to downgrade my plan"/>
    <n v="81"/>
    <d v="2023-06-26T22:15:52"/>
    <b v="0"/>
    <n v="3"/>
  </r>
  <r>
    <s v="TK63127"/>
    <d v="2023-06-26T12:53:00"/>
    <s v="chat"/>
    <x v="4"/>
    <x v="3"/>
    <s v="Error when a duplicate charge"/>
    <n v="820"/>
    <d v="2023-06-27T07:04:13"/>
    <b v="0"/>
    <m/>
  </r>
  <r>
    <s v="TK62020"/>
    <d v="2023-06-26T14:29:00"/>
    <s v="in-app"/>
    <x v="2"/>
    <x v="3"/>
    <s v="Error when the API rate limit"/>
    <n v="195"/>
    <d v="2023-07-12T03:17:39"/>
    <b v="0"/>
    <m/>
  </r>
  <r>
    <s v="TK60592"/>
    <d v="2023-06-26T18:11:00"/>
    <s v="chat"/>
    <x v="2"/>
    <x v="0"/>
    <s v="How do I two-factor authentication"/>
    <n v="58"/>
    <d v="2023-06-27T06:45:38"/>
    <b v="0"/>
    <m/>
  </r>
  <r>
    <s v="TK61109"/>
    <d v="2023-06-26T19:21:00"/>
    <s v="phone"/>
    <x v="1"/>
    <x v="3"/>
    <s v="Issue with add a teammate"/>
    <n v="178"/>
    <d v="2023-07-01T13:37:06"/>
    <b v="0"/>
    <n v="5"/>
  </r>
  <r>
    <s v="TK63707"/>
    <d v="2023-06-26T21:30:00"/>
    <s v="in-app"/>
    <x v="1"/>
    <x v="1"/>
    <s v="Cannot two-factor authentication"/>
    <n v="34"/>
    <d v="2023-07-12T05:19:24"/>
    <b v="0"/>
    <n v="3"/>
  </r>
  <r>
    <s v="TK62313"/>
    <d v="2023-06-27T01:02:00"/>
    <s v="email"/>
    <x v="1"/>
    <x v="1"/>
    <s v="Unable to the invoice for last month"/>
    <n v="81"/>
    <d v="2023-08-03T07:24:20"/>
    <b v="0"/>
    <m/>
  </r>
  <r>
    <s v="TK61856"/>
    <d v="2023-06-27T03:02:00"/>
    <s v="chat"/>
    <x v="3"/>
    <x v="1"/>
    <s v="Question about two-factor authentication"/>
    <n v="150"/>
    <d v="2023-07-05T15:17:25"/>
    <b v="0"/>
    <n v="5"/>
  </r>
  <r>
    <s v="TK62514"/>
    <d v="2023-06-27T04:08:00"/>
    <s v="email"/>
    <x v="2"/>
    <x v="3"/>
    <s v="How do I the API rate limit"/>
    <n v="289"/>
    <d v="2023-06-28T22:42:15"/>
    <b v="0"/>
    <m/>
  </r>
  <r>
    <s v="TK61346"/>
    <d v="2023-06-27T04:15:00"/>
    <s v="in-app"/>
    <x v="1"/>
    <x v="1"/>
    <s v="Issue with webhook deliveries failing"/>
    <n v="201"/>
    <d v="2023-06-28T22:37:03"/>
    <b v="0"/>
    <m/>
  </r>
  <r>
    <s v="TK61310"/>
    <d v="2023-06-27T07:49:00"/>
    <s v="chat"/>
    <x v="1"/>
    <x v="0"/>
    <s v="Cannot export my data"/>
    <n v="121"/>
    <d v="2023-06-27T09:05:34"/>
    <b v="0"/>
    <m/>
  </r>
  <r>
    <s v="TK62529"/>
    <d v="2023-06-27T11:45:00"/>
    <s v="chat"/>
    <x v="2"/>
    <x v="0"/>
    <s v="Cannot a refund for an annual plan"/>
    <n v="88"/>
    <d v="2023-06-27T20:51:46"/>
    <b v="0"/>
    <m/>
  </r>
  <r>
    <s v="TK60034"/>
    <d v="2023-06-27T12:58:00"/>
    <s v="in-app"/>
    <x v="2"/>
    <x v="3"/>
    <s v="Error when export my data"/>
    <n v="237"/>
    <d v="2023-07-01T20:44:35"/>
    <b v="0"/>
    <m/>
  </r>
  <r>
    <s v="TK61411"/>
    <d v="2023-06-27T15:00:00"/>
    <s v="email"/>
    <x v="4"/>
    <x v="1"/>
    <s v="Request to connecting the Snowflake sync"/>
    <n v="290"/>
    <d v="2023-06-29T16:10:18"/>
    <b v="0"/>
    <n v="3"/>
  </r>
  <r>
    <s v="TK61058"/>
    <d v="2023-06-27T16:09:00"/>
    <s v="chat"/>
    <x v="1"/>
    <x v="3"/>
    <s v="Cannot webhook deliveries failing"/>
    <n v="187"/>
    <d v="2023-07-02T05:09:33"/>
    <b v="0"/>
    <m/>
  </r>
  <r>
    <s v="TK61475"/>
    <d v="2023-06-27T21:51:00"/>
    <s v="in-app"/>
    <x v="4"/>
    <x v="1"/>
    <s v="Request to connecting the Snowflake sync"/>
    <n v="23"/>
    <d v="2023-06-28T17:31:02"/>
    <b v="0"/>
    <n v="3"/>
  </r>
  <r>
    <s v="TK63618"/>
    <d v="2023-06-27T23:49:00"/>
    <s v="email"/>
    <x v="2"/>
    <x v="1"/>
    <s v="Unable to connecting the Snowflake sync"/>
    <n v="46"/>
    <d v="2023-06-28T13:49:53"/>
    <b v="0"/>
    <m/>
  </r>
  <r>
    <s v="TK62668"/>
    <d v="2023-06-28T00:36:00"/>
    <s v="in-app"/>
    <x v="0"/>
    <x v="0"/>
    <s v="Request to export my data"/>
    <n v="34"/>
    <d v="2023-06-28T23:26:44"/>
    <b v="0"/>
    <n v="5"/>
  </r>
  <r>
    <s v="TK63828"/>
    <d v="2023-06-28T01:06:00"/>
    <s v="email"/>
    <x v="1"/>
    <x v="1"/>
    <s v="Request to webhook deliveries failing"/>
    <n v="110"/>
    <d v="2023-07-02T11:34:38"/>
    <b v="0"/>
    <m/>
  </r>
  <r>
    <s v="TK62607"/>
    <d v="2023-06-28T05:52:00"/>
    <s v="in-app"/>
    <x v="3"/>
    <x v="3"/>
    <s v="Issue with add a teammate"/>
    <n v="89"/>
    <d v="2023-06-28T20:03:07"/>
    <b v="0"/>
    <n v="4"/>
  </r>
  <r>
    <s v="TK61162"/>
    <d v="2023-06-28T06:32:00"/>
    <s v="phone"/>
    <x v="0"/>
    <x v="1"/>
    <s v="How do I webhook deliveries failing"/>
    <n v="30"/>
    <d v="2023-06-29T06:43:16"/>
    <b v="1"/>
    <m/>
  </r>
  <r>
    <s v="TK61913"/>
    <d v="2023-06-28T11:09:00"/>
    <s v="chat"/>
    <x v="2"/>
    <x v="3"/>
    <s v="Question about webhook deliveries failing"/>
    <n v="1024"/>
    <d v="2023-06-30T18:58:19"/>
    <b v="1"/>
    <n v="5"/>
  </r>
  <r>
    <s v="TK63632"/>
    <d v="2023-06-28T15:54:00"/>
    <s v="in-app"/>
    <x v="3"/>
    <x v="1"/>
    <s v="Cannot two-factor authentication"/>
    <n v="70"/>
    <d v="2023-06-30T16:59:05"/>
    <b v="0"/>
    <m/>
  </r>
  <r>
    <s v="TK63881"/>
    <d v="2023-06-28T19:19:00"/>
    <s v="chat"/>
    <x v="2"/>
    <x v="1"/>
    <s v="Issue with add a teammate"/>
    <n v="152"/>
    <d v="2023-07-03T20:39:03"/>
    <b v="0"/>
    <m/>
  </r>
  <r>
    <s v="TK61509"/>
    <d v="2023-06-28T19:27:00"/>
    <s v="email"/>
    <x v="0"/>
    <x v="0"/>
    <s v="Request to connecting the Snowflake sync"/>
    <n v="34"/>
    <d v="2023-06-29T00:53:16"/>
    <b v="0"/>
    <m/>
  </r>
  <r>
    <s v="TK62704"/>
    <d v="2023-06-28T20:20:00"/>
    <s v="chat"/>
    <x v="1"/>
    <x v="0"/>
    <s v="How do I a refund for an annual plan"/>
    <n v="76"/>
    <d v="2023-06-29T18:59:03"/>
    <b v="1"/>
    <m/>
  </r>
  <r>
    <s v="TK63334"/>
    <d v="2023-06-28T21:40:00"/>
    <s v="email"/>
    <x v="2"/>
    <x v="2"/>
    <s v="Issue with downgrade my plan"/>
    <n v="21"/>
    <d v="2023-06-29T00:19:11"/>
    <b v="0"/>
    <m/>
  </r>
  <r>
    <s v="TK63409"/>
    <d v="2023-06-28T21:40:00"/>
    <s v="chat"/>
    <x v="4"/>
    <x v="1"/>
    <s v="Cannot the API rate limit"/>
    <n v="169"/>
    <d v="2023-06-30T04:47:15"/>
    <b v="0"/>
    <m/>
  </r>
  <r>
    <s v="TK62480"/>
    <d v="2023-06-28T22:06:00"/>
    <s v="email"/>
    <x v="4"/>
    <x v="3"/>
    <s v="Issue with webhook deliveries failing"/>
    <n v="343"/>
    <d v="2023-07-01T06:14:55"/>
    <b v="0"/>
    <m/>
  </r>
  <r>
    <s v="TK61174"/>
    <d v="2023-06-29T05:14:00"/>
    <s v="email"/>
    <x v="4"/>
    <x v="1"/>
    <s v="Cannot a refund for an annual plan"/>
    <n v="128"/>
    <d v="2023-07-20T04:23:22"/>
    <b v="0"/>
    <m/>
  </r>
  <r>
    <s v="TK60746"/>
    <d v="2023-06-29T06:56:00"/>
    <s v="phone"/>
    <x v="2"/>
    <x v="2"/>
    <s v="Unable to export my data"/>
    <n v="52"/>
    <d v="2023-06-29T08:00:17"/>
    <b v="0"/>
    <m/>
  </r>
  <r>
    <s v="TK63325"/>
    <d v="2023-06-29T08:18:00"/>
    <s v="email"/>
    <x v="1"/>
    <x v="1"/>
    <s v="Cannot export my data"/>
    <n v="77"/>
    <d v="2023-06-29T21:24:53"/>
    <b v="0"/>
    <n v="2"/>
  </r>
  <r>
    <s v="TK62444"/>
    <d v="2023-06-29T15:00:00"/>
    <s v="chat"/>
    <x v="1"/>
    <x v="1"/>
    <s v="Issue with connecting the Snowflake sync"/>
    <m/>
    <d v="2023-06-30T00:38:11"/>
    <b v="1"/>
    <n v="5"/>
  </r>
  <r>
    <s v="TK60247"/>
    <d v="2023-06-29T21:59:00"/>
    <s v="in-app"/>
    <x v="1"/>
    <x v="1"/>
    <s v="Unable to downgrade my plan"/>
    <n v="13"/>
    <d v="2023-06-30T15:27:22"/>
    <b v="0"/>
    <m/>
  </r>
  <r>
    <s v="TK62675"/>
    <d v="2023-06-29T22:56:00"/>
    <s v="in-app"/>
    <x v="2"/>
    <x v="1"/>
    <s v="Question about the invoice for last month"/>
    <n v="253"/>
    <d v="2023-06-30T20:23:27"/>
    <b v="0"/>
    <m/>
  </r>
  <r>
    <s v="TK62107"/>
    <d v="2023-06-29T23:50:00"/>
    <s v="email"/>
    <x v="3"/>
    <x v="0"/>
    <s v="Request to a duplicate charge"/>
    <m/>
    <d v="2023-07-08T07:07:32"/>
    <b v="0"/>
    <m/>
  </r>
  <r>
    <s v="TK62863"/>
    <d v="2023-06-30T01:09:00"/>
    <s v="email"/>
    <x v="1"/>
    <x v="1"/>
    <s v="How do I the API rate limit"/>
    <n v="37"/>
    <d v="2023-06-30T12:57:52"/>
    <b v="1"/>
    <m/>
  </r>
  <r>
    <s v="TK62686"/>
    <d v="2023-06-30T02:49:00"/>
    <s v="email"/>
    <x v="1"/>
    <x v="0"/>
    <s v="Issue with the API rate limit"/>
    <n v="31"/>
    <d v="2023-07-05T18:58:17"/>
    <b v="0"/>
    <m/>
  </r>
  <r>
    <s v="TK60608"/>
    <d v="2023-06-30T03:24:00"/>
    <s v="chat"/>
    <x v="1"/>
    <x v="0"/>
    <s v="Error when the invoice for last month"/>
    <n v="53"/>
    <d v="2023-07-01T04:57:12"/>
    <b v="0"/>
    <m/>
  </r>
  <r>
    <s v="TK61782"/>
    <d v="2023-06-30T03:49:00"/>
    <s v="chat"/>
    <x v="3"/>
    <x v="0"/>
    <s v="Question about connecting the Snowflake sync"/>
    <n v="119"/>
    <m/>
    <b v="0"/>
    <m/>
  </r>
  <r>
    <s v="TK61449"/>
    <d v="2023-06-30T05:48:00"/>
    <s v="email"/>
    <x v="2"/>
    <x v="3"/>
    <s v="Cannot the invoice for last month"/>
    <n v="164"/>
    <d v="2023-07-07T06:08:55"/>
    <b v="0"/>
    <m/>
  </r>
  <r>
    <s v="TK61463"/>
    <d v="2023-06-30T09:37:00"/>
    <s v="chat"/>
    <x v="3"/>
    <x v="0"/>
    <s v="Question about the API rate limit"/>
    <n v="184"/>
    <d v="2023-07-01T04:47:34"/>
    <b v="0"/>
    <m/>
  </r>
  <r>
    <s v="TK62304"/>
    <d v="2023-06-30T13:41:00"/>
    <s v="chat"/>
    <x v="0"/>
    <x v="1"/>
    <s v="Error when export my data"/>
    <n v="117"/>
    <d v="2023-06-30T17:18:04"/>
    <b v="0"/>
    <m/>
  </r>
  <r>
    <s v="TK61901"/>
    <d v="2023-06-30T15:04:00"/>
    <s v="chat"/>
    <x v="3"/>
    <x v="1"/>
    <s v="Request to a duplicate charge"/>
    <n v="23"/>
    <d v="2023-07-02T10:12:54"/>
    <b v="0"/>
    <n v="5"/>
  </r>
  <r>
    <s v="TK62781"/>
    <d v="2023-06-30T16:56:00"/>
    <s v="in-app"/>
    <x v="2"/>
    <x v="1"/>
    <s v="Issue with log in after password reset"/>
    <n v="115"/>
    <d v="2023-06-30T22:27:17"/>
    <b v="0"/>
    <n v="2"/>
  </r>
  <r>
    <s v="TK61459"/>
    <d v="2023-06-30T18:44:00"/>
    <s v="in-app"/>
    <x v="0"/>
    <x v="3"/>
    <s v="How do I downgrade my plan"/>
    <n v="94"/>
    <d v="2023-06-30T23:25:53"/>
    <b v="0"/>
    <m/>
  </r>
  <r>
    <s v="TK61741"/>
    <d v="2023-06-30T20:40:00"/>
    <s v="chat"/>
    <x v="1"/>
    <x v="1"/>
    <s v="Unable to the API rate limit"/>
    <n v="65"/>
    <d v="2023-07-04T19:36:59"/>
    <b v="0"/>
    <m/>
  </r>
  <r>
    <s v="TK60527"/>
    <d v="2023-07-01T03:40:00"/>
    <s v="phone"/>
    <x v="0"/>
    <x v="1"/>
    <s v="Request to two-factor authentication"/>
    <n v="141"/>
    <d v="2023-07-02T05:51:35"/>
    <b v="0"/>
    <m/>
  </r>
  <r>
    <s v="TK60620"/>
    <d v="2023-07-01T06:34:00"/>
    <s v="in-app"/>
    <x v="4"/>
    <x v="3"/>
    <s v="Request to export my data"/>
    <m/>
    <d v="2023-07-02T09:10:19"/>
    <b v="0"/>
    <m/>
  </r>
  <r>
    <s v="TK62832"/>
    <d v="2023-07-01T09:07:00"/>
    <s v="email"/>
    <x v="1"/>
    <x v="3"/>
    <s v="Error when add a teammate"/>
    <n v="162"/>
    <d v="2023-07-12T04:57:40"/>
    <b v="0"/>
    <n v="5"/>
  </r>
  <r>
    <s v="TK61863"/>
    <d v="2023-07-01T09:35:00"/>
    <s v="in-app"/>
    <x v="1"/>
    <x v="3"/>
    <s v="Issue with a duplicate charge"/>
    <n v="644"/>
    <d v="2023-07-23T16:28:21"/>
    <b v="0"/>
    <n v="5"/>
  </r>
  <r>
    <s v="TK61466"/>
    <d v="2023-07-01T11:49:00"/>
    <s v="email"/>
    <x v="2"/>
    <x v="0"/>
    <s v="Request to export my data"/>
    <n v="14"/>
    <d v="2023-07-02T06:02:20"/>
    <b v="0"/>
    <n v="3"/>
  </r>
  <r>
    <s v="TK62936"/>
    <d v="2023-07-01T12:37:00"/>
    <s v="chat"/>
    <x v="2"/>
    <x v="3"/>
    <s v="Request to the invoice for last month"/>
    <n v="105"/>
    <d v="2023-07-02T20:25:14"/>
    <b v="0"/>
    <n v="5"/>
  </r>
  <r>
    <s v="TK63052"/>
    <d v="2023-07-01T13:32:00"/>
    <s v="email"/>
    <x v="2"/>
    <x v="3"/>
    <s v="Issue with connecting the Snowflake sync"/>
    <n v="1244"/>
    <d v="2023-07-02T03:08:00"/>
    <b v="1"/>
    <m/>
  </r>
  <r>
    <s v="TK60522"/>
    <d v="2023-07-01T19:10:00"/>
    <s v="email"/>
    <x v="1"/>
    <x v="1"/>
    <s v="Cannot downgrade my plan"/>
    <n v="109"/>
    <d v="2023-07-03T05:01:09"/>
    <b v="0"/>
    <m/>
  </r>
  <r>
    <s v="TK61194"/>
    <d v="2023-07-01T19:55:00"/>
    <s v="chat"/>
    <x v="4"/>
    <x v="3"/>
    <s v="How do I webhook deliveries failing"/>
    <n v="76"/>
    <d v="2023-07-02T07:39:01"/>
    <b v="0"/>
    <m/>
  </r>
  <r>
    <s v="TK60944"/>
    <d v="2023-07-01T21:05:00"/>
    <s v="email"/>
    <x v="2"/>
    <x v="0"/>
    <s v="Question about downgrade my plan"/>
    <m/>
    <d v="2023-07-03T02:29:09"/>
    <b v="0"/>
    <m/>
  </r>
  <r>
    <s v="TK61393"/>
    <d v="2023-07-01T21:20:00"/>
    <s v="in-app"/>
    <x v="1"/>
    <x v="0"/>
    <s v="Question about add a teammate"/>
    <n v="38"/>
    <d v="2023-07-02T01:13:51"/>
    <b v="0"/>
    <m/>
  </r>
  <r>
    <s v="TK63083"/>
    <d v="2023-07-01T22:06:00"/>
    <s v="email"/>
    <x v="0"/>
    <x v="1"/>
    <s v="Question about export my data"/>
    <n v="191"/>
    <d v="2023-07-02T05:16:41"/>
    <b v="0"/>
    <n v="5"/>
  </r>
  <r>
    <s v="TK61608"/>
    <d v="2023-07-01T22:15:00"/>
    <s v="chat"/>
    <x v="2"/>
    <x v="0"/>
    <s v="Request to the API rate limit"/>
    <n v="134"/>
    <d v="2023-07-02T00:14:39"/>
    <b v="0"/>
    <m/>
  </r>
  <r>
    <s v="TK61228"/>
    <d v="2023-07-01T23:50:00"/>
    <s v="email"/>
    <x v="0"/>
    <x v="1"/>
    <s v="How do I two-factor authentication"/>
    <n v="6"/>
    <d v="2023-07-03T15:33:30"/>
    <b v="0"/>
    <n v="4"/>
  </r>
  <r>
    <s v="TK63648"/>
    <d v="2023-07-02T09:31:00"/>
    <s v="email"/>
    <x v="0"/>
    <x v="0"/>
    <s v="Unable to the dashboard loading slowly"/>
    <n v="22"/>
    <d v="2023-07-02T13:30:43"/>
    <b v="0"/>
    <m/>
  </r>
  <r>
    <s v="TK60613"/>
    <d v="2023-07-02T10:27:00"/>
    <s v="in-app"/>
    <x v="1"/>
    <x v="1"/>
    <s v="Error when connecting the Snowflake sync"/>
    <n v="44"/>
    <d v="2023-07-11T08:57:15"/>
    <b v="0"/>
    <m/>
  </r>
  <r>
    <s v="TK61882"/>
    <d v="2023-07-02T11:39:00"/>
    <s v="in-app"/>
    <x v="2"/>
    <x v="1"/>
    <s v="Cannot webhook deliveries failing"/>
    <n v="90"/>
    <d v="2023-07-02T16:05:25"/>
    <b v="0"/>
    <m/>
  </r>
  <r>
    <s v="TK60270"/>
    <d v="2023-07-02T13:16:00"/>
    <s v="email"/>
    <x v="4"/>
    <x v="1"/>
    <s v="How do I a duplicate charge"/>
    <n v="95"/>
    <d v="2023-07-09T18:31:30"/>
    <b v="0"/>
    <n v="1"/>
  </r>
  <r>
    <s v="TK62812"/>
    <d v="2023-07-02T15:47:00"/>
    <s v="phone"/>
    <x v="1"/>
    <x v="3"/>
    <s v="Issue with add a teammate"/>
    <n v="640"/>
    <d v="2023-07-11T17:44:24"/>
    <b v="0"/>
    <m/>
  </r>
  <r>
    <s v="TK61020"/>
    <d v="2023-07-02T18:20:00"/>
    <s v="email"/>
    <x v="2"/>
    <x v="2"/>
    <s v="Request to downgrade my plan"/>
    <n v="20"/>
    <d v="2023-07-02T18:41:03"/>
    <b v="0"/>
    <n v="5"/>
  </r>
  <r>
    <s v="TK61049"/>
    <d v="2023-07-03T00:13:00"/>
    <s v="in-app"/>
    <x v="4"/>
    <x v="3"/>
    <s v="Request to a duplicate charge"/>
    <n v="204"/>
    <d v="2023-07-03T17:57:01"/>
    <b v="0"/>
    <m/>
  </r>
  <r>
    <s v="TK62744"/>
    <d v="2023-07-03T00:39:00"/>
    <s v="in-app"/>
    <x v="3"/>
    <x v="1"/>
    <s v="Unable to a refund for an annual plan"/>
    <n v="54"/>
    <d v="2023-07-06T20:00:22"/>
    <b v="0"/>
    <n v="1"/>
  </r>
  <r>
    <s v="TK62801"/>
    <d v="2023-07-03T05:51:00"/>
    <s v="email"/>
    <x v="1"/>
    <x v="1"/>
    <s v="Question about log in after password reset"/>
    <n v="105"/>
    <d v="2023-07-05T10:26:58"/>
    <b v="0"/>
    <m/>
  </r>
  <r>
    <s v="TK60160"/>
    <d v="2023-07-03T06:03:00"/>
    <s v="chat"/>
    <x v="3"/>
    <x v="1"/>
    <s v="Cannot log in after password reset"/>
    <n v="416"/>
    <d v="2023-07-07T11:38:17"/>
    <b v="0"/>
    <m/>
  </r>
  <r>
    <s v="TK63383"/>
    <d v="2023-07-03T09:49:00"/>
    <s v="chat"/>
    <x v="1"/>
    <x v="1"/>
    <s v="Request to two-factor authentication"/>
    <n v="36"/>
    <d v="2023-07-03T13:33:18"/>
    <b v="1"/>
    <n v="5"/>
  </r>
  <r>
    <s v="TK63692"/>
    <d v="2023-07-03T10:05:00"/>
    <s v="phone"/>
    <x v="1"/>
    <x v="3"/>
    <s v="Error when downgrade my plan"/>
    <n v="165"/>
    <d v="2023-07-07T00:31:54"/>
    <b v="0"/>
    <m/>
  </r>
  <r>
    <s v="TK60512"/>
    <d v="2023-07-03T10:24:00"/>
    <s v="in-app"/>
    <x v="1"/>
    <x v="1"/>
    <s v="Cannot the API rate limit"/>
    <n v="35"/>
    <d v="2023-07-04T12:16:28"/>
    <b v="0"/>
    <m/>
  </r>
  <r>
    <s v="TK62855"/>
    <d v="2023-07-03T12:55:00"/>
    <s v="in-app"/>
    <x v="1"/>
    <x v="1"/>
    <s v="Request to a duplicate charge"/>
    <n v="180"/>
    <d v="2023-07-04T12:05:58"/>
    <b v="0"/>
    <m/>
  </r>
  <r>
    <s v="TK63679"/>
    <d v="2023-07-03T13:13:00"/>
    <s v="chat"/>
    <x v="2"/>
    <x v="1"/>
    <s v="Question about a refund for an annual plan"/>
    <n v="64"/>
    <d v="2023-07-03T16:26:30"/>
    <b v="0"/>
    <n v="4"/>
  </r>
  <r>
    <s v="TK60296"/>
    <d v="2023-07-03T18:42:00"/>
    <s v="chat"/>
    <x v="1"/>
    <x v="3"/>
    <s v="Unable to downgrade my plan"/>
    <n v="110"/>
    <d v="2023-07-14T13:05:42"/>
    <b v="0"/>
    <m/>
  </r>
  <r>
    <s v="TK63964"/>
    <d v="2023-07-03T19:40:00"/>
    <s v="chat"/>
    <x v="2"/>
    <x v="2"/>
    <s v="Request to webhook deliveries failing"/>
    <n v="3"/>
    <d v="2023-07-03T22:11:16"/>
    <b v="0"/>
    <m/>
  </r>
  <r>
    <s v="TK61480"/>
    <d v="2023-07-03T22:28:00"/>
    <s v="in-app"/>
    <x v="0"/>
    <x v="0"/>
    <s v="Issue with two-factor authentication"/>
    <n v="184"/>
    <d v="2023-07-04T01:24:22"/>
    <b v="0"/>
    <n v="3"/>
  </r>
  <r>
    <s v="TK62728"/>
    <d v="2023-07-03T22:40:00"/>
    <s v="chat"/>
    <x v="2"/>
    <x v="1"/>
    <s v="Error when two-factor authentication"/>
    <n v="155"/>
    <d v="2023-07-07T15:04:52"/>
    <b v="0"/>
    <m/>
  </r>
  <r>
    <s v="TK61076"/>
    <d v="2023-07-03T23:00:00"/>
    <s v="chat"/>
    <x v="4"/>
    <x v="1"/>
    <s v="Error when connecting the Snowflake sync"/>
    <n v="237"/>
    <d v="2023-07-04T17:40:14"/>
    <b v="1"/>
    <m/>
  </r>
  <r>
    <s v="TK62338"/>
    <d v="2023-07-04T07:30:00"/>
    <s v="chat"/>
    <x v="0"/>
    <x v="3"/>
    <s v="How do I the dashboard loading slowly"/>
    <n v="252"/>
    <d v="2023-07-05T22:10:03"/>
    <b v="0"/>
    <n v="5"/>
  </r>
  <r>
    <s v="TK62334"/>
    <d v="2023-07-04T10:41:00"/>
    <s v="email"/>
    <x v="1"/>
    <x v="2"/>
    <s v="Issue with two-factor authentication"/>
    <n v="13"/>
    <d v="2023-07-04T17:04:41"/>
    <b v="1"/>
    <n v="5"/>
  </r>
  <r>
    <s v="TK60954"/>
    <d v="2023-07-04T19:20:00"/>
    <s v="email"/>
    <x v="3"/>
    <x v="1"/>
    <s v="Unable to connecting the Snowflake sync"/>
    <m/>
    <d v="2023-07-14T10:35:44"/>
    <b v="0"/>
    <m/>
  </r>
  <r>
    <s v="TK61267"/>
    <d v="2023-07-04T19:48:00"/>
    <s v="email"/>
    <x v="4"/>
    <x v="1"/>
    <s v="Request to a refund for an annual plan"/>
    <n v="416"/>
    <d v="2023-07-12T15:47:38"/>
    <b v="0"/>
    <m/>
  </r>
  <r>
    <s v="TK60913"/>
    <d v="2023-07-05T01:47:00"/>
    <s v="in-app"/>
    <x v="2"/>
    <x v="1"/>
    <s v="Unable to log in after password reset"/>
    <n v="88"/>
    <d v="2023-07-06T08:51:35"/>
    <b v="0"/>
    <m/>
  </r>
  <r>
    <s v="TK63076"/>
    <d v="2023-07-05T02:24:00"/>
    <s v="email"/>
    <x v="1"/>
    <x v="3"/>
    <s v="Issue with add a teammate"/>
    <n v="562"/>
    <d v="2023-08-10T18:43:36"/>
    <b v="0"/>
    <m/>
  </r>
  <r>
    <s v="TK61644"/>
    <d v="2023-07-05T05:30:00"/>
    <s v="in-app"/>
    <x v="1"/>
    <x v="0"/>
    <s v="How do I downgrade my plan"/>
    <n v="29"/>
    <d v="2023-07-05T11:50:33"/>
    <b v="0"/>
    <m/>
  </r>
  <r>
    <s v="TK62061"/>
    <d v="2023-07-05T05:51:00"/>
    <s v="email"/>
    <x v="4"/>
    <x v="1"/>
    <s v="Request to log in after password reset"/>
    <n v="107"/>
    <d v="2023-07-11T07:05:11"/>
    <b v="0"/>
    <n v="5"/>
  </r>
  <r>
    <s v="TK61328"/>
    <d v="2023-07-05T06:32:00"/>
    <s v="phone"/>
    <x v="1"/>
    <x v="3"/>
    <s v="Request to two-factor authentication"/>
    <n v="119"/>
    <d v="2023-07-11T08:11:18"/>
    <b v="0"/>
    <n v="4"/>
  </r>
  <r>
    <s v="TK60505"/>
    <d v="2023-07-05T07:22:00"/>
    <s v="chat"/>
    <x v="1"/>
    <x v="0"/>
    <s v="Question about a refund for an annual plan"/>
    <n v="19"/>
    <d v="2023-07-07T08:29:17"/>
    <b v="0"/>
    <m/>
  </r>
  <r>
    <s v="TK62123"/>
    <d v="2023-07-05T08:58:00"/>
    <s v="in-app"/>
    <x v="1"/>
    <x v="0"/>
    <s v="Question about two-factor authentication"/>
    <n v="17"/>
    <d v="2023-07-09T16:00:55"/>
    <b v="0"/>
    <m/>
  </r>
  <r>
    <s v="TK63330"/>
    <d v="2023-07-05T11:14:00"/>
    <s v="chat"/>
    <x v="1"/>
    <x v="3"/>
    <s v="Request to log in after password reset"/>
    <n v="355"/>
    <d v="2023-07-08T00:28:16"/>
    <b v="0"/>
    <m/>
  </r>
  <r>
    <s v="TK62657"/>
    <d v="2023-07-05T15:54:00"/>
    <s v="email"/>
    <x v="3"/>
    <x v="1"/>
    <s v="Question about add a teammate"/>
    <n v="353"/>
    <m/>
    <b v="0"/>
    <m/>
  </r>
  <r>
    <s v="TK62895"/>
    <d v="2023-07-05T16:16:00"/>
    <s v="email"/>
    <x v="0"/>
    <x v="3"/>
    <s v="Issue with a duplicate charge"/>
    <n v="122"/>
    <d v="2023-07-12T02:28:14"/>
    <b v="0"/>
    <m/>
  </r>
  <r>
    <s v="TK63708"/>
    <d v="2023-07-05T16:29:00"/>
    <s v="email"/>
    <x v="1"/>
    <x v="0"/>
    <s v="Request to add a teammate"/>
    <n v="19"/>
    <d v="2023-07-10T10:36:48"/>
    <b v="0"/>
    <m/>
  </r>
  <r>
    <s v="TK62842"/>
    <d v="2023-07-05T22:43:00"/>
    <s v="phone"/>
    <x v="2"/>
    <x v="1"/>
    <s v="Issue with connecting the Snowflake sync"/>
    <n v="59"/>
    <d v="2023-07-06T02:15:17"/>
    <b v="0"/>
    <m/>
  </r>
  <r>
    <s v="TK61065"/>
    <d v="2023-07-06T03:15:00"/>
    <s v="email"/>
    <x v="1"/>
    <x v="2"/>
    <s v="Question about a refund for an annual plan"/>
    <n v="49"/>
    <m/>
    <b v="0"/>
    <m/>
  </r>
  <r>
    <s v="TK62771"/>
    <d v="2023-07-06T05:20:00"/>
    <s v="phone"/>
    <x v="1"/>
    <x v="0"/>
    <s v="How do I webhook deliveries failing"/>
    <n v="15"/>
    <m/>
    <b v="0"/>
    <m/>
  </r>
  <r>
    <s v="TK62225"/>
    <d v="2023-07-06T05:57:00"/>
    <s v="chat"/>
    <x v="3"/>
    <x v="0"/>
    <s v="Error when downgrade my plan"/>
    <n v="178"/>
    <d v="2023-07-08T07:49:02"/>
    <b v="0"/>
    <m/>
  </r>
  <r>
    <s v="TK60693"/>
    <d v="2023-07-06T08:28:00"/>
    <s v="email"/>
    <x v="1"/>
    <x v="1"/>
    <s v="Error when log in after password reset"/>
    <n v="177"/>
    <d v="2023-07-09T05:00:50"/>
    <b v="0"/>
    <m/>
  </r>
  <r>
    <s v="TK62290"/>
    <d v="2023-07-06T10:25:00"/>
    <s v="in-app"/>
    <x v="4"/>
    <x v="1"/>
    <s v="Cannot webhook deliveries failing"/>
    <n v="32"/>
    <d v="2023-07-07T02:29:52"/>
    <b v="0"/>
    <m/>
  </r>
  <r>
    <s v="TK62912"/>
    <d v="2023-07-06T16:13:00"/>
    <s v="email"/>
    <x v="2"/>
    <x v="3"/>
    <s v="Cannot connecting the Snowflake sync"/>
    <m/>
    <d v="2023-07-09T05:22:59"/>
    <b v="1"/>
    <n v="5"/>
  </r>
  <r>
    <s v="TK63380"/>
    <d v="2023-07-06T17:57:00"/>
    <s v="phone"/>
    <x v="1"/>
    <x v="3"/>
    <s v="Question about the invoice for last month"/>
    <n v="136"/>
    <d v="2023-07-10T22:25:23"/>
    <b v="0"/>
    <m/>
  </r>
  <r>
    <s v="TK62486"/>
    <d v="2023-07-06T21:18:00"/>
    <s v="phone"/>
    <x v="1"/>
    <x v="0"/>
    <s v="Error when the invoice for last month"/>
    <n v="28"/>
    <d v="2023-07-07T10:52:57"/>
    <b v="0"/>
    <m/>
  </r>
  <r>
    <s v="TK63611"/>
    <d v="2023-07-06T21:46:00"/>
    <s v="phone"/>
    <x v="1"/>
    <x v="3"/>
    <s v="Issue with log in after password reset"/>
    <n v="1615"/>
    <m/>
    <b v="0"/>
    <m/>
  </r>
  <r>
    <s v="TK63043"/>
    <d v="2023-07-06T22:36:00"/>
    <s v="email"/>
    <x v="0"/>
    <x v="0"/>
    <s v="Request to export my data"/>
    <n v="98"/>
    <d v="2023-07-08T04:43:09"/>
    <b v="0"/>
    <n v="4"/>
  </r>
  <r>
    <s v="TK62838"/>
    <d v="2023-07-06T22:50:00"/>
    <s v="in-app"/>
    <x v="0"/>
    <x v="1"/>
    <s v="Unable to the invoice for last month"/>
    <n v="771"/>
    <d v="2023-07-06T23:11:18"/>
    <b v="0"/>
    <n v="5"/>
  </r>
  <r>
    <s v="TK63151"/>
    <d v="2023-07-07T00:53:00"/>
    <s v="chat"/>
    <x v="1"/>
    <x v="1"/>
    <s v="Question about the API rate limit"/>
    <n v="66"/>
    <d v="2023-07-25T16:44:57"/>
    <b v="0"/>
    <n v="4"/>
  </r>
  <r>
    <s v="TK63880"/>
    <d v="2023-07-07T03:54:00"/>
    <s v="chat"/>
    <x v="3"/>
    <x v="1"/>
    <s v="Unable to a duplicate charge"/>
    <n v="63"/>
    <d v="2023-07-28T08:48:05"/>
    <b v="1"/>
    <n v="5"/>
  </r>
  <r>
    <s v="TK60843"/>
    <d v="2023-07-07T03:58:00"/>
    <s v="email"/>
    <x v="3"/>
    <x v="2"/>
    <s v="Issue with the API rate limit"/>
    <n v="5"/>
    <d v="2023-07-07T05:12:04"/>
    <b v="0"/>
    <m/>
  </r>
  <r>
    <s v="TK60697"/>
    <d v="2023-07-07T07:50:00"/>
    <s v="in-app"/>
    <x v="2"/>
    <x v="0"/>
    <s v="Unable to downgrade my plan"/>
    <n v="8"/>
    <d v="2023-07-07T14:04:08"/>
    <b v="0"/>
    <m/>
  </r>
  <r>
    <s v="TK61566"/>
    <d v="2023-07-07T08:01:00"/>
    <s v="in-app"/>
    <x v="4"/>
    <x v="3"/>
    <s v="Question about add a teammate"/>
    <n v="350"/>
    <m/>
    <b v="0"/>
    <m/>
  </r>
  <r>
    <s v="TK61671"/>
    <d v="2023-07-07T09:38:00"/>
    <s v="email"/>
    <x v="2"/>
    <x v="1"/>
    <s v="Error when webhook deliveries failing"/>
    <n v="22"/>
    <d v="2023-07-07T11:07:26"/>
    <b v="0"/>
    <m/>
  </r>
  <r>
    <s v="TK62157"/>
    <d v="2023-07-07T10:18:00"/>
    <s v="chat"/>
    <x v="1"/>
    <x v="1"/>
    <s v="How do I downgrade my plan"/>
    <n v="96"/>
    <d v="2023-07-20T15:50:45"/>
    <b v="0"/>
    <m/>
  </r>
  <r>
    <s v="TK61862"/>
    <d v="2023-07-07T11:40:00"/>
    <s v="email"/>
    <x v="0"/>
    <x v="0"/>
    <s v="Issue with connecting the Snowflake sync"/>
    <n v="12"/>
    <d v="2023-07-07T16:44:10"/>
    <b v="0"/>
    <n v="4"/>
  </r>
  <r>
    <s v="TK62071"/>
    <d v="2023-07-07T13:26:00"/>
    <s v="chat"/>
    <x v="3"/>
    <x v="1"/>
    <s v="Cannot add a teammate"/>
    <n v="394"/>
    <d v="2023-07-10T17:56:40"/>
    <b v="0"/>
    <n v="5"/>
  </r>
  <r>
    <s v="TK61768"/>
    <d v="2023-07-07T18:53:00"/>
    <s v="chat"/>
    <x v="4"/>
    <x v="3"/>
    <s v="Question about export my data"/>
    <n v="394"/>
    <d v="2023-07-08T22:56:13"/>
    <b v="0"/>
    <n v="5"/>
  </r>
  <r>
    <s v="TK60662"/>
    <d v="2023-07-07T19:05:00"/>
    <s v="phone"/>
    <x v="1"/>
    <x v="3"/>
    <s v="How do I the dashboard loading slowly"/>
    <n v="529"/>
    <d v="2023-07-13T11:32:28"/>
    <b v="0"/>
    <m/>
  </r>
  <r>
    <s v="TK60420"/>
    <d v="2023-07-08T02:08:00"/>
    <s v="email"/>
    <x v="4"/>
    <x v="1"/>
    <s v="Error when a refund for an annual plan"/>
    <n v="175"/>
    <d v="2023-07-08T04:51:08"/>
    <b v="0"/>
    <n v="5"/>
  </r>
  <r>
    <s v="TK63472"/>
    <d v="2023-07-08T03:06:00"/>
    <s v="email"/>
    <x v="3"/>
    <x v="1"/>
    <s v="How do I webhook deliveries failing"/>
    <n v="138"/>
    <m/>
    <b v="0"/>
    <m/>
  </r>
  <r>
    <s v="TK60215"/>
    <d v="2023-07-08T04:29:00"/>
    <s v="email"/>
    <x v="3"/>
    <x v="1"/>
    <s v="Question about export my data"/>
    <n v="28"/>
    <d v="2023-07-10T07:36:51"/>
    <b v="0"/>
    <m/>
  </r>
  <r>
    <s v="TK60349"/>
    <d v="2023-07-08T05:55:00"/>
    <s v="email"/>
    <x v="4"/>
    <x v="0"/>
    <s v="Unable to log in after password reset"/>
    <n v="133"/>
    <d v="2023-07-08T06:32:32"/>
    <b v="0"/>
    <m/>
  </r>
  <r>
    <s v="TK63399"/>
    <d v="2023-07-08T07:48:00"/>
    <s v="email"/>
    <x v="4"/>
    <x v="0"/>
    <s v="Unable to a duplicate charge"/>
    <n v="245"/>
    <d v="2023-07-10T02:47:36"/>
    <b v="0"/>
    <m/>
  </r>
  <r>
    <s v="TK63355"/>
    <d v="2023-07-08T13:54:00"/>
    <s v="phone"/>
    <x v="4"/>
    <x v="1"/>
    <s v="Question about a refund for an annual plan"/>
    <n v="242"/>
    <d v="2023-07-10T11:06:41"/>
    <b v="0"/>
    <m/>
  </r>
  <r>
    <s v="TK63180"/>
    <d v="2023-07-08T14:30:00"/>
    <s v="chat"/>
    <x v="0"/>
    <x v="1"/>
    <s v="Unable to the API rate limit"/>
    <n v="114"/>
    <d v="2023-07-09T05:41:59"/>
    <b v="0"/>
    <m/>
  </r>
  <r>
    <s v="TK62778"/>
    <d v="2023-07-08T15:09:00"/>
    <s v="in-app"/>
    <x v="4"/>
    <x v="2"/>
    <s v="Issue with downgrade my plan"/>
    <n v="74"/>
    <d v="2023-07-09T14:17:43"/>
    <b v="0"/>
    <m/>
  </r>
  <r>
    <s v="TK61468"/>
    <d v="2023-07-08T17:19:00"/>
    <s v="phone"/>
    <x v="4"/>
    <x v="3"/>
    <s v="How do I webhook deliveries failing"/>
    <n v="106"/>
    <d v="2023-07-13T15:49:56"/>
    <b v="0"/>
    <n v="1"/>
  </r>
  <r>
    <s v="TK60424"/>
    <d v="2023-07-08T19:56:00"/>
    <s v="phone"/>
    <x v="1"/>
    <x v="0"/>
    <s v="Request to the API rate limit"/>
    <n v="72"/>
    <d v="2023-07-11T04:11:02"/>
    <b v="0"/>
    <n v="5"/>
  </r>
  <r>
    <s v="TK62152"/>
    <d v="2023-07-08T21:38:00"/>
    <s v="chat"/>
    <x v="2"/>
    <x v="0"/>
    <s v="Cannot webhook deliveries failing"/>
    <m/>
    <d v="2023-07-09T21:45:43"/>
    <b v="0"/>
    <n v="4"/>
  </r>
  <r>
    <s v="TK62982"/>
    <d v="2023-07-08T22:46:00"/>
    <s v="email"/>
    <x v="1"/>
    <x v="1"/>
    <s v="Request to webhook deliveries failing"/>
    <n v="35"/>
    <d v="2023-07-09T19:18:15"/>
    <b v="0"/>
    <n v="5"/>
  </r>
  <r>
    <s v="TK61299"/>
    <d v="2023-07-09T00:13:00"/>
    <s v="chat"/>
    <x v="0"/>
    <x v="2"/>
    <s v="Unable to log in after password reset"/>
    <n v="9"/>
    <d v="2023-07-09T01:59:35"/>
    <b v="0"/>
    <m/>
  </r>
  <r>
    <s v="TK61960"/>
    <d v="2023-07-09T00:21:00"/>
    <s v="email"/>
    <x v="0"/>
    <x v="3"/>
    <s v="Request to log in after password reset"/>
    <n v="217"/>
    <d v="2023-07-09T04:15:59"/>
    <b v="0"/>
    <m/>
  </r>
  <r>
    <s v="TK62853"/>
    <d v="2023-07-09T01:11:00"/>
    <s v="in-app"/>
    <x v="0"/>
    <x v="3"/>
    <s v="Cannot a duplicate charge"/>
    <n v="126"/>
    <d v="2023-07-11T06:39:57"/>
    <b v="0"/>
    <n v="5"/>
  </r>
  <r>
    <s v="TK62589"/>
    <d v="2023-07-09T06:44:00"/>
    <s v="email"/>
    <x v="2"/>
    <x v="1"/>
    <s v="Question about downgrade my plan"/>
    <n v="79"/>
    <d v="2023-07-11T16:41:25"/>
    <b v="0"/>
    <m/>
  </r>
  <r>
    <s v="TK60443"/>
    <d v="2023-07-09T08:14:00"/>
    <s v="chat"/>
    <x v="2"/>
    <x v="1"/>
    <s v="Error when the invoice for last month"/>
    <n v="117"/>
    <d v="2023-07-11T05:20:00"/>
    <b v="1"/>
    <n v="5"/>
  </r>
  <r>
    <s v="TK60092"/>
    <d v="2023-07-09T12:50:00"/>
    <s v="chat"/>
    <x v="0"/>
    <x v="1"/>
    <s v="How do I export my data"/>
    <n v="126"/>
    <d v="2023-07-10T17:02:50"/>
    <b v="0"/>
    <m/>
  </r>
  <r>
    <s v="TK60574"/>
    <d v="2023-07-09T12:56:00"/>
    <s v="chat"/>
    <x v="4"/>
    <x v="0"/>
    <s v="Cannot the invoice for last month"/>
    <n v="55"/>
    <d v="2023-07-09T14:38:06"/>
    <b v="0"/>
    <m/>
  </r>
  <r>
    <s v="TK63169"/>
    <d v="2023-07-09T14:20:00"/>
    <s v="chat"/>
    <x v="1"/>
    <x v="1"/>
    <s v="Cannot log in after password reset"/>
    <n v="102"/>
    <d v="2023-07-10T00:06:55"/>
    <b v="0"/>
    <m/>
  </r>
  <r>
    <s v="TK60254"/>
    <d v="2023-07-09T15:11:00"/>
    <s v="chat"/>
    <x v="1"/>
    <x v="0"/>
    <s v="Request to connecting the Snowflake sync"/>
    <n v="56"/>
    <d v="2023-07-10T12:30:59"/>
    <b v="0"/>
    <m/>
  </r>
  <r>
    <s v="TK61396"/>
    <d v="2023-07-10T00:09:00"/>
    <s v="email"/>
    <x v="4"/>
    <x v="1"/>
    <s v="Error when log in after password reset"/>
    <n v="76"/>
    <d v="2023-07-13T07:55:08"/>
    <b v="0"/>
    <m/>
  </r>
  <r>
    <s v="TK61740"/>
    <d v="2023-07-10T06:41:00"/>
    <s v="phone"/>
    <x v="1"/>
    <x v="0"/>
    <s v="Error when a duplicate charge"/>
    <n v="32"/>
    <d v="2023-07-10T16:54:42"/>
    <b v="0"/>
    <m/>
  </r>
  <r>
    <s v="TK62244"/>
    <d v="2023-07-10T14:56:00"/>
    <s v="chat"/>
    <x v="4"/>
    <x v="3"/>
    <s v="How do I downgrade my plan"/>
    <n v="114"/>
    <d v="2023-07-12T13:48:30"/>
    <b v="0"/>
    <m/>
  </r>
  <r>
    <s v="TK62248"/>
    <d v="2023-07-10T15:23:00"/>
    <s v="email"/>
    <x v="4"/>
    <x v="1"/>
    <s v="Question about a duplicate charge"/>
    <n v="119"/>
    <d v="2023-07-11T00:40:12"/>
    <b v="0"/>
    <n v="5"/>
  </r>
  <r>
    <s v="TK61111"/>
    <d v="2023-07-10T15:26:00"/>
    <s v="email"/>
    <x v="0"/>
    <x v="0"/>
    <s v="Cannot downgrade my plan"/>
    <n v="18"/>
    <d v="2023-07-10T17:28:13"/>
    <b v="1"/>
    <m/>
  </r>
  <r>
    <s v="TK60921"/>
    <d v="2023-07-10T17:51:00"/>
    <s v="in-app"/>
    <x v="1"/>
    <x v="3"/>
    <s v="Unable to connecting the Snowflake sync"/>
    <n v="106"/>
    <d v="2023-07-14T21:56:43"/>
    <b v="0"/>
    <n v="4"/>
  </r>
  <r>
    <s v="TK63511"/>
    <d v="2023-07-10T20:47:00"/>
    <s v="email"/>
    <x v="1"/>
    <x v="0"/>
    <s v="Issue with a refund for an annual plan"/>
    <n v="109"/>
    <d v="2023-07-15T02:29:52"/>
    <b v="0"/>
    <n v="5"/>
  </r>
  <r>
    <s v="TK63565"/>
    <d v="2023-07-11T09:29:00"/>
    <s v="in-app"/>
    <x v="1"/>
    <x v="1"/>
    <s v="Request to the dashboard loading slowly"/>
    <n v="64"/>
    <d v="2023-07-12T09:48:11"/>
    <b v="0"/>
    <m/>
  </r>
  <r>
    <s v="TK63447"/>
    <d v="2023-07-11T10:23:00"/>
    <s v="phone"/>
    <x v="1"/>
    <x v="0"/>
    <s v="Request to log in after password reset"/>
    <n v="12"/>
    <d v="2023-07-13T00:04:56"/>
    <b v="0"/>
    <m/>
  </r>
  <r>
    <s v="TK62519"/>
    <d v="2023-07-11T12:28:00"/>
    <s v="in-app"/>
    <x v="2"/>
    <x v="1"/>
    <s v="Request to the API rate limit"/>
    <n v="39"/>
    <d v="2023-07-11T15:55:46"/>
    <b v="0"/>
    <m/>
  </r>
  <r>
    <s v="TK63332"/>
    <d v="2023-07-11T18:01:00"/>
    <s v="chat"/>
    <x v="4"/>
    <x v="1"/>
    <s v="Issue with a duplicate charge"/>
    <n v="80"/>
    <d v="2023-07-12T01:17:54"/>
    <b v="0"/>
    <m/>
  </r>
  <r>
    <s v="TK63868"/>
    <d v="2023-07-11T21:37:00"/>
    <s v="in-app"/>
    <x v="1"/>
    <x v="3"/>
    <s v="Request to log in after password reset"/>
    <n v="84"/>
    <d v="2023-07-15T15:50:39"/>
    <b v="0"/>
    <n v="4"/>
  </r>
  <r>
    <s v="TK61420"/>
    <d v="2023-07-12T04:13:00"/>
    <s v="chat"/>
    <x v="4"/>
    <x v="0"/>
    <s v="Question about a duplicate charge"/>
    <n v="14"/>
    <d v="2023-07-12T14:10:45"/>
    <b v="0"/>
    <m/>
  </r>
  <r>
    <s v="TK62427"/>
    <d v="2023-07-12T04:54:00"/>
    <s v="email"/>
    <x v="1"/>
    <x v="1"/>
    <s v="Issue with export my data"/>
    <n v="7"/>
    <d v="2023-07-17T07:11:46"/>
    <b v="0"/>
    <m/>
  </r>
  <r>
    <s v="TK62669"/>
    <d v="2023-07-12T05:44:00"/>
    <s v="chat"/>
    <x v="1"/>
    <x v="1"/>
    <s v="Unable to export my data"/>
    <n v="213"/>
    <m/>
    <b v="0"/>
    <m/>
  </r>
  <r>
    <s v="TK60371"/>
    <d v="2023-07-12T06:49:00"/>
    <s v="chat"/>
    <x v="4"/>
    <x v="1"/>
    <s v="Cannot the dashboard loading slowly"/>
    <n v="45"/>
    <d v="2023-07-15T04:50:13"/>
    <b v="0"/>
    <m/>
  </r>
  <r>
    <s v="TK62155"/>
    <d v="2023-07-12T06:55:00"/>
    <s v="in-app"/>
    <x v="1"/>
    <x v="1"/>
    <s v="How do I the API rate limit"/>
    <n v="34"/>
    <d v="2023-07-12T21:57:29"/>
    <b v="0"/>
    <m/>
  </r>
  <r>
    <s v="TK60036"/>
    <d v="2023-07-12T07:24:00"/>
    <s v="in-app"/>
    <x v="2"/>
    <x v="3"/>
    <s v="How do I downgrade my plan"/>
    <m/>
    <d v="2023-07-14T16:58:27"/>
    <b v="0"/>
    <m/>
  </r>
  <r>
    <s v="TK63666"/>
    <d v="2023-07-12T10:20:00"/>
    <s v="chat"/>
    <x v="4"/>
    <x v="0"/>
    <s v="Issue with the invoice for last month"/>
    <n v="290"/>
    <d v="2023-07-12T19:38:44"/>
    <b v="0"/>
    <n v="5"/>
  </r>
  <r>
    <s v="TK61764"/>
    <d v="2023-07-12T11:16:00"/>
    <s v="phone"/>
    <x v="4"/>
    <x v="1"/>
    <s v="Question about log in after password reset"/>
    <n v="49"/>
    <d v="2023-07-15T19:39:13"/>
    <b v="0"/>
    <m/>
  </r>
  <r>
    <s v="TK60216"/>
    <d v="2023-07-12T12:16:00"/>
    <s v="email"/>
    <x v="0"/>
    <x v="0"/>
    <s v="Cannot the invoice for last month"/>
    <n v="46"/>
    <d v="2023-07-12T13:12:14"/>
    <b v="1"/>
    <m/>
  </r>
  <r>
    <s v="TK63089"/>
    <d v="2023-07-12T12:24:00"/>
    <s v="phone"/>
    <x v="1"/>
    <x v="3"/>
    <s v="Request to webhook deliveries failing"/>
    <n v="179"/>
    <d v="2023-07-24T03:22:47"/>
    <b v="0"/>
    <m/>
  </r>
  <r>
    <s v="TK60188"/>
    <d v="2023-07-12T16:27:00"/>
    <s v="chat"/>
    <x v="0"/>
    <x v="1"/>
    <s v="Unable to log in after password reset"/>
    <n v="125"/>
    <d v="2023-07-17T20:25:59"/>
    <b v="1"/>
    <m/>
  </r>
  <r>
    <s v="TK63520"/>
    <d v="2023-07-12T19:56:00"/>
    <s v="email"/>
    <x v="1"/>
    <x v="3"/>
    <s v="Error when a duplicate charge"/>
    <m/>
    <d v="2023-07-13T20:48:19"/>
    <b v="0"/>
    <m/>
  </r>
  <r>
    <s v="TK63760"/>
    <d v="2023-07-12T20:03:00"/>
    <s v="chat"/>
    <x v="0"/>
    <x v="1"/>
    <s v="Cannot log in after password reset"/>
    <n v="117"/>
    <d v="2023-07-13T11:51:42"/>
    <b v="0"/>
    <n v="5"/>
  </r>
  <r>
    <s v="TK63309"/>
    <d v="2023-07-12T22:59:00"/>
    <s v="phone"/>
    <x v="0"/>
    <x v="1"/>
    <s v="Question about export my data"/>
    <n v="42"/>
    <d v="2023-07-14T18:58:51"/>
    <b v="0"/>
    <m/>
  </r>
  <r>
    <s v="TK62864"/>
    <d v="2023-07-13T00:07:00"/>
    <s v="chat"/>
    <x v="1"/>
    <x v="0"/>
    <s v="Question about the dashboard loading slowly"/>
    <n v="79"/>
    <d v="2023-07-13T13:23:29"/>
    <b v="0"/>
    <m/>
  </r>
  <r>
    <s v="TK62396"/>
    <d v="2023-07-13T03:37:00"/>
    <s v="chat"/>
    <x v="0"/>
    <x v="3"/>
    <s v="How do I downgrade my plan"/>
    <n v="161"/>
    <d v="2023-07-15T09:03:10"/>
    <b v="0"/>
    <m/>
  </r>
  <r>
    <s v="TK62620"/>
    <d v="2023-07-13T05:14:00"/>
    <s v="email"/>
    <x v="1"/>
    <x v="1"/>
    <s v="Cannot the API rate limit"/>
    <n v="40"/>
    <d v="2023-07-14T09:40:37"/>
    <b v="0"/>
    <m/>
  </r>
  <r>
    <s v="TK63789"/>
    <d v="2023-07-13T05:52:00"/>
    <s v="phone"/>
    <x v="1"/>
    <x v="0"/>
    <s v="Error when export my data"/>
    <n v="4"/>
    <d v="2023-07-13T11:57:52"/>
    <b v="0"/>
    <n v="5"/>
  </r>
  <r>
    <s v="TK63823"/>
    <d v="2023-07-13T06:26:00"/>
    <s v="in-app"/>
    <x v="4"/>
    <x v="1"/>
    <s v="How do I connecting the Snowflake sync"/>
    <n v="293"/>
    <d v="2023-07-19T23:55:49"/>
    <b v="0"/>
    <m/>
  </r>
  <r>
    <s v="TK61353"/>
    <d v="2023-07-13T08:06:00"/>
    <s v="chat"/>
    <x v="0"/>
    <x v="1"/>
    <s v="Issue with a duplicate charge"/>
    <n v="89"/>
    <d v="2023-07-13T19:38:26"/>
    <b v="0"/>
    <n v="2"/>
  </r>
  <r>
    <s v="TK63792"/>
    <d v="2023-07-13T15:53:00"/>
    <s v="email"/>
    <x v="3"/>
    <x v="3"/>
    <s v="How do I a duplicate charge"/>
    <n v="246"/>
    <d v="2023-07-14T10:18:37"/>
    <b v="0"/>
    <n v="5"/>
  </r>
  <r>
    <s v="TK62568"/>
    <d v="2023-07-13T16:50:00"/>
    <s v="email"/>
    <x v="1"/>
    <x v="1"/>
    <s v="Issue with the dashboard loading slowly"/>
    <n v="205"/>
    <d v="2023-07-17T02:44:48"/>
    <b v="1"/>
    <m/>
  </r>
  <r>
    <s v="TK61262"/>
    <d v="2023-07-13T18:48:00"/>
    <s v="email"/>
    <x v="1"/>
    <x v="1"/>
    <s v="Question about log in after password reset"/>
    <n v="273"/>
    <d v="2023-07-16T21:10:07"/>
    <b v="0"/>
    <m/>
  </r>
  <r>
    <s v="TK62876"/>
    <d v="2023-07-13T18:55:00"/>
    <s v="phone"/>
    <x v="4"/>
    <x v="0"/>
    <s v="Error when the invoice for last month"/>
    <n v="212"/>
    <d v="2023-07-14T07:53:08"/>
    <b v="0"/>
    <n v="4"/>
  </r>
  <r>
    <s v="TK60567"/>
    <d v="2023-07-13T19:58:00"/>
    <s v="in-app"/>
    <x v="1"/>
    <x v="3"/>
    <s v="How do I a duplicate charge"/>
    <n v="126"/>
    <d v="2023-07-16T23:06:48"/>
    <b v="0"/>
    <m/>
  </r>
  <r>
    <s v="TK63893"/>
    <d v="2023-07-13T22:16:00"/>
    <s v="chat"/>
    <x v="1"/>
    <x v="1"/>
    <s v="Error when two-factor authentication"/>
    <n v="209"/>
    <d v="2023-07-18T00:48:33"/>
    <b v="0"/>
    <m/>
  </r>
  <r>
    <s v="TK60460"/>
    <d v="2023-07-14T02:52:00"/>
    <s v="email"/>
    <x v="0"/>
    <x v="3"/>
    <s v="Cannot downgrade my plan"/>
    <n v="727"/>
    <d v="2023-07-14T13:19:44"/>
    <b v="1"/>
    <m/>
  </r>
  <r>
    <s v="TK63051"/>
    <d v="2023-07-14T05:11:00"/>
    <s v="phone"/>
    <x v="2"/>
    <x v="3"/>
    <s v="Question about webhook deliveries failing"/>
    <n v="306"/>
    <d v="2023-07-15T19:19:34"/>
    <b v="0"/>
    <m/>
  </r>
  <r>
    <s v="TK60759"/>
    <d v="2023-07-14T11:00:00"/>
    <s v="in-app"/>
    <x v="0"/>
    <x v="3"/>
    <s v="Issue with connecting the Snowflake sync"/>
    <n v="400"/>
    <d v="2023-07-24T12:10:39"/>
    <b v="0"/>
    <n v="3"/>
  </r>
  <r>
    <s v="TK63275"/>
    <d v="2023-07-14T17:01:00"/>
    <s v="chat"/>
    <x v="0"/>
    <x v="3"/>
    <s v="How do I two-factor authentication"/>
    <n v="66"/>
    <d v="2023-07-15T05:50:55"/>
    <b v="0"/>
    <m/>
  </r>
  <r>
    <s v="TK62223"/>
    <d v="2023-07-14T17:59:00"/>
    <s v="in-app"/>
    <x v="1"/>
    <x v="0"/>
    <s v="Error when a refund for an annual plan"/>
    <m/>
    <d v="2023-07-15T23:54:37"/>
    <b v="0"/>
    <m/>
  </r>
  <r>
    <s v="TK63663"/>
    <d v="2023-07-14T19:50:00"/>
    <s v="in-app"/>
    <x v="3"/>
    <x v="3"/>
    <s v="Cannot a refund for an annual plan"/>
    <n v="175"/>
    <d v="2023-07-17T04:46:00"/>
    <b v="0"/>
    <m/>
  </r>
  <r>
    <s v="TK60250"/>
    <d v="2023-07-14T21:38:00"/>
    <s v="in-app"/>
    <x v="2"/>
    <x v="3"/>
    <s v="Issue with the API rate limit"/>
    <n v="117"/>
    <d v="2023-07-16T04:40:04"/>
    <b v="0"/>
    <m/>
  </r>
  <r>
    <s v="TK63702"/>
    <d v="2023-07-14T22:37:00"/>
    <s v="email"/>
    <x v="2"/>
    <x v="1"/>
    <s v="Question about a refund for an annual plan"/>
    <n v="83"/>
    <d v="2023-07-15T02:05:58"/>
    <b v="0"/>
    <n v="1"/>
  </r>
  <r>
    <s v="TK62546"/>
    <d v="2023-07-15T00:21:00"/>
    <s v="in-app"/>
    <x v="2"/>
    <x v="3"/>
    <s v="Unable to a duplicate charge"/>
    <n v="63"/>
    <d v="2023-07-15T20:59:11"/>
    <b v="0"/>
    <m/>
  </r>
  <r>
    <s v="TK63637"/>
    <d v="2023-07-15T03:03:00"/>
    <s v="in-app"/>
    <x v="1"/>
    <x v="2"/>
    <s v="Error when a duplicate charge"/>
    <n v="18"/>
    <d v="2023-07-16T03:57:36"/>
    <b v="0"/>
    <n v="5"/>
  </r>
  <r>
    <s v="TK61229"/>
    <d v="2023-07-15T04:12:00"/>
    <s v="in-app"/>
    <x v="4"/>
    <x v="0"/>
    <s v="How do I add a teammate"/>
    <n v="237"/>
    <d v="2023-07-16T16:57:48"/>
    <b v="0"/>
    <m/>
  </r>
  <r>
    <s v="TK60859"/>
    <d v="2023-07-15T05:07:00"/>
    <s v="chat"/>
    <x v="0"/>
    <x v="3"/>
    <s v="Error when the dashboard loading slowly"/>
    <n v="45"/>
    <d v="2023-07-15T12:13:33"/>
    <b v="0"/>
    <m/>
  </r>
  <r>
    <s v="TK60744"/>
    <d v="2023-07-15T05:15:00"/>
    <s v="email"/>
    <x v="3"/>
    <x v="0"/>
    <s v="Unable to export my data"/>
    <n v="13"/>
    <d v="2023-07-16T04:02:45"/>
    <b v="0"/>
    <n v="3"/>
  </r>
  <r>
    <s v="TK60731"/>
    <d v="2023-07-15T08:05:00"/>
    <s v="email"/>
    <x v="4"/>
    <x v="1"/>
    <s v="Question about a refund for an annual plan"/>
    <n v="1054"/>
    <d v="2023-07-15T15:01:50"/>
    <b v="0"/>
    <m/>
  </r>
  <r>
    <s v="TK62445"/>
    <d v="2023-07-15T10:19:00"/>
    <s v="chat"/>
    <x v="2"/>
    <x v="3"/>
    <s v="Issue with webhook deliveries failing"/>
    <n v="707"/>
    <d v="2023-07-17T02:36:35"/>
    <b v="0"/>
    <m/>
  </r>
  <r>
    <s v="TK63090"/>
    <d v="2023-07-15T13:13:00"/>
    <s v="in-app"/>
    <x v="2"/>
    <x v="3"/>
    <s v="Issue with add a teammate"/>
    <n v="256"/>
    <d v="2023-07-20T10:33:09"/>
    <b v="0"/>
    <m/>
  </r>
  <r>
    <s v="TK62516"/>
    <d v="2023-07-15T13:36:00"/>
    <s v="in-app"/>
    <x v="4"/>
    <x v="0"/>
    <s v="Issue with export my data"/>
    <n v="304"/>
    <d v="2023-07-16T14:34:09"/>
    <b v="0"/>
    <m/>
  </r>
  <r>
    <s v="TK63192"/>
    <d v="2023-07-15T18:34:00"/>
    <s v="email"/>
    <x v="1"/>
    <x v="1"/>
    <s v="Error when two-factor authentication"/>
    <n v="603"/>
    <d v="2023-07-17T19:33:38"/>
    <b v="0"/>
    <m/>
  </r>
  <r>
    <s v="TK60595"/>
    <d v="2023-07-15T22:45:00"/>
    <s v="chat"/>
    <x v="1"/>
    <x v="1"/>
    <s v="Error when the invoice for last month"/>
    <n v="48"/>
    <d v="2023-07-19T20:00:40"/>
    <b v="0"/>
    <m/>
  </r>
  <r>
    <s v="TK63852"/>
    <d v="2023-07-16T00:19:00"/>
    <s v="phone"/>
    <x v="1"/>
    <x v="2"/>
    <s v="Request to two-factor authentication"/>
    <n v="23"/>
    <d v="2023-07-16T10:34:43"/>
    <b v="0"/>
    <m/>
  </r>
  <r>
    <s v="TK60326"/>
    <d v="2023-07-16T01:39:00"/>
    <s v="email"/>
    <x v="0"/>
    <x v="1"/>
    <s v="Question about log in after password reset"/>
    <n v="67"/>
    <d v="2023-07-16T21:06:03"/>
    <b v="0"/>
    <m/>
  </r>
  <r>
    <s v="TK62207"/>
    <d v="2023-07-16T05:21:00"/>
    <s v="chat"/>
    <x v="1"/>
    <x v="1"/>
    <s v="How do I the invoice for last month"/>
    <n v="155"/>
    <d v="2023-07-16T08:22:03"/>
    <b v="0"/>
    <n v="5"/>
  </r>
  <r>
    <s v="TK63276"/>
    <d v="2023-07-16T07:57:00"/>
    <s v="phone"/>
    <x v="2"/>
    <x v="2"/>
    <s v="Cannot export my data"/>
    <n v="17"/>
    <d v="2023-07-16T09:01:30"/>
    <b v="0"/>
    <m/>
  </r>
  <r>
    <s v="TK60928"/>
    <d v="2023-07-16T12:27:00"/>
    <s v="email"/>
    <x v="1"/>
    <x v="0"/>
    <s v="Unable to add a teammate"/>
    <n v="76"/>
    <d v="2023-07-17T08:49:29"/>
    <b v="0"/>
    <m/>
  </r>
  <r>
    <s v="TK61705"/>
    <d v="2023-07-16T13:11:00"/>
    <s v="in-app"/>
    <x v="2"/>
    <x v="0"/>
    <s v="Request to export my data"/>
    <n v="57"/>
    <d v="2023-07-16T14:05:17"/>
    <b v="0"/>
    <m/>
  </r>
  <r>
    <s v="TK62194"/>
    <d v="2023-07-16T15:14:00"/>
    <s v="chat"/>
    <x v="1"/>
    <x v="1"/>
    <s v="Question about the API rate limit"/>
    <n v="10"/>
    <d v="2023-07-18T13:32:15"/>
    <b v="0"/>
    <n v="2"/>
  </r>
  <r>
    <s v="TK60060"/>
    <d v="2023-07-16T16:56:00"/>
    <s v="in-app"/>
    <x v="1"/>
    <x v="3"/>
    <s v="Unable to a duplicate charge"/>
    <n v="868"/>
    <d v="2023-07-18T18:48:55"/>
    <b v="0"/>
    <n v="5"/>
  </r>
  <r>
    <s v="TK61596"/>
    <d v="2023-07-16T21:26:00"/>
    <s v="chat"/>
    <x v="1"/>
    <x v="0"/>
    <s v="Error when two-factor authentication"/>
    <n v="32"/>
    <d v="2023-07-17T17:54:30"/>
    <b v="0"/>
    <m/>
  </r>
  <r>
    <s v="TK60287"/>
    <d v="2023-07-16T22:12:00"/>
    <s v="email"/>
    <x v="3"/>
    <x v="3"/>
    <s v="How do I a duplicate charge"/>
    <n v="104"/>
    <d v="2023-08-07T13:39:28"/>
    <b v="0"/>
    <m/>
  </r>
  <r>
    <s v="TK60856"/>
    <d v="2023-07-17T00:43:00"/>
    <s v="email"/>
    <x v="4"/>
    <x v="1"/>
    <s v="Error when export my data"/>
    <n v="53"/>
    <d v="2023-07-17T09:50:14"/>
    <b v="0"/>
    <m/>
  </r>
  <r>
    <s v="TK63122"/>
    <d v="2023-07-17T01:09:00"/>
    <s v="email"/>
    <x v="2"/>
    <x v="1"/>
    <s v="Unable to add a teammate"/>
    <n v="73"/>
    <d v="2023-07-17T06:17:48"/>
    <b v="0"/>
    <m/>
  </r>
  <r>
    <s v="TK63473"/>
    <d v="2023-07-17T01:16:00"/>
    <s v="email"/>
    <x v="3"/>
    <x v="2"/>
    <s v="Request to export my data"/>
    <n v="17"/>
    <d v="2023-07-17T04:54:35"/>
    <b v="0"/>
    <m/>
  </r>
  <r>
    <s v="TK60933"/>
    <d v="2023-07-17T07:16:00"/>
    <s v="chat"/>
    <x v="3"/>
    <x v="0"/>
    <s v="Unable to connecting the Snowflake sync"/>
    <n v="29"/>
    <d v="2023-07-17T08:23:02"/>
    <b v="0"/>
    <m/>
  </r>
  <r>
    <s v="TK61873"/>
    <d v="2023-07-17T08:17:00"/>
    <s v="chat"/>
    <x v="3"/>
    <x v="3"/>
    <s v="Unable to export my data"/>
    <n v="1074"/>
    <d v="2023-07-19T01:08:18"/>
    <b v="0"/>
    <m/>
  </r>
  <r>
    <s v="TK63267"/>
    <d v="2023-07-17T18:45:00"/>
    <s v="email"/>
    <x v="0"/>
    <x v="0"/>
    <s v="Unable to the API rate limit"/>
    <n v="33"/>
    <d v="2023-07-26T13:02:00"/>
    <b v="0"/>
    <n v="5"/>
  </r>
  <r>
    <s v="TK61165"/>
    <d v="2023-07-17T21:55:00"/>
    <s v="phone"/>
    <x v="2"/>
    <x v="1"/>
    <s v="Unable to the API rate limit"/>
    <n v="65"/>
    <d v="2023-07-18T09:34:59"/>
    <b v="0"/>
    <m/>
  </r>
  <r>
    <s v="TK62230"/>
    <d v="2023-07-17T22:45:00"/>
    <s v="in-app"/>
    <x v="3"/>
    <x v="3"/>
    <s v="Question about a duplicate charge"/>
    <n v="306"/>
    <d v="2023-07-20T21:34:35"/>
    <b v="0"/>
    <m/>
  </r>
  <r>
    <s v="TK62634"/>
    <d v="2023-07-18T00:13:00"/>
    <s v="in-app"/>
    <x v="2"/>
    <x v="1"/>
    <s v="Unable to log in after password reset"/>
    <n v="133"/>
    <d v="2023-07-18T07:10:18"/>
    <b v="0"/>
    <m/>
  </r>
  <r>
    <s v="TK61693"/>
    <d v="2023-07-18T02:18:00"/>
    <s v="email"/>
    <x v="3"/>
    <x v="1"/>
    <s v="Request to connecting the Snowflake sync"/>
    <n v="148"/>
    <d v="2023-07-20T18:40:28"/>
    <b v="0"/>
    <m/>
  </r>
  <r>
    <s v="TK62926"/>
    <d v="2023-07-18T03:08:00"/>
    <s v="email"/>
    <x v="2"/>
    <x v="1"/>
    <s v="Error when webhook deliveries failing"/>
    <m/>
    <d v="2023-07-18T19:39:58"/>
    <b v="0"/>
    <m/>
  </r>
  <r>
    <s v="TK62688"/>
    <d v="2023-07-18T11:18:00"/>
    <s v="chat"/>
    <x v="0"/>
    <x v="1"/>
    <s v="Issue with connecting the Snowflake sync"/>
    <n v="137"/>
    <d v="2023-07-22T02:08:35"/>
    <b v="0"/>
    <m/>
  </r>
  <r>
    <s v="TK63442"/>
    <d v="2023-07-18T11:55:00"/>
    <s v="in-app"/>
    <x v="3"/>
    <x v="1"/>
    <s v="How do I a refund for an annual plan"/>
    <n v="133"/>
    <d v="2023-07-21T00:07:23"/>
    <b v="0"/>
    <m/>
  </r>
  <r>
    <s v="TK60677"/>
    <d v="2023-07-18T14:52:00"/>
    <s v="in-app"/>
    <x v="3"/>
    <x v="1"/>
    <s v="Issue with two-factor authentication"/>
    <n v="88"/>
    <d v="2023-07-18T20:55:39"/>
    <b v="0"/>
    <n v="4"/>
  </r>
  <r>
    <s v="TK60874"/>
    <d v="2023-07-18T14:54:00"/>
    <s v="email"/>
    <x v="0"/>
    <x v="1"/>
    <s v="Request to a duplicate charge"/>
    <n v="21"/>
    <d v="2023-07-19T08:53:20"/>
    <b v="0"/>
    <m/>
  </r>
  <r>
    <s v="TK62405"/>
    <d v="2023-07-18T15:54:00"/>
    <s v="chat"/>
    <x v="4"/>
    <x v="3"/>
    <s v="Cannot export my data"/>
    <n v="59"/>
    <d v="2023-07-23T08:44:20"/>
    <b v="0"/>
    <m/>
  </r>
  <r>
    <s v="TK60248"/>
    <d v="2023-07-18T18:35:00"/>
    <s v="email"/>
    <x v="1"/>
    <x v="3"/>
    <s v="Unable to a refund for an annual plan"/>
    <m/>
    <d v="2023-07-25T16:36:44"/>
    <b v="0"/>
    <m/>
  </r>
  <r>
    <s v="TK60405"/>
    <d v="2023-07-18T20:54:00"/>
    <s v="phone"/>
    <x v="0"/>
    <x v="0"/>
    <s v="Error when log in after password reset"/>
    <n v="59"/>
    <d v="2023-07-19T08:01:33"/>
    <b v="1"/>
    <m/>
  </r>
  <r>
    <s v="TK61632"/>
    <d v="2023-07-18T22:13:00"/>
    <s v="chat"/>
    <x v="1"/>
    <x v="3"/>
    <s v="Request to downgrade my plan"/>
    <n v="21"/>
    <d v="2023-07-24T05:39:41"/>
    <b v="0"/>
    <m/>
  </r>
  <r>
    <s v="TK62643"/>
    <d v="2023-07-19T04:08:00"/>
    <s v="email"/>
    <x v="1"/>
    <x v="0"/>
    <s v="Error when webhook deliveries failing"/>
    <n v="69"/>
    <d v="2023-07-20T21:14:55"/>
    <b v="1"/>
    <m/>
  </r>
  <r>
    <s v="TK60501"/>
    <d v="2023-07-19T10:52:00"/>
    <s v="email"/>
    <x v="1"/>
    <x v="0"/>
    <s v="Question about connecting the Snowflake sync"/>
    <n v="481"/>
    <d v="2023-07-19T16:36:40"/>
    <b v="0"/>
    <n v="5"/>
  </r>
  <r>
    <s v="TK61729"/>
    <d v="2023-07-19T14:29:00"/>
    <s v="phone"/>
    <x v="2"/>
    <x v="1"/>
    <s v="How do I two-factor authentication"/>
    <n v="135"/>
    <d v="2023-07-19T23:35:12"/>
    <b v="0"/>
    <n v="1"/>
  </r>
  <r>
    <s v="TK60453"/>
    <d v="2023-07-19T15:48:00"/>
    <s v="email"/>
    <x v="1"/>
    <x v="0"/>
    <s v="Issue with the API rate limit"/>
    <n v="50"/>
    <d v="2023-07-20T03:47:37"/>
    <b v="0"/>
    <m/>
  </r>
  <r>
    <s v="TK60139"/>
    <d v="2023-07-19T15:59:00"/>
    <s v="in-app"/>
    <x v="1"/>
    <x v="3"/>
    <s v="How do I two-factor authentication"/>
    <n v="483"/>
    <d v="2023-07-25T14:14:52"/>
    <b v="1"/>
    <n v="2"/>
  </r>
  <r>
    <s v="TK61324"/>
    <d v="2023-07-19T16:09:00"/>
    <s v="in-app"/>
    <x v="1"/>
    <x v="0"/>
    <s v="Request to log in after password reset"/>
    <n v="10"/>
    <d v="2023-07-21T17:42:15"/>
    <b v="0"/>
    <m/>
  </r>
  <r>
    <s v="TK62214"/>
    <d v="2023-07-19T18:16:00"/>
    <s v="email"/>
    <x v="1"/>
    <x v="3"/>
    <s v="Unable to add a teammate"/>
    <n v="473"/>
    <d v="2023-07-22T13:19:09"/>
    <b v="0"/>
    <m/>
  </r>
  <r>
    <s v="TK63905"/>
    <d v="2023-07-19T20:42:00"/>
    <s v="in-app"/>
    <x v="4"/>
    <x v="1"/>
    <s v="Error when add a teammate"/>
    <n v="63"/>
    <d v="2023-07-20T10:33:21"/>
    <b v="0"/>
    <m/>
  </r>
  <r>
    <s v="TK61640"/>
    <d v="2023-07-19T20:50:00"/>
    <s v="in-app"/>
    <x v="1"/>
    <x v="1"/>
    <s v="Unable to export my data"/>
    <n v="82"/>
    <d v="2023-07-20T01:54:18"/>
    <b v="0"/>
    <m/>
  </r>
  <r>
    <s v="TK63533"/>
    <d v="2023-07-19T21:47:00"/>
    <s v="in-app"/>
    <x v="2"/>
    <x v="1"/>
    <s v="How do I webhook deliveries failing"/>
    <n v="20"/>
    <d v="2023-07-23T18:13:42"/>
    <b v="0"/>
    <m/>
  </r>
  <r>
    <s v="TK63522"/>
    <d v="2023-07-19T22:13:00"/>
    <s v="chat"/>
    <x v="1"/>
    <x v="0"/>
    <s v="Question about the API rate limit"/>
    <n v="57"/>
    <d v="2023-07-23T10:41:01"/>
    <b v="0"/>
    <m/>
  </r>
  <r>
    <s v="TK60798"/>
    <d v="2023-07-20T05:36:00"/>
    <s v="chat"/>
    <x v="3"/>
    <x v="1"/>
    <s v="Error when the dashboard loading slowly"/>
    <n v="84"/>
    <m/>
    <b v="0"/>
    <m/>
  </r>
  <r>
    <s v="TK61967"/>
    <d v="2023-07-20T06:56:00"/>
    <s v="email"/>
    <x v="1"/>
    <x v="1"/>
    <s v="How do I downgrade my plan"/>
    <n v="366"/>
    <d v="2023-07-21T02:14:46"/>
    <b v="0"/>
    <m/>
  </r>
  <r>
    <s v="TK62880"/>
    <d v="2023-07-20T07:06:00"/>
    <s v="phone"/>
    <x v="4"/>
    <x v="1"/>
    <s v="Question about two-factor authentication"/>
    <n v="34"/>
    <d v="2023-07-20T21:34:12"/>
    <b v="0"/>
    <n v="2"/>
  </r>
  <r>
    <s v="TK62023"/>
    <d v="2023-07-20T07:47:00"/>
    <s v="phone"/>
    <x v="1"/>
    <x v="1"/>
    <s v="Request to connecting the Snowflake sync"/>
    <n v="78"/>
    <d v="2023-07-20T13:29:22"/>
    <b v="0"/>
    <n v="4"/>
  </r>
  <r>
    <s v="TK62508"/>
    <d v="2023-07-20T12:04:00"/>
    <s v="email"/>
    <x v="4"/>
    <x v="2"/>
    <s v="Question about two-factor authentication"/>
    <n v="9"/>
    <d v="2023-07-20T14:25:47"/>
    <b v="0"/>
    <m/>
  </r>
  <r>
    <s v="TK60488"/>
    <d v="2023-07-20T12:10:00"/>
    <s v="chat"/>
    <x v="0"/>
    <x v="1"/>
    <s v="Cannot log in after password reset"/>
    <n v="270"/>
    <d v="2023-07-20T14:01:45"/>
    <b v="0"/>
    <m/>
  </r>
  <r>
    <s v="TK62292"/>
    <d v="2023-07-20T12:17:00"/>
    <s v="in-app"/>
    <x v="1"/>
    <x v="1"/>
    <s v="Issue with a duplicate charge"/>
    <n v="102"/>
    <d v="2023-07-21T07:17:30"/>
    <b v="0"/>
    <m/>
  </r>
  <r>
    <s v="TK61445"/>
    <d v="2023-07-20T15:22:00"/>
    <s v="email"/>
    <x v="2"/>
    <x v="2"/>
    <s v="Issue with add a teammate"/>
    <n v="4"/>
    <d v="2023-07-20T20:58:31"/>
    <b v="0"/>
    <m/>
  </r>
  <r>
    <s v="TK61254"/>
    <d v="2023-07-20T18:10:00"/>
    <s v="email"/>
    <x v="1"/>
    <x v="1"/>
    <s v="Error when the dashboard loading slowly"/>
    <n v="41"/>
    <d v="2023-07-22T16:43:18"/>
    <b v="0"/>
    <n v="5"/>
  </r>
  <r>
    <s v="TK61338"/>
    <d v="2023-07-20T19:35:00"/>
    <s v="chat"/>
    <x v="2"/>
    <x v="0"/>
    <s v="Question about the API rate limit"/>
    <n v="81"/>
    <m/>
    <b v="0"/>
    <m/>
  </r>
  <r>
    <s v="TK63250"/>
    <d v="2023-07-20T23:08:00"/>
    <s v="phone"/>
    <x v="0"/>
    <x v="1"/>
    <s v="Error when two-factor authentication"/>
    <n v="59"/>
    <d v="2023-07-21T04:35:59"/>
    <b v="0"/>
    <m/>
  </r>
  <r>
    <s v="TK61558"/>
    <d v="2023-07-20T23:17:00"/>
    <s v="phone"/>
    <x v="0"/>
    <x v="0"/>
    <s v="Cannot a duplicate charge"/>
    <n v="37"/>
    <d v="2023-07-21T08:59:04"/>
    <b v="0"/>
    <m/>
  </r>
  <r>
    <s v="TK60171"/>
    <d v="2023-07-20T23:38:00"/>
    <s v="email"/>
    <x v="4"/>
    <x v="0"/>
    <s v="Unable to connecting the Snowflake sync"/>
    <n v="16"/>
    <d v="2023-07-21T18:07:26"/>
    <b v="0"/>
    <m/>
  </r>
  <r>
    <s v="TK61070"/>
    <d v="2023-07-21T05:01:00"/>
    <s v="email"/>
    <x v="1"/>
    <x v="1"/>
    <s v="Issue with a duplicate charge"/>
    <n v="39"/>
    <d v="2023-07-21T13:11:53"/>
    <b v="0"/>
    <n v="5"/>
  </r>
  <r>
    <s v="TK62684"/>
    <d v="2023-07-21T08:06:00"/>
    <s v="chat"/>
    <x v="1"/>
    <x v="1"/>
    <s v="Error when the dashboard loading slowly"/>
    <n v="9"/>
    <d v="2023-07-29T19:45:20"/>
    <b v="0"/>
    <m/>
  </r>
  <r>
    <s v="TK62601"/>
    <d v="2023-07-21T16:10:00"/>
    <s v="phone"/>
    <x v="0"/>
    <x v="2"/>
    <s v="Unable to a refund for an annual plan"/>
    <n v="24"/>
    <d v="2023-07-21T17:43:08"/>
    <b v="0"/>
    <n v="3"/>
  </r>
  <r>
    <s v="TK61872"/>
    <d v="2023-07-21T16:17:00"/>
    <s v="chat"/>
    <x v="2"/>
    <x v="0"/>
    <s v="How do I a duplicate charge"/>
    <n v="83"/>
    <d v="2023-07-21T22:57:31"/>
    <b v="1"/>
    <m/>
  </r>
  <r>
    <s v="TK62261"/>
    <d v="2023-07-21T19:23:00"/>
    <s v="chat"/>
    <x v="1"/>
    <x v="3"/>
    <s v="Question about two-factor authentication"/>
    <n v="506"/>
    <d v="2023-07-28T00:14:34"/>
    <b v="0"/>
    <m/>
  </r>
  <r>
    <s v="TK62977"/>
    <d v="2023-07-21T19:50:00"/>
    <s v="email"/>
    <x v="2"/>
    <x v="1"/>
    <s v="Issue with a refund for an annual plan"/>
    <n v="321"/>
    <d v="2023-07-22T00:45:21"/>
    <b v="0"/>
    <n v="5"/>
  </r>
  <r>
    <s v="TK62689"/>
    <d v="2023-07-21T20:15:00"/>
    <s v="in-app"/>
    <x v="1"/>
    <x v="0"/>
    <s v="How do I downgrade my plan"/>
    <n v="78"/>
    <d v="2023-07-22T21:39:09"/>
    <b v="0"/>
    <m/>
  </r>
  <r>
    <s v="TK62553"/>
    <d v="2023-07-22T01:47:00"/>
    <s v="email"/>
    <x v="4"/>
    <x v="1"/>
    <s v="Request to a refund for an annual plan"/>
    <n v="93"/>
    <d v="2023-07-22T16:01:01"/>
    <b v="0"/>
    <n v="5"/>
  </r>
  <r>
    <s v="TK61619"/>
    <d v="2023-07-22T02:54:00"/>
    <s v="email"/>
    <x v="3"/>
    <x v="0"/>
    <s v="Error when webhook deliveries failing"/>
    <n v="107"/>
    <d v="2023-07-24T11:32:52"/>
    <b v="0"/>
    <m/>
  </r>
  <r>
    <s v="TK63906"/>
    <d v="2023-07-22T09:40:00"/>
    <s v="email"/>
    <x v="1"/>
    <x v="3"/>
    <s v="Error when add a teammate"/>
    <n v="131"/>
    <d v="2023-07-24T02:53:41"/>
    <b v="0"/>
    <m/>
  </r>
  <r>
    <s v="TK61495"/>
    <d v="2023-07-22T12:36:00"/>
    <s v="phone"/>
    <x v="2"/>
    <x v="1"/>
    <s v="Request to webhook deliveries failing"/>
    <n v="132"/>
    <d v="2023-07-23T01:59:15"/>
    <b v="0"/>
    <m/>
  </r>
  <r>
    <s v="TK63695"/>
    <d v="2023-07-22T14:42:00"/>
    <s v="in-app"/>
    <x v="4"/>
    <x v="1"/>
    <s v="Cannot the API rate limit"/>
    <m/>
    <d v="2023-07-23T13:54:50"/>
    <b v="1"/>
    <m/>
  </r>
  <r>
    <s v="TK61750"/>
    <d v="2023-07-22T15:02:00"/>
    <s v="in-app"/>
    <x v="1"/>
    <x v="0"/>
    <s v="Error when a duplicate charge"/>
    <n v="70"/>
    <m/>
    <b v="0"/>
    <m/>
  </r>
  <r>
    <s v="TK63170"/>
    <d v="2023-07-22T19:40:00"/>
    <s v="email"/>
    <x v="2"/>
    <x v="1"/>
    <s v="How do I log in after password reset"/>
    <n v="361"/>
    <d v="2023-08-10T14:19:10"/>
    <b v="0"/>
    <m/>
  </r>
  <r>
    <s v="TK61425"/>
    <d v="2023-07-23T00:46:00"/>
    <s v="chat"/>
    <x v="0"/>
    <x v="1"/>
    <s v="How do I connecting the Snowflake sync"/>
    <n v="45"/>
    <d v="2023-07-24T14:28:56"/>
    <b v="0"/>
    <m/>
  </r>
  <r>
    <s v="TK62446"/>
    <d v="2023-07-23T03:57:00"/>
    <s v="email"/>
    <x v="0"/>
    <x v="2"/>
    <s v="Question about webhook deliveries failing"/>
    <n v="160"/>
    <d v="2023-07-23T19:07:49"/>
    <b v="0"/>
    <n v="5"/>
  </r>
  <r>
    <s v="TK61072"/>
    <d v="2023-07-23T05:13:00"/>
    <s v="in-app"/>
    <x v="0"/>
    <x v="0"/>
    <s v="Error when connecting the Snowflake sync"/>
    <n v="51"/>
    <d v="2023-07-23T09:30:49"/>
    <b v="0"/>
    <n v="5"/>
  </r>
  <r>
    <s v="TK62834"/>
    <d v="2023-07-23T10:23:00"/>
    <s v="chat"/>
    <x v="1"/>
    <x v="0"/>
    <s v="How do I a refund for an annual plan"/>
    <n v="40"/>
    <d v="2023-07-25T03:58:02"/>
    <b v="0"/>
    <m/>
  </r>
  <r>
    <s v="TK61807"/>
    <d v="2023-07-23T10:54:00"/>
    <s v="in-app"/>
    <x v="0"/>
    <x v="1"/>
    <s v="Question about webhook deliveries failing"/>
    <n v="34"/>
    <m/>
    <b v="0"/>
    <m/>
  </r>
  <r>
    <s v="TK63728"/>
    <d v="2023-07-23T15:34:00"/>
    <s v="chat"/>
    <x v="4"/>
    <x v="1"/>
    <s v="Question about the invoice for last month"/>
    <n v="142"/>
    <d v="2023-07-24T00:20:04"/>
    <b v="0"/>
    <m/>
  </r>
  <r>
    <s v="TK60179"/>
    <d v="2023-07-23T16:26:00"/>
    <s v="email"/>
    <x v="1"/>
    <x v="1"/>
    <s v="Error when connecting the Snowflake sync"/>
    <n v="76"/>
    <d v="2023-07-23T22:37:47"/>
    <b v="0"/>
    <m/>
  </r>
  <r>
    <s v="TK63621"/>
    <d v="2023-07-23T16:46:00"/>
    <s v="email"/>
    <x v="1"/>
    <x v="1"/>
    <s v="Question about two-factor authentication"/>
    <n v="24"/>
    <d v="2023-07-25T21:55:58"/>
    <b v="0"/>
    <n v="4"/>
  </r>
  <r>
    <s v="TK61312"/>
    <d v="2023-07-23T18:40:00"/>
    <s v="in-app"/>
    <x v="0"/>
    <x v="1"/>
    <s v="Error when two-factor authentication"/>
    <n v="27"/>
    <d v="2023-07-29T10:36:10"/>
    <b v="0"/>
    <m/>
  </r>
  <r>
    <s v="TK60114"/>
    <d v="2023-07-23T22:57:00"/>
    <s v="chat"/>
    <x v="1"/>
    <x v="1"/>
    <s v="Request to a refund for an annual plan"/>
    <n v="53"/>
    <d v="2023-07-28T01:59:31"/>
    <b v="0"/>
    <m/>
  </r>
  <r>
    <s v="TK62116"/>
    <d v="2023-07-24T00:00:00"/>
    <s v="chat"/>
    <x v="4"/>
    <x v="1"/>
    <s v="How do I a refund for an annual plan"/>
    <n v="77"/>
    <d v="2023-07-24T02:31:07"/>
    <b v="0"/>
    <m/>
  </r>
  <r>
    <s v="TK60458"/>
    <d v="2023-07-24T03:37:00"/>
    <s v="in-app"/>
    <x v="3"/>
    <x v="2"/>
    <s v="Error when add a teammate"/>
    <n v="21"/>
    <d v="2023-07-24T16:40:13"/>
    <b v="0"/>
    <m/>
  </r>
  <r>
    <s v="TK63995"/>
    <d v="2023-07-24T05:25:00"/>
    <s v="phone"/>
    <x v="2"/>
    <x v="1"/>
    <s v="Unable to connecting the Snowflake sync"/>
    <n v="129"/>
    <d v="2023-08-01T13:38:53"/>
    <b v="1"/>
    <n v="5"/>
  </r>
  <r>
    <s v="TK61499"/>
    <d v="2023-07-24T07:54:00"/>
    <s v="email"/>
    <x v="3"/>
    <x v="2"/>
    <s v="Error when the dashboard loading slowly"/>
    <n v="41"/>
    <d v="2023-07-24T19:22:52"/>
    <b v="0"/>
    <m/>
  </r>
  <r>
    <s v="TK60747"/>
    <d v="2023-07-24T08:54:00"/>
    <s v="chat"/>
    <x v="1"/>
    <x v="2"/>
    <s v="Error when the dashboard loading slowly"/>
    <n v="58"/>
    <d v="2023-07-24T12:26:31"/>
    <b v="0"/>
    <n v="5"/>
  </r>
  <r>
    <s v="TK61806"/>
    <d v="2023-07-24T14:39:00"/>
    <s v="in-app"/>
    <x v="0"/>
    <x v="1"/>
    <s v="How do I the dashboard loading slowly"/>
    <n v="94"/>
    <d v="2023-07-28T07:59:06"/>
    <b v="0"/>
    <m/>
  </r>
  <r>
    <s v="TK60468"/>
    <d v="2023-07-24T16:46:00"/>
    <s v="chat"/>
    <x v="2"/>
    <x v="1"/>
    <s v="Question about add a teammate"/>
    <n v="356"/>
    <d v="2023-07-26T00:47:18"/>
    <b v="0"/>
    <m/>
  </r>
  <r>
    <s v="TK62180"/>
    <d v="2023-07-24T20:35:00"/>
    <s v="email"/>
    <x v="4"/>
    <x v="1"/>
    <s v="How do I export my data"/>
    <n v="18"/>
    <d v="2023-07-25T21:38:09"/>
    <b v="0"/>
    <m/>
  </r>
  <r>
    <s v="TK60994"/>
    <d v="2023-07-24T20:38:00"/>
    <s v="chat"/>
    <x v="1"/>
    <x v="1"/>
    <s v="Unable to connecting the Snowflake sync"/>
    <n v="217"/>
    <d v="2023-07-25T19:38:12"/>
    <b v="0"/>
    <m/>
  </r>
  <r>
    <s v="TK62638"/>
    <d v="2023-07-24T21:04:00"/>
    <s v="email"/>
    <x v="2"/>
    <x v="1"/>
    <s v="Issue with a duplicate charge"/>
    <n v="25"/>
    <d v="2023-07-25T07:55:58"/>
    <b v="0"/>
    <m/>
  </r>
  <r>
    <s v="TK60128"/>
    <d v="2023-07-24T23:11:00"/>
    <s v="chat"/>
    <x v="2"/>
    <x v="2"/>
    <s v="Request to export my data"/>
    <n v="44"/>
    <d v="2023-07-24T23:56:32"/>
    <b v="0"/>
    <m/>
  </r>
  <r>
    <s v="TK62457"/>
    <d v="2023-07-25T07:01:00"/>
    <s v="chat"/>
    <x v="0"/>
    <x v="0"/>
    <s v="Question about add a teammate"/>
    <n v="14"/>
    <m/>
    <b v="0"/>
    <m/>
  </r>
  <r>
    <s v="TK61890"/>
    <d v="2023-07-25T10:27:00"/>
    <s v="in-app"/>
    <x v="4"/>
    <x v="1"/>
    <s v="Unable to downgrade my plan"/>
    <n v="582"/>
    <d v="2023-07-26T19:48:32"/>
    <b v="0"/>
    <m/>
  </r>
  <r>
    <s v="TK63796"/>
    <d v="2023-07-25T11:41:00"/>
    <s v="chat"/>
    <x v="4"/>
    <x v="0"/>
    <s v="Request to the invoice for last month"/>
    <n v="101"/>
    <d v="2023-07-25T15:06:04"/>
    <b v="0"/>
    <n v="4"/>
  </r>
  <r>
    <s v="TK63004"/>
    <d v="2023-07-25T15:12:00"/>
    <s v="phone"/>
    <x v="2"/>
    <x v="1"/>
    <s v="Question about connecting the Snowflake sync"/>
    <n v="62"/>
    <d v="2023-07-27T16:19:05"/>
    <b v="0"/>
    <n v="5"/>
  </r>
  <r>
    <s v="TK60695"/>
    <d v="2023-07-25T15:30:00"/>
    <s v="in-app"/>
    <x v="4"/>
    <x v="1"/>
    <s v="How do I the invoice for last month"/>
    <n v="123"/>
    <d v="2023-07-27T19:54:30"/>
    <b v="0"/>
    <n v="5"/>
  </r>
  <r>
    <s v="TK63329"/>
    <d v="2023-07-25T17:45:00"/>
    <s v="chat"/>
    <x v="1"/>
    <x v="1"/>
    <s v="Error when downgrade my plan"/>
    <n v="338"/>
    <d v="2023-07-26T19:22:59"/>
    <b v="0"/>
    <n v="5"/>
  </r>
  <r>
    <s v="TK63319"/>
    <d v="2023-07-25T18:18:00"/>
    <s v="in-app"/>
    <x v="0"/>
    <x v="1"/>
    <s v="Question about the API rate limit"/>
    <n v="26"/>
    <d v="2023-07-27T22:12:50"/>
    <b v="0"/>
    <m/>
  </r>
  <r>
    <s v="TK63144"/>
    <d v="2023-07-25T19:17:00"/>
    <s v="chat"/>
    <x v="4"/>
    <x v="1"/>
    <s v="Unable to the dashboard loading slowly"/>
    <n v="167"/>
    <d v="2023-07-26T10:50:18"/>
    <b v="0"/>
    <m/>
  </r>
  <r>
    <s v="TK61293"/>
    <d v="2023-07-25T20:48:00"/>
    <s v="chat"/>
    <x v="1"/>
    <x v="3"/>
    <s v="How do I the dashboard loading slowly"/>
    <n v="61"/>
    <d v="2023-07-28T20:16:50"/>
    <b v="0"/>
    <m/>
  </r>
  <r>
    <s v="TK62240"/>
    <d v="2023-07-25T21:56:00"/>
    <s v="email"/>
    <x v="1"/>
    <x v="3"/>
    <s v="Question about log in after password reset"/>
    <m/>
    <d v="2023-08-03T21:20:44"/>
    <b v="0"/>
    <m/>
  </r>
  <r>
    <s v="TK61532"/>
    <d v="2023-07-25T23:26:00"/>
    <s v="chat"/>
    <x v="0"/>
    <x v="0"/>
    <s v="Request to the invoice for last month"/>
    <n v="34"/>
    <d v="2023-07-26T04:29:56"/>
    <b v="0"/>
    <m/>
  </r>
  <r>
    <s v="TK63741"/>
    <d v="2023-07-25T23:40:00"/>
    <s v="in-app"/>
    <x v="0"/>
    <x v="0"/>
    <s v="Error when log in after password reset"/>
    <n v="22"/>
    <d v="2023-07-26T23:39:24"/>
    <b v="0"/>
    <n v="4"/>
  </r>
  <r>
    <s v="TK61711"/>
    <d v="2023-07-26T00:26:00"/>
    <s v="chat"/>
    <x v="4"/>
    <x v="1"/>
    <s v="Request to the invoice for last month"/>
    <n v="74"/>
    <d v="2023-07-26T06:41:19"/>
    <b v="0"/>
    <m/>
  </r>
  <r>
    <s v="TK63614"/>
    <d v="2023-07-26T00:48:00"/>
    <s v="email"/>
    <x v="3"/>
    <x v="2"/>
    <s v="Cannot the dashboard loading slowly"/>
    <n v="21"/>
    <d v="2023-07-26T12:33:23"/>
    <b v="0"/>
    <n v="5"/>
  </r>
  <r>
    <s v="TK63654"/>
    <d v="2023-07-26T04:08:00"/>
    <s v="email"/>
    <x v="4"/>
    <x v="1"/>
    <s v="Request to a duplicate charge"/>
    <n v="89"/>
    <d v="2023-07-26T07:41:03"/>
    <b v="0"/>
    <m/>
  </r>
  <r>
    <s v="TK63634"/>
    <d v="2023-07-26T08:32:00"/>
    <s v="phone"/>
    <x v="4"/>
    <x v="3"/>
    <s v="How do I export my data"/>
    <n v="70"/>
    <d v="2023-07-26T18:29:12"/>
    <b v="0"/>
    <n v="4"/>
  </r>
  <r>
    <s v="TK60469"/>
    <d v="2023-07-26T09:09:00"/>
    <s v="phone"/>
    <x v="4"/>
    <x v="3"/>
    <s v="Question about the invoice for last month"/>
    <n v="186"/>
    <d v="2023-07-27T03:07:25"/>
    <b v="0"/>
    <m/>
  </r>
  <r>
    <s v="TK62625"/>
    <d v="2023-07-26T12:27:00"/>
    <s v="in-app"/>
    <x v="1"/>
    <x v="1"/>
    <s v="How do I log in after password reset"/>
    <n v="23"/>
    <d v="2023-07-28T16:34:25"/>
    <b v="0"/>
    <m/>
  </r>
  <r>
    <s v="TK61575"/>
    <d v="2023-07-26T13:48:00"/>
    <s v="phone"/>
    <x v="1"/>
    <x v="0"/>
    <s v="How do I the invoice for last month"/>
    <n v="25"/>
    <d v="2023-07-26T17:34:40"/>
    <b v="0"/>
    <m/>
  </r>
  <r>
    <s v="TK62656"/>
    <d v="2023-07-26T19:33:00"/>
    <s v="phone"/>
    <x v="4"/>
    <x v="1"/>
    <s v="Request to export my data"/>
    <n v="47"/>
    <d v="2023-07-29T02:27:22"/>
    <b v="0"/>
    <m/>
  </r>
  <r>
    <s v="TK61624"/>
    <d v="2023-07-26T20:18:00"/>
    <s v="chat"/>
    <x v="1"/>
    <x v="1"/>
    <s v="Error when add a teammate"/>
    <n v="69"/>
    <d v="2023-07-29T08:26:16"/>
    <b v="0"/>
    <m/>
  </r>
  <r>
    <s v="TK63610"/>
    <d v="2023-07-26T20:40:00"/>
    <s v="email"/>
    <x v="1"/>
    <x v="0"/>
    <s v="Request to the invoice for last month"/>
    <n v="76"/>
    <d v="2023-07-27T02:49:21"/>
    <b v="0"/>
    <m/>
  </r>
  <r>
    <s v="TK63017"/>
    <d v="2023-07-27T01:28:00"/>
    <s v="chat"/>
    <x v="1"/>
    <x v="3"/>
    <s v="Unable to the dashboard loading slowly"/>
    <n v="470"/>
    <d v="2023-07-28T06:30:16"/>
    <b v="0"/>
    <n v="5"/>
  </r>
  <r>
    <s v="TK60936"/>
    <d v="2023-07-27T03:21:00"/>
    <s v="email"/>
    <x v="4"/>
    <x v="1"/>
    <s v="Issue with add a teammate"/>
    <n v="65"/>
    <d v="2023-07-30T11:52:46"/>
    <b v="0"/>
    <m/>
  </r>
  <r>
    <s v="TK60831"/>
    <d v="2023-07-27T10:13:00"/>
    <s v="in-app"/>
    <x v="1"/>
    <x v="0"/>
    <s v="Question about downgrade my plan"/>
    <n v="66"/>
    <d v="2023-07-27T20:27:20"/>
    <b v="0"/>
    <m/>
  </r>
  <r>
    <s v="TK63620"/>
    <d v="2023-07-27T15:29:00"/>
    <s v="chat"/>
    <x v="4"/>
    <x v="0"/>
    <s v="Issue with a duplicate charge"/>
    <n v="29"/>
    <d v="2023-07-28T03:11:27"/>
    <b v="1"/>
    <m/>
  </r>
  <r>
    <s v="TK63142"/>
    <d v="2023-07-27T15:56:00"/>
    <s v="phone"/>
    <x v="4"/>
    <x v="1"/>
    <s v="Request to export my data"/>
    <n v="296"/>
    <d v="2023-07-30T06:51:35"/>
    <b v="0"/>
    <m/>
  </r>
  <r>
    <s v="TK60457"/>
    <d v="2023-07-27T18:53:00"/>
    <s v="chat"/>
    <x v="2"/>
    <x v="1"/>
    <s v="Issue with add a teammate"/>
    <n v="69"/>
    <d v="2023-07-28T15:41:09"/>
    <b v="0"/>
    <m/>
  </r>
  <r>
    <s v="TK62960"/>
    <d v="2023-07-27T19:57:00"/>
    <s v="chat"/>
    <x v="4"/>
    <x v="3"/>
    <s v="Cannot export my data"/>
    <n v="670"/>
    <d v="2023-07-30T16:20:21"/>
    <b v="0"/>
    <m/>
  </r>
  <r>
    <s v="TK63557"/>
    <d v="2023-07-27T22:55:00"/>
    <s v="email"/>
    <x v="2"/>
    <x v="1"/>
    <s v="How do I the API rate limit"/>
    <n v="223"/>
    <m/>
    <b v="0"/>
    <m/>
  </r>
  <r>
    <s v="TK60685"/>
    <d v="2023-07-28T05:53:00"/>
    <s v="email"/>
    <x v="0"/>
    <x v="0"/>
    <s v="Unable to connecting the Snowflake sync"/>
    <n v="37"/>
    <d v="2023-08-02T21:19:06"/>
    <b v="0"/>
    <n v="3"/>
  </r>
  <r>
    <s v="TK63966"/>
    <d v="2023-07-28T07:09:00"/>
    <s v="in-app"/>
    <x v="1"/>
    <x v="0"/>
    <s v="Error when the invoice for last month"/>
    <n v="61"/>
    <d v="2023-07-30T00:49:49"/>
    <b v="0"/>
    <m/>
  </r>
  <r>
    <s v="TK61582"/>
    <d v="2023-07-28T08:24:00"/>
    <s v="email"/>
    <x v="1"/>
    <x v="1"/>
    <s v="Request to webhook deliveries failing"/>
    <n v="626"/>
    <d v="2023-08-05T06:16:28"/>
    <b v="0"/>
    <m/>
  </r>
  <r>
    <s v="TK63837"/>
    <d v="2023-07-28T10:38:00"/>
    <s v="in-app"/>
    <x v="1"/>
    <x v="1"/>
    <s v="Cannot a duplicate charge"/>
    <n v="90"/>
    <d v="2023-07-29T13:35:40"/>
    <b v="0"/>
    <m/>
  </r>
  <r>
    <s v="TK63456"/>
    <d v="2023-07-28T11:40:00"/>
    <s v="in-app"/>
    <x v="0"/>
    <x v="0"/>
    <s v="Error when export my data"/>
    <n v="61"/>
    <d v="2023-07-28T13:47:34"/>
    <b v="0"/>
    <m/>
  </r>
  <r>
    <s v="TK63733"/>
    <d v="2023-07-28T18:14:00"/>
    <s v="phone"/>
    <x v="2"/>
    <x v="1"/>
    <s v="Error when two-factor authentication"/>
    <n v="77"/>
    <d v="2023-08-12T02:39:56"/>
    <b v="0"/>
    <m/>
  </r>
  <r>
    <s v="TK62196"/>
    <d v="2023-07-28T18:22:00"/>
    <s v="in-app"/>
    <x v="1"/>
    <x v="3"/>
    <s v="Error when webhook deliveries failing"/>
    <n v="131"/>
    <d v="2023-07-31T20:59:42"/>
    <b v="0"/>
    <n v="1"/>
  </r>
  <r>
    <s v="TK62566"/>
    <d v="2023-07-28T22:39:00"/>
    <s v="phone"/>
    <x v="4"/>
    <x v="0"/>
    <s v="Error when a duplicate charge"/>
    <n v="93"/>
    <d v="2023-07-30T05:00:01"/>
    <b v="1"/>
    <m/>
  </r>
  <r>
    <s v="TK63981"/>
    <d v="2023-07-29T01:12:00"/>
    <s v="in-app"/>
    <x v="3"/>
    <x v="1"/>
    <s v="Issue with the invoice for last month"/>
    <n v="72"/>
    <d v="2023-08-04T18:28:52"/>
    <b v="0"/>
    <m/>
  </r>
  <r>
    <s v="TK60465"/>
    <d v="2023-07-29T04:15:00"/>
    <s v="chat"/>
    <x v="4"/>
    <x v="3"/>
    <s v="Question about add a teammate"/>
    <n v="146"/>
    <d v="2023-08-02T10:22:59"/>
    <b v="0"/>
    <n v="5"/>
  </r>
  <r>
    <s v="TK63584"/>
    <d v="2023-07-29T04:18:00"/>
    <s v="email"/>
    <x v="2"/>
    <x v="0"/>
    <s v="Cannot the dashboard loading slowly"/>
    <n v="234"/>
    <d v="2023-07-30T05:03:30"/>
    <b v="0"/>
    <n v="5"/>
  </r>
  <r>
    <s v="TK62858"/>
    <d v="2023-07-29T06:56:00"/>
    <s v="email"/>
    <x v="1"/>
    <x v="0"/>
    <s v="Cannot a duplicate charge"/>
    <n v="27"/>
    <d v="2023-07-29T20:22:33"/>
    <b v="0"/>
    <m/>
  </r>
  <r>
    <s v="TK60368"/>
    <d v="2023-07-29T12:49:00"/>
    <s v="chat"/>
    <x v="0"/>
    <x v="1"/>
    <s v="Request to the dashboard loading slowly"/>
    <n v="20"/>
    <d v="2023-07-29T16:23:26"/>
    <b v="0"/>
    <m/>
  </r>
  <r>
    <s v="TK62805"/>
    <d v="2023-07-29T14:29:00"/>
    <s v="email"/>
    <x v="1"/>
    <x v="1"/>
    <s v="Question about a duplicate charge"/>
    <n v="132"/>
    <d v="2023-08-02T08:21:26"/>
    <b v="0"/>
    <m/>
  </r>
  <r>
    <s v="TK60761"/>
    <d v="2023-07-29T16:26:00"/>
    <s v="chat"/>
    <x v="1"/>
    <x v="1"/>
    <s v="Question about connecting the Snowflake sync"/>
    <n v="24"/>
    <d v="2023-07-30T17:03:40"/>
    <b v="0"/>
    <n v="5"/>
  </r>
  <r>
    <s v="TK60903"/>
    <d v="2023-07-29T20:15:00"/>
    <s v="phone"/>
    <x v="1"/>
    <x v="1"/>
    <s v="Cannot connecting the Snowflake sync"/>
    <n v="141"/>
    <d v="2023-08-04T00:04:19"/>
    <b v="0"/>
    <m/>
  </r>
  <r>
    <s v="TK61544"/>
    <d v="2023-07-29T20:28:00"/>
    <s v="phone"/>
    <x v="2"/>
    <x v="1"/>
    <s v="Error when export my data"/>
    <n v="158"/>
    <d v="2023-08-03T22:06:32"/>
    <b v="0"/>
    <n v="3"/>
  </r>
  <r>
    <s v="TK60964"/>
    <d v="2023-07-30T01:46:00"/>
    <s v="chat"/>
    <x v="1"/>
    <x v="0"/>
    <s v="Issue with log in after password reset"/>
    <n v="35"/>
    <d v="2023-07-30T12:53:33"/>
    <b v="1"/>
    <m/>
  </r>
  <r>
    <s v="TK62972"/>
    <d v="2023-07-30T01:54:00"/>
    <s v="email"/>
    <x v="0"/>
    <x v="0"/>
    <s v="How do I downgrade my plan"/>
    <n v="28"/>
    <d v="2023-07-30T23:42:43"/>
    <b v="0"/>
    <m/>
  </r>
  <r>
    <s v="TK60159"/>
    <d v="2023-07-30T11:47:00"/>
    <s v="phone"/>
    <x v="1"/>
    <x v="0"/>
    <s v="How do I the API rate limit"/>
    <n v="54"/>
    <d v="2023-08-07T17:46:06"/>
    <b v="0"/>
    <n v="5"/>
  </r>
  <r>
    <s v="TK60408"/>
    <d v="2023-07-30T12:01:00"/>
    <s v="email"/>
    <x v="1"/>
    <x v="3"/>
    <s v="Unable to connecting the Snowflake sync"/>
    <n v="130"/>
    <d v="2023-08-01T12:20:04"/>
    <b v="0"/>
    <m/>
  </r>
  <r>
    <s v="TK60105"/>
    <d v="2023-07-30T14:16:00"/>
    <s v="email"/>
    <x v="0"/>
    <x v="1"/>
    <s v="Cannot the API rate limit"/>
    <n v="232"/>
    <d v="2023-07-31T22:01:04"/>
    <b v="0"/>
    <m/>
  </r>
  <r>
    <s v="TK61528"/>
    <d v="2023-07-30T15:46:00"/>
    <s v="email"/>
    <x v="2"/>
    <x v="1"/>
    <s v="Error when the invoice for last month"/>
    <n v="45"/>
    <d v="2023-07-30T18:45:35"/>
    <b v="0"/>
    <n v="4"/>
  </r>
  <r>
    <s v="TK63417"/>
    <d v="2023-07-30T15:51:00"/>
    <s v="phone"/>
    <x v="0"/>
    <x v="1"/>
    <s v="How do I the invoice for last month"/>
    <n v="91"/>
    <d v="2023-07-31T10:28:59"/>
    <b v="0"/>
    <m/>
  </r>
  <r>
    <s v="TK62655"/>
    <d v="2023-07-30T16:09:00"/>
    <s v="chat"/>
    <x v="2"/>
    <x v="0"/>
    <s v="Unable to the API rate limit"/>
    <n v="103"/>
    <d v="2023-07-30T23:17:21"/>
    <b v="1"/>
    <m/>
  </r>
  <r>
    <s v="TK61053"/>
    <d v="2023-07-30T20:56:00"/>
    <s v="phone"/>
    <x v="0"/>
    <x v="1"/>
    <s v="Request to a refund for an annual plan"/>
    <n v="39"/>
    <d v="2023-07-31T07:10:00"/>
    <b v="0"/>
    <m/>
  </r>
  <r>
    <s v="TK61793"/>
    <d v="2023-07-30T23:01:00"/>
    <s v="phone"/>
    <x v="1"/>
    <x v="3"/>
    <s v="Unable to add a teammate"/>
    <n v="75"/>
    <d v="2023-08-08T05:52:34"/>
    <b v="0"/>
    <n v="2"/>
  </r>
  <r>
    <s v="TK63619"/>
    <d v="2023-07-30T23:52:00"/>
    <s v="in-app"/>
    <x v="3"/>
    <x v="1"/>
    <s v="Issue with two-factor authentication"/>
    <n v="56"/>
    <d v="2023-10-01T11:16:11"/>
    <b v="0"/>
    <m/>
  </r>
  <r>
    <s v="TK63496"/>
    <d v="2023-07-31T01:05:00"/>
    <s v="email"/>
    <x v="2"/>
    <x v="0"/>
    <s v="Issue with downgrade my plan"/>
    <n v="385"/>
    <d v="2023-07-31T03:52:01"/>
    <b v="1"/>
    <m/>
  </r>
  <r>
    <s v="TK60822"/>
    <d v="2023-07-31T04:42:00"/>
    <s v="chat"/>
    <x v="1"/>
    <x v="3"/>
    <s v="Question about a refund for an annual plan"/>
    <n v="21"/>
    <m/>
    <b v="0"/>
    <m/>
  </r>
  <r>
    <s v="TK60030"/>
    <d v="2023-07-31T07:21:00"/>
    <s v="in-app"/>
    <x v="2"/>
    <x v="2"/>
    <s v="Cannot connecting the Snowflake sync"/>
    <n v="48"/>
    <d v="2023-08-01T01:56:51"/>
    <b v="0"/>
    <m/>
  </r>
  <r>
    <s v="TK60788"/>
    <d v="2023-07-31T10:13:00"/>
    <s v="chat"/>
    <x v="0"/>
    <x v="0"/>
    <s v="Issue with a refund for an annual plan"/>
    <n v="39"/>
    <d v="2023-07-31T13:47:07"/>
    <b v="0"/>
    <n v="2"/>
  </r>
  <r>
    <s v="TK63554"/>
    <d v="2023-07-31T13:39:00"/>
    <s v="email"/>
    <x v="2"/>
    <x v="1"/>
    <s v="How do I add a teammate"/>
    <n v="112"/>
    <d v="2023-07-31T14:50:36"/>
    <b v="0"/>
    <m/>
  </r>
  <r>
    <s v="TK60540"/>
    <d v="2023-07-31T14:59:00"/>
    <s v="email"/>
    <x v="3"/>
    <x v="0"/>
    <s v="Unable to the invoice for last month"/>
    <n v="52"/>
    <d v="2023-07-31T17:28:57"/>
    <b v="0"/>
    <n v="5"/>
  </r>
  <r>
    <s v="TK63640"/>
    <d v="2023-07-31T23:21:00"/>
    <s v="in-app"/>
    <x v="2"/>
    <x v="0"/>
    <s v="Unable to log in after password reset"/>
    <n v="67"/>
    <d v="2023-08-01T02:32:52"/>
    <b v="0"/>
    <m/>
  </r>
  <r>
    <s v="TK62610"/>
    <d v="2023-08-01T01:36:00"/>
    <s v="email"/>
    <x v="1"/>
    <x v="1"/>
    <s v="How do I connecting the Snowflake sync"/>
    <n v="453"/>
    <d v="2023-08-03T08:00:06"/>
    <b v="1"/>
    <n v="2"/>
  </r>
  <r>
    <s v="TK62081"/>
    <d v="2023-08-01T03:53:00"/>
    <s v="email"/>
    <x v="3"/>
    <x v="3"/>
    <s v="Question about log in after password reset"/>
    <n v="75"/>
    <d v="2023-08-12T23:28:52"/>
    <b v="0"/>
    <m/>
  </r>
  <r>
    <s v="TK61742"/>
    <d v="2023-08-01T05:53:00"/>
    <s v="chat"/>
    <x v="2"/>
    <x v="0"/>
    <s v="Cannot a refund for an annual plan"/>
    <n v="54"/>
    <d v="2023-08-06T23:01:14"/>
    <b v="0"/>
    <n v="5"/>
  </r>
  <r>
    <s v="TK62933"/>
    <d v="2023-08-01T07:20:00"/>
    <s v="in-app"/>
    <x v="1"/>
    <x v="3"/>
    <s v="Error when webhook deliveries failing"/>
    <n v="226"/>
    <d v="2023-08-26T21:25:47"/>
    <b v="0"/>
    <m/>
  </r>
  <r>
    <s v="TK61767"/>
    <d v="2023-08-01T08:28:00"/>
    <s v="chat"/>
    <x v="2"/>
    <x v="1"/>
    <s v="Question about log in after password reset"/>
    <n v="64"/>
    <d v="2023-08-02T02:37:09"/>
    <b v="0"/>
    <m/>
  </r>
  <r>
    <s v="TK61372"/>
    <d v="2023-08-01T09:10:00"/>
    <s v="in-app"/>
    <x v="2"/>
    <x v="3"/>
    <s v="Issue with the API rate limit"/>
    <n v="620"/>
    <d v="2023-08-02T09:28:54"/>
    <b v="0"/>
    <m/>
  </r>
  <r>
    <s v="TK63257"/>
    <d v="2023-08-01T12:07:00"/>
    <s v="email"/>
    <x v="2"/>
    <x v="0"/>
    <s v="Error when connecting the Snowflake sync"/>
    <n v="21"/>
    <d v="2023-08-01T14:25:25"/>
    <b v="0"/>
    <m/>
  </r>
  <r>
    <s v="TK62510"/>
    <d v="2023-08-01T12:41:00"/>
    <s v="phone"/>
    <x v="1"/>
    <x v="3"/>
    <s v="Request to two-factor authentication"/>
    <n v="63"/>
    <d v="2023-08-11T07:53:06"/>
    <b v="0"/>
    <m/>
  </r>
  <r>
    <s v="TK61962"/>
    <d v="2023-08-01T13:58:00"/>
    <s v="in-app"/>
    <x v="1"/>
    <x v="3"/>
    <s v="Issue with export my data"/>
    <n v="81"/>
    <m/>
    <b v="0"/>
    <m/>
  </r>
  <r>
    <s v="TK61613"/>
    <d v="2023-08-01T16:08:00"/>
    <s v="in-app"/>
    <x v="1"/>
    <x v="1"/>
    <s v="Question about webhook deliveries failing"/>
    <n v="85"/>
    <d v="2023-08-03T10:25:48"/>
    <b v="0"/>
    <n v="4"/>
  </r>
  <r>
    <s v="TK60664"/>
    <d v="2023-08-01T18:50:00"/>
    <s v="chat"/>
    <x v="2"/>
    <x v="2"/>
    <s v="Error when a refund for an annual plan"/>
    <n v="8"/>
    <d v="2023-08-01T19:08:35"/>
    <b v="0"/>
    <n v="5"/>
  </r>
  <r>
    <s v="TK60299"/>
    <d v="2023-08-01T20:42:00"/>
    <s v="chat"/>
    <x v="3"/>
    <x v="0"/>
    <s v="Request to the API rate limit"/>
    <n v="204"/>
    <d v="2023-08-03T07:03:49"/>
    <b v="0"/>
    <m/>
  </r>
  <r>
    <s v="TK60558"/>
    <d v="2023-08-02T08:09:00"/>
    <s v="email"/>
    <x v="0"/>
    <x v="1"/>
    <s v="Error when downgrade my plan"/>
    <n v="142"/>
    <d v="2023-08-03T03:39:57"/>
    <b v="0"/>
    <m/>
  </r>
  <r>
    <s v="TK60600"/>
    <d v="2023-08-02T10:38:00"/>
    <s v="phone"/>
    <x v="0"/>
    <x v="1"/>
    <s v="Issue with export my data"/>
    <n v="58"/>
    <d v="2023-08-03T09:23:49"/>
    <b v="0"/>
    <m/>
  </r>
  <r>
    <s v="TK60735"/>
    <d v="2023-08-02T10:41:00"/>
    <s v="chat"/>
    <x v="1"/>
    <x v="3"/>
    <s v="Request to a duplicate charge"/>
    <m/>
    <d v="2023-08-07T22:09:42"/>
    <b v="0"/>
    <n v="4"/>
  </r>
  <r>
    <s v="TK60091"/>
    <d v="2023-08-02T12:29:00"/>
    <s v="chat"/>
    <x v="2"/>
    <x v="0"/>
    <s v="Request to export my data"/>
    <n v="49"/>
    <d v="2023-08-04T17:03:10"/>
    <b v="0"/>
    <m/>
  </r>
  <r>
    <s v="TK63206"/>
    <d v="2023-08-02T12:44:00"/>
    <s v="in-app"/>
    <x v="3"/>
    <x v="3"/>
    <s v="Unable to the invoice for last month"/>
    <n v="186"/>
    <d v="2023-08-05T08:22:37"/>
    <b v="0"/>
    <m/>
  </r>
  <r>
    <s v="TK60663"/>
    <d v="2023-08-02T13:02:00"/>
    <s v="email"/>
    <x v="2"/>
    <x v="1"/>
    <s v="Issue with two-factor authentication"/>
    <n v="44"/>
    <d v="2023-08-03T20:26:25"/>
    <b v="0"/>
    <n v="1"/>
  </r>
  <r>
    <s v="TK61616"/>
    <d v="2023-08-02T13:08:00"/>
    <s v="phone"/>
    <x v="1"/>
    <x v="1"/>
    <s v="How do I webhook deliveries failing"/>
    <n v="113"/>
    <d v="2023-08-02T16:27:15"/>
    <b v="0"/>
    <m/>
  </r>
  <r>
    <s v="TK62841"/>
    <d v="2023-08-03T01:03:00"/>
    <s v="chat"/>
    <x v="2"/>
    <x v="2"/>
    <s v="Error when a duplicate charge"/>
    <n v="23"/>
    <d v="2023-08-03T02:32:03"/>
    <b v="0"/>
    <m/>
  </r>
  <r>
    <s v="TK63032"/>
    <d v="2023-08-03T03:58:00"/>
    <s v="email"/>
    <x v="1"/>
    <x v="0"/>
    <s v="Error when the API rate limit"/>
    <n v="26"/>
    <d v="2023-08-03T12:34:53"/>
    <b v="0"/>
    <m/>
  </r>
  <r>
    <s v="TK60107"/>
    <d v="2023-08-03T04:39:00"/>
    <s v="in-app"/>
    <x v="4"/>
    <x v="1"/>
    <s v="Unable to the API rate limit"/>
    <n v="94"/>
    <d v="2023-08-08T02:47:28"/>
    <b v="0"/>
    <m/>
  </r>
  <r>
    <s v="TK63423"/>
    <d v="2023-08-03T06:02:00"/>
    <s v="in-app"/>
    <x v="4"/>
    <x v="0"/>
    <s v="Question about two-factor authentication"/>
    <n v="139"/>
    <d v="2023-08-04T19:50:20"/>
    <b v="0"/>
    <m/>
  </r>
  <r>
    <s v="TK63314"/>
    <d v="2023-08-03T07:55:00"/>
    <s v="chat"/>
    <x v="2"/>
    <x v="0"/>
    <s v="Issue with connecting the Snowflake sync"/>
    <n v="89"/>
    <d v="2023-08-03T15:54:36"/>
    <b v="0"/>
    <m/>
  </r>
  <r>
    <s v="TK61151"/>
    <d v="2023-08-03T09:38:00"/>
    <s v="in-app"/>
    <x v="0"/>
    <x v="0"/>
    <s v="Request to the API rate limit"/>
    <n v="37"/>
    <d v="2023-08-03T12:28:24"/>
    <b v="0"/>
    <n v="5"/>
  </r>
  <r>
    <s v="TK62741"/>
    <d v="2023-08-03T11:33:00"/>
    <s v="email"/>
    <x v="1"/>
    <x v="2"/>
    <s v="Unable to the dashboard loading slowly"/>
    <n v="51"/>
    <d v="2023-08-04T20:34:18"/>
    <b v="0"/>
    <m/>
  </r>
  <r>
    <s v="TK60952"/>
    <d v="2023-08-03T12:39:00"/>
    <s v="phone"/>
    <x v="1"/>
    <x v="3"/>
    <s v="Request to webhook deliveries failing"/>
    <n v="69"/>
    <d v="2023-08-08T01:37:22"/>
    <b v="0"/>
    <m/>
  </r>
  <r>
    <s v="TK61918"/>
    <d v="2023-08-03T14:55:00"/>
    <s v="in-app"/>
    <x v="1"/>
    <x v="3"/>
    <s v="Question about a refund for an annual plan"/>
    <n v="455"/>
    <d v="2023-08-05T16:38:28"/>
    <b v="0"/>
    <m/>
  </r>
  <r>
    <s v="TK61009"/>
    <d v="2023-08-03T21:04:00"/>
    <s v="email"/>
    <x v="1"/>
    <x v="1"/>
    <s v="How do I a refund for an annual plan"/>
    <n v="229"/>
    <d v="2023-08-06T06:35:55"/>
    <b v="0"/>
    <m/>
  </r>
  <r>
    <s v="TK61620"/>
    <d v="2023-08-03T23:09:00"/>
    <s v="phone"/>
    <x v="1"/>
    <x v="3"/>
    <s v="Issue with a refund for an annual plan"/>
    <n v="396"/>
    <d v="2023-08-18T17:16:05"/>
    <b v="0"/>
    <m/>
  </r>
  <r>
    <s v="TK61594"/>
    <d v="2023-08-04T01:41:00"/>
    <s v="email"/>
    <x v="1"/>
    <x v="0"/>
    <s v="Unable to webhook deliveries failing"/>
    <n v="50"/>
    <d v="2023-08-04T15:05:14"/>
    <b v="0"/>
    <m/>
  </r>
  <r>
    <s v="TK63656"/>
    <d v="2023-08-04T02:32:00"/>
    <s v="email"/>
    <x v="1"/>
    <x v="2"/>
    <s v="How do I a refund for an annual plan"/>
    <n v="19"/>
    <d v="2023-08-05T05:37:38"/>
    <b v="0"/>
    <n v="1"/>
  </r>
  <r>
    <s v="TK60403"/>
    <d v="2023-08-04T03:20:00"/>
    <s v="phone"/>
    <x v="1"/>
    <x v="1"/>
    <s v="Cannot add a teammate"/>
    <n v="196"/>
    <d v="2023-08-04T21:12:32"/>
    <b v="0"/>
    <m/>
  </r>
  <r>
    <s v="TK61131"/>
    <d v="2023-08-04T06:40:00"/>
    <s v="email"/>
    <x v="1"/>
    <x v="1"/>
    <s v="Request to a duplicate charge"/>
    <m/>
    <d v="2023-08-07T13:32:42"/>
    <b v="0"/>
    <m/>
  </r>
  <r>
    <s v="TK60067"/>
    <d v="2023-08-04T07:26:00"/>
    <s v="email"/>
    <x v="4"/>
    <x v="1"/>
    <s v="Request to connecting the Snowflake sync"/>
    <n v="416"/>
    <d v="2023-08-08T09:20:51"/>
    <b v="0"/>
    <m/>
  </r>
  <r>
    <s v="TK62712"/>
    <d v="2023-08-04T08:09:00"/>
    <s v="chat"/>
    <x v="1"/>
    <x v="1"/>
    <s v="Question about a duplicate charge"/>
    <n v="72"/>
    <d v="2023-08-07T21:22:41"/>
    <b v="0"/>
    <m/>
  </r>
  <r>
    <s v="TK63737"/>
    <d v="2023-08-04T09:24:00"/>
    <s v="email"/>
    <x v="4"/>
    <x v="0"/>
    <s v="How do I connecting the Snowflake sync"/>
    <n v="33"/>
    <d v="2023-08-04T15:46:42"/>
    <b v="0"/>
    <m/>
  </r>
  <r>
    <s v="TK60017"/>
    <d v="2023-08-04T11:45:00"/>
    <s v="email"/>
    <x v="1"/>
    <x v="0"/>
    <s v="Error when add a teammate"/>
    <n v="23"/>
    <d v="2023-08-04T20:06:57"/>
    <b v="0"/>
    <m/>
  </r>
  <r>
    <s v="TK61659"/>
    <d v="2023-08-04T15:48:00"/>
    <s v="email"/>
    <x v="1"/>
    <x v="0"/>
    <s v="Cannot add a teammate"/>
    <n v="47"/>
    <d v="2023-08-05T02:36:14"/>
    <b v="1"/>
    <m/>
  </r>
  <r>
    <s v="TK61866"/>
    <d v="2023-08-04T16:26:00"/>
    <s v="in-app"/>
    <x v="1"/>
    <x v="1"/>
    <s v="Unable to add a teammate"/>
    <n v="23"/>
    <d v="2023-08-06T23:11:22"/>
    <b v="0"/>
    <m/>
  </r>
  <r>
    <s v="TK62857"/>
    <d v="2023-08-04T17:29:00"/>
    <s v="in-app"/>
    <x v="2"/>
    <x v="3"/>
    <s v="Unable to the invoice for last month"/>
    <n v="316"/>
    <d v="2023-08-05T16:35:04"/>
    <b v="0"/>
    <n v="4"/>
  </r>
  <r>
    <s v="TK62360"/>
    <d v="2023-08-04T19:26:00"/>
    <s v="email"/>
    <x v="2"/>
    <x v="1"/>
    <s v="Error when a duplicate charge"/>
    <n v="64"/>
    <d v="2023-08-04T23:06:14"/>
    <b v="0"/>
    <m/>
  </r>
  <r>
    <s v="TK63955"/>
    <d v="2023-08-04T22:38:00"/>
    <s v="chat"/>
    <x v="1"/>
    <x v="3"/>
    <s v="Unable to webhook deliveries failing"/>
    <n v="103"/>
    <d v="2023-08-05T10:31:08"/>
    <b v="0"/>
    <n v="4"/>
  </r>
  <r>
    <s v="TK63466"/>
    <d v="2023-08-04T23:12:00"/>
    <s v="chat"/>
    <x v="1"/>
    <x v="3"/>
    <s v="Issue with the API rate limit"/>
    <n v="247"/>
    <d v="2023-08-07T02:04:43"/>
    <b v="0"/>
    <m/>
  </r>
  <r>
    <s v="TK60955"/>
    <d v="2023-08-05T02:20:00"/>
    <s v="in-app"/>
    <x v="2"/>
    <x v="2"/>
    <s v="Question about webhook deliveries failing"/>
    <n v="10"/>
    <d v="2023-08-05T07:04:22"/>
    <b v="0"/>
    <n v="4"/>
  </r>
  <r>
    <s v="TK62364"/>
    <d v="2023-08-05T03:03:00"/>
    <s v="chat"/>
    <x v="1"/>
    <x v="3"/>
    <s v="Question about log in after password reset"/>
    <n v="731"/>
    <d v="2023-08-07T04:22:03"/>
    <b v="0"/>
    <m/>
  </r>
  <r>
    <s v="TK63567"/>
    <d v="2023-08-05T06:17:00"/>
    <s v="in-app"/>
    <x v="1"/>
    <x v="1"/>
    <s v="How do I webhook deliveries failing"/>
    <n v="74"/>
    <d v="2023-08-10T02:18:05"/>
    <b v="0"/>
    <m/>
  </r>
  <r>
    <s v="TK63521"/>
    <d v="2023-08-05T07:42:00"/>
    <s v="chat"/>
    <x v="3"/>
    <x v="3"/>
    <s v="Issue with a refund for an annual plan"/>
    <n v="65"/>
    <d v="2023-08-08T06:42:02"/>
    <b v="0"/>
    <m/>
  </r>
  <r>
    <s v="TK60392"/>
    <d v="2023-08-05T09:52:00"/>
    <s v="in-app"/>
    <x v="2"/>
    <x v="3"/>
    <s v="Question about log in after password reset"/>
    <n v="90"/>
    <d v="2023-08-06T04:08:55"/>
    <b v="0"/>
    <m/>
  </r>
  <r>
    <s v="TK61204"/>
    <d v="2023-08-05T17:59:00"/>
    <s v="email"/>
    <x v="1"/>
    <x v="3"/>
    <s v="Cannot webhook deliveries failing"/>
    <n v="33"/>
    <d v="2023-08-07T13:28:33"/>
    <b v="0"/>
    <n v="4"/>
  </r>
  <r>
    <s v="TK61061"/>
    <d v="2023-08-05T18:19:00"/>
    <s v="phone"/>
    <x v="2"/>
    <x v="1"/>
    <s v="Issue with the invoice for last month"/>
    <n v="234"/>
    <d v="2023-08-07T06:53:51"/>
    <b v="0"/>
    <n v="3"/>
  </r>
  <r>
    <s v="TK60074"/>
    <d v="2023-08-05T19:04:00"/>
    <s v="in-app"/>
    <x v="1"/>
    <x v="1"/>
    <s v="Request to export my data"/>
    <n v="32"/>
    <d v="2023-08-06T08:31:33"/>
    <b v="0"/>
    <n v="5"/>
  </r>
  <r>
    <s v="TK61317"/>
    <d v="2023-08-05T19:05:00"/>
    <s v="email"/>
    <x v="1"/>
    <x v="1"/>
    <s v="Cannot a duplicate charge"/>
    <n v="79"/>
    <m/>
    <b v="0"/>
    <m/>
  </r>
  <r>
    <s v="TK61924"/>
    <d v="2023-08-05T23:23:00"/>
    <s v="email"/>
    <x v="2"/>
    <x v="0"/>
    <s v="Cannot two-factor authentication"/>
    <n v="17"/>
    <d v="2023-08-06T09:29:26"/>
    <b v="0"/>
    <n v="2"/>
  </r>
  <r>
    <s v="TK61115"/>
    <d v="2023-08-06T02:23:00"/>
    <s v="chat"/>
    <x v="4"/>
    <x v="0"/>
    <s v="Unable to add a teammate"/>
    <n v="15"/>
    <d v="2023-08-06T08:20:21"/>
    <b v="0"/>
    <m/>
  </r>
  <r>
    <s v="TK60011"/>
    <d v="2023-08-06T08:20:00"/>
    <s v="chat"/>
    <x v="2"/>
    <x v="3"/>
    <s v="Question about connecting the Snowflake sync"/>
    <m/>
    <d v="2023-08-07T09:22:25"/>
    <b v="0"/>
    <m/>
  </r>
  <r>
    <s v="TK63861"/>
    <d v="2023-08-06T09:08:00"/>
    <s v="in-app"/>
    <x v="0"/>
    <x v="3"/>
    <s v="Cannot add a teammate"/>
    <n v="305"/>
    <d v="2023-08-12T20:32:38"/>
    <b v="0"/>
    <n v="1"/>
  </r>
  <r>
    <s v="TK60979"/>
    <d v="2023-08-06T10:27:00"/>
    <s v="phone"/>
    <x v="4"/>
    <x v="1"/>
    <s v="Question about webhook deliveries failing"/>
    <n v="113"/>
    <d v="2023-08-06T16:40:12"/>
    <b v="0"/>
    <m/>
  </r>
  <r>
    <s v="TK60950"/>
    <d v="2023-08-06T13:03:00"/>
    <s v="email"/>
    <x v="1"/>
    <x v="1"/>
    <s v="Error when webhook deliveries failing"/>
    <n v="325"/>
    <d v="2023-08-08T17:43:53"/>
    <b v="0"/>
    <n v="5"/>
  </r>
  <r>
    <s v="TK62630"/>
    <d v="2023-08-06T13:17:00"/>
    <s v="chat"/>
    <x v="0"/>
    <x v="0"/>
    <s v="Cannot webhook deliveries failing"/>
    <n v="22"/>
    <d v="2023-08-06T20:32:50"/>
    <b v="0"/>
    <m/>
  </r>
  <r>
    <s v="TK63668"/>
    <d v="2023-08-06T14:40:00"/>
    <s v="phone"/>
    <x v="3"/>
    <x v="0"/>
    <s v="Issue with a refund for an annual plan"/>
    <n v="22"/>
    <d v="2023-08-07T16:02:13"/>
    <b v="0"/>
    <m/>
  </r>
  <r>
    <s v="TK60651"/>
    <d v="2023-08-06T18:50:00"/>
    <s v="email"/>
    <x v="1"/>
    <x v="1"/>
    <s v="Question about webhook deliveries failing"/>
    <n v="198"/>
    <d v="2023-08-10T03:51:05"/>
    <b v="0"/>
    <m/>
  </r>
  <r>
    <s v="TK62191"/>
    <d v="2023-08-07T01:35:00"/>
    <s v="email"/>
    <x v="2"/>
    <x v="2"/>
    <s v="Question about a refund for an annual plan"/>
    <n v="53"/>
    <d v="2023-08-07T05:50:49"/>
    <b v="0"/>
    <m/>
  </r>
  <r>
    <s v="TK63124"/>
    <d v="2023-08-07T01:37:00"/>
    <s v="chat"/>
    <x v="3"/>
    <x v="1"/>
    <s v="Request to webhook deliveries failing"/>
    <n v="21"/>
    <d v="2023-08-08T22:56:13"/>
    <b v="0"/>
    <m/>
  </r>
  <r>
    <s v="TK62996"/>
    <d v="2023-08-07T05:25:00"/>
    <s v="chat"/>
    <x v="3"/>
    <x v="3"/>
    <s v="Issue with the dashboard loading slowly"/>
    <n v="420"/>
    <d v="2023-08-17T12:54:10"/>
    <b v="0"/>
    <n v="1"/>
  </r>
  <r>
    <s v="TK61244"/>
    <d v="2023-08-07T05:50:00"/>
    <s v="in-app"/>
    <x v="1"/>
    <x v="1"/>
    <s v="Error when a refund for an annual plan"/>
    <n v="114"/>
    <m/>
    <b v="0"/>
    <m/>
  </r>
  <r>
    <s v="TK63975"/>
    <d v="2023-08-07T08:19:00"/>
    <s v="chat"/>
    <x v="2"/>
    <x v="1"/>
    <s v="Request to connecting the Snowflake sync"/>
    <n v="192"/>
    <d v="2023-08-08T12:49:26"/>
    <b v="0"/>
    <m/>
  </r>
  <r>
    <s v="TK62373"/>
    <d v="2023-08-07T10:14:00"/>
    <s v="email"/>
    <x v="4"/>
    <x v="0"/>
    <s v="Error when webhook deliveries failing"/>
    <n v="43"/>
    <d v="2023-08-08T20:31:10"/>
    <b v="0"/>
    <m/>
  </r>
  <r>
    <s v="TK62592"/>
    <d v="2023-08-07T17:10:00"/>
    <s v="chat"/>
    <x v="4"/>
    <x v="0"/>
    <s v="Error when two-factor authentication"/>
    <n v="42"/>
    <d v="2023-08-08T02:09:06"/>
    <b v="0"/>
    <m/>
  </r>
  <r>
    <s v="TK60948"/>
    <d v="2023-08-07T17:11:00"/>
    <s v="chat"/>
    <x v="3"/>
    <x v="1"/>
    <s v="How do I two-factor authentication"/>
    <n v="394"/>
    <d v="2023-08-09T12:37:20"/>
    <b v="0"/>
    <m/>
  </r>
  <r>
    <s v="TK63453"/>
    <d v="2023-08-07T17:36:00"/>
    <s v="chat"/>
    <x v="2"/>
    <x v="0"/>
    <s v="Question about add a teammate"/>
    <n v="103"/>
    <d v="2023-08-08T09:15:47"/>
    <b v="0"/>
    <m/>
  </r>
  <r>
    <s v="TK61601"/>
    <d v="2023-08-07T22:11:00"/>
    <s v="chat"/>
    <x v="4"/>
    <x v="0"/>
    <s v="Unable to a refund for an annual plan"/>
    <n v="29"/>
    <d v="2023-08-08T01:53:16"/>
    <b v="0"/>
    <m/>
  </r>
  <r>
    <s v="TK62072"/>
    <d v="2023-08-08T04:25:00"/>
    <s v="phone"/>
    <x v="1"/>
    <x v="1"/>
    <s v="Question about the API rate limit"/>
    <n v="149"/>
    <d v="2023-08-09T10:17:33"/>
    <b v="0"/>
    <n v="5"/>
  </r>
  <r>
    <s v="TK60970"/>
    <d v="2023-08-08T08:47:00"/>
    <s v="email"/>
    <x v="0"/>
    <x v="1"/>
    <s v="Question about downgrade my plan"/>
    <n v="37"/>
    <d v="2023-08-10T07:32:40"/>
    <b v="0"/>
    <n v="5"/>
  </r>
  <r>
    <s v="TK63996"/>
    <d v="2023-08-08T09:28:00"/>
    <s v="in-app"/>
    <x v="2"/>
    <x v="1"/>
    <s v="Question about the dashboard loading slowly"/>
    <n v="174"/>
    <d v="2023-08-08T16:59:50"/>
    <b v="1"/>
    <m/>
  </r>
  <r>
    <s v="TK63877"/>
    <d v="2023-08-08T11:37:00"/>
    <s v="email"/>
    <x v="2"/>
    <x v="1"/>
    <s v="Question about a duplicate charge"/>
    <n v="26"/>
    <d v="2023-08-09T06:30:22"/>
    <b v="1"/>
    <m/>
  </r>
  <r>
    <s v="TK60387"/>
    <d v="2023-08-08T12:11:00"/>
    <s v="in-app"/>
    <x v="1"/>
    <x v="0"/>
    <s v="Issue with the invoice for last month"/>
    <n v="38"/>
    <d v="2023-08-08T17:15:13"/>
    <b v="0"/>
    <m/>
  </r>
  <r>
    <s v="TK60467"/>
    <d v="2023-08-08T12:13:00"/>
    <s v="chat"/>
    <x v="3"/>
    <x v="3"/>
    <s v="Question about the API rate limit"/>
    <n v="74"/>
    <d v="2023-08-14T04:06:26"/>
    <b v="0"/>
    <m/>
  </r>
  <r>
    <s v="TK60869"/>
    <d v="2023-08-08T14:38:00"/>
    <s v="chat"/>
    <x v="4"/>
    <x v="3"/>
    <s v="How do I a refund for an annual plan"/>
    <n v="985"/>
    <d v="2023-08-11T00:53:33"/>
    <b v="0"/>
    <m/>
  </r>
  <r>
    <s v="TK60692"/>
    <d v="2023-08-08T16:37:00"/>
    <s v="email"/>
    <x v="3"/>
    <x v="1"/>
    <s v="Error when a duplicate charge"/>
    <n v="86"/>
    <d v="2023-08-09T04:36:36"/>
    <b v="0"/>
    <m/>
  </r>
  <r>
    <s v="TK61651"/>
    <d v="2023-08-08T18:25:00"/>
    <s v="in-app"/>
    <x v="4"/>
    <x v="3"/>
    <s v="Cannot a duplicate charge"/>
    <n v="1611"/>
    <d v="2023-08-09T19:01:41"/>
    <b v="0"/>
    <m/>
  </r>
  <r>
    <s v="TK61322"/>
    <d v="2023-08-08T19:13:00"/>
    <s v="chat"/>
    <x v="4"/>
    <x v="3"/>
    <s v="Cannot the API rate limit"/>
    <n v="106"/>
    <d v="2023-08-11T04:07:40"/>
    <b v="0"/>
    <m/>
  </r>
  <r>
    <s v="TK61203"/>
    <d v="2023-08-08T20:06:00"/>
    <s v="chat"/>
    <x v="2"/>
    <x v="0"/>
    <s v="How do I webhook deliveries failing"/>
    <n v="32"/>
    <d v="2023-08-08T22:03:51"/>
    <b v="0"/>
    <m/>
  </r>
  <r>
    <s v="TK61410"/>
    <d v="2023-08-09T00:16:00"/>
    <s v="email"/>
    <x v="1"/>
    <x v="1"/>
    <s v="Request to two-factor authentication"/>
    <n v="558"/>
    <d v="2023-08-13T08:37:45"/>
    <b v="0"/>
    <m/>
  </r>
  <r>
    <s v="TK61926"/>
    <d v="2023-08-09T03:03:00"/>
    <s v="in-app"/>
    <x v="2"/>
    <x v="1"/>
    <s v="Unable to the dashboard loading slowly"/>
    <n v="37"/>
    <d v="2023-08-11T15:22:43"/>
    <b v="0"/>
    <m/>
  </r>
  <r>
    <s v="TK60438"/>
    <d v="2023-08-09T06:48:00"/>
    <s v="email"/>
    <x v="4"/>
    <x v="1"/>
    <s v="Cannot two-factor authentication"/>
    <n v="17"/>
    <d v="2023-08-09T17:01:07"/>
    <b v="0"/>
    <m/>
  </r>
  <r>
    <s v="TK61236"/>
    <d v="2023-08-09T08:12:00"/>
    <s v="in-app"/>
    <x v="3"/>
    <x v="3"/>
    <s v="Error when log in after password reset"/>
    <n v="505"/>
    <d v="2023-08-24T16:18:43"/>
    <b v="0"/>
    <m/>
  </r>
  <r>
    <s v="TK61245"/>
    <d v="2023-08-09T09:38:00"/>
    <s v="email"/>
    <x v="2"/>
    <x v="1"/>
    <s v="Question about connecting the Snowflake sync"/>
    <n v="25"/>
    <d v="2023-08-10T23:09:12"/>
    <b v="0"/>
    <m/>
  </r>
  <r>
    <s v="TK62828"/>
    <d v="2023-08-09T14:42:00"/>
    <s v="chat"/>
    <x v="1"/>
    <x v="1"/>
    <s v="Cannot add a teammate"/>
    <n v="79"/>
    <d v="2023-08-10T18:47:58"/>
    <b v="0"/>
    <m/>
  </r>
  <r>
    <s v="TK63130"/>
    <d v="2023-08-09T14:51:00"/>
    <s v="email"/>
    <x v="4"/>
    <x v="2"/>
    <s v="Issue with the dashboard loading slowly"/>
    <n v="10"/>
    <d v="2023-08-09T16:48:39"/>
    <b v="0"/>
    <n v="5"/>
  </r>
  <r>
    <s v="TK62542"/>
    <d v="2023-08-09T14:53:00"/>
    <s v="chat"/>
    <x v="4"/>
    <x v="1"/>
    <s v="Unable to a refund for an annual plan"/>
    <n v="413"/>
    <d v="2023-08-16T07:11:45"/>
    <b v="0"/>
    <n v="3"/>
  </r>
  <r>
    <s v="TK61311"/>
    <d v="2023-08-09T16:49:00"/>
    <s v="email"/>
    <x v="3"/>
    <x v="0"/>
    <s v="Request to the API rate limit"/>
    <n v="138"/>
    <d v="2023-08-10T05:13:55"/>
    <b v="0"/>
    <n v="5"/>
  </r>
  <r>
    <s v="TK63686"/>
    <d v="2023-08-09T17:55:00"/>
    <s v="email"/>
    <x v="1"/>
    <x v="1"/>
    <s v="Cannot connecting the Snowflake sync"/>
    <n v="156"/>
    <m/>
    <b v="0"/>
    <m/>
  </r>
  <r>
    <s v="TK61921"/>
    <d v="2023-08-09T17:57:00"/>
    <s v="phone"/>
    <x v="1"/>
    <x v="1"/>
    <s v="Issue with a duplicate charge"/>
    <n v="71"/>
    <d v="2023-08-12T14:15:54"/>
    <b v="0"/>
    <n v="5"/>
  </r>
  <r>
    <s v="TK60227"/>
    <d v="2023-08-09T22:40:00"/>
    <s v="email"/>
    <x v="3"/>
    <x v="3"/>
    <s v="Issue with connecting the Snowflake sync"/>
    <n v="120"/>
    <d v="2023-08-14T18:41:59"/>
    <b v="0"/>
    <m/>
  </r>
  <r>
    <s v="TK62599"/>
    <d v="2023-08-09T23:06:00"/>
    <s v="phone"/>
    <x v="3"/>
    <x v="1"/>
    <s v="Cannot webhook deliveries failing"/>
    <n v="73"/>
    <d v="2023-08-11T00:41:25"/>
    <b v="0"/>
    <n v="4"/>
  </r>
  <r>
    <s v="TK62305"/>
    <d v="2023-08-10T01:37:00"/>
    <s v="email"/>
    <x v="1"/>
    <x v="0"/>
    <s v="Cannot the invoice for last month"/>
    <n v="58"/>
    <d v="2023-08-10T15:42:30"/>
    <b v="1"/>
    <m/>
  </r>
  <r>
    <s v="TK60310"/>
    <d v="2023-08-10T02:16:00"/>
    <s v="phone"/>
    <x v="1"/>
    <x v="0"/>
    <s v="How do I a duplicate charge"/>
    <n v="12"/>
    <d v="2023-08-11T01:13:38"/>
    <b v="0"/>
    <m/>
  </r>
  <r>
    <s v="TK62819"/>
    <d v="2023-08-10T05:12:00"/>
    <s v="chat"/>
    <x v="1"/>
    <x v="1"/>
    <s v="Error when a refund for an annual plan"/>
    <n v="851"/>
    <d v="2023-08-15T15:36:43"/>
    <b v="1"/>
    <n v="5"/>
  </r>
  <r>
    <s v="TK62183"/>
    <d v="2023-08-10T05:28:00"/>
    <s v="in-app"/>
    <x v="1"/>
    <x v="1"/>
    <s v="Error when the API rate limit"/>
    <n v="272"/>
    <d v="2023-08-10T23:16:57"/>
    <b v="0"/>
    <m/>
  </r>
  <r>
    <s v="TK61724"/>
    <d v="2023-08-10T07:03:00"/>
    <s v="phone"/>
    <x v="2"/>
    <x v="3"/>
    <s v="Unable to downgrade my plan"/>
    <n v="872"/>
    <d v="2023-08-10T14:08:15"/>
    <b v="0"/>
    <m/>
  </r>
  <r>
    <s v="TK60127"/>
    <d v="2023-08-10T18:58:00"/>
    <s v="chat"/>
    <x v="3"/>
    <x v="1"/>
    <s v="Request to downgrade my plan"/>
    <n v="250"/>
    <d v="2023-08-21T02:55:19"/>
    <b v="0"/>
    <m/>
  </r>
  <r>
    <s v="TK63732"/>
    <d v="2023-08-10T19:00:00"/>
    <s v="in-app"/>
    <x v="2"/>
    <x v="3"/>
    <s v="Cannot the invoice for last month"/>
    <n v="83"/>
    <d v="2023-08-11T01:27:40"/>
    <b v="0"/>
    <n v="4"/>
  </r>
  <r>
    <s v="TK62618"/>
    <d v="2023-08-10T20:18:00"/>
    <s v="phone"/>
    <x v="2"/>
    <x v="1"/>
    <s v="Error when downgrade my plan"/>
    <n v="107"/>
    <d v="2023-08-18T08:13:34"/>
    <b v="0"/>
    <n v="5"/>
  </r>
  <r>
    <s v="TK63282"/>
    <d v="2023-08-11T01:40:00"/>
    <s v="chat"/>
    <x v="1"/>
    <x v="1"/>
    <s v="Question about connecting the Snowflake sync"/>
    <n v="338"/>
    <d v="2023-08-13T05:49:51"/>
    <b v="0"/>
    <n v="2"/>
  </r>
  <r>
    <s v="TK62994"/>
    <d v="2023-08-11T01:50:00"/>
    <s v="in-app"/>
    <x v="1"/>
    <x v="1"/>
    <s v="Error when log in after password reset"/>
    <m/>
    <d v="2023-08-14T07:04:18"/>
    <b v="0"/>
    <m/>
  </r>
  <r>
    <s v="TK60239"/>
    <d v="2023-08-11T05:40:00"/>
    <s v="email"/>
    <x v="2"/>
    <x v="1"/>
    <s v="Request to export my data"/>
    <n v="10"/>
    <d v="2023-08-11T16:03:45"/>
    <b v="0"/>
    <m/>
  </r>
  <r>
    <s v="TK62383"/>
    <d v="2023-08-11T07:00:00"/>
    <s v="phone"/>
    <x v="1"/>
    <x v="2"/>
    <s v="Cannot webhook deliveries failing"/>
    <n v="10"/>
    <d v="2023-08-11T11:19:41"/>
    <b v="1"/>
    <m/>
  </r>
  <r>
    <s v="TK62456"/>
    <d v="2023-08-11T12:51:00"/>
    <s v="in-app"/>
    <x v="1"/>
    <x v="1"/>
    <s v="Request to a duplicate charge"/>
    <n v="85"/>
    <d v="2023-08-13T01:39:17"/>
    <b v="0"/>
    <m/>
  </r>
  <r>
    <s v="TK62075"/>
    <d v="2023-08-11T13:16:00"/>
    <s v="email"/>
    <x v="0"/>
    <x v="1"/>
    <s v="How do I a refund for an annual plan"/>
    <n v="83"/>
    <d v="2023-08-12T06:22:41"/>
    <b v="0"/>
    <m/>
  </r>
  <r>
    <s v="TK62485"/>
    <d v="2023-08-11T13:51:00"/>
    <s v="chat"/>
    <x v="1"/>
    <x v="3"/>
    <s v="Question about log in after password reset"/>
    <n v="221"/>
    <d v="2023-08-14T09:30:03"/>
    <b v="0"/>
    <m/>
  </r>
  <r>
    <s v="TK61433"/>
    <d v="2023-08-11T14:11:00"/>
    <s v="email"/>
    <x v="0"/>
    <x v="3"/>
    <s v="Unable to two-factor authentication"/>
    <n v="67"/>
    <d v="2023-08-13T14:39:50"/>
    <b v="0"/>
    <m/>
  </r>
  <r>
    <s v="TK60502"/>
    <d v="2023-08-11T18:15:00"/>
    <s v="in-app"/>
    <x v="3"/>
    <x v="2"/>
    <s v="Issue with the invoice for last month"/>
    <n v="25"/>
    <d v="2023-08-12T01:09:04"/>
    <b v="0"/>
    <m/>
  </r>
  <r>
    <s v="TK63659"/>
    <d v="2023-08-11T18:29:00"/>
    <s v="chat"/>
    <x v="2"/>
    <x v="3"/>
    <s v="Request to webhook deliveries failing"/>
    <n v="346"/>
    <d v="2023-09-23T17:09:55"/>
    <b v="0"/>
    <m/>
  </r>
  <r>
    <s v="TK60466"/>
    <d v="2023-08-12T06:00:00"/>
    <s v="chat"/>
    <x v="0"/>
    <x v="3"/>
    <s v="Cannot log in after password reset"/>
    <n v="42"/>
    <d v="2023-08-12T23:39:58"/>
    <b v="0"/>
    <m/>
  </r>
  <r>
    <s v="TK61512"/>
    <d v="2023-08-12T11:43:00"/>
    <s v="phone"/>
    <x v="2"/>
    <x v="3"/>
    <s v="Issue with log in after password reset"/>
    <n v="169"/>
    <d v="2023-08-14T21:35:18"/>
    <b v="0"/>
    <m/>
  </r>
  <r>
    <s v="TK60446"/>
    <d v="2023-08-12T18:55:00"/>
    <s v="email"/>
    <x v="2"/>
    <x v="3"/>
    <s v="Cannot a refund for an annual plan"/>
    <n v="305"/>
    <d v="2023-08-14T08:44:04"/>
    <b v="0"/>
    <n v="5"/>
  </r>
  <r>
    <s v="TK63064"/>
    <d v="2023-08-12T20:12:00"/>
    <s v="in-app"/>
    <x v="1"/>
    <x v="1"/>
    <s v="Cannot a duplicate charge"/>
    <n v="49"/>
    <m/>
    <b v="0"/>
    <m/>
  </r>
  <r>
    <s v="TK61037"/>
    <d v="2023-08-12T21:41:00"/>
    <s v="chat"/>
    <x v="1"/>
    <x v="2"/>
    <s v="Cannot a refund for an annual plan"/>
    <n v="7"/>
    <d v="2023-08-13T15:27:28"/>
    <b v="0"/>
    <n v="5"/>
  </r>
  <r>
    <s v="TK61494"/>
    <d v="2023-08-12T22:24:00"/>
    <s v="chat"/>
    <x v="2"/>
    <x v="1"/>
    <s v="Request to the dashboard loading slowly"/>
    <n v="53"/>
    <d v="2023-08-13T01:30:38"/>
    <b v="0"/>
    <m/>
  </r>
  <r>
    <s v="TK62869"/>
    <d v="2023-08-13T00:39:00"/>
    <s v="chat"/>
    <x v="3"/>
    <x v="0"/>
    <s v="Error when downgrade my plan"/>
    <n v="48"/>
    <d v="2023-08-13T18:54:15"/>
    <b v="0"/>
    <m/>
  </r>
  <r>
    <s v="TK61422"/>
    <d v="2023-08-13T05:31:00"/>
    <s v="in-app"/>
    <x v="0"/>
    <x v="1"/>
    <s v="Unable to log in after password reset"/>
    <n v="11"/>
    <d v="2023-08-13T19:53:27"/>
    <b v="0"/>
    <n v="4"/>
  </r>
  <r>
    <s v="TK63097"/>
    <d v="2023-08-13T05:58:00"/>
    <s v="chat"/>
    <x v="0"/>
    <x v="1"/>
    <s v="Unable to the invoice for last month"/>
    <n v="206"/>
    <d v="2023-08-13T23:04:00"/>
    <b v="0"/>
    <m/>
  </r>
  <r>
    <s v="TK61966"/>
    <d v="2023-08-13T07:03:00"/>
    <s v="chat"/>
    <x v="4"/>
    <x v="1"/>
    <s v="Cannot export my data"/>
    <n v="91"/>
    <d v="2023-08-15T04:26:35"/>
    <b v="0"/>
    <n v="4"/>
  </r>
  <r>
    <s v="TK63471"/>
    <d v="2023-08-13T08:38:00"/>
    <s v="in-app"/>
    <x v="3"/>
    <x v="1"/>
    <s v="Issue with export my data"/>
    <n v="321"/>
    <d v="2023-08-14T09:59:38"/>
    <b v="0"/>
    <m/>
  </r>
  <r>
    <s v="TK63291"/>
    <d v="2023-08-13T13:06:00"/>
    <s v="email"/>
    <x v="0"/>
    <x v="3"/>
    <s v="Error when add a teammate"/>
    <n v="404"/>
    <m/>
    <b v="0"/>
    <m/>
  </r>
  <r>
    <s v="TK63689"/>
    <d v="2023-08-13T17:02:00"/>
    <s v="in-app"/>
    <x v="1"/>
    <x v="1"/>
    <s v="Question about the invoice for last month"/>
    <n v="53"/>
    <d v="2023-08-14T15:18:55"/>
    <b v="0"/>
    <m/>
  </r>
  <r>
    <s v="TK61155"/>
    <d v="2023-08-13T21:20:00"/>
    <s v="chat"/>
    <x v="1"/>
    <x v="1"/>
    <s v="Issue with the invoice for last month"/>
    <n v="843"/>
    <d v="2023-08-16T05:18:11"/>
    <b v="1"/>
    <m/>
  </r>
  <r>
    <s v="TK63541"/>
    <d v="2023-08-13T22:40:00"/>
    <s v="email"/>
    <x v="1"/>
    <x v="0"/>
    <s v="Request to downgrade my plan"/>
    <m/>
    <d v="2023-08-15T11:40:35"/>
    <b v="0"/>
    <m/>
  </r>
  <r>
    <s v="TK63738"/>
    <d v="2023-08-14T01:39:00"/>
    <s v="in-app"/>
    <x v="1"/>
    <x v="0"/>
    <s v="Question about a refund for an annual plan"/>
    <n v="53"/>
    <d v="2023-08-14T14:32:52"/>
    <b v="0"/>
    <m/>
  </r>
  <r>
    <s v="TK60929"/>
    <d v="2023-08-14T08:06:00"/>
    <s v="in-app"/>
    <x v="3"/>
    <x v="1"/>
    <s v="Issue with downgrade my plan"/>
    <n v="109"/>
    <d v="2023-08-17T09:37:08"/>
    <b v="0"/>
    <m/>
  </r>
  <r>
    <s v="TK62535"/>
    <d v="2023-08-14T08:48:00"/>
    <s v="in-app"/>
    <x v="0"/>
    <x v="1"/>
    <s v="Cannot downgrade my plan"/>
    <n v="140"/>
    <d v="2023-08-18T05:13:24"/>
    <b v="0"/>
    <m/>
  </r>
  <r>
    <s v="TK62500"/>
    <d v="2023-08-14T10:57:00"/>
    <s v="chat"/>
    <x v="1"/>
    <x v="2"/>
    <s v="Cannot the invoice for last month"/>
    <n v="12"/>
    <d v="2023-08-14T15:04:56"/>
    <b v="0"/>
    <m/>
  </r>
  <r>
    <s v="TK61669"/>
    <d v="2023-08-14T11:52:00"/>
    <s v="chat"/>
    <x v="4"/>
    <x v="1"/>
    <s v="Question about add a teammate"/>
    <n v="57"/>
    <d v="2023-08-14T16:04:09"/>
    <b v="0"/>
    <n v="5"/>
  </r>
  <r>
    <s v="TK62575"/>
    <d v="2023-08-14T12:04:00"/>
    <s v="email"/>
    <x v="4"/>
    <x v="2"/>
    <s v="Cannot the dashboard loading slowly"/>
    <n v="40"/>
    <d v="2023-08-14T12:49:42"/>
    <b v="0"/>
    <m/>
  </r>
  <r>
    <s v="TK61765"/>
    <d v="2023-08-14T12:25:00"/>
    <s v="email"/>
    <x v="1"/>
    <x v="0"/>
    <s v="Question about log in after password reset"/>
    <n v="135"/>
    <m/>
    <b v="0"/>
    <m/>
  </r>
  <r>
    <s v="TK62064"/>
    <d v="2023-08-14T13:02:00"/>
    <s v="chat"/>
    <x v="1"/>
    <x v="1"/>
    <s v="Issue with the dashboard loading slowly"/>
    <n v="268"/>
    <d v="2023-08-16T23:13:11"/>
    <b v="1"/>
    <m/>
  </r>
  <r>
    <s v="TK60094"/>
    <d v="2023-08-14T14:52:00"/>
    <s v="chat"/>
    <x v="0"/>
    <x v="0"/>
    <s v="Cannot log in after password reset"/>
    <n v="69"/>
    <d v="2023-08-15T00:30:39"/>
    <b v="0"/>
    <m/>
  </r>
  <r>
    <s v="TK61145"/>
    <d v="2023-08-14T18:54:00"/>
    <s v="in-app"/>
    <x v="3"/>
    <x v="0"/>
    <s v="Question about a refund for an annual plan"/>
    <n v="100"/>
    <d v="2023-08-14T21:20:15"/>
    <b v="1"/>
    <n v="4"/>
  </r>
  <r>
    <s v="TK61743"/>
    <d v="2023-08-14T19:23:00"/>
    <s v="phone"/>
    <x v="2"/>
    <x v="3"/>
    <s v="Request to export my data"/>
    <n v="127"/>
    <d v="2023-08-20T09:18:54"/>
    <b v="0"/>
    <n v="4"/>
  </r>
  <r>
    <s v="TK60085"/>
    <d v="2023-08-14T20:23:00"/>
    <s v="chat"/>
    <x v="2"/>
    <x v="0"/>
    <s v="Error when connecting the Snowflake sync"/>
    <n v="24"/>
    <d v="2023-08-15T10:48:54"/>
    <b v="0"/>
    <m/>
  </r>
  <r>
    <s v="TK63113"/>
    <d v="2023-08-14T23:39:00"/>
    <s v="chat"/>
    <x v="1"/>
    <x v="3"/>
    <s v="Cannot downgrade my plan"/>
    <n v="71"/>
    <m/>
    <b v="0"/>
    <m/>
  </r>
  <r>
    <s v="TK62628"/>
    <d v="2023-08-15T00:05:00"/>
    <s v="email"/>
    <x v="3"/>
    <x v="1"/>
    <s v="Issue with export my data"/>
    <n v="93"/>
    <d v="2023-08-23T18:48:14"/>
    <b v="0"/>
    <m/>
  </r>
  <r>
    <s v="TK62310"/>
    <d v="2023-08-15T01:16:00"/>
    <s v="email"/>
    <x v="1"/>
    <x v="3"/>
    <s v="Request to connecting the Snowflake sync"/>
    <n v="176"/>
    <d v="2023-08-28T17:07:24"/>
    <b v="0"/>
    <m/>
  </r>
  <r>
    <s v="TK63968"/>
    <d v="2023-08-15T02:24:00"/>
    <s v="chat"/>
    <x v="2"/>
    <x v="3"/>
    <s v="Error when two-factor authentication"/>
    <n v="110"/>
    <d v="2023-08-15T10:20:36"/>
    <b v="0"/>
    <m/>
  </r>
  <r>
    <s v="TK60535"/>
    <d v="2023-08-15T03:57:00"/>
    <s v="in-app"/>
    <x v="2"/>
    <x v="0"/>
    <s v="Error when the API rate limit"/>
    <n v="40"/>
    <d v="2023-08-15T22:11:20"/>
    <b v="0"/>
    <n v="5"/>
  </r>
  <r>
    <s v="TK62099"/>
    <d v="2023-08-15T04:42:00"/>
    <s v="email"/>
    <x v="1"/>
    <x v="0"/>
    <s v="Question about connecting the Snowflake sync"/>
    <n v="73"/>
    <d v="2023-08-16T06:56:08"/>
    <b v="0"/>
    <m/>
  </r>
  <r>
    <s v="TK62298"/>
    <d v="2023-08-15T04:52:00"/>
    <s v="chat"/>
    <x v="2"/>
    <x v="1"/>
    <s v="How do I a refund for an annual plan"/>
    <n v="286"/>
    <d v="2023-08-16T23:32:47"/>
    <b v="0"/>
    <m/>
  </r>
  <r>
    <s v="TK63285"/>
    <d v="2023-08-15T06:44:00"/>
    <s v="phone"/>
    <x v="1"/>
    <x v="2"/>
    <s v="How do I export my data"/>
    <n v="7"/>
    <d v="2023-08-15T12:25:16"/>
    <b v="0"/>
    <m/>
  </r>
  <r>
    <s v="TK63437"/>
    <d v="2023-08-15T08:43:00"/>
    <s v="email"/>
    <x v="0"/>
    <x v="0"/>
    <s v="Question about add a teammate"/>
    <n v="63"/>
    <d v="2023-08-15T17:58:41"/>
    <b v="0"/>
    <m/>
  </r>
  <r>
    <s v="TK60799"/>
    <d v="2023-08-15T09:01:00"/>
    <s v="chat"/>
    <x v="4"/>
    <x v="1"/>
    <s v="Issue with the dashboard loading slowly"/>
    <n v="44"/>
    <d v="2023-08-21T15:32:33"/>
    <b v="0"/>
    <n v="5"/>
  </r>
  <r>
    <s v="TK61553"/>
    <d v="2023-08-15T10:33:00"/>
    <s v="in-app"/>
    <x v="4"/>
    <x v="1"/>
    <s v="Error when downgrade my plan"/>
    <n v="1095"/>
    <d v="2023-08-15T16:40:52"/>
    <b v="0"/>
    <m/>
  </r>
  <r>
    <s v="TK60760"/>
    <d v="2023-08-15T11:43:00"/>
    <s v="email"/>
    <x v="2"/>
    <x v="2"/>
    <s v="Unable to export my data"/>
    <n v="50"/>
    <d v="2023-08-15T13:31:42"/>
    <b v="0"/>
    <m/>
  </r>
  <r>
    <s v="TK60306"/>
    <d v="2023-08-15T17:11:00"/>
    <s v="chat"/>
    <x v="1"/>
    <x v="1"/>
    <s v="Request to the API rate limit"/>
    <n v="52"/>
    <d v="2023-08-16T04:50:11"/>
    <b v="0"/>
    <n v="5"/>
  </r>
  <r>
    <s v="TK61660"/>
    <d v="2023-08-15T17:32:00"/>
    <s v="chat"/>
    <x v="4"/>
    <x v="1"/>
    <s v="Unable to connecting the Snowflake sync"/>
    <n v="38"/>
    <d v="2023-08-16T01:46:26"/>
    <b v="0"/>
    <m/>
  </r>
  <r>
    <s v="TK63193"/>
    <d v="2023-08-15T17:48:00"/>
    <s v="chat"/>
    <x v="1"/>
    <x v="0"/>
    <s v="Cannot a refund for an annual plan"/>
    <n v="21"/>
    <d v="2023-08-16T01:45:36"/>
    <b v="0"/>
    <n v="4"/>
  </r>
  <r>
    <s v="TK63782"/>
    <d v="2023-08-15T18:33:00"/>
    <s v="email"/>
    <x v="1"/>
    <x v="1"/>
    <s v="Question about a refund for an annual plan"/>
    <n v="108"/>
    <d v="2023-08-16T09:59:23"/>
    <b v="0"/>
    <m/>
  </r>
  <r>
    <s v="TK60879"/>
    <d v="2023-08-15T20:28:00"/>
    <s v="phone"/>
    <x v="3"/>
    <x v="3"/>
    <s v="Cannot connecting the Snowflake sync"/>
    <n v="136"/>
    <d v="2023-08-20T07:37:27"/>
    <b v="0"/>
    <n v="4"/>
  </r>
  <r>
    <s v="TK62149"/>
    <d v="2023-08-15T21:40:00"/>
    <s v="email"/>
    <x v="2"/>
    <x v="2"/>
    <s v="Cannot the invoice for last month"/>
    <n v="17"/>
    <d v="2023-08-16T08:48:08"/>
    <b v="0"/>
    <m/>
  </r>
  <r>
    <s v="TK62198"/>
    <d v="2023-08-15T23:01:00"/>
    <s v="email"/>
    <x v="2"/>
    <x v="2"/>
    <s v="Error when a refund for an annual plan"/>
    <n v="19"/>
    <d v="2023-08-16T04:57:07"/>
    <b v="0"/>
    <m/>
  </r>
  <r>
    <s v="TK60032"/>
    <d v="2023-08-16T08:18:00"/>
    <s v="chat"/>
    <x v="2"/>
    <x v="2"/>
    <s v="Cannot log in after password reset"/>
    <n v="35"/>
    <d v="2023-08-16T09:16:24"/>
    <b v="0"/>
    <n v="5"/>
  </r>
  <r>
    <s v="TK61412"/>
    <d v="2023-08-16T08:29:00"/>
    <s v="email"/>
    <x v="4"/>
    <x v="3"/>
    <s v="Unable to downgrade my plan"/>
    <n v="84"/>
    <d v="2023-08-19T08:21:14"/>
    <b v="0"/>
    <m/>
  </r>
  <r>
    <s v="TK61944"/>
    <d v="2023-08-16T11:07:00"/>
    <s v="in-app"/>
    <x v="2"/>
    <x v="3"/>
    <s v="Request to webhook deliveries failing"/>
    <n v="2271"/>
    <d v="2023-08-24T05:21:48"/>
    <b v="0"/>
    <m/>
  </r>
  <r>
    <s v="TK61916"/>
    <d v="2023-08-16T11:57:00"/>
    <s v="email"/>
    <x v="4"/>
    <x v="1"/>
    <s v="Error when a duplicate charge"/>
    <n v="284"/>
    <d v="2023-08-17T10:16:29"/>
    <b v="0"/>
    <n v="5"/>
  </r>
  <r>
    <s v="TK62142"/>
    <d v="2023-08-16T12:25:00"/>
    <s v="in-app"/>
    <x v="0"/>
    <x v="1"/>
    <s v="Issue with the dashboard loading slowly"/>
    <n v="40"/>
    <d v="2023-08-16T19:42:13"/>
    <b v="0"/>
    <n v="5"/>
  </r>
  <r>
    <s v="TK60245"/>
    <d v="2023-08-16T13:27:00"/>
    <s v="chat"/>
    <x v="2"/>
    <x v="1"/>
    <s v="Question about two-factor authentication"/>
    <n v="35"/>
    <d v="2023-08-22T04:26:32"/>
    <b v="0"/>
    <n v="5"/>
  </r>
  <r>
    <s v="TK63681"/>
    <d v="2023-08-16T14:22:00"/>
    <s v="chat"/>
    <x v="2"/>
    <x v="3"/>
    <s v="Error when log in after password reset"/>
    <n v="58"/>
    <d v="2023-08-20T18:04:16"/>
    <b v="0"/>
    <m/>
  </r>
  <r>
    <s v="TK60918"/>
    <d v="2023-08-16T16:16:00"/>
    <s v="chat"/>
    <x v="1"/>
    <x v="2"/>
    <s v="Request to a duplicate charge"/>
    <n v="3"/>
    <d v="2023-08-17T00:22:15"/>
    <b v="0"/>
    <m/>
  </r>
  <r>
    <s v="TK60148"/>
    <d v="2023-08-16T16:32:00"/>
    <s v="email"/>
    <x v="3"/>
    <x v="1"/>
    <s v="Cannot a duplicate charge"/>
    <n v="184"/>
    <d v="2023-08-20T08:52:08"/>
    <b v="0"/>
    <m/>
  </r>
  <r>
    <s v="TK62092"/>
    <d v="2023-08-16T22:25:00"/>
    <s v="email"/>
    <x v="1"/>
    <x v="1"/>
    <s v="Unable to a refund for an annual plan"/>
    <n v="44"/>
    <m/>
    <b v="0"/>
    <m/>
  </r>
  <r>
    <s v="TK60883"/>
    <d v="2023-08-16T23:18:00"/>
    <s v="in-app"/>
    <x v="2"/>
    <x v="0"/>
    <s v="Issue with log in after password reset"/>
    <n v="142"/>
    <d v="2023-08-17T02:37:43"/>
    <b v="0"/>
    <n v="3"/>
  </r>
  <r>
    <s v="TK62203"/>
    <d v="2023-08-17T00:21:00"/>
    <s v="email"/>
    <x v="2"/>
    <x v="2"/>
    <s v="Question about two-factor authentication"/>
    <n v="11"/>
    <d v="2023-08-17T02:29:44"/>
    <b v="0"/>
    <m/>
  </r>
  <r>
    <s v="TK61260"/>
    <d v="2023-08-17T01:24:00"/>
    <s v="chat"/>
    <x v="1"/>
    <x v="0"/>
    <s v="How do I a refund for an annual plan"/>
    <n v="34"/>
    <d v="2023-08-17T04:01:11"/>
    <b v="0"/>
    <m/>
  </r>
  <r>
    <s v="TK62511"/>
    <d v="2023-08-17T02:29:00"/>
    <s v="email"/>
    <x v="4"/>
    <x v="2"/>
    <s v="Error when downgrade my plan"/>
    <n v="31"/>
    <d v="2023-08-17T03:28:37"/>
    <b v="0"/>
    <m/>
  </r>
  <r>
    <s v="TK62085"/>
    <d v="2023-08-17T05:58:00"/>
    <s v="email"/>
    <x v="2"/>
    <x v="0"/>
    <s v="Issue with log in after password reset"/>
    <n v="28"/>
    <d v="2023-08-17T07:54:25"/>
    <b v="0"/>
    <m/>
  </r>
  <r>
    <s v="TK61692"/>
    <d v="2023-08-17T06:29:00"/>
    <s v="in-app"/>
    <x v="4"/>
    <x v="3"/>
    <s v="Issue with two-factor authentication"/>
    <n v="61"/>
    <d v="2023-08-17T13:00:41"/>
    <b v="0"/>
    <n v="4"/>
  </r>
  <r>
    <s v="TK61850"/>
    <d v="2023-08-17T09:40:00"/>
    <s v="email"/>
    <x v="0"/>
    <x v="1"/>
    <s v="Question about a duplicate charge"/>
    <n v="120"/>
    <d v="2023-08-17T16:33:01"/>
    <b v="0"/>
    <m/>
  </r>
  <r>
    <s v="TK60323"/>
    <d v="2023-08-17T11:06:00"/>
    <s v="chat"/>
    <x v="1"/>
    <x v="0"/>
    <s v="Cannot downgrade my plan"/>
    <n v="28"/>
    <d v="2023-08-22T23:13:22"/>
    <b v="0"/>
    <m/>
  </r>
  <r>
    <s v="TK61521"/>
    <d v="2023-08-17T14:30:00"/>
    <s v="email"/>
    <x v="3"/>
    <x v="0"/>
    <s v="Cannot the dashboard loading slowly"/>
    <n v="25"/>
    <m/>
    <b v="0"/>
    <m/>
  </r>
  <r>
    <s v="TK62286"/>
    <d v="2023-08-17T14:55:00"/>
    <s v="email"/>
    <x v="2"/>
    <x v="3"/>
    <s v="How do I the dashboard loading slowly"/>
    <n v="212"/>
    <d v="2023-08-26T00:14:14"/>
    <b v="0"/>
    <m/>
  </r>
  <r>
    <s v="TK62647"/>
    <d v="2023-08-17T19:16:00"/>
    <s v="in-app"/>
    <x v="4"/>
    <x v="3"/>
    <s v="Request to webhook deliveries failing"/>
    <n v="157"/>
    <d v="2023-08-22T06:19:02"/>
    <b v="0"/>
    <m/>
  </r>
  <r>
    <s v="TK60493"/>
    <d v="2023-08-17T22:55:00"/>
    <s v="chat"/>
    <x v="1"/>
    <x v="1"/>
    <s v="Cannot the dashboard loading slowly"/>
    <n v="52"/>
    <d v="2023-08-21T15:03:14"/>
    <b v="0"/>
    <n v="5"/>
  </r>
  <r>
    <s v="TK63128"/>
    <d v="2023-08-17T23:35:00"/>
    <s v="chat"/>
    <x v="4"/>
    <x v="1"/>
    <s v="Error when a refund for an annual plan"/>
    <n v="52"/>
    <d v="2023-08-18T07:15:45"/>
    <b v="0"/>
    <m/>
  </r>
  <r>
    <s v="TK63041"/>
    <d v="2023-08-18T00:03:00"/>
    <s v="phone"/>
    <x v="1"/>
    <x v="2"/>
    <s v="Error when add a teammate"/>
    <n v="21"/>
    <d v="2023-08-18T07:27:55"/>
    <b v="0"/>
    <m/>
  </r>
  <r>
    <s v="TK63795"/>
    <d v="2023-08-18T00:58:00"/>
    <s v="email"/>
    <x v="2"/>
    <x v="1"/>
    <s v="Question about connecting the Snowflake sync"/>
    <n v="124"/>
    <d v="2023-08-18T05:26:00"/>
    <b v="0"/>
    <m/>
  </r>
  <r>
    <s v="TK62654"/>
    <d v="2023-08-18T02:27:00"/>
    <s v="email"/>
    <x v="1"/>
    <x v="3"/>
    <s v="Error when webhook deliveries failing"/>
    <n v="118"/>
    <d v="2023-09-29T00:13:46"/>
    <b v="0"/>
    <m/>
  </r>
  <r>
    <s v="TK62922"/>
    <d v="2023-08-18T03:12:00"/>
    <s v="chat"/>
    <x v="1"/>
    <x v="1"/>
    <s v="How do I webhook deliveries failing"/>
    <n v="27"/>
    <d v="2023-08-19T07:39:25"/>
    <b v="0"/>
    <m/>
  </r>
  <r>
    <s v="TK62357"/>
    <d v="2023-08-18T05:36:00"/>
    <s v="in-app"/>
    <x v="4"/>
    <x v="1"/>
    <s v="Error when the invoice for last month"/>
    <n v="25"/>
    <d v="2023-08-19T22:25:55"/>
    <b v="1"/>
    <m/>
  </r>
  <r>
    <s v="TK61833"/>
    <d v="2023-08-18T08:00:00"/>
    <s v="chat"/>
    <x v="1"/>
    <x v="3"/>
    <s v="Cannot a refund for an annual plan"/>
    <n v="101"/>
    <m/>
    <b v="0"/>
    <m/>
  </r>
  <r>
    <s v="TK60318"/>
    <d v="2023-08-18T09:26:00"/>
    <s v="chat"/>
    <x v="1"/>
    <x v="1"/>
    <s v="Issue with two-factor authentication"/>
    <n v="138"/>
    <d v="2023-08-20T13:08:20"/>
    <b v="0"/>
    <n v="4"/>
  </r>
  <r>
    <s v="TK62507"/>
    <d v="2023-08-18T12:54:00"/>
    <s v="chat"/>
    <x v="0"/>
    <x v="1"/>
    <s v="Request to connecting the Snowflake sync"/>
    <n v="205"/>
    <d v="2023-08-22T02:41:26"/>
    <b v="0"/>
    <n v="5"/>
  </r>
  <r>
    <s v="TK63698"/>
    <d v="2023-08-18T15:01:00"/>
    <s v="email"/>
    <x v="2"/>
    <x v="1"/>
    <s v="Issue with a duplicate charge"/>
    <n v="268"/>
    <d v="2023-08-20T08:03:02"/>
    <b v="0"/>
    <m/>
  </r>
  <r>
    <s v="TK63664"/>
    <d v="2023-08-18T15:04:00"/>
    <s v="phone"/>
    <x v="1"/>
    <x v="0"/>
    <s v="Issue with log in after password reset"/>
    <n v="37"/>
    <m/>
    <b v="0"/>
    <m/>
  </r>
  <r>
    <s v="TK61394"/>
    <d v="2023-08-18T15:38:00"/>
    <s v="in-app"/>
    <x v="1"/>
    <x v="1"/>
    <s v="Question about a duplicate charge"/>
    <n v="167"/>
    <d v="2023-08-19T22:18:59"/>
    <b v="0"/>
    <m/>
  </r>
  <r>
    <s v="TK60962"/>
    <d v="2023-08-18T17:03:00"/>
    <s v="email"/>
    <x v="2"/>
    <x v="0"/>
    <s v="Issue with the dashboard loading slowly"/>
    <n v="62"/>
    <d v="2023-08-18T18:45:23"/>
    <b v="0"/>
    <m/>
  </r>
  <r>
    <s v="TK62606"/>
    <d v="2023-08-18T21:04:00"/>
    <s v="email"/>
    <x v="1"/>
    <x v="0"/>
    <s v="Question about connecting the Snowflake sync"/>
    <n v="33"/>
    <d v="2023-08-20T19:19:57"/>
    <b v="0"/>
    <n v="1"/>
  </r>
  <r>
    <s v="TK63697"/>
    <d v="2023-08-18T21:22:00"/>
    <s v="chat"/>
    <x v="2"/>
    <x v="0"/>
    <s v="Request to a refund for an annual plan"/>
    <n v="36"/>
    <d v="2023-08-19T00:01:28"/>
    <b v="0"/>
    <m/>
  </r>
  <r>
    <s v="TK61078"/>
    <d v="2023-08-18T22:31:00"/>
    <s v="chat"/>
    <x v="2"/>
    <x v="1"/>
    <s v="Issue with export my data"/>
    <n v="161"/>
    <d v="2023-08-19T06:22:14"/>
    <b v="0"/>
    <m/>
  </r>
  <r>
    <s v="TK63754"/>
    <d v="2023-08-18T23:09:00"/>
    <s v="chat"/>
    <x v="0"/>
    <x v="1"/>
    <s v="Unable to webhook deliveries failing"/>
    <n v="194"/>
    <d v="2023-08-19T23:17:55"/>
    <b v="0"/>
    <n v="3"/>
  </r>
  <r>
    <s v="TK63038"/>
    <d v="2023-08-19T07:18:00"/>
    <s v="email"/>
    <x v="2"/>
    <x v="2"/>
    <s v="Request to the API rate limit"/>
    <n v="11"/>
    <d v="2023-08-20T06:59:39"/>
    <b v="0"/>
    <m/>
  </r>
  <r>
    <s v="TK60315"/>
    <d v="2023-08-19T09:10:00"/>
    <s v="email"/>
    <x v="3"/>
    <x v="1"/>
    <s v="Error when webhook deliveries failing"/>
    <n v="248"/>
    <d v="2023-08-21T02:35:01"/>
    <b v="0"/>
    <n v="5"/>
  </r>
  <r>
    <s v="TK61140"/>
    <d v="2023-08-19T14:24:00"/>
    <s v="chat"/>
    <x v="1"/>
    <x v="3"/>
    <s v="How do I a duplicate charge"/>
    <n v="133"/>
    <d v="2023-08-20T12:51:14"/>
    <b v="0"/>
    <m/>
  </r>
  <r>
    <s v="TK62088"/>
    <d v="2023-08-19T15:37:00"/>
    <s v="in-app"/>
    <x v="0"/>
    <x v="1"/>
    <s v="Question about a refund for an annual plan"/>
    <n v="132"/>
    <d v="2023-08-22T14:23:18"/>
    <b v="1"/>
    <m/>
  </r>
  <r>
    <s v="TK60491"/>
    <d v="2023-08-19T16:39:00"/>
    <s v="in-app"/>
    <x v="0"/>
    <x v="0"/>
    <s v="Cannot webhook deliveries failing"/>
    <n v="34"/>
    <d v="2023-08-20T09:39:31"/>
    <b v="1"/>
    <n v="4"/>
  </r>
  <r>
    <s v="TK60569"/>
    <d v="2023-08-19T17:44:00"/>
    <s v="in-app"/>
    <x v="1"/>
    <x v="0"/>
    <s v="Issue with webhook deliveries failing"/>
    <n v="50"/>
    <d v="2023-08-19T21:18:59"/>
    <b v="0"/>
    <m/>
  </r>
  <r>
    <s v="TK63675"/>
    <d v="2023-08-19T18:11:00"/>
    <s v="in-app"/>
    <x v="3"/>
    <x v="0"/>
    <s v="Error when the API rate limit"/>
    <n v="24"/>
    <d v="2023-08-20T01:10:08"/>
    <b v="0"/>
    <m/>
  </r>
  <r>
    <s v="TK61209"/>
    <d v="2023-08-20T01:28:00"/>
    <s v="chat"/>
    <x v="0"/>
    <x v="1"/>
    <s v="Question about webhook deliveries failing"/>
    <n v="109"/>
    <d v="2023-08-22T11:16:21"/>
    <b v="0"/>
    <n v="4"/>
  </r>
  <r>
    <s v="TK62043"/>
    <d v="2023-08-20T02:52:00"/>
    <s v="chat"/>
    <x v="3"/>
    <x v="1"/>
    <s v="Cannot a refund for an annual plan"/>
    <n v="25"/>
    <d v="2023-08-21T15:45:35"/>
    <b v="0"/>
    <n v="3"/>
  </r>
  <r>
    <s v="TK61556"/>
    <d v="2023-08-20T04:06:00"/>
    <s v="in-app"/>
    <x v="1"/>
    <x v="1"/>
    <s v="Unable to log in after password reset"/>
    <n v="50"/>
    <d v="2023-08-21T17:25:50"/>
    <b v="0"/>
    <m/>
  </r>
  <r>
    <s v="TK60809"/>
    <d v="2023-08-20T05:08:00"/>
    <s v="chat"/>
    <x v="1"/>
    <x v="1"/>
    <s v="Question about two-factor authentication"/>
    <n v="209"/>
    <d v="2023-08-21T09:16:01"/>
    <b v="0"/>
    <m/>
  </r>
  <r>
    <s v="TK62851"/>
    <d v="2023-08-20T08:32:00"/>
    <s v="email"/>
    <x v="2"/>
    <x v="1"/>
    <s v="Cannot the invoice for last month"/>
    <n v="140"/>
    <d v="2023-08-20T17:35:44"/>
    <b v="0"/>
    <n v="5"/>
  </r>
  <r>
    <s v="TK62210"/>
    <d v="2023-08-20T09:54:00"/>
    <s v="in-app"/>
    <x v="2"/>
    <x v="3"/>
    <s v="Cannot a duplicate charge"/>
    <n v="157"/>
    <d v="2023-08-21T20:09:33"/>
    <b v="0"/>
    <m/>
  </r>
  <r>
    <s v="TK60723"/>
    <d v="2023-08-20T11:07:00"/>
    <s v="in-app"/>
    <x v="2"/>
    <x v="1"/>
    <s v="Cannot two-factor authentication"/>
    <n v="151"/>
    <d v="2023-08-20T22:26:04"/>
    <b v="0"/>
    <m/>
  </r>
  <r>
    <s v="TK61452"/>
    <d v="2023-08-20T11:38:00"/>
    <s v="in-app"/>
    <x v="4"/>
    <x v="1"/>
    <s v="Request to log in after password reset"/>
    <n v="43"/>
    <d v="2023-08-22T13:29:30"/>
    <b v="0"/>
    <m/>
  </r>
  <r>
    <s v="TK61456"/>
    <d v="2023-08-20T13:28:00"/>
    <s v="email"/>
    <x v="2"/>
    <x v="2"/>
    <s v="Cannot the dashboard loading slowly"/>
    <n v="71"/>
    <d v="2023-08-20T16:28:24"/>
    <b v="0"/>
    <m/>
  </r>
  <r>
    <s v="TK60390"/>
    <d v="2023-08-20T14:50:00"/>
    <s v="email"/>
    <x v="1"/>
    <x v="3"/>
    <s v="How do I the dashboard loading slowly"/>
    <n v="270"/>
    <d v="2023-09-07T20:17:48"/>
    <b v="0"/>
    <m/>
  </r>
  <r>
    <s v="TK62073"/>
    <d v="2023-08-20T16:54:00"/>
    <s v="email"/>
    <x v="3"/>
    <x v="2"/>
    <s v="How do I log in after password reset"/>
    <n v="10"/>
    <d v="2023-08-21T13:55:58"/>
    <b v="0"/>
    <m/>
  </r>
  <r>
    <s v="TK63074"/>
    <d v="2023-08-20T21:54:00"/>
    <s v="phone"/>
    <x v="2"/>
    <x v="3"/>
    <s v="Unable to the invoice for last month"/>
    <n v="436"/>
    <d v="2023-08-23T23:44:06"/>
    <b v="0"/>
    <m/>
  </r>
  <r>
    <s v="TK60013"/>
    <d v="2023-08-21T02:28:00"/>
    <s v="chat"/>
    <x v="2"/>
    <x v="1"/>
    <s v="How do I webhook deliveries failing"/>
    <n v="269"/>
    <d v="2023-08-22T00:24:28"/>
    <b v="0"/>
    <m/>
  </r>
  <r>
    <s v="TK60906"/>
    <d v="2023-08-21T02:41:00"/>
    <s v="email"/>
    <x v="3"/>
    <x v="1"/>
    <s v="Question about add a teammate"/>
    <n v="44"/>
    <d v="2023-08-21T09:32:37"/>
    <b v="0"/>
    <m/>
  </r>
  <r>
    <s v="TK63684"/>
    <d v="2023-08-21T10:10:00"/>
    <s v="in-app"/>
    <x v="1"/>
    <x v="2"/>
    <s v="Request to add a teammate"/>
    <n v="11"/>
    <d v="2023-08-21T18:30:34"/>
    <b v="1"/>
    <n v="5"/>
  </r>
  <r>
    <s v="TK63228"/>
    <d v="2023-08-21T11:52:00"/>
    <s v="in-app"/>
    <x v="3"/>
    <x v="1"/>
    <s v="Error when the API rate limit"/>
    <n v="124"/>
    <m/>
    <b v="0"/>
    <m/>
  </r>
  <r>
    <s v="TK62007"/>
    <d v="2023-08-21T15:27:00"/>
    <s v="chat"/>
    <x v="1"/>
    <x v="1"/>
    <s v="Error when log in after password reset"/>
    <n v="243"/>
    <d v="2023-08-22T07:25:17"/>
    <b v="0"/>
    <n v="4"/>
  </r>
  <r>
    <s v="TK62185"/>
    <d v="2023-08-21T21:47:00"/>
    <s v="chat"/>
    <x v="1"/>
    <x v="1"/>
    <s v="Question about connecting the Snowflake sync"/>
    <n v="69"/>
    <d v="2023-08-22T23:49:31"/>
    <b v="0"/>
    <m/>
  </r>
  <r>
    <s v="TK62742"/>
    <d v="2023-08-22T04:12:00"/>
    <s v="chat"/>
    <x v="0"/>
    <x v="3"/>
    <s v="Question about log in after password reset"/>
    <n v="422"/>
    <d v="2023-08-23T14:21:40"/>
    <b v="0"/>
    <m/>
  </r>
  <r>
    <s v="TK60858"/>
    <d v="2023-08-22T08:42:00"/>
    <s v="in-app"/>
    <x v="2"/>
    <x v="1"/>
    <s v="Cannot webhook deliveries failing"/>
    <n v="132"/>
    <d v="2023-08-23T15:27:04"/>
    <b v="0"/>
    <n v="5"/>
  </r>
  <r>
    <s v="TK60977"/>
    <d v="2023-08-22T09:19:00"/>
    <s v="in-app"/>
    <x v="2"/>
    <x v="1"/>
    <s v="Issue with log in after password reset"/>
    <n v="398"/>
    <d v="2023-08-24T11:54:52"/>
    <b v="0"/>
    <n v="4"/>
  </r>
  <r>
    <s v="TK63308"/>
    <d v="2023-08-22T12:56:00"/>
    <s v="chat"/>
    <x v="0"/>
    <x v="0"/>
    <s v="How do I webhook deliveries failing"/>
    <n v="47"/>
    <d v="2023-08-23T03:22:32"/>
    <b v="1"/>
    <m/>
  </r>
  <r>
    <s v="TK62942"/>
    <d v="2023-08-22T15:33:00"/>
    <s v="chat"/>
    <x v="2"/>
    <x v="0"/>
    <s v="Cannot webhook deliveries failing"/>
    <n v="20"/>
    <d v="2023-08-22T16:42:10"/>
    <b v="0"/>
    <m/>
  </r>
  <r>
    <s v="TK60332"/>
    <d v="2023-08-22T15:52:00"/>
    <s v="phone"/>
    <x v="1"/>
    <x v="2"/>
    <s v="How do I add a teammate"/>
    <n v="51"/>
    <d v="2023-08-22T20:49:12"/>
    <b v="0"/>
    <m/>
  </r>
  <r>
    <s v="TK62211"/>
    <d v="2023-08-22T17:39:00"/>
    <s v="in-app"/>
    <x v="4"/>
    <x v="0"/>
    <s v="Issue with webhook deliveries failing"/>
    <m/>
    <d v="2023-08-23T04:20:10"/>
    <b v="0"/>
    <m/>
  </r>
  <r>
    <s v="TK62354"/>
    <d v="2023-08-22T17:53:00"/>
    <s v="phone"/>
    <x v="1"/>
    <x v="1"/>
    <s v="Request to a duplicate charge"/>
    <n v="61"/>
    <d v="2023-08-24T05:53:21"/>
    <b v="0"/>
    <n v="3"/>
  </r>
  <r>
    <s v="TK61507"/>
    <d v="2023-08-22T22:25:00"/>
    <s v="email"/>
    <x v="1"/>
    <x v="3"/>
    <s v="Unable to export my data"/>
    <n v="291"/>
    <d v="2023-08-26T00:42:26"/>
    <b v="0"/>
    <m/>
  </r>
  <r>
    <s v="TK61980"/>
    <d v="2023-08-22T23:04:00"/>
    <s v="email"/>
    <x v="4"/>
    <x v="2"/>
    <s v="Error when the invoice for last month"/>
    <n v="10"/>
    <d v="2023-08-23T04:04:15"/>
    <b v="0"/>
    <m/>
  </r>
  <r>
    <s v="TK62904"/>
    <d v="2023-08-22T23:11:00"/>
    <s v="chat"/>
    <x v="1"/>
    <x v="1"/>
    <s v="Cannot the dashboard loading slowly"/>
    <n v="38"/>
    <d v="2023-08-25T22:27:54"/>
    <b v="0"/>
    <m/>
  </r>
  <r>
    <s v="TK60242"/>
    <d v="2023-08-23T05:12:00"/>
    <s v="email"/>
    <x v="1"/>
    <x v="3"/>
    <s v="Question about a duplicate charge"/>
    <n v="144"/>
    <d v="2023-08-24T18:33:16"/>
    <b v="0"/>
    <m/>
  </r>
  <r>
    <s v="TK62946"/>
    <d v="2023-08-23T08:35:00"/>
    <s v="email"/>
    <x v="2"/>
    <x v="1"/>
    <s v="Request to the API rate limit"/>
    <n v="111"/>
    <d v="2023-08-24T01:03:22"/>
    <b v="0"/>
    <n v="5"/>
  </r>
  <r>
    <s v="TK60559"/>
    <d v="2023-08-23T10:39:00"/>
    <s v="phone"/>
    <x v="1"/>
    <x v="3"/>
    <s v="Request to the dashboard loading slowly"/>
    <n v="174"/>
    <d v="2023-08-23T22:11:43"/>
    <b v="0"/>
    <m/>
  </r>
  <r>
    <s v="TK60722"/>
    <d v="2023-08-23T10:51:00"/>
    <s v="in-app"/>
    <x v="1"/>
    <x v="3"/>
    <s v="Question about add a teammate"/>
    <m/>
    <d v="2023-08-24T19:39:40"/>
    <b v="0"/>
    <m/>
  </r>
  <r>
    <s v="TK60729"/>
    <d v="2023-08-23T13:38:00"/>
    <s v="chat"/>
    <x v="2"/>
    <x v="0"/>
    <s v="Cannot log in after password reset"/>
    <n v="166"/>
    <d v="2023-08-25T01:25:08"/>
    <b v="0"/>
    <n v="3"/>
  </r>
  <r>
    <s v="TK61266"/>
    <d v="2023-08-23T17:20:00"/>
    <s v="chat"/>
    <x v="3"/>
    <x v="3"/>
    <s v="How do I webhook deliveries failing"/>
    <n v="1079"/>
    <d v="2023-08-25T18:12:06"/>
    <b v="0"/>
    <m/>
  </r>
  <r>
    <s v="TK60656"/>
    <d v="2023-08-23T17:52:00"/>
    <s v="chat"/>
    <x v="1"/>
    <x v="1"/>
    <s v="Unable to connecting the Snowflake sync"/>
    <n v="32"/>
    <m/>
    <b v="0"/>
    <m/>
  </r>
  <r>
    <s v="TK61936"/>
    <d v="2023-08-23T18:00:00"/>
    <s v="email"/>
    <x v="3"/>
    <x v="3"/>
    <s v="Error when the API rate limit"/>
    <n v="2045"/>
    <d v="2023-08-28T02:19:11"/>
    <b v="0"/>
    <m/>
  </r>
  <r>
    <s v="TK61626"/>
    <d v="2023-08-23T18:48:00"/>
    <s v="email"/>
    <x v="3"/>
    <x v="1"/>
    <s v="Cannot the API rate limit"/>
    <n v="50"/>
    <d v="2023-08-24T07:34:45"/>
    <b v="0"/>
    <n v="5"/>
  </r>
  <r>
    <s v="TK63814"/>
    <d v="2023-08-23T18:56:00"/>
    <s v="in-app"/>
    <x v="1"/>
    <x v="1"/>
    <s v="Request to connecting the Snowflake sync"/>
    <n v="140"/>
    <d v="2023-08-25T07:16:00"/>
    <b v="1"/>
    <n v="5"/>
  </r>
  <r>
    <s v="TK63677"/>
    <d v="2023-08-23T19:31:00"/>
    <s v="in-app"/>
    <x v="1"/>
    <x v="1"/>
    <s v="Question about two-factor authentication"/>
    <n v="74"/>
    <d v="2023-09-08T16:37:46"/>
    <b v="0"/>
    <m/>
  </r>
  <r>
    <s v="TK62174"/>
    <d v="2023-08-23T19:52:00"/>
    <s v="email"/>
    <x v="1"/>
    <x v="1"/>
    <s v="Issue with a duplicate charge"/>
    <n v="38"/>
    <d v="2023-08-25T14:46:07"/>
    <b v="0"/>
    <n v="5"/>
  </r>
  <r>
    <s v="TK61171"/>
    <d v="2023-08-23T20:31:00"/>
    <s v="email"/>
    <x v="0"/>
    <x v="3"/>
    <s v="Request to a duplicate charge"/>
    <n v="1125"/>
    <d v="2023-08-24T00:31:18"/>
    <b v="0"/>
    <m/>
  </r>
  <r>
    <s v="TK61946"/>
    <d v="2023-08-23T22:27:00"/>
    <s v="in-app"/>
    <x v="2"/>
    <x v="3"/>
    <s v="Error when the API rate limit"/>
    <n v="104"/>
    <d v="2023-08-27T01:22:57"/>
    <b v="0"/>
    <m/>
  </r>
  <r>
    <s v="TK61821"/>
    <d v="2023-08-24T04:42:00"/>
    <s v="in-app"/>
    <x v="1"/>
    <x v="3"/>
    <s v="Unable to connecting the Snowflake sync"/>
    <n v="175"/>
    <d v="2023-09-16T18:53:59"/>
    <b v="0"/>
    <n v="1"/>
  </r>
  <r>
    <s v="TK60682"/>
    <d v="2023-08-24T04:54:00"/>
    <s v="email"/>
    <x v="2"/>
    <x v="3"/>
    <s v="Error when webhook deliveries failing"/>
    <n v="392"/>
    <d v="2023-08-29T10:04:28"/>
    <b v="0"/>
    <m/>
  </r>
  <r>
    <s v="TK62136"/>
    <d v="2023-08-24T06:49:00"/>
    <s v="in-app"/>
    <x v="3"/>
    <x v="1"/>
    <s v="How do I downgrade my plan"/>
    <n v="199"/>
    <d v="2023-08-24T12:38:21"/>
    <b v="0"/>
    <m/>
  </r>
  <r>
    <s v="TK60154"/>
    <d v="2023-08-24T07:01:00"/>
    <s v="phone"/>
    <x v="3"/>
    <x v="1"/>
    <s v="Cannot the invoice for last month"/>
    <n v="448"/>
    <d v="2023-08-25T03:50:01"/>
    <b v="0"/>
    <m/>
  </r>
  <r>
    <s v="TK62652"/>
    <d v="2023-08-24T09:56:00"/>
    <s v="in-app"/>
    <x v="1"/>
    <x v="1"/>
    <s v="How do I connecting the Snowflake sync"/>
    <n v="128"/>
    <d v="2023-08-25T12:41:15"/>
    <b v="0"/>
    <n v="5"/>
  </r>
  <r>
    <s v="TK63867"/>
    <d v="2023-08-24T10:20:00"/>
    <s v="chat"/>
    <x v="3"/>
    <x v="1"/>
    <s v="Question about two-factor authentication"/>
    <n v="55"/>
    <d v="2023-08-25T09:13:23"/>
    <b v="0"/>
    <m/>
  </r>
  <r>
    <s v="TK63376"/>
    <d v="2023-08-24T11:58:00"/>
    <s v="chat"/>
    <x v="1"/>
    <x v="0"/>
    <s v="How do I export my data"/>
    <n v="35"/>
    <d v="2023-08-25T12:02:21"/>
    <b v="0"/>
    <n v="5"/>
  </r>
  <r>
    <s v="TK61630"/>
    <d v="2023-08-24T12:25:00"/>
    <s v="phone"/>
    <x v="1"/>
    <x v="0"/>
    <s v="Question about export my data"/>
    <n v="264"/>
    <d v="2023-08-25T12:17:35"/>
    <b v="0"/>
    <m/>
  </r>
  <r>
    <s v="TK63510"/>
    <d v="2023-08-24T12:28:00"/>
    <s v="phone"/>
    <x v="2"/>
    <x v="1"/>
    <s v="Request to the API rate limit"/>
    <n v="132"/>
    <d v="2023-08-28T04:19:21"/>
    <b v="0"/>
    <m/>
  </r>
  <r>
    <s v="TK62587"/>
    <d v="2023-08-24T15:23:00"/>
    <s v="email"/>
    <x v="2"/>
    <x v="0"/>
    <s v="Cannot the dashboard loading slowly"/>
    <n v="121"/>
    <d v="2023-08-24T17:48:08"/>
    <b v="0"/>
    <m/>
  </r>
  <r>
    <s v="TK61718"/>
    <d v="2023-08-24T15:55:00"/>
    <s v="chat"/>
    <x v="2"/>
    <x v="0"/>
    <s v="Request to add a teammate"/>
    <n v="34"/>
    <d v="2023-08-24T20:09:37"/>
    <b v="0"/>
    <m/>
  </r>
  <r>
    <s v="TK61351"/>
    <d v="2023-08-24T20:08:00"/>
    <s v="in-app"/>
    <x v="1"/>
    <x v="3"/>
    <s v="How do I log in after password reset"/>
    <n v="231"/>
    <d v="2023-08-31T21:04:59"/>
    <b v="0"/>
    <n v="5"/>
  </r>
  <r>
    <s v="TK61955"/>
    <d v="2023-08-24T20:53:00"/>
    <s v="chat"/>
    <x v="0"/>
    <x v="1"/>
    <s v="Cannot export my data"/>
    <n v="75"/>
    <d v="2023-08-25T14:30:24"/>
    <b v="0"/>
    <m/>
  </r>
  <r>
    <s v="TK61771"/>
    <d v="2023-08-24T22:53:00"/>
    <s v="email"/>
    <x v="0"/>
    <x v="1"/>
    <s v="Request to export my data"/>
    <n v="36"/>
    <d v="2023-08-25T13:05:12"/>
    <b v="0"/>
    <n v="5"/>
  </r>
  <r>
    <s v="TK63672"/>
    <d v="2023-08-24T23:09:00"/>
    <s v="email"/>
    <x v="0"/>
    <x v="0"/>
    <s v="Error when webhook deliveries failing"/>
    <n v="19"/>
    <d v="2023-08-25T12:23:57"/>
    <b v="0"/>
    <m/>
  </r>
  <r>
    <s v="TK61297"/>
    <d v="2023-08-25T01:22:00"/>
    <s v="phone"/>
    <x v="4"/>
    <x v="1"/>
    <s v="Issue with log in after password reset"/>
    <n v="142"/>
    <d v="2023-08-25T07:23:03"/>
    <b v="0"/>
    <n v="3"/>
  </r>
  <r>
    <s v="TK61196"/>
    <d v="2023-08-25T03:45:00"/>
    <s v="chat"/>
    <x v="3"/>
    <x v="1"/>
    <s v="Unable to connecting the Snowflake sync"/>
    <m/>
    <d v="2023-09-06T09:55:20"/>
    <b v="0"/>
    <m/>
  </r>
  <r>
    <s v="TK62442"/>
    <d v="2023-08-25T05:29:00"/>
    <s v="in-app"/>
    <x v="0"/>
    <x v="3"/>
    <s v="How do I downgrade my plan"/>
    <n v="110"/>
    <d v="2023-08-25T11:07:30"/>
    <b v="0"/>
    <n v="2"/>
  </r>
  <r>
    <s v="TK63450"/>
    <d v="2023-08-25T07:31:00"/>
    <s v="phone"/>
    <x v="3"/>
    <x v="1"/>
    <s v="Issue with the dashboard loading slowly"/>
    <n v="27"/>
    <d v="2023-08-30T14:20:02"/>
    <b v="0"/>
    <n v="4"/>
  </r>
  <r>
    <s v="TK60322"/>
    <d v="2023-08-25T07:52:00"/>
    <s v="in-app"/>
    <x v="2"/>
    <x v="0"/>
    <s v="Unable to two-factor authentication"/>
    <n v="80"/>
    <d v="2023-08-25T11:06:02"/>
    <b v="0"/>
    <m/>
  </r>
  <r>
    <s v="TK60885"/>
    <d v="2023-08-25T08:48:00"/>
    <s v="in-app"/>
    <x v="2"/>
    <x v="1"/>
    <s v="Request to export my data"/>
    <n v="22"/>
    <d v="2023-08-25T14:18:28"/>
    <b v="0"/>
    <m/>
  </r>
  <r>
    <s v="TK60503"/>
    <d v="2023-08-25T10:00:00"/>
    <s v="in-app"/>
    <x v="3"/>
    <x v="3"/>
    <s v="How do I the API rate limit"/>
    <n v="461"/>
    <d v="2023-08-28T15:58:35"/>
    <b v="0"/>
    <m/>
  </r>
  <r>
    <s v="TK63071"/>
    <d v="2023-08-25T10:14:00"/>
    <s v="in-app"/>
    <x v="0"/>
    <x v="0"/>
    <s v="Request to the dashboard loading slowly"/>
    <n v="18"/>
    <d v="2023-08-25T14:04:49"/>
    <b v="0"/>
    <m/>
  </r>
  <r>
    <s v="TK62559"/>
    <d v="2023-08-25T12:04:00"/>
    <s v="email"/>
    <x v="2"/>
    <x v="1"/>
    <s v="Question about the dashboard loading slowly"/>
    <n v="119"/>
    <d v="2023-08-26T20:02:50"/>
    <b v="0"/>
    <m/>
  </r>
  <r>
    <s v="TK60811"/>
    <d v="2023-08-25T19:16:00"/>
    <s v="chat"/>
    <x v="0"/>
    <x v="3"/>
    <s v="Request to the API rate limit"/>
    <n v="146"/>
    <d v="2023-08-27T06:21:23"/>
    <b v="0"/>
    <m/>
  </r>
  <r>
    <s v="TK62884"/>
    <d v="2023-08-25T20:17:00"/>
    <s v="email"/>
    <x v="1"/>
    <x v="1"/>
    <s v="How do I a refund for an annual plan"/>
    <n v="38"/>
    <d v="2023-08-25T23:56:37"/>
    <b v="0"/>
    <n v="2"/>
  </r>
  <r>
    <s v="TK61641"/>
    <d v="2023-08-26T05:09:00"/>
    <s v="chat"/>
    <x v="3"/>
    <x v="0"/>
    <s v="Issue with the dashboard loading slowly"/>
    <n v="26"/>
    <d v="2023-08-28T13:55:08"/>
    <b v="0"/>
    <n v="5"/>
  </r>
  <r>
    <s v="TK62276"/>
    <d v="2023-08-26T05:46:00"/>
    <s v="email"/>
    <x v="1"/>
    <x v="0"/>
    <s v="Error when export my data"/>
    <n v="38"/>
    <d v="2023-08-27T07:24:29"/>
    <b v="0"/>
    <n v="4"/>
  </r>
  <r>
    <s v="TK63605"/>
    <d v="2023-08-26T11:21:00"/>
    <s v="chat"/>
    <x v="4"/>
    <x v="2"/>
    <s v="How do I connecting the Snowflake sync"/>
    <n v="9"/>
    <d v="2023-08-26T14:22:14"/>
    <b v="0"/>
    <m/>
  </r>
  <r>
    <s v="TK60709"/>
    <d v="2023-08-26T12:02:00"/>
    <s v="in-app"/>
    <x v="2"/>
    <x v="0"/>
    <s v="Issue with downgrade my plan"/>
    <n v="238"/>
    <d v="2023-08-27T10:41:56"/>
    <b v="1"/>
    <n v="4"/>
  </r>
  <r>
    <s v="TK63063"/>
    <d v="2023-08-26T13:29:00"/>
    <s v="chat"/>
    <x v="2"/>
    <x v="1"/>
    <s v="Request to the API rate limit"/>
    <n v="231"/>
    <d v="2023-08-26T16:56:15"/>
    <b v="0"/>
    <n v="5"/>
  </r>
  <r>
    <s v="TK60119"/>
    <d v="2023-08-26T16:14:00"/>
    <s v="phone"/>
    <x v="2"/>
    <x v="1"/>
    <s v="Request to the invoice for last month"/>
    <n v="638"/>
    <d v="2023-08-29T12:09:13"/>
    <b v="0"/>
    <m/>
  </r>
  <r>
    <s v="TK62916"/>
    <d v="2023-08-26T17:53:00"/>
    <s v="email"/>
    <x v="2"/>
    <x v="0"/>
    <s v="Cannot a refund for an annual plan"/>
    <n v="16"/>
    <d v="2023-08-26T18:06:26"/>
    <b v="0"/>
    <m/>
  </r>
  <r>
    <s v="TK63506"/>
    <d v="2023-08-26T18:46:00"/>
    <s v="phone"/>
    <x v="4"/>
    <x v="1"/>
    <s v="Issue with the API rate limit"/>
    <n v="176"/>
    <d v="2023-08-28T19:01:10"/>
    <b v="0"/>
    <m/>
  </r>
  <r>
    <s v="TK62984"/>
    <d v="2023-08-26T20:38:00"/>
    <s v="email"/>
    <x v="4"/>
    <x v="1"/>
    <s v="Unable to export my data"/>
    <n v="186"/>
    <d v="2023-08-27T08:22:52"/>
    <b v="0"/>
    <m/>
  </r>
  <r>
    <s v="TK60926"/>
    <d v="2023-08-26T21:14:00"/>
    <s v="in-app"/>
    <x v="1"/>
    <x v="0"/>
    <s v="Unable to a refund for an annual plan"/>
    <n v="93"/>
    <d v="2023-08-26T22:40:55"/>
    <b v="0"/>
    <m/>
  </r>
  <r>
    <s v="TK61073"/>
    <d v="2023-08-26T22:54:00"/>
    <s v="phone"/>
    <x v="1"/>
    <x v="1"/>
    <s v="Issue with export my data"/>
    <m/>
    <d v="2023-08-28T14:22:37"/>
    <b v="0"/>
    <m/>
  </r>
  <r>
    <s v="TK60878"/>
    <d v="2023-08-27T00:11:00"/>
    <s v="email"/>
    <x v="1"/>
    <x v="3"/>
    <s v="Request to a duplicate charge"/>
    <n v="1359"/>
    <d v="2023-09-13T19:56:59"/>
    <b v="0"/>
    <n v="5"/>
  </r>
  <r>
    <s v="TK63953"/>
    <d v="2023-08-27T01:15:00"/>
    <s v="in-app"/>
    <x v="0"/>
    <x v="1"/>
    <s v="Unable to webhook deliveries failing"/>
    <n v="67"/>
    <d v="2023-08-27T04:45:42"/>
    <b v="0"/>
    <m/>
  </r>
  <r>
    <s v="TK60894"/>
    <d v="2023-08-27T02:42:00"/>
    <s v="in-app"/>
    <x v="1"/>
    <x v="1"/>
    <s v="Request to the invoice for last month"/>
    <n v="128"/>
    <d v="2023-08-27T23:45:34"/>
    <b v="0"/>
    <m/>
  </r>
  <r>
    <s v="TK62701"/>
    <d v="2023-08-27T05:11:00"/>
    <s v="chat"/>
    <x v="2"/>
    <x v="1"/>
    <s v="Question about two-factor authentication"/>
    <n v="225"/>
    <d v="2023-08-28T04:00:42"/>
    <b v="0"/>
    <m/>
  </r>
  <r>
    <s v="TK63991"/>
    <d v="2023-08-27T06:09:00"/>
    <s v="chat"/>
    <x v="1"/>
    <x v="1"/>
    <s v="Unable to the dashboard loading slowly"/>
    <n v="113"/>
    <d v="2023-09-15T20:48:51"/>
    <b v="0"/>
    <n v="2"/>
  </r>
  <r>
    <s v="TK62887"/>
    <d v="2023-08-27T07:52:00"/>
    <s v="email"/>
    <x v="2"/>
    <x v="1"/>
    <s v="How do I the API rate limit"/>
    <n v="29"/>
    <d v="2023-08-27T15:45:07"/>
    <b v="0"/>
    <m/>
  </r>
  <r>
    <s v="TK62759"/>
    <d v="2023-08-27T14:26:00"/>
    <s v="email"/>
    <x v="4"/>
    <x v="3"/>
    <s v="Request to export my data"/>
    <n v="1419"/>
    <d v="2023-08-30T08:41:58"/>
    <b v="0"/>
    <m/>
  </r>
  <r>
    <s v="TK62583"/>
    <d v="2023-08-27T14:42:00"/>
    <s v="phone"/>
    <x v="2"/>
    <x v="1"/>
    <s v="Request to downgrade my plan"/>
    <n v="59"/>
    <m/>
    <b v="0"/>
    <m/>
  </r>
  <r>
    <s v="TK60842"/>
    <d v="2023-08-27T15:36:00"/>
    <s v="email"/>
    <x v="4"/>
    <x v="1"/>
    <s v="Question about a duplicate charge"/>
    <n v="202"/>
    <d v="2023-08-28T16:53:17"/>
    <b v="0"/>
    <m/>
  </r>
  <r>
    <s v="TK60771"/>
    <d v="2023-08-27T15:52:00"/>
    <s v="email"/>
    <x v="2"/>
    <x v="3"/>
    <s v="Unable to a duplicate charge"/>
    <n v="58"/>
    <d v="2023-08-27T23:13:19"/>
    <b v="0"/>
    <n v="5"/>
  </r>
  <r>
    <s v="TK63331"/>
    <d v="2023-08-27T17:26:00"/>
    <s v="chat"/>
    <x v="3"/>
    <x v="1"/>
    <s v="Request to the API rate limit"/>
    <n v="38"/>
    <d v="2023-08-29T07:00:28"/>
    <b v="0"/>
    <n v="4"/>
  </r>
  <r>
    <s v="TK60854"/>
    <d v="2023-08-27T19:31:00"/>
    <s v="email"/>
    <x v="4"/>
    <x v="1"/>
    <s v="Cannot the dashboard loading slowly"/>
    <n v="84"/>
    <d v="2023-08-29T05:28:23"/>
    <b v="0"/>
    <n v="3"/>
  </r>
  <r>
    <s v="TK60625"/>
    <d v="2023-08-28T01:12:00"/>
    <s v="chat"/>
    <x v="1"/>
    <x v="2"/>
    <s v="Cannot connecting the Snowflake sync"/>
    <n v="61"/>
    <d v="2023-08-28T11:31:39"/>
    <b v="0"/>
    <n v="5"/>
  </r>
  <r>
    <s v="TK60241"/>
    <d v="2023-08-28T01:20:00"/>
    <s v="email"/>
    <x v="1"/>
    <x v="3"/>
    <s v="Request to add a teammate"/>
    <n v="833"/>
    <d v="2023-08-28T15:29:15"/>
    <b v="0"/>
    <m/>
  </r>
  <r>
    <s v="TK61166"/>
    <d v="2023-08-28T06:59:00"/>
    <s v="in-app"/>
    <x v="0"/>
    <x v="0"/>
    <s v="Request to two-factor authentication"/>
    <n v="9"/>
    <d v="2023-08-28T09:07:54"/>
    <b v="0"/>
    <n v="4"/>
  </r>
  <r>
    <s v="TK61653"/>
    <d v="2023-08-28T08:58:00"/>
    <s v="in-app"/>
    <x v="4"/>
    <x v="0"/>
    <s v="Unable to the API rate limit"/>
    <n v="6"/>
    <d v="2023-08-28T14:32:14"/>
    <b v="0"/>
    <m/>
  </r>
  <r>
    <s v="TK60044"/>
    <d v="2023-08-28T09:46:00"/>
    <s v="email"/>
    <x v="4"/>
    <x v="0"/>
    <s v="Request to two-factor authentication"/>
    <n v="23"/>
    <d v="2023-08-28T19:05:52"/>
    <b v="0"/>
    <m/>
  </r>
  <r>
    <s v="TK60982"/>
    <d v="2023-08-28T10:51:00"/>
    <s v="chat"/>
    <x v="3"/>
    <x v="1"/>
    <s v="Request to a refund for an annual plan"/>
    <n v="145"/>
    <d v="2023-09-03T16:11:28"/>
    <b v="0"/>
    <n v="4"/>
  </r>
  <r>
    <s v="TK62923"/>
    <d v="2023-08-28T14:10:00"/>
    <s v="chat"/>
    <x v="1"/>
    <x v="0"/>
    <s v="Request to two-factor authentication"/>
    <n v="35"/>
    <d v="2023-08-28T17:46:14"/>
    <b v="0"/>
    <m/>
  </r>
  <r>
    <s v="TK61710"/>
    <d v="2023-08-28T21:05:00"/>
    <s v="email"/>
    <x v="1"/>
    <x v="1"/>
    <s v="Issue with add a teammate"/>
    <n v="174"/>
    <d v="2023-08-29T21:59:46"/>
    <b v="0"/>
    <m/>
  </r>
  <r>
    <s v="TK60949"/>
    <d v="2023-08-28T23:11:00"/>
    <s v="email"/>
    <x v="4"/>
    <x v="1"/>
    <s v="Unable to the invoice for last month"/>
    <n v="60"/>
    <d v="2023-08-30T12:20:21"/>
    <b v="0"/>
    <n v="5"/>
  </r>
  <r>
    <s v="TK62569"/>
    <d v="2023-08-29T03:47:00"/>
    <s v="chat"/>
    <x v="1"/>
    <x v="3"/>
    <s v="Cannot downgrade my plan"/>
    <n v="71"/>
    <d v="2023-08-31T04:02:29"/>
    <b v="0"/>
    <m/>
  </r>
  <r>
    <s v="TK61829"/>
    <d v="2023-08-29T04:05:00"/>
    <s v="email"/>
    <x v="1"/>
    <x v="0"/>
    <s v="Issue with the invoice for last month"/>
    <n v="30"/>
    <d v="2023-08-30T21:20:00"/>
    <b v="0"/>
    <m/>
  </r>
  <r>
    <s v="TK62084"/>
    <d v="2023-08-29T08:02:00"/>
    <s v="chat"/>
    <x v="1"/>
    <x v="1"/>
    <s v="Issue with a duplicate charge"/>
    <n v="90"/>
    <d v="2023-09-01T04:08:00"/>
    <b v="0"/>
    <m/>
  </r>
  <r>
    <s v="TK61149"/>
    <d v="2023-08-29T08:05:00"/>
    <s v="email"/>
    <x v="1"/>
    <x v="3"/>
    <s v="Error when two-factor authentication"/>
    <n v="269"/>
    <d v="2023-09-06T21:34:23"/>
    <b v="0"/>
    <m/>
  </r>
  <r>
    <s v="TK63825"/>
    <d v="2023-08-29T12:11:00"/>
    <s v="email"/>
    <x v="1"/>
    <x v="3"/>
    <s v="Issue with downgrade my plan"/>
    <n v="116"/>
    <d v="2023-09-02T08:11:05"/>
    <b v="0"/>
    <m/>
  </r>
  <r>
    <s v="TK63912"/>
    <d v="2023-08-29T12:48:00"/>
    <s v="chat"/>
    <x v="4"/>
    <x v="0"/>
    <s v="How do I two-factor authentication"/>
    <n v="105"/>
    <d v="2023-08-29T20:20:09"/>
    <b v="0"/>
    <n v="4"/>
  </r>
  <r>
    <s v="TK60585"/>
    <d v="2023-08-29T17:05:00"/>
    <s v="email"/>
    <x v="3"/>
    <x v="1"/>
    <s v="Error when webhook deliveries failing"/>
    <n v="105"/>
    <d v="2023-08-30T01:39:13"/>
    <b v="0"/>
    <m/>
  </r>
  <r>
    <s v="TK63569"/>
    <d v="2023-08-29T19:07:00"/>
    <s v="email"/>
    <x v="0"/>
    <x v="0"/>
    <s v="Question about connecting the Snowflake sync"/>
    <n v="43"/>
    <d v="2023-08-30T03:14:59"/>
    <b v="0"/>
    <m/>
  </r>
  <r>
    <s v="TK62173"/>
    <d v="2023-08-29T22:48:00"/>
    <s v="in-app"/>
    <x v="4"/>
    <x v="0"/>
    <s v="Question about downgrade my plan"/>
    <n v="73"/>
    <d v="2023-08-30T02:19:27"/>
    <b v="0"/>
    <m/>
  </r>
  <r>
    <s v="TK60082"/>
    <d v="2023-08-30T02:01:00"/>
    <s v="in-app"/>
    <x v="4"/>
    <x v="0"/>
    <s v="Error when the dashboard loading slowly"/>
    <n v="24"/>
    <d v="2023-08-30T23:19:21"/>
    <b v="0"/>
    <n v="4"/>
  </r>
  <r>
    <s v="TK62066"/>
    <d v="2023-08-30T03:23:00"/>
    <s v="chat"/>
    <x v="2"/>
    <x v="1"/>
    <s v="Issue with the invoice for last month"/>
    <n v="50"/>
    <d v="2023-08-31T14:01:31"/>
    <b v="1"/>
    <n v="5"/>
  </r>
  <r>
    <s v="TK60966"/>
    <d v="2023-08-30T03:51:00"/>
    <s v="email"/>
    <x v="1"/>
    <x v="3"/>
    <s v="How do I webhook deliveries failing"/>
    <n v="19"/>
    <d v="2023-09-06T21:35:33"/>
    <b v="0"/>
    <m/>
  </r>
  <r>
    <s v="TK62886"/>
    <d v="2023-08-30T07:42:00"/>
    <s v="email"/>
    <x v="2"/>
    <x v="0"/>
    <s v="Error when log in after password reset"/>
    <n v="38"/>
    <d v="2023-08-30T14:23:49"/>
    <b v="0"/>
    <m/>
  </r>
  <r>
    <s v="TK63581"/>
    <d v="2023-08-30T09:04:00"/>
    <s v="email"/>
    <x v="2"/>
    <x v="2"/>
    <s v="Question about webhook deliveries failing"/>
    <n v="2"/>
    <d v="2023-08-31T01:12:44"/>
    <b v="0"/>
    <n v="4"/>
  </r>
  <r>
    <s v="TK61441"/>
    <d v="2023-08-30T11:40:00"/>
    <s v="email"/>
    <x v="0"/>
    <x v="3"/>
    <s v="Error when the invoice for last month"/>
    <n v="195"/>
    <d v="2023-08-31T06:06:15"/>
    <b v="0"/>
    <n v="5"/>
  </r>
  <r>
    <s v="TK62333"/>
    <d v="2023-08-30T16:02:00"/>
    <s v="chat"/>
    <x v="3"/>
    <x v="0"/>
    <s v="Issue with a refund for an annual plan"/>
    <n v="37"/>
    <d v="2023-09-01T05:03:14"/>
    <b v="0"/>
    <m/>
  </r>
  <r>
    <s v="TK61567"/>
    <d v="2023-08-30T16:45:00"/>
    <s v="chat"/>
    <x v="4"/>
    <x v="0"/>
    <s v="Request to webhook deliveries failing"/>
    <n v="14"/>
    <d v="2023-09-01T18:37:47"/>
    <b v="0"/>
    <m/>
  </r>
  <r>
    <s v="TK61991"/>
    <d v="2023-08-30T23:37:00"/>
    <s v="chat"/>
    <x v="4"/>
    <x v="1"/>
    <s v="Error when downgrade my plan"/>
    <n v="64"/>
    <d v="2023-08-31T04:06:09"/>
    <b v="0"/>
    <n v="5"/>
  </r>
  <r>
    <s v="TK62133"/>
    <d v="2023-08-31T01:07:00"/>
    <s v="in-app"/>
    <x v="4"/>
    <x v="3"/>
    <s v="How do I the dashboard loading slowly"/>
    <n v="105"/>
    <d v="2023-08-31T17:42:16"/>
    <b v="0"/>
    <m/>
  </r>
  <r>
    <s v="TK61570"/>
    <d v="2023-08-31T01:29:00"/>
    <s v="email"/>
    <x v="2"/>
    <x v="1"/>
    <s v="Question about a duplicate charge"/>
    <n v="397"/>
    <d v="2023-08-31T06:24:03"/>
    <b v="0"/>
    <m/>
  </r>
  <r>
    <s v="TK62554"/>
    <d v="2023-08-31T03:31:00"/>
    <s v="email"/>
    <x v="0"/>
    <x v="1"/>
    <s v="Request to downgrade my plan"/>
    <n v="87"/>
    <d v="2023-08-31T09:06:58"/>
    <b v="0"/>
    <m/>
  </r>
  <r>
    <s v="TK63662"/>
    <d v="2023-08-31T05:41:00"/>
    <s v="email"/>
    <x v="1"/>
    <x v="1"/>
    <s v="How do I add a teammate"/>
    <n v="194"/>
    <d v="2023-09-02T17:54:25"/>
    <b v="0"/>
    <m/>
  </r>
  <r>
    <s v="TK61839"/>
    <d v="2023-08-31T17:03:00"/>
    <s v="email"/>
    <x v="0"/>
    <x v="2"/>
    <s v="Issue with webhook deliveries failing"/>
    <n v="13"/>
    <d v="2023-08-31T19:30:51"/>
    <b v="0"/>
    <m/>
  </r>
  <r>
    <s v="TK61457"/>
    <d v="2023-08-31T18:23:00"/>
    <s v="phone"/>
    <x v="0"/>
    <x v="1"/>
    <s v="Cannot downgrade my plan"/>
    <n v="56"/>
    <d v="2023-08-31T21:13:04"/>
    <b v="0"/>
    <m/>
  </r>
  <r>
    <s v="TK61716"/>
    <d v="2023-08-31T20:21:00"/>
    <s v="in-app"/>
    <x v="0"/>
    <x v="1"/>
    <s v="Request to two-factor authentication"/>
    <n v="168"/>
    <d v="2023-08-31T23:38:18"/>
    <b v="0"/>
    <m/>
  </r>
  <r>
    <s v="TK60886"/>
    <d v="2023-08-31T21:23:00"/>
    <s v="email"/>
    <x v="2"/>
    <x v="0"/>
    <s v="Cannot two-factor authentication"/>
    <n v="150"/>
    <d v="2023-09-01T12:37:23"/>
    <b v="0"/>
    <m/>
  </r>
  <r>
    <s v="TK62038"/>
    <d v="2023-09-01T04:23:00"/>
    <s v="in-app"/>
    <x v="3"/>
    <x v="3"/>
    <s v="Cannot connecting the Snowflake sync"/>
    <n v="352"/>
    <d v="2023-09-02T07:39:44"/>
    <b v="0"/>
    <n v="5"/>
  </r>
  <r>
    <s v="TK61102"/>
    <d v="2023-09-01T06:10:00"/>
    <s v="in-app"/>
    <x v="1"/>
    <x v="0"/>
    <s v="How do I downgrade my plan"/>
    <n v="20"/>
    <d v="2023-09-02T09:02:26"/>
    <b v="0"/>
    <n v="3"/>
  </r>
  <r>
    <s v="TK60363"/>
    <d v="2023-09-01T06:31:00"/>
    <s v="email"/>
    <x v="4"/>
    <x v="0"/>
    <s v="Unable to the dashboard loading slowly"/>
    <n v="6"/>
    <d v="2023-09-01T17:58:43"/>
    <b v="0"/>
    <m/>
  </r>
  <r>
    <s v="TK61215"/>
    <d v="2023-09-01T07:32:00"/>
    <s v="chat"/>
    <x v="3"/>
    <x v="3"/>
    <s v="How do I downgrade my plan"/>
    <n v="1176"/>
    <d v="2023-09-07T15:20:32"/>
    <b v="0"/>
    <n v="4"/>
  </r>
  <r>
    <s v="TK61684"/>
    <d v="2023-09-01T09:47:00"/>
    <s v="chat"/>
    <x v="1"/>
    <x v="0"/>
    <s v="How do I export my data"/>
    <n v="17"/>
    <d v="2023-09-01T15:14:06"/>
    <b v="0"/>
    <m/>
  </r>
  <r>
    <s v="TK63340"/>
    <d v="2023-09-01T11:49:00"/>
    <s v="email"/>
    <x v="0"/>
    <x v="1"/>
    <s v="Cannot a duplicate charge"/>
    <n v="223"/>
    <d v="2023-09-04T20:03:17"/>
    <b v="0"/>
    <m/>
  </r>
  <r>
    <s v="TK63338"/>
    <d v="2023-09-01T17:26:00"/>
    <s v="phone"/>
    <x v="2"/>
    <x v="1"/>
    <s v="Error when the dashboard loading slowly"/>
    <m/>
    <d v="2023-09-02T21:27:49"/>
    <b v="1"/>
    <m/>
  </r>
  <r>
    <s v="TK62382"/>
    <d v="2023-09-01T19:55:00"/>
    <s v="in-app"/>
    <x v="2"/>
    <x v="3"/>
    <s v="Request to connecting the Snowflake sync"/>
    <n v="70"/>
    <d v="2023-09-02T23:29:27"/>
    <b v="0"/>
    <m/>
  </r>
  <r>
    <s v="TK63237"/>
    <d v="2023-09-01T20:04:00"/>
    <s v="chat"/>
    <x v="4"/>
    <x v="0"/>
    <s v="Issue with add a teammate"/>
    <n v="15"/>
    <d v="2023-09-02T18:32:35"/>
    <b v="0"/>
    <m/>
  </r>
  <r>
    <s v="TK62190"/>
    <d v="2023-09-01T21:47:00"/>
    <s v="email"/>
    <x v="2"/>
    <x v="2"/>
    <s v="Unable to the invoice for last month"/>
    <n v="10"/>
    <d v="2023-09-02T00:44:01"/>
    <b v="0"/>
    <m/>
  </r>
  <r>
    <s v="TK63834"/>
    <d v="2023-09-01T23:20:00"/>
    <s v="in-app"/>
    <x v="4"/>
    <x v="1"/>
    <s v="Request to two-factor authentication"/>
    <n v="183"/>
    <d v="2023-09-05T07:19:58"/>
    <b v="0"/>
    <n v="4"/>
  </r>
  <r>
    <s v="TK62955"/>
    <d v="2023-09-01T23:37:00"/>
    <s v="chat"/>
    <x v="3"/>
    <x v="1"/>
    <s v="Error when log in after password reset"/>
    <m/>
    <d v="2023-09-04T13:15:13"/>
    <b v="0"/>
    <n v="5"/>
  </r>
  <r>
    <s v="TK60785"/>
    <d v="2023-09-01T23:45:00"/>
    <s v="chat"/>
    <x v="4"/>
    <x v="2"/>
    <s v="Unable to a duplicate charge"/>
    <n v="15"/>
    <d v="2023-09-02T01:58:45"/>
    <b v="0"/>
    <n v="5"/>
  </r>
  <r>
    <s v="TK61609"/>
    <d v="2023-09-02T05:53:00"/>
    <s v="email"/>
    <x v="1"/>
    <x v="1"/>
    <s v="Request to two-factor authentication"/>
    <n v="66"/>
    <d v="2023-09-03T02:52:07"/>
    <b v="0"/>
    <m/>
  </r>
  <r>
    <s v="TK62527"/>
    <d v="2023-09-02T06:08:00"/>
    <s v="phone"/>
    <x v="0"/>
    <x v="1"/>
    <s v="How do I two-factor authentication"/>
    <n v="318"/>
    <d v="2023-09-05T20:36:54"/>
    <b v="0"/>
    <m/>
  </r>
  <r>
    <s v="TK61502"/>
    <d v="2023-09-02T06:35:00"/>
    <s v="email"/>
    <x v="2"/>
    <x v="1"/>
    <s v="Error when two-factor authentication"/>
    <n v="274"/>
    <d v="2023-09-02T09:28:55"/>
    <b v="0"/>
    <m/>
  </r>
  <r>
    <s v="TK62232"/>
    <d v="2023-09-02T11:10:00"/>
    <s v="chat"/>
    <x v="1"/>
    <x v="1"/>
    <s v="Request to the invoice for last month"/>
    <n v="26"/>
    <d v="2023-09-03T09:44:02"/>
    <b v="0"/>
    <m/>
  </r>
  <r>
    <s v="TK62567"/>
    <d v="2023-09-02T12:30:00"/>
    <s v="chat"/>
    <x v="2"/>
    <x v="1"/>
    <s v="Unable to add a teammate"/>
    <n v="37"/>
    <d v="2023-09-03T18:26:55"/>
    <b v="0"/>
    <m/>
  </r>
  <r>
    <s v="TK62030"/>
    <d v="2023-09-02T13:49:00"/>
    <s v="phone"/>
    <x v="4"/>
    <x v="1"/>
    <s v="Cannot a duplicate charge"/>
    <n v="176"/>
    <d v="2023-09-04T12:42:40"/>
    <b v="0"/>
    <n v="5"/>
  </r>
  <r>
    <s v="TK60975"/>
    <d v="2023-09-02T16:43:00"/>
    <s v="in-app"/>
    <x v="4"/>
    <x v="1"/>
    <s v="Issue with webhook deliveries failing"/>
    <n v="292"/>
    <d v="2023-09-04T07:44:33"/>
    <b v="0"/>
    <m/>
  </r>
  <r>
    <s v="TK61714"/>
    <d v="2023-09-02T20:58:00"/>
    <s v="chat"/>
    <x v="1"/>
    <x v="0"/>
    <s v="How do I two-factor authentication"/>
    <n v="27"/>
    <d v="2023-09-03T04:12:42"/>
    <b v="0"/>
    <m/>
  </r>
  <r>
    <s v="TK62806"/>
    <d v="2023-09-02T21:44:00"/>
    <s v="email"/>
    <x v="2"/>
    <x v="3"/>
    <s v="Request to a refund for an annual plan"/>
    <n v="13"/>
    <d v="2023-09-03T17:56:51"/>
    <b v="0"/>
    <n v="5"/>
  </r>
  <r>
    <s v="TK63773"/>
    <d v="2023-09-03T01:16:00"/>
    <s v="phone"/>
    <x v="1"/>
    <x v="1"/>
    <s v="Request to a refund for an annual plan"/>
    <n v="34"/>
    <d v="2023-09-04T10:59:14"/>
    <b v="0"/>
    <n v="4"/>
  </r>
  <r>
    <s v="TK61762"/>
    <d v="2023-09-03T02:06:00"/>
    <s v="email"/>
    <x v="4"/>
    <x v="3"/>
    <s v="Issue with downgrade my plan"/>
    <n v="965"/>
    <d v="2023-09-10T08:11:21"/>
    <b v="0"/>
    <n v="5"/>
  </r>
  <r>
    <s v="TK60275"/>
    <d v="2023-09-03T02:44:00"/>
    <s v="chat"/>
    <x v="4"/>
    <x v="0"/>
    <s v="Request to connecting the Snowflake sync"/>
    <n v="12"/>
    <d v="2023-09-04T18:45:17"/>
    <b v="0"/>
    <n v="5"/>
  </r>
  <r>
    <s v="TK61029"/>
    <d v="2023-09-03T03:22:00"/>
    <s v="email"/>
    <x v="3"/>
    <x v="1"/>
    <s v="Question about the API rate limit"/>
    <n v="27"/>
    <d v="2023-09-08T06:43:48"/>
    <b v="0"/>
    <m/>
  </r>
  <r>
    <s v="TK63842"/>
    <d v="2023-09-03T08:06:00"/>
    <s v="phone"/>
    <x v="3"/>
    <x v="3"/>
    <s v="Cannot connecting the Snowflake sync"/>
    <n v="95"/>
    <d v="2023-09-04T11:04:28"/>
    <b v="0"/>
    <n v="4"/>
  </r>
  <r>
    <s v="TK63590"/>
    <d v="2023-09-03T12:06:00"/>
    <s v="email"/>
    <x v="0"/>
    <x v="1"/>
    <s v="Error when log in after password reset"/>
    <n v="367"/>
    <d v="2023-09-03T17:55:51"/>
    <b v="0"/>
    <n v="4"/>
  </r>
  <r>
    <s v="TK60046"/>
    <d v="2023-09-03T12:34:00"/>
    <s v="in-app"/>
    <x v="1"/>
    <x v="1"/>
    <s v="Cannot the invoice for last month"/>
    <n v="75"/>
    <d v="2023-09-04T02:04:04"/>
    <b v="0"/>
    <n v="1"/>
  </r>
  <r>
    <s v="TK63652"/>
    <d v="2023-09-03T15:41:00"/>
    <s v="in-app"/>
    <x v="2"/>
    <x v="1"/>
    <s v="How do I the invoice for last month"/>
    <n v="71"/>
    <d v="2023-09-05T03:41:51"/>
    <b v="0"/>
    <m/>
  </r>
  <r>
    <s v="TK61392"/>
    <d v="2023-09-03T17:42:00"/>
    <s v="chat"/>
    <x v="0"/>
    <x v="0"/>
    <s v="How do I webhook deliveries failing"/>
    <n v="16"/>
    <d v="2023-09-03T19:10:08"/>
    <b v="0"/>
    <n v="4"/>
  </r>
  <r>
    <s v="TK63386"/>
    <d v="2023-09-03T18:06:00"/>
    <s v="in-app"/>
    <x v="3"/>
    <x v="1"/>
    <s v="Error when a refund for an annual plan"/>
    <n v="69"/>
    <d v="2023-09-05T22:05:28"/>
    <b v="0"/>
    <n v="5"/>
  </r>
  <r>
    <s v="TK62967"/>
    <d v="2023-09-03T22:32:00"/>
    <s v="chat"/>
    <x v="1"/>
    <x v="0"/>
    <s v="Error when the dashboard loading slowly"/>
    <n v="98"/>
    <d v="2023-09-04T02:17:37"/>
    <b v="0"/>
    <m/>
  </r>
  <r>
    <s v="TK63527"/>
    <d v="2023-09-04T03:47:00"/>
    <s v="in-app"/>
    <x v="3"/>
    <x v="1"/>
    <s v="Request to the invoice for last month"/>
    <n v="40"/>
    <d v="2023-09-04T23:48:33"/>
    <b v="0"/>
    <m/>
  </r>
  <r>
    <s v="TK63153"/>
    <d v="2023-09-04T19:10:00"/>
    <s v="email"/>
    <x v="4"/>
    <x v="0"/>
    <s v="Unable to export my data"/>
    <n v="25"/>
    <d v="2023-09-05T19:06:56"/>
    <b v="0"/>
    <n v="5"/>
  </r>
  <r>
    <s v="TK62471"/>
    <d v="2023-09-04T19:19:00"/>
    <s v="chat"/>
    <x v="3"/>
    <x v="1"/>
    <s v="Unable to add a teammate"/>
    <n v="47"/>
    <d v="2023-09-08T10:16:00"/>
    <b v="0"/>
    <m/>
  </r>
  <r>
    <s v="TK62234"/>
    <d v="2023-09-04T20:19:00"/>
    <s v="email"/>
    <x v="2"/>
    <x v="0"/>
    <s v="Request to webhook deliveries failing"/>
    <n v="40"/>
    <d v="2023-09-04T21:14:14"/>
    <b v="0"/>
    <m/>
  </r>
  <r>
    <s v="TK61220"/>
    <d v="2023-09-04T21:27:00"/>
    <s v="email"/>
    <x v="3"/>
    <x v="1"/>
    <s v="Question about the API rate limit"/>
    <n v="202"/>
    <d v="2023-09-06T01:03:57"/>
    <b v="0"/>
    <m/>
  </r>
  <r>
    <s v="TK60849"/>
    <d v="2023-09-04T23:38:00"/>
    <s v="in-app"/>
    <x v="4"/>
    <x v="1"/>
    <s v="Issue with the API rate limit"/>
    <n v="81"/>
    <d v="2023-09-06T17:52:31"/>
    <b v="1"/>
    <m/>
  </r>
  <r>
    <s v="TK63967"/>
    <d v="2023-09-05T01:07:00"/>
    <s v="in-app"/>
    <x v="2"/>
    <x v="0"/>
    <s v="Unable to add a teammate"/>
    <n v="19"/>
    <d v="2023-09-05T06:58:04"/>
    <b v="0"/>
    <n v="5"/>
  </r>
  <r>
    <s v="TK60660"/>
    <d v="2023-09-05T01:34:00"/>
    <s v="chat"/>
    <x v="3"/>
    <x v="2"/>
    <s v="Request to downgrade my plan"/>
    <n v="58"/>
    <d v="2023-09-07T05:59:15"/>
    <b v="0"/>
    <n v="5"/>
  </r>
  <r>
    <s v="TK60537"/>
    <d v="2023-09-05T02:19:00"/>
    <s v="chat"/>
    <x v="1"/>
    <x v="0"/>
    <s v="How do I connecting the Snowflake sync"/>
    <n v="10"/>
    <d v="2023-09-06T01:03:24"/>
    <b v="0"/>
    <m/>
  </r>
  <r>
    <s v="TK62644"/>
    <d v="2023-09-05T08:38:00"/>
    <s v="phone"/>
    <x v="2"/>
    <x v="3"/>
    <s v="Cannot a duplicate charge"/>
    <n v="856"/>
    <d v="2023-09-08T10:31:19"/>
    <b v="0"/>
    <n v="4"/>
  </r>
  <r>
    <s v="TK60375"/>
    <d v="2023-09-05T09:53:00"/>
    <s v="email"/>
    <x v="3"/>
    <x v="3"/>
    <s v="How do I two-factor authentication"/>
    <n v="138"/>
    <d v="2023-09-09T07:11:01"/>
    <b v="0"/>
    <m/>
  </r>
  <r>
    <s v="TK63753"/>
    <d v="2023-09-05T10:05:00"/>
    <s v="phone"/>
    <x v="1"/>
    <x v="0"/>
    <s v="Cannot the invoice for last month"/>
    <n v="80"/>
    <d v="2023-09-05T12:38:14"/>
    <b v="0"/>
    <m/>
  </r>
  <r>
    <s v="TK61059"/>
    <d v="2023-09-05T12:12:00"/>
    <s v="in-app"/>
    <x v="3"/>
    <x v="3"/>
    <s v="Cannot the invoice for last month"/>
    <n v="544"/>
    <d v="2023-09-09T07:21:06"/>
    <b v="0"/>
    <n v="4"/>
  </r>
  <r>
    <s v="TK63525"/>
    <d v="2023-09-05T13:46:00"/>
    <s v="email"/>
    <x v="0"/>
    <x v="3"/>
    <s v="Question about a refund for an annual plan"/>
    <n v="390"/>
    <d v="2023-09-13T04:58:47"/>
    <b v="0"/>
    <m/>
  </r>
  <r>
    <s v="TK61413"/>
    <d v="2023-09-05T15:12:00"/>
    <s v="chat"/>
    <x v="3"/>
    <x v="1"/>
    <s v="Request to export my data"/>
    <n v="48"/>
    <d v="2023-09-06T01:51:55"/>
    <b v="0"/>
    <m/>
  </r>
  <r>
    <s v="TK63710"/>
    <d v="2023-09-05T17:34:00"/>
    <s v="chat"/>
    <x v="1"/>
    <x v="1"/>
    <s v="Unable to the invoice for last month"/>
    <n v="48"/>
    <d v="2023-09-06T03:51:59"/>
    <b v="0"/>
    <n v="2"/>
  </r>
  <r>
    <s v="TK63061"/>
    <d v="2023-09-05T19:27:00"/>
    <s v="chat"/>
    <x v="0"/>
    <x v="3"/>
    <s v="Error when the invoice for last month"/>
    <n v="156"/>
    <d v="2023-09-14T09:37:38"/>
    <b v="0"/>
    <n v="5"/>
  </r>
  <r>
    <s v="TK62941"/>
    <d v="2023-09-05T23:30:00"/>
    <s v="phone"/>
    <x v="2"/>
    <x v="1"/>
    <s v="Issue with downgrade my plan"/>
    <n v="305"/>
    <d v="2023-09-07T03:16:40"/>
    <b v="0"/>
    <n v="5"/>
  </r>
  <r>
    <s v="TK60185"/>
    <d v="2023-09-05T23:38:00"/>
    <s v="email"/>
    <x v="0"/>
    <x v="3"/>
    <s v="Cannot add a teammate"/>
    <n v="115"/>
    <d v="2023-09-06T06:23:31"/>
    <b v="0"/>
    <m/>
  </r>
  <r>
    <s v="TK61047"/>
    <d v="2023-09-06T01:05:00"/>
    <s v="in-app"/>
    <x v="0"/>
    <x v="0"/>
    <s v="Question about add a teammate"/>
    <n v="45"/>
    <d v="2023-09-06T18:45:24"/>
    <b v="0"/>
    <n v="4"/>
  </r>
  <r>
    <s v="TK60800"/>
    <d v="2023-09-06T09:09:00"/>
    <s v="chat"/>
    <x v="4"/>
    <x v="1"/>
    <s v="Question about a refund for an annual plan"/>
    <n v="85"/>
    <d v="2023-09-06T10:18:58"/>
    <b v="0"/>
    <n v="5"/>
  </r>
  <r>
    <s v="TK61591"/>
    <d v="2023-09-06T09:59:00"/>
    <s v="chat"/>
    <x v="0"/>
    <x v="2"/>
    <s v="Cannot the API rate limit"/>
    <n v="77"/>
    <d v="2023-09-06T21:12:35"/>
    <b v="0"/>
    <m/>
  </r>
  <r>
    <s v="TK62452"/>
    <d v="2023-09-06T20:24:00"/>
    <s v="email"/>
    <x v="1"/>
    <x v="1"/>
    <s v="Question about the dashboard loading slowly"/>
    <n v="25"/>
    <d v="2023-09-07T11:54:13"/>
    <b v="0"/>
    <n v="3"/>
  </r>
  <r>
    <s v="TK60435"/>
    <d v="2023-09-06T21:47:00"/>
    <s v="chat"/>
    <x v="1"/>
    <x v="0"/>
    <s v="Error when add a teammate"/>
    <n v="17"/>
    <m/>
    <b v="0"/>
    <m/>
  </r>
  <r>
    <s v="TK62186"/>
    <d v="2023-09-07T03:38:00"/>
    <s v="chat"/>
    <x v="1"/>
    <x v="0"/>
    <s v="Cannot the dashboard loading slowly"/>
    <n v="49"/>
    <d v="2023-09-08T12:10:12"/>
    <b v="0"/>
    <n v="1"/>
  </r>
  <r>
    <s v="TK61295"/>
    <d v="2023-09-07T10:29:00"/>
    <s v="in-app"/>
    <x v="2"/>
    <x v="1"/>
    <s v="Unable to a refund for an annual plan"/>
    <n v="22"/>
    <d v="2023-09-08T09:22:37"/>
    <b v="0"/>
    <m/>
  </r>
  <r>
    <s v="TK61482"/>
    <d v="2023-09-07T16:58:00"/>
    <s v="email"/>
    <x v="4"/>
    <x v="1"/>
    <s v="Issue with a refund for an annual plan"/>
    <n v="56"/>
    <d v="2023-09-10T22:33:40"/>
    <b v="0"/>
    <n v="4"/>
  </r>
  <r>
    <s v="TK63595"/>
    <d v="2023-09-07T17:49:00"/>
    <s v="email"/>
    <x v="2"/>
    <x v="3"/>
    <s v="Issue with connecting the Snowflake sync"/>
    <n v="218"/>
    <d v="2023-09-15T17:02:22"/>
    <b v="0"/>
    <n v="5"/>
  </r>
  <r>
    <s v="TK60841"/>
    <d v="2023-09-07T19:57:00"/>
    <s v="in-app"/>
    <x v="1"/>
    <x v="2"/>
    <s v="Unable to a duplicate charge"/>
    <n v="12"/>
    <d v="2023-09-08T02:02:22"/>
    <b v="0"/>
    <m/>
  </r>
  <r>
    <s v="TK61908"/>
    <d v="2023-09-07T21:31:00"/>
    <s v="in-app"/>
    <x v="0"/>
    <x v="3"/>
    <s v="How do I downgrade my plan"/>
    <n v="433"/>
    <d v="2023-09-09T07:55:57"/>
    <b v="0"/>
    <m/>
  </r>
  <r>
    <s v="TK62447"/>
    <d v="2023-09-08T05:17:00"/>
    <s v="in-app"/>
    <x v="4"/>
    <x v="1"/>
    <s v="Unable to log in after password reset"/>
    <n v="37"/>
    <d v="2023-09-08T22:48:22"/>
    <b v="0"/>
    <m/>
  </r>
  <r>
    <s v="TK63904"/>
    <d v="2023-09-08T06:42:00"/>
    <s v="email"/>
    <x v="0"/>
    <x v="1"/>
    <s v="Unable to export my data"/>
    <n v="240"/>
    <d v="2023-09-09T00:16:38"/>
    <b v="0"/>
    <m/>
  </r>
  <r>
    <s v="TK61649"/>
    <d v="2023-09-08T11:27:00"/>
    <s v="chat"/>
    <x v="4"/>
    <x v="1"/>
    <s v="Cannot a refund for an annual plan"/>
    <n v="223"/>
    <d v="2023-09-09T01:29:01"/>
    <b v="0"/>
    <m/>
  </r>
  <r>
    <s v="TK60243"/>
    <d v="2023-09-09T00:41:00"/>
    <s v="email"/>
    <x v="0"/>
    <x v="1"/>
    <s v="Unable to the invoice for last month"/>
    <n v="40"/>
    <d v="2023-09-10T00:37:54"/>
    <b v="0"/>
    <m/>
  </r>
  <r>
    <s v="TK62206"/>
    <d v="2023-09-09T01:03:00"/>
    <s v="email"/>
    <x v="0"/>
    <x v="3"/>
    <s v="Issue with export my data"/>
    <n v="418"/>
    <d v="2023-09-09T03:42:45"/>
    <b v="0"/>
    <m/>
  </r>
  <r>
    <s v="TK62721"/>
    <d v="2023-09-09T10:44:00"/>
    <s v="in-app"/>
    <x v="4"/>
    <x v="3"/>
    <s v="Question about connecting the Snowflake sync"/>
    <n v="423"/>
    <d v="2023-09-11T02:37:09"/>
    <b v="0"/>
    <n v="4"/>
  </r>
  <r>
    <s v="TK61486"/>
    <d v="2023-09-09T11:17:00"/>
    <s v="email"/>
    <x v="1"/>
    <x v="0"/>
    <s v="Request to the API rate limit"/>
    <n v="89"/>
    <d v="2023-09-09T20:05:59"/>
    <b v="0"/>
    <m/>
  </r>
  <r>
    <s v="TK62195"/>
    <d v="2023-09-09T17:52:00"/>
    <s v="chat"/>
    <x v="1"/>
    <x v="1"/>
    <s v="Question about log in after password reset"/>
    <n v="57"/>
    <d v="2023-09-18T17:09:17"/>
    <b v="0"/>
    <n v="5"/>
  </r>
  <r>
    <s v="TK61665"/>
    <d v="2023-09-09T19:44:00"/>
    <s v="email"/>
    <x v="1"/>
    <x v="0"/>
    <s v="How do I a refund for an annual plan"/>
    <n v="28"/>
    <d v="2023-09-12T08:39:02"/>
    <b v="0"/>
    <m/>
  </r>
  <r>
    <s v="TK60725"/>
    <d v="2023-09-09T22:14:00"/>
    <s v="chat"/>
    <x v="1"/>
    <x v="1"/>
    <s v="Question about the invoice for last month"/>
    <n v="102"/>
    <d v="2023-09-13T15:05:45"/>
    <b v="0"/>
    <n v="2"/>
  </r>
  <r>
    <s v="TK61818"/>
    <d v="2023-09-09T22:56:00"/>
    <s v="email"/>
    <x v="2"/>
    <x v="3"/>
    <s v="Request to a refund for an annual plan"/>
    <n v="151"/>
    <d v="2023-09-20T10:25:45"/>
    <b v="0"/>
    <n v="4"/>
  </r>
  <r>
    <s v="TK60157"/>
    <d v="2023-09-09T23:25:00"/>
    <s v="chat"/>
    <x v="0"/>
    <x v="1"/>
    <s v="Unable to the invoice for last month"/>
    <n v="7"/>
    <d v="2023-09-12T16:02:12"/>
    <b v="1"/>
    <m/>
  </r>
  <r>
    <s v="TK63647"/>
    <d v="2023-09-10T08:39:00"/>
    <s v="chat"/>
    <x v="4"/>
    <x v="0"/>
    <s v="Request to the dashboard loading slowly"/>
    <n v="51"/>
    <d v="2023-09-11T00:52:00"/>
    <b v="0"/>
    <m/>
  </r>
  <r>
    <s v="TK61030"/>
    <d v="2023-09-10T09:25:00"/>
    <s v="in-app"/>
    <x v="2"/>
    <x v="3"/>
    <s v="Question about add a teammate"/>
    <n v="69"/>
    <d v="2023-09-10T23:23:16"/>
    <b v="0"/>
    <n v="2"/>
  </r>
  <r>
    <s v="TK61150"/>
    <d v="2023-09-10T20:32:00"/>
    <s v="phone"/>
    <x v="1"/>
    <x v="1"/>
    <s v="Question about a refund for an annual plan"/>
    <n v="196"/>
    <d v="2023-09-11T01:10:19"/>
    <b v="0"/>
    <m/>
  </r>
  <r>
    <s v="TK60563"/>
    <d v="2023-09-10T21:13:00"/>
    <s v="email"/>
    <x v="1"/>
    <x v="3"/>
    <s v="Unable to the dashboard loading slowly"/>
    <n v="231"/>
    <d v="2023-09-30T07:20:15"/>
    <b v="0"/>
    <m/>
  </r>
  <r>
    <s v="TK62723"/>
    <d v="2023-09-11T01:37:00"/>
    <s v="chat"/>
    <x v="2"/>
    <x v="2"/>
    <s v="Error when the dashboard loading slowly"/>
    <n v="9"/>
    <d v="2023-09-11T03:41:18"/>
    <b v="1"/>
    <m/>
  </r>
  <r>
    <s v="TK61809"/>
    <d v="2023-09-11T05:13:00"/>
    <s v="in-app"/>
    <x v="0"/>
    <x v="3"/>
    <s v="Issue with a duplicate charge"/>
    <n v="102"/>
    <d v="2023-10-15T02:24:09"/>
    <b v="1"/>
    <n v="5"/>
  </r>
  <r>
    <s v="TK60025"/>
    <d v="2023-09-11T07:47:00"/>
    <s v="email"/>
    <x v="2"/>
    <x v="1"/>
    <s v="Issue with downgrade my plan"/>
    <n v="283"/>
    <d v="2023-09-12T09:28:51"/>
    <b v="0"/>
    <m/>
  </r>
  <r>
    <s v="TK60314"/>
    <d v="2023-09-11T09:02:00"/>
    <s v="phone"/>
    <x v="3"/>
    <x v="1"/>
    <s v="Unable to downgrade my plan"/>
    <n v="190"/>
    <d v="2023-09-15T11:40:35"/>
    <b v="0"/>
    <m/>
  </r>
  <r>
    <s v="TK62605"/>
    <d v="2023-09-11T12:21:00"/>
    <s v="chat"/>
    <x v="2"/>
    <x v="1"/>
    <s v="Cannot log in after password reset"/>
    <n v="59"/>
    <d v="2023-09-13T10:37:17"/>
    <b v="0"/>
    <n v="5"/>
  </r>
  <r>
    <s v="TK61795"/>
    <d v="2023-09-11T13:07:00"/>
    <s v="chat"/>
    <x v="4"/>
    <x v="0"/>
    <s v="Question about the invoice for last month"/>
    <n v="40"/>
    <d v="2023-09-12T09:37:28"/>
    <b v="0"/>
    <n v="2"/>
  </r>
  <r>
    <s v="TK61054"/>
    <d v="2023-09-11T16:18:00"/>
    <s v="chat"/>
    <x v="1"/>
    <x v="0"/>
    <s v="Error when connecting the Snowflake sync"/>
    <n v="46"/>
    <d v="2023-09-12T03:52:22"/>
    <b v="0"/>
    <m/>
  </r>
  <r>
    <s v="TK61276"/>
    <d v="2023-09-12T01:42:00"/>
    <s v="in-app"/>
    <x v="1"/>
    <x v="3"/>
    <s v="Unable to the API rate limit"/>
    <n v="104"/>
    <d v="2023-09-14T21:18:45"/>
    <b v="0"/>
    <m/>
  </r>
  <r>
    <s v="TK60257"/>
    <d v="2023-09-12T01:57:00"/>
    <s v="in-app"/>
    <x v="1"/>
    <x v="1"/>
    <s v="Cannot log in after password reset"/>
    <n v="489"/>
    <d v="2023-09-18T08:09:15"/>
    <b v="0"/>
    <m/>
  </r>
  <r>
    <s v="TK63360"/>
    <d v="2023-09-12T07:46:00"/>
    <s v="chat"/>
    <x v="3"/>
    <x v="1"/>
    <s v="Error when log in after password reset"/>
    <m/>
    <d v="2023-09-13T05:03:51"/>
    <b v="0"/>
    <m/>
  </r>
  <r>
    <s v="TK60916"/>
    <d v="2023-09-12T12:39:00"/>
    <s v="in-app"/>
    <x v="3"/>
    <x v="0"/>
    <s v="Request to export my data"/>
    <n v="36"/>
    <d v="2023-09-13T00:48:11"/>
    <b v="0"/>
    <n v="5"/>
  </r>
  <r>
    <s v="TK61461"/>
    <d v="2023-09-12T19:31:00"/>
    <s v="email"/>
    <x v="1"/>
    <x v="3"/>
    <s v="Unable to the dashboard loading slowly"/>
    <n v="69"/>
    <d v="2023-09-15T09:07:56"/>
    <b v="0"/>
    <n v="5"/>
  </r>
  <r>
    <s v="TK61600"/>
    <d v="2023-09-12T21:04:00"/>
    <s v="phone"/>
    <x v="2"/>
    <x v="1"/>
    <s v="Issue with connecting the Snowflake sync"/>
    <n v="641"/>
    <d v="2023-09-13T05:48:17"/>
    <b v="1"/>
    <m/>
  </r>
  <r>
    <s v="TK62821"/>
    <d v="2023-09-12T23:18:00"/>
    <s v="email"/>
    <x v="4"/>
    <x v="3"/>
    <s v="Request to connecting the Snowflake sync"/>
    <n v="333"/>
    <d v="2023-09-14T04:22:03"/>
    <b v="0"/>
    <m/>
  </r>
  <r>
    <s v="TK61633"/>
    <d v="2023-09-13T00:05:00"/>
    <s v="email"/>
    <x v="1"/>
    <x v="1"/>
    <s v="Unable to the dashboard loading slowly"/>
    <n v="38"/>
    <d v="2023-09-13T03:38:45"/>
    <b v="0"/>
    <m/>
  </r>
  <r>
    <s v="TK61686"/>
    <d v="2023-09-13T01:33:00"/>
    <s v="email"/>
    <x v="4"/>
    <x v="3"/>
    <s v="Cannot a refund for an annual plan"/>
    <n v="50"/>
    <d v="2023-09-13T03:57:53"/>
    <b v="0"/>
    <n v="4"/>
  </r>
  <r>
    <s v="TK60754"/>
    <d v="2023-09-13T10:39:00"/>
    <s v="chat"/>
    <x v="0"/>
    <x v="2"/>
    <s v="How do I the API rate limit"/>
    <n v="5"/>
    <d v="2023-09-13T20:49:02"/>
    <b v="0"/>
    <m/>
  </r>
  <r>
    <s v="TK63351"/>
    <d v="2023-09-13T12:42:00"/>
    <s v="chat"/>
    <x v="2"/>
    <x v="2"/>
    <s v="Unable to two-factor authentication"/>
    <n v="57"/>
    <m/>
    <b v="0"/>
    <m/>
  </r>
  <r>
    <s v="TK62939"/>
    <d v="2023-09-13T14:09:00"/>
    <s v="chat"/>
    <x v="1"/>
    <x v="2"/>
    <s v="Request to export my data"/>
    <n v="11"/>
    <d v="2023-09-13T21:20:21"/>
    <b v="0"/>
    <m/>
  </r>
  <r>
    <s v="TK62208"/>
    <d v="2023-09-13T14:29:00"/>
    <s v="chat"/>
    <x v="2"/>
    <x v="3"/>
    <s v="How do I the invoice for last month"/>
    <n v="291"/>
    <d v="2023-09-13T17:25:50"/>
    <b v="0"/>
    <m/>
  </r>
  <r>
    <s v="TK61989"/>
    <d v="2023-09-13T16:09:00"/>
    <s v="chat"/>
    <x v="1"/>
    <x v="3"/>
    <s v="Cannot webhook deliveries failing"/>
    <n v="56"/>
    <d v="2023-09-14T10:42:58"/>
    <b v="0"/>
    <m/>
  </r>
  <r>
    <s v="TK60112"/>
    <d v="2023-09-13T18:17:00"/>
    <s v="chat"/>
    <x v="2"/>
    <x v="3"/>
    <s v="Request to the dashboard loading slowly"/>
    <n v="254"/>
    <d v="2023-09-16T18:37:50"/>
    <b v="0"/>
    <m/>
  </r>
  <r>
    <s v="TK63150"/>
    <d v="2023-09-13T21:05:00"/>
    <s v="chat"/>
    <x v="1"/>
    <x v="1"/>
    <s v="How do I two-factor authentication"/>
    <n v="569"/>
    <d v="2023-09-14T09:57:39"/>
    <b v="0"/>
    <m/>
  </r>
  <r>
    <s v="TK63701"/>
    <d v="2023-09-13T23:20:00"/>
    <s v="chat"/>
    <x v="4"/>
    <x v="1"/>
    <s v="Question about log in after password reset"/>
    <n v="27"/>
    <d v="2023-09-14T05:01:51"/>
    <b v="0"/>
    <n v="4"/>
  </r>
  <r>
    <s v="TK63047"/>
    <d v="2023-09-13T23:42:00"/>
    <s v="phone"/>
    <x v="1"/>
    <x v="2"/>
    <s v="How do I the invoice for last month"/>
    <n v="11"/>
    <d v="2023-09-14T00:13:50"/>
    <b v="0"/>
    <n v="5"/>
  </r>
  <r>
    <s v="TK60426"/>
    <d v="2023-09-14T04:46:00"/>
    <s v="email"/>
    <x v="4"/>
    <x v="1"/>
    <s v="Issue with the invoice for last month"/>
    <n v="114"/>
    <d v="2023-09-14T11:03:00"/>
    <b v="0"/>
    <m/>
  </r>
  <r>
    <s v="TK61698"/>
    <d v="2023-09-14T04:46:00"/>
    <s v="email"/>
    <x v="1"/>
    <x v="1"/>
    <s v="Request to connecting the Snowflake sync"/>
    <n v="223"/>
    <m/>
    <b v="0"/>
    <m/>
  </r>
  <r>
    <s v="TK63553"/>
    <d v="2023-09-14T05:24:00"/>
    <s v="in-app"/>
    <x v="0"/>
    <x v="1"/>
    <s v="How do I the dashboard loading slowly"/>
    <n v="53"/>
    <d v="2023-09-15T14:47:47"/>
    <b v="0"/>
    <m/>
  </r>
  <r>
    <s v="TK61243"/>
    <d v="2023-09-14T09:07:00"/>
    <s v="email"/>
    <x v="1"/>
    <x v="3"/>
    <s v="Question about the API rate limit"/>
    <n v="191"/>
    <d v="2023-09-16T05:31:12"/>
    <b v="0"/>
    <m/>
  </r>
  <r>
    <s v="TK63866"/>
    <d v="2023-09-14T09:59:00"/>
    <s v="email"/>
    <x v="4"/>
    <x v="0"/>
    <s v="Question about connecting the Snowflake sync"/>
    <n v="31"/>
    <d v="2023-09-14T12:37:05"/>
    <b v="0"/>
    <m/>
  </r>
  <r>
    <s v="TK61136"/>
    <d v="2023-09-15T08:01:00"/>
    <s v="chat"/>
    <x v="0"/>
    <x v="2"/>
    <s v="Cannot the API rate limit"/>
    <n v="7"/>
    <d v="2023-09-15T09:39:05"/>
    <b v="1"/>
    <n v="5"/>
  </r>
  <r>
    <s v="TK60021"/>
    <d v="2023-09-15T11:59:00"/>
    <s v="phone"/>
    <x v="1"/>
    <x v="1"/>
    <s v="Request to the API rate limit"/>
    <n v="47"/>
    <d v="2023-09-18T12:29:10"/>
    <b v="0"/>
    <m/>
  </r>
  <r>
    <s v="TK63377"/>
    <d v="2023-09-15T12:33:00"/>
    <s v="chat"/>
    <x v="1"/>
    <x v="0"/>
    <s v="Cannot log in after password reset"/>
    <n v="6"/>
    <d v="2023-09-16T09:14:44"/>
    <b v="0"/>
    <m/>
  </r>
  <r>
    <s v="TK61315"/>
    <d v="2023-09-15T12:46:00"/>
    <s v="phone"/>
    <x v="4"/>
    <x v="1"/>
    <s v="Request to two-factor authentication"/>
    <n v="406"/>
    <d v="2023-09-21T20:47:17"/>
    <b v="0"/>
    <n v="3"/>
  </r>
  <r>
    <s v="TK60934"/>
    <d v="2023-09-15T15:35:00"/>
    <s v="in-app"/>
    <x v="4"/>
    <x v="1"/>
    <s v="Unable to log in after password reset"/>
    <n v="436"/>
    <d v="2023-09-16T03:50:59"/>
    <b v="0"/>
    <n v="4"/>
  </r>
  <r>
    <s v="TK60519"/>
    <d v="2023-09-15T17:17:00"/>
    <s v="in-app"/>
    <x v="1"/>
    <x v="0"/>
    <s v="Unable to two-factor authentication"/>
    <n v="46"/>
    <d v="2023-09-16T23:55:04"/>
    <b v="0"/>
    <m/>
  </r>
  <r>
    <s v="TK63482"/>
    <d v="2023-09-16T05:51:00"/>
    <s v="in-app"/>
    <x v="3"/>
    <x v="1"/>
    <s v="Request to add a teammate"/>
    <n v="2076"/>
    <m/>
    <b v="0"/>
    <m/>
  </r>
  <r>
    <s v="TK63062"/>
    <d v="2023-09-16T07:20:00"/>
    <s v="email"/>
    <x v="1"/>
    <x v="3"/>
    <s v="Cannot downgrade my plan"/>
    <n v="150"/>
    <d v="2023-09-25T00:37:24"/>
    <b v="0"/>
    <m/>
  </r>
  <r>
    <s v="TK60611"/>
    <d v="2023-09-16T08:31:00"/>
    <s v="phone"/>
    <x v="0"/>
    <x v="3"/>
    <s v="How do I the dashboard loading slowly"/>
    <n v="187"/>
    <d v="2023-09-20T08:45:51"/>
    <b v="0"/>
    <m/>
  </r>
  <r>
    <s v="TK63209"/>
    <d v="2023-09-16T11:02:00"/>
    <s v="email"/>
    <x v="1"/>
    <x v="0"/>
    <s v="Cannot the invoice for last month"/>
    <n v="24"/>
    <d v="2023-09-17T03:55:49"/>
    <b v="0"/>
    <m/>
  </r>
  <r>
    <s v="TK62999"/>
    <d v="2023-09-16T12:29:00"/>
    <s v="email"/>
    <x v="2"/>
    <x v="1"/>
    <s v="Error when the dashboard loading slowly"/>
    <n v="56"/>
    <d v="2023-09-18T02:40:42"/>
    <b v="0"/>
    <n v="4"/>
  </r>
  <r>
    <s v="TK60217"/>
    <d v="2023-09-16T18:10:00"/>
    <s v="email"/>
    <x v="4"/>
    <x v="3"/>
    <s v="Request to a duplicate charge"/>
    <n v="92"/>
    <d v="2023-09-19T19:15:02"/>
    <b v="0"/>
    <n v="4"/>
  </r>
  <r>
    <s v="TK63752"/>
    <d v="2023-09-16T18:35:00"/>
    <s v="phone"/>
    <x v="2"/>
    <x v="1"/>
    <s v="Cannot add a teammate"/>
    <n v="341"/>
    <d v="2023-09-17T07:05:41"/>
    <b v="0"/>
    <n v="5"/>
  </r>
  <r>
    <s v="TK60231"/>
    <d v="2023-09-16T20:56:00"/>
    <s v="chat"/>
    <x v="1"/>
    <x v="0"/>
    <s v="Issue with the invoice for last month"/>
    <n v="171"/>
    <m/>
    <b v="0"/>
    <m/>
  </r>
  <r>
    <s v="TK62080"/>
    <d v="2023-09-16T22:30:00"/>
    <s v="chat"/>
    <x v="2"/>
    <x v="0"/>
    <s v="Error when webhook deliveries failing"/>
    <n v="306"/>
    <d v="2023-09-20T08:00:53"/>
    <b v="0"/>
    <m/>
  </r>
  <r>
    <s v="TK60665"/>
    <d v="2023-09-16T22:46:00"/>
    <s v="email"/>
    <x v="2"/>
    <x v="1"/>
    <s v="How do I the invoice for last month"/>
    <n v="271"/>
    <d v="2023-09-22T00:15:54"/>
    <b v="1"/>
    <m/>
  </r>
  <r>
    <s v="TK60431"/>
    <d v="2023-09-16T23:25:00"/>
    <s v="chat"/>
    <x v="3"/>
    <x v="1"/>
    <s v="Cannot a duplicate charge"/>
    <n v="162"/>
    <m/>
    <b v="0"/>
    <m/>
  </r>
  <r>
    <s v="TK60756"/>
    <d v="2023-09-17T03:33:00"/>
    <s v="in-app"/>
    <x v="1"/>
    <x v="1"/>
    <s v="Unable to two-factor authentication"/>
    <n v="424"/>
    <d v="2023-09-17T20:43:09"/>
    <b v="0"/>
    <m/>
  </r>
  <r>
    <s v="TK61180"/>
    <d v="2023-09-17T05:12:00"/>
    <s v="email"/>
    <x v="1"/>
    <x v="1"/>
    <s v="Unable to the dashboard loading slowly"/>
    <n v="271"/>
    <d v="2023-09-18T13:51:57"/>
    <b v="0"/>
    <m/>
  </r>
  <r>
    <s v="TK62993"/>
    <d v="2023-09-17T06:35:00"/>
    <s v="chat"/>
    <x v="0"/>
    <x v="1"/>
    <s v="Issue with a refund for an annual plan"/>
    <n v="92"/>
    <d v="2023-09-18T10:23:54"/>
    <b v="0"/>
    <n v="5"/>
  </r>
  <r>
    <s v="TK63464"/>
    <d v="2023-09-17T09:23:00"/>
    <s v="email"/>
    <x v="1"/>
    <x v="1"/>
    <s v="Question about two-factor authentication"/>
    <n v="25"/>
    <d v="2023-09-19T14:13:06"/>
    <b v="0"/>
    <n v="3"/>
  </r>
  <r>
    <s v="TK60774"/>
    <d v="2023-09-17T17:21:00"/>
    <s v="in-app"/>
    <x v="0"/>
    <x v="1"/>
    <s v="Error when the invoice for last month"/>
    <n v="215"/>
    <d v="2023-09-19T12:00:41"/>
    <b v="0"/>
    <n v="4"/>
  </r>
  <r>
    <s v="TK61676"/>
    <d v="2023-09-17T18:58:00"/>
    <s v="chat"/>
    <x v="4"/>
    <x v="1"/>
    <s v="How do I a duplicate charge"/>
    <n v="50"/>
    <d v="2023-09-18T02:51:08"/>
    <b v="0"/>
    <n v="5"/>
  </r>
  <r>
    <s v="TK61343"/>
    <d v="2023-09-17T23:24:00"/>
    <s v="chat"/>
    <x v="2"/>
    <x v="0"/>
    <s v="Error when downgrade my plan"/>
    <n v="37"/>
    <d v="2023-09-18T05:32:47"/>
    <b v="0"/>
    <m/>
  </r>
  <r>
    <s v="TK60456"/>
    <d v="2023-09-18T02:17:00"/>
    <s v="chat"/>
    <x v="2"/>
    <x v="0"/>
    <s v="Issue with log in after password reset"/>
    <n v="141"/>
    <d v="2023-09-18T12:44:27"/>
    <b v="0"/>
    <m/>
  </r>
  <r>
    <s v="TK61790"/>
    <d v="2023-09-18T17:16:00"/>
    <s v="email"/>
    <x v="1"/>
    <x v="0"/>
    <s v="Request to webhook deliveries failing"/>
    <n v="96"/>
    <d v="2023-09-19T09:59:58"/>
    <b v="0"/>
    <n v="5"/>
  </r>
  <r>
    <s v="TK62315"/>
    <d v="2023-09-18T18:31:00"/>
    <s v="in-app"/>
    <x v="2"/>
    <x v="1"/>
    <s v="Cannot add a teammate"/>
    <n v="55"/>
    <d v="2023-09-19T05:37:30"/>
    <b v="0"/>
    <n v="4"/>
  </r>
  <r>
    <s v="TK61974"/>
    <d v="2023-09-18T18:34:00"/>
    <s v="email"/>
    <x v="2"/>
    <x v="1"/>
    <s v="Issue with a duplicate charge"/>
    <n v="70"/>
    <d v="2023-09-18T21:12:24"/>
    <b v="1"/>
    <m/>
  </r>
  <r>
    <s v="TK60168"/>
    <d v="2023-09-19T01:44:00"/>
    <s v="chat"/>
    <x v="1"/>
    <x v="3"/>
    <s v="Issue with a duplicate charge"/>
    <n v="450"/>
    <d v="2023-10-06T12:50:27"/>
    <b v="0"/>
    <m/>
  </r>
  <r>
    <s v="TK62487"/>
    <d v="2023-09-19T06:21:00"/>
    <s v="email"/>
    <x v="1"/>
    <x v="1"/>
    <s v="Issue with the dashboard loading slowly"/>
    <n v="66"/>
    <d v="2023-09-28T11:08:38"/>
    <b v="0"/>
    <m/>
  </r>
  <r>
    <s v="TK62366"/>
    <d v="2023-09-19T07:20:00"/>
    <s v="email"/>
    <x v="3"/>
    <x v="1"/>
    <s v="Error when log in after password reset"/>
    <n v="23"/>
    <d v="2023-09-30T03:33:15"/>
    <b v="0"/>
    <m/>
  </r>
  <r>
    <s v="TK63098"/>
    <d v="2023-09-19T11:12:00"/>
    <s v="in-app"/>
    <x v="0"/>
    <x v="2"/>
    <s v="Unable to the dashboard loading slowly"/>
    <n v="21"/>
    <d v="2023-09-19T12:56:23"/>
    <b v="0"/>
    <m/>
  </r>
  <r>
    <s v="TK62226"/>
    <d v="2023-09-19T12:29:00"/>
    <s v="email"/>
    <x v="2"/>
    <x v="2"/>
    <s v="Cannot a refund for an annual plan"/>
    <n v="32"/>
    <d v="2023-09-19T15:35:25"/>
    <b v="0"/>
    <m/>
  </r>
  <r>
    <s v="TK63341"/>
    <d v="2023-09-19T16:02:00"/>
    <s v="email"/>
    <x v="2"/>
    <x v="1"/>
    <s v="Issue with the API rate limit"/>
    <n v="89"/>
    <d v="2023-09-21T04:13:57"/>
    <b v="0"/>
    <m/>
  </r>
  <r>
    <s v="TK63821"/>
    <d v="2023-09-19T18:29:00"/>
    <s v="in-app"/>
    <x v="1"/>
    <x v="3"/>
    <s v="Request to the invoice for last month"/>
    <m/>
    <d v="2023-09-25T13:28:52"/>
    <b v="1"/>
    <m/>
  </r>
  <r>
    <s v="TK63838"/>
    <d v="2023-09-19T20:26:00"/>
    <s v="email"/>
    <x v="2"/>
    <x v="2"/>
    <s v="Unable to add a teammate"/>
    <n v="25"/>
    <d v="2023-09-20T00:18:13"/>
    <b v="0"/>
    <m/>
  </r>
  <r>
    <s v="TK63253"/>
    <d v="2023-09-19T21:14:00"/>
    <s v="chat"/>
    <x v="2"/>
    <x v="1"/>
    <s v="Error when downgrade my plan"/>
    <n v="70"/>
    <d v="2023-09-20T09:47:58"/>
    <b v="0"/>
    <n v="4"/>
  </r>
  <r>
    <s v="TK60209"/>
    <d v="2023-09-19T21:26:00"/>
    <s v="email"/>
    <x v="3"/>
    <x v="1"/>
    <s v="Question about the dashboard loading slowly"/>
    <n v="756"/>
    <d v="2023-09-20T18:40:05"/>
    <b v="0"/>
    <m/>
  </r>
  <r>
    <s v="TK63016"/>
    <d v="2023-09-20T01:24:00"/>
    <s v="email"/>
    <x v="1"/>
    <x v="1"/>
    <s v="Issue with export my data"/>
    <n v="303"/>
    <d v="2023-09-21T11:28:58"/>
    <b v="0"/>
    <m/>
  </r>
  <r>
    <s v="TK60106"/>
    <d v="2023-09-20T05:51:00"/>
    <s v="email"/>
    <x v="0"/>
    <x v="1"/>
    <s v="Question about downgrade my plan"/>
    <n v="67"/>
    <d v="2023-09-21T04:15:33"/>
    <b v="0"/>
    <n v="2"/>
  </r>
  <r>
    <s v="TK60183"/>
    <d v="2023-09-20T06:14:00"/>
    <s v="chat"/>
    <x v="3"/>
    <x v="1"/>
    <s v="How do I the invoice for last month"/>
    <n v="79"/>
    <m/>
    <b v="0"/>
    <m/>
  </r>
  <r>
    <s v="TK62031"/>
    <d v="2023-09-20T08:13:00"/>
    <s v="in-app"/>
    <x v="2"/>
    <x v="1"/>
    <s v="Error when a refund for an annual plan"/>
    <n v="154"/>
    <d v="2023-09-26T22:09:28"/>
    <b v="0"/>
    <n v="3"/>
  </r>
  <r>
    <s v="TK63946"/>
    <d v="2023-09-20T08:26:00"/>
    <s v="chat"/>
    <x v="2"/>
    <x v="3"/>
    <s v="Cannot two-factor authentication"/>
    <n v="300"/>
    <d v="2023-09-24T02:30:42"/>
    <b v="0"/>
    <m/>
  </r>
  <r>
    <s v="TK61805"/>
    <d v="2023-09-20T08:27:00"/>
    <s v="chat"/>
    <x v="2"/>
    <x v="1"/>
    <s v="Unable to export my data"/>
    <n v="162"/>
    <d v="2023-09-20T18:37:41"/>
    <b v="0"/>
    <m/>
  </r>
  <r>
    <s v="TK60711"/>
    <d v="2023-09-20T08:46:00"/>
    <s v="email"/>
    <x v="1"/>
    <x v="1"/>
    <s v="How do I a duplicate charge"/>
    <n v="41"/>
    <d v="2023-09-21T04:08:01"/>
    <b v="0"/>
    <m/>
  </r>
  <r>
    <s v="TK60626"/>
    <d v="2023-09-20T12:18:00"/>
    <s v="chat"/>
    <x v="0"/>
    <x v="1"/>
    <s v="Request to log in after password reset"/>
    <n v="85"/>
    <d v="2023-09-21T09:35:47"/>
    <b v="0"/>
    <n v="4"/>
  </r>
  <r>
    <s v="TK62870"/>
    <d v="2023-09-20T14:36:00"/>
    <s v="email"/>
    <x v="0"/>
    <x v="1"/>
    <s v="Error when the dashboard loading slowly"/>
    <n v="78"/>
    <d v="2023-09-21T07:54:04"/>
    <b v="0"/>
    <m/>
  </r>
  <r>
    <s v="TK63284"/>
    <d v="2023-09-20T17:27:00"/>
    <s v="email"/>
    <x v="4"/>
    <x v="3"/>
    <s v="Cannot export my data"/>
    <n v="458"/>
    <d v="2023-09-22T03:46:55"/>
    <b v="0"/>
    <m/>
  </r>
  <r>
    <s v="TK61776"/>
    <d v="2023-09-20T20:15:00"/>
    <s v="chat"/>
    <x v="0"/>
    <x v="0"/>
    <s v="Request to the dashboard loading slowly"/>
    <n v="30"/>
    <d v="2023-09-21T01:36:52"/>
    <b v="0"/>
    <n v="4"/>
  </r>
  <r>
    <s v="TK61369"/>
    <d v="2023-09-20T22:54:00"/>
    <s v="phone"/>
    <x v="2"/>
    <x v="1"/>
    <s v="How do I export my data"/>
    <n v="51"/>
    <d v="2023-09-21T04:26:12"/>
    <b v="0"/>
    <n v="5"/>
  </r>
  <r>
    <s v="TK62899"/>
    <d v="2023-09-21T00:45:00"/>
    <s v="chat"/>
    <x v="4"/>
    <x v="3"/>
    <s v="Issue with add a teammate"/>
    <n v="547"/>
    <d v="2023-09-22T07:29:14"/>
    <b v="0"/>
    <m/>
  </r>
  <r>
    <s v="TK61589"/>
    <d v="2023-09-21T00:49:00"/>
    <s v="email"/>
    <x v="1"/>
    <x v="1"/>
    <s v="Cannot log in after password reset"/>
    <n v="27"/>
    <d v="2023-09-22T05:00:34"/>
    <b v="0"/>
    <m/>
  </r>
  <r>
    <s v="TK60556"/>
    <d v="2023-09-21T01:39:00"/>
    <s v="chat"/>
    <x v="1"/>
    <x v="2"/>
    <s v="Unable to connecting the Snowflake sync"/>
    <n v="17"/>
    <d v="2023-09-21T06:43:47"/>
    <b v="0"/>
    <n v="5"/>
  </r>
  <r>
    <s v="TK60251"/>
    <d v="2023-09-21T03:43:00"/>
    <s v="email"/>
    <x v="4"/>
    <x v="0"/>
    <s v="Unable to webhook deliveries failing"/>
    <n v="32"/>
    <d v="2023-09-24T07:54:12"/>
    <b v="0"/>
    <m/>
  </r>
  <r>
    <s v="TK61292"/>
    <d v="2023-09-21T04:11:00"/>
    <s v="email"/>
    <x v="1"/>
    <x v="3"/>
    <s v="Request to downgrade my plan"/>
    <n v="465"/>
    <d v="2023-09-23T07:26:28"/>
    <b v="0"/>
    <m/>
  </r>
  <r>
    <s v="TK63941"/>
    <d v="2023-09-21T08:50:00"/>
    <s v="email"/>
    <x v="2"/>
    <x v="3"/>
    <s v="Issue with two-factor authentication"/>
    <n v="1031"/>
    <d v="2023-09-24T13:39:12"/>
    <b v="0"/>
    <m/>
  </r>
  <r>
    <s v="TK63704"/>
    <d v="2023-09-21T12:11:00"/>
    <s v="chat"/>
    <x v="1"/>
    <x v="1"/>
    <s v="Request to the invoice for last month"/>
    <n v="214"/>
    <d v="2023-09-22T18:15:21"/>
    <b v="0"/>
    <m/>
  </r>
  <r>
    <s v="TK60733"/>
    <d v="2023-09-21T15:12:00"/>
    <s v="chat"/>
    <x v="3"/>
    <x v="1"/>
    <s v="How do I a duplicate charge"/>
    <n v="103"/>
    <d v="2023-10-03T18:42:07"/>
    <b v="0"/>
    <n v="3"/>
  </r>
  <r>
    <s v="TK62699"/>
    <d v="2023-09-21T18:06:00"/>
    <s v="email"/>
    <x v="0"/>
    <x v="1"/>
    <s v="How do I a refund for an annual plan"/>
    <m/>
    <d v="2023-09-22T23:12:16"/>
    <b v="0"/>
    <n v="5"/>
  </r>
  <r>
    <s v="TK62252"/>
    <d v="2023-09-22T01:50:00"/>
    <s v="chat"/>
    <x v="3"/>
    <x v="3"/>
    <s v="Cannot downgrade my plan"/>
    <n v="122"/>
    <d v="2023-09-23T00:29:45"/>
    <b v="0"/>
    <n v="5"/>
  </r>
  <r>
    <s v="TK60931"/>
    <d v="2023-09-22T02:43:00"/>
    <s v="phone"/>
    <x v="2"/>
    <x v="0"/>
    <s v="Unable to export my data"/>
    <n v="29"/>
    <d v="2023-09-22T05:32:58"/>
    <b v="0"/>
    <m/>
  </r>
  <r>
    <s v="TK60840"/>
    <d v="2023-09-22T07:51:00"/>
    <s v="email"/>
    <x v="2"/>
    <x v="3"/>
    <s v="Unable to the dashboard loading slowly"/>
    <n v="55"/>
    <d v="2023-09-22T19:33:34"/>
    <b v="0"/>
    <n v="4"/>
  </r>
  <r>
    <s v="TK61621"/>
    <d v="2023-09-22T09:28:00"/>
    <s v="chat"/>
    <x v="1"/>
    <x v="3"/>
    <s v="Cannot a refund for an annual plan"/>
    <n v="386"/>
    <d v="2023-09-24T14:40:47"/>
    <b v="0"/>
    <m/>
  </r>
  <r>
    <s v="TK63109"/>
    <d v="2023-09-22T11:14:00"/>
    <s v="phone"/>
    <x v="1"/>
    <x v="0"/>
    <s v="Error when downgrade my plan"/>
    <n v="21"/>
    <d v="2023-09-22T17:18:30"/>
    <b v="0"/>
    <n v="5"/>
  </r>
  <r>
    <s v="TK63606"/>
    <d v="2023-09-22T12:25:00"/>
    <s v="chat"/>
    <x v="4"/>
    <x v="3"/>
    <s v="Unable to the invoice for last month"/>
    <n v="115"/>
    <m/>
    <b v="0"/>
    <m/>
  </r>
  <r>
    <s v="TK62243"/>
    <d v="2023-09-22T13:48:00"/>
    <s v="email"/>
    <x v="1"/>
    <x v="3"/>
    <s v="Cannot the API rate limit"/>
    <n v="526"/>
    <d v="2023-09-25T18:59:46"/>
    <b v="0"/>
    <m/>
  </r>
  <r>
    <s v="TK62119"/>
    <d v="2023-09-22T14:13:00"/>
    <s v="in-app"/>
    <x v="1"/>
    <x v="3"/>
    <s v="Error when downgrade my plan"/>
    <n v="73"/>
    <d v="2023-09-28T22:21:51"/>
    <b v="0"/>
    <n v="5"/>
  </r>
  <r>
    <s v="TK61471"/>
    <d v="2023-09-22T15:21:00"/>
    <s v="email"/>
    <x v="0"/>
    <x v="3"/>
    <s v="Issue with connecting the Snowflake sync"/>
    <n v="138"/>
    <d v="2023-09-22T20:18:14"/>
    <b v="0"/>
    <m/>
  </r>
  <r>
    <s v="TK63186"/>
    <d v="2023-09-22T21:22:00"/>
    <s v="phone"/>
    <x v="0"/>
    <x v="3"/>
    <s v="Issue with export my data"/>
    <n v="26"/>
    <d v="2023-09-24T09:56:57"/>
    <b v="0"/>
    <m/>
  </r>
  <r>
    <s v="TK60006"/>
    <d v="2023-09-22T23:37:00"/>
    <s v="email"/>
    <x v="2"/>
    <x v="1"/>
    <s v="Question about a refund for an annual plan"/>
    <n v="104"/>
    <d v="2023-09-23T11:29:14"/>
    <b v="0"/>
    <m/>
  </r>
  <r>
    <s v="TK60081"/>
    <d v="2023-09-23T04:29:00"/>
    <s v="email"/>
    <x v="2"/>
    <x v="1"/>
    <s v="Unable to the invoice for last month"/>
    <n v="233"/>
    <d v="2023-09-24T10:36:43"/>
    <b v="0"/>
    <m/>
  </r>
  <r>
    <s v="TK62762"/>
    <d v="2023-09-23T15:42:00"/>
    <s v="in-app"/>
    <x v="2"/>
    <x v="0"/>
    <s v="Request to add a teammate"/>
    <n v="50"/>
    <d v="2023-09-23T21:11:19"/>
    <b v="0"/>
    <n v="2"/>
  </r>
  <r>
    <s v="TK62254"/>
    <d v="2023-09-23T15:47:00"/>
    <s v="phone"/>
    <x v="4"/>
    <x v="3"/>
    <s v="How do I the API rate limit"/>
    <n v="209"/>
    <d v="2023-09-23T19:41:33"/>
    <b v="1"/>
    <n v="5"/>
  </r>
  <r>
    <s v="TK61128"/>
    <d v="2023-09-23T16:14:00"/>
    <s v="in-app"/>
    <x v="1"/>
    <x v="1"/>
    <s v="Unable to connecting the Snowflake sync"/>
    <n v="359"/>
    <d v="2023-09-24T21:20:58"/>
    <b v="0"/>
    <n v="5"/>
  </r>
  <r>
    <s v="TK62349"/>
    <d v="2023-09-23T19:38:00"/>
    <s v="chat"/>
    <x v="0"/>
    <x v="1"/>
    <s v="Error when downgrade my plan"/>
    <n v="153"/>
    <d v="2023-09-26T05:10:27"/>
    <b v="0"/>
    <n v="4"/>
  </r>
  <r>
    <s v="TK61995"/>
    <d v="2023-09-24T00:29:00"/>
    <s v="phone"/>
    <x v="3"/>
    <x v="3"/>
    <s v="Error when a refund for an annual plan"/>
    <n v="248"/>
    <m/>
    <b v="0"/>
    <m/>
  </r>
  <r>
    <s v="TK63546"/>
    <d v="2023-09-24T06:27:00"/>
    <s v="in-app"/>
    <x v="0"/>
    <x v="1"/>
    <s v="Question about the dashboard loading slowly"/>
    <n v="46"/>
    <d v="2023-09-28T03:24:10"/>
    <b v="0"/>
    <m/>
  </r>
  <r>
    <s v="TK62752"/>
    <d v="2023-09-24T07:22:00"/>
    <s v="chat"/>
    <x v="1"/>
    <x v="2"/>
    <s v="Cannot two-factor authentication"/>
    <n v="51"/>
    <d v="2023-09-24T16:14:47"/>
    <b v="0"/>
    <m/>
  </r>
  <r>
    <s v="TK63683"/>
    <d v="2023-09-24T07:53:00"/>
    <s v="in-app"/>
    <x v="1"/>
    <x v="1"/>
    <s v="Issue with log in after password reset"/>
    <n v="84"/>
    <d v="2023-10-01T15:27:50"/>
    <b v="0"/>
    <n v="4"/>
  </r>
  <r>
    <s v="TK61812"/>
    <d v="2023-09-24T08:52:00"/>
    <s v="chat"/>
    <x v="2"/>
    <x v="1"/>
    <s v="Request to webhook deliveries failing"/>
    <n v="436"/>
    <d v="2023-09-25T14:55:33"/>
    <b v="0"/>
    <m/>
  </r>
  <r>
    <s v="TK61981"/>
    <d v="2023-09-24T11:15:00"/>
    <s v="in-app"/>
    <x v="1"/>
    <x v="1"/>
    <s v="Cannot a duplicate charge"/>
    <n v="88"/>
    <d v="2023-09-26T22:18:17"/>
    <b v="0"/>
    <m/>
  </r>
  <r>
    <s v="TK62952"/>
    <d v="2023-09-24T13:27:00"/>
    <s v="email"/>
    <x v="1"/>
    <x v="2"/>
    <s v="Question about the invoice for last month"/>
    <n v="25"/>
    <d v="2023-09-26T02:00:09"/>
    <b v="0"/>
    <m/>
  </r>
  <r>
    <s v="TK62961"/>
    <d v="2023-09-24T14:44:00"/>
    <s v="email"/>
    <x v="2"/>
    <x v="0"/>
    <s v="Error when downgrade my plan"/>
    <n v="54"/>
    <d v="2023-09-25T18:34:18"/>
    <b v="1"/>
    <n v="3"/>
  </r>
  <r>
    <s v="TK62795"/>
    <d v="2023-09-24T15:03:00"/>
    <s v="email"/>
    <x v="2"/>
    <x v="1"/>
    <s v="How do I a refund for an annual plan"/>
    <m/>
    <d v="2023-09-24T17:11:18"/>
    <b v="0"/>
    <m/>
  </r>
  <r>
    <s v="TK60422"/>
    <d v="2023-09-24T15:05:00"/>
    <s v="email"/>
    <x v="4"/>
    <x v="1"/>
    <s v="Error when the API rate limit"/>
    <n v="60"/>
    <d v="2023-09-25T15:04:10"/>
    <b v="0"/>
    <m/>
  </r>
  <r>
    <s v="TK61586"/>
    <d v="2023-09-24T15:12:00"/>
    <s v="chat"/>
    <x v="2"/>
    <x v="1"/>
    <s v="Question about the dashboard loading slowly"/>
    <n v="82"/>
    <d v="2023-09-24T21:54:54"/>
    <b v="0"/>
    <n v="5"/>
  </r>
  <r>
    <s v="TK61201"/>
    <d v="2023-09-24T17:05:00"/>
    <s v="chat"/>
    <x v="4"/>
    <x v="2"/>
    <s v="Request to downgrade my plan"/>
    <n v="55"/>
    <d v="2023-09-25T06:09:29"/>
    <b v="1"/>
    <m/>
  </r>
  <r>
    <s v="TK61876"/>
    <d v="2023-09-24T17:27:00"/>
    <s v="in-app"/>
    <x v="1"/>
    <x v="0"/>
    <s v="Request to downgrade my plan"/>
    <n v="150"/>
    <d v="2023-09-24T18:57:12"/>
    <b v="0"/>
    <n v="4"/>
  </r>
  <r>
    <s v="TK63048"/>
    <d v="2023-09-24T20:29:00"/>
    <s v="email"/>
    <x v="0"/>
    <x v="1"/>
    <s v="Unable to export my data"/>
    <n v="161"/>
    <d v="2023-09-25T00:39:57"/>
    <b v="0"/>
    <n v="1"/>
  </r>
  <r>
    <s v="TK63259"/>
    <d v="2023-09-24T20:50:00"/>
    <s v="chat"/>
    <x v="1"/>
    <x v="1"/>
    <s v="Issue with the invoice for last month"/>
    <n v="133"/>
    <d v="2023-09-25T03:57:47"/>
    <b v="0"/>
    <n v="4"/>
  </r>
  <r>
    <s v="TK62713"/>
    <d v="2023-09-24T23:54:00"/>
    <s v="phone"/>
    <x v="2"/>
    <x v="1"/>
    <s v="Request to downgrade my plan"/>
    <n v="207"/>
    <d v="2023-09-25T22:33:00"/>
    <b v="0"/>
    <m/>
  </r>
  <r>
    <s v="TK63978"/>
    <d v="2023-09-25T00:36:00"/>
    <s v="in-app"/>
    <x v="2"/>
    <x v="1"/>
    <s v="Issue with the dashboard loading slowly"/>
    <n v="35"/>
    <d v="2023-09-27T15:44:19"/>
    <b v="0"/>
    <m/>
  </r>
  <r>
    <s v="TK62931"/>
    <d v="2023-09-25T02:08:00"/>
    <s v="in-app"/>
    <x v="1"/>
    <x v="0"/>
    <s v="Unable to the invoice for last month"/>
    <n v="112"/>
    <m/>
    <b v="0"/>
    <m/>
  </r>
  <r>
    <s v="TK63059"/>
    <d v="2023-09-25T05:16:00"/>
    <s v="email"/>
    <x v="1"/>
    <x v="0"/>
    <s v="Error when the invoice for last month"/>
    <n v="131"/>
    <d v="2023-09-26T05:59:48"/>
    <b v="0"/>
    <n v="1"/>
  </r>
  <r>
    <s v="TK62233"/>
    <d v="2023-09-25T08:38:00"/>
    <s v="chat"/>
    <x v="3"/>
    <x v="2"/>
    <s v="Issue with export my data"/>
    <n v="12"/>
    <d v="2023-09-25T11:46:50"/>
    <b v="0"/>
    <m/>
  </r>
  <r>
    <s v="TK62097"/>
    <d v="2023-09-25T11:33:00"/>
    <s v="phone"/>
    <x v="0"/>
    <x v="1"/>
    <s v="Unable to export my data"/>
    <n v="62"/>
    <d v="2023-09-25T19:57:44"/>
    <b v="0"/>
    <m/>
  </r>
  <r>
    <s v="TK60632"/>
    <d v="2023-09-25T13:12:00"/>
    <s v="in-app"/>
    <x v="2"/>
    <x v="1"/>
    <s v="Error when the API rate limit"/>
    <n v="194"/>
    <d v="2023-09-25T19:14:49"/>
    <b v="1"/>
    <m/>
  </r>
  <r>
    <s v="TK61986"/>
    <d v="2023-09-25T13:56:00"/>
    <s v="in-app"/>
    <x v="2"/>
    <x v="0"/>
    <s v="Issue with log in after password reset"/>
    <n v="54"/>
    <d v="2023-09-25T21:11:35"/>
    <b v="0"/>
    <m/>
  </r>
  <r>
    <s v="TK62609"/>
    <d v="2023-09-25T14:14:00"/>
    <s v="chat"/>
    <x v="0"/>
    <x v="1"/>
    <s v="Error when connecting the Snowflake sync"/>
    <n v="29"/>
    <d v="2023-09-25T18:28:47"/>
    <b v="0"/>
    <n v="5"/>
  </r>
  <r>
    <s v="TK62162"/>
    <d v="2023-09-25T16:16:00"/>
    <s v="chat"/>
    <x v="1"/>
    <x v="0"/>
    <s v="Error when the invoice for last month"/>
    <n v="144"/>
    <d v="2023-09-26T18:45:34"/>
    <b v="0"/>
    <m/>
  </r>
  <r>
    <s v="TK62381"/>
    <d v="2023-09-25T16:21:00"/>
    <s v="email"/>
    <x v="0"/>
    <x v="1"/>
    <s v="Request to downgrade my plan"/>
    <n v="117"/>
    <d v="2023-09-26T08:51:15"/>
    <b v="1"/>
    <m/>
  </r>
  <r>
    <s v="TK63850"/>
    <d v="2023-09-25T21:36:00"/>
    <s v="in-app"/>
    <x v="2"/>
    <x v="3"/>
    <s v="Cannot add a teammate"/>
    <n v="383"/>
    <d v="2023-09-26T20:00:08"/>
    <b v="0"/>
    <m/>
  </r>
  <r>
    <s v="TK63764"/>
    <d v="2023-09-26T00:57:00"/>
    <s v="chat"/>
    <x v="4"/>
    <x v="1"/>
    <s v="Cannot connecting the Snowflake sync"/>
    <n v="28"/>
    <d v="2023-09-27T00:41:41"/>
    <b v="0"/>
    <n v="4"/>
  </r>
  <r>
    <s v="TK60696"/>
    <d v="2023-09-26T08:18:00"/>
    <s v="phone"/>
    <x v="4"/>
    <x v="1"/>
    <s v="Request to webhook deliveries failing"/>
    <n v="14"/>
    <d v="2023-09-26T17:58:41"/>
    <b v="0"/>
    <n v="2"/>
  </r>
  <r>
    <s v="TK61105"/>
    <d v="2023-09-26T09:20:00"/>
    <s v="email"/>
    <x v="1"/>
    <x v="1"/>
    <s v="Unable to two-factor authentication"/>
    <n v="105"/>
    <d v="2023-09-26T12:06:58"/>
    <b v="0"/>
    <n v="5"/>
  </r>
  <r>
    <s v="TK60235"/>
    <d v="2023-09-26T10:06:00"/>
    <s v="chat"/>
    <x v="2"/>
    <x v="1"/>
    <s v="How do I log in after password reset"/>
    <n v="122"/>
    <d v="2023-09-27T22:29:44"/>
    <b v="0"/>
    <n v="5"/>
  </r>
  <r>
    <s v="TK63121"/>
    <d v="2023-09-26T11:20:00"/>
    <s v="chat"/>
    <x v="0"/>
    <x v="1"/>
    <s v="Request to webhook deliveries failing"/>
    <n v="109"/>
    <d v="2023-09-27T22:16:49"/>
    <b v="0"/>
    <n v="5"/>
  </r>
  <r>
    <s v="TK63373"/>
    <d v="2023-09-26T11:29:00"/>
    <s v="chat"/>
    <x v="3"/>
    <x v="0"/>
    <s v="Error when webhook deliveries failing"/>
    <n v="90"/>
    <d v="2023-09-26T15:35:00"/>
    <b v="0"/>
    <n v="3"/>
  </r>
  <r>
    <s v="TK63413"/>
    <d v="2023-09-26T12:16:00"/>
    <s v="in-app"/>
    <x v="2"/>
    <x v="1"/>
    <s v="Cannot the invoice for last month"/>
    <n v="1432"/>
    <d v="2023-09-26T20:34:42"/>
    <b v="0"/>
    <m/>
  </r>
  <r>
    <s v="TK60016"/>
    <d v="2023-09-26T12:34:00"/>
    <s v="email"/>
    <x v="1"/>
    <x v="1"/>
    <s v="Question about the invoice for last month"/>
    <n v="209"/>
    <d v="2023-09-28T08:14:41"/>
    <b v="0"/>
    <m/>
  </r>
  <r>
    <s v="TK60444"/>
    <d v="2023-09-26T17:01:00"/>
    <s v="chat"/>
    <x v="0"/>
    <x v="0"/>
    <s v="Cannot export my data"/>
    <n v="41"/>
    <d v="2023-09-26T20:29:00"/>
    <b v="0"/>
    <m/>
  </r>
  <r>
    <s v="TK62115"/>
    <d v="2023-09-26T17:19:00"/>
    <s v="email"/>
    <x v="0"/>
    <x v="1"/>
    <s v="Error when connecting the Snowflake sync"/>
    <n v="33"/>
    <d v="2023-09-26T23:36:56"/>
    <b v="0"/>
    <m/>
  </r>
  <r>
    <s v="TK61588"/>
    <d v="2023-09-26T18:21:00"/>
    <s v="chat"/>
    <x v="1"/>
    <x v="0"/>
    <s v="Question about log in after password reset"/>
    <n v="71"/>
    <d v="2023-09-27T05:03:59"/>
    <b v="1"/>
    <n v="5"/>
  </r>
  <r>
    <s v="TK62416"/>
    <d v="2023-09-26T20:18:00"/>
    <s v="in-app"/>
    <x v="4"/>
    <x v="3"/>
    <s v="How do I a refund for an annual plan"/>
    <n v="48"/>
    <d v="2023-09-29T17:39:07"/>
    <b v="0"/>
    <m/>
  </r>
  <r>
    <s v="TK60581"/>
    <d v="2023-09-27T02:16:00"/>
    <s v="email"/>
    <x v="2"/>
    <x v="0"/>
    <s v="Cannot the API rate limit"/>
    <n v="115"/>
    <d v="2023-09-27T08:29:31"/>
    <b v="0"/>
    <n v="2"/>
  </r>
  <r>
    <s v="TK61763"/>
    <d v="2023-09-27T03:42:00"/>
    <s v="in-app"/>
    <x v="3"/>
    <x v="1"/>
    <s v="Unable to the dashboard loading slowly"/>
    <n v="180"/>
    <d v="2023-10-16T08:57:13"/>
    <b v="0"/>
    <n v="5"/>
  </r>
  <r>
    <s v="TK60482"/>
    <d v="2023-09-27T04:08:00"/>
    <s v="chat"/>
    <x v="4"/>
    <x v="1"/>
    <s v="Question about webhook deliveries failing"/>
    <n v="29"/>
    <d v="2023-09-27T23:46:42"/>
    <b v="0"/>
    <m/>
  </r>
  <r>
    <s v="TK62131"/>
    <d v="2023-09-27T07:28:00"/>
    <s v="email"/>
    <x v="0"/>
    <x v="3"/>
    <s v="Request to a duplicate charge"/>
    <n v="40"/>
    <d v="2023-09-28T11:25:14"/>
    <b v="1"/>
    <m/>
  </r>
  <r>
    <s v="TK61877"/>
    <d v="2023-09-27T08:46:00"/>
    <s v="email"/>
    <x v="1"/>
    <x v="1"/>
    <s v="Issue with a refund for an annual plan"/>
    <n v="14"/>
    <d v="2023-11-07T13:03:34"/>
    <b v="0"/>
    <m/>
  </r>
  <r>
    <s v="TK63688"/>
    <d v="2023-09-27T14:52:00"/>
    <s v="chat"/>
    <x v="0"/>
    <x v="3"/>
    <s v="Question about the API rate limit"/>
    <n v="350"/>
    <d v="2023-09-30T16:37:19"/>
    <b v="0"/>
    <m/>
  </r>
  <r>
    <s v="TK61637"/>
    <d v="2023-09-27T19:18:00"/>
    <s v="in-app"/>
    <x v="1"/>
    <x v="1"/>
    <s v="Unable to the invoice for last month"/>
    <n v="163"/>
    <d v="2023-10-08T10:28:10"/>
    <b v="0"/>
    <n v="3"/>
  </r>
  <r>
    <s v="TK62515"/>
    <d v="2023-09-27T21:06:00"/>
    <s v="chat"/>
    <x v="1"/>
    <x v="3"/>
    <s v="Error when log in after password reset"/>
    <n v="197"/>
    <d v="2023-09-29T21:50:38"/>
    <b v="0"/>
    <m/>
  </r>
  <r>
    <s v="TK63488"/>
    <d v="2023-09-27T22:15:00"/>
    <s v="chat"/>
    <x v="4"/>
    <x v="1"/>
    <s v="Request to export my data"/>
    <n v="64"/>
    <d v="2023-09-28T02:43:37"/>
    <b v="0"/>
    <m/>
  </r>
  <r>
    <s v="TK60121"/>
    <d v="2023-09-27T22:16:00"/>
    <s v="chat"/>
    <x v="0"/>
    <x v="3"/>
    <s v="Issue with webhook deliveries failing"/>
    <n v="420"/>
    <d v="2023-09-28T16:35:37"/>
    <b v="0"/>
    <m/>
  </r>
  <r>
    <s v="TK62431"/>
    <d v="2023-09-27T23:06:00"/>
    <s v="chat"/>
    <x v="2"/>
    <x v="1"/>
    <s v="Issue with the invoice for last month"/>
    <n v="118"/>
    <d v="2023-09-28T10:09:27"/>
    <b v="0"/>
    <n v="4"/>
  </r>
  <r>
    <s v="TK60404"/>
    <d v="2023-09-28T02:46:00"/>
    <s v="chat"/>
    <x v="3"/>
    <x v="1"/>
    <s v="Question about a duplicate charge"/>
    <n v="32"/>
    <d v="2023-10-10T15:37:27"/>
    <b v="0"/>
    <n v="5"/>
  </r>
  <r>
    <s v="TK62545"/>
    <d v="2023-09-28T08:07:00"/>
    <s v="email"/>
    <x v="2"/>
    <x v="3"/>
    <s v="How do I log in after password reset"/>
    <n v="346"/>
    <d v="2023-10-01T07:39:54"/>
    <b v="0"/>
    <m/>
  </r>
  <r>
    <s v="TK61796"/>
    <d v="2023-09-28T11:33:00"/>
    <s v="chat"/>
    <x v="2"/>
    <x v="1"/>
    <s v="Error when add a teammate"/>
    <n v="92"/>
    <d v="2023-09-28T19:38:33"/>
    <b v="0"/>
    <m/>
  </r>
  <r>
    <s v="TK63644"/>
    <d v="2023-09-28T11:42:00"/>
    <s v="in-app"/>
    <x v="3"/>
    <x v="1"/>
    <s v="Error when export my data"/>
    <n v="90"/>
    <d v="2023-10-03T20:40:04"/>
    <b v="0"/>
    <m/>
  </r>
  <r>
    <s v="TK63102"/>
    <d v="2023-09-28T14:51:00"/>
    <s v="chat"/>
    <x v="1"/>
    <x v="3"/>
    <s v="Issue with a duplicate charge"/>
    <n v="352"/>
    <d v="2023-10-12T12:41:48"/>
    <b v="0"/>
    <n v="4"/>
  </r>
  <r>
    <s v="TK61399"/>
    <d v="2023-09-28T20:41:00"/>
    <s v="chat"/>
    <x v="1"/>
    <x v="0"/>
    <s v="Unable to export my data"/>
    <n v="145"/>
    <d v="2023-10-17T08:40:44"/>
    <b v="0"/>
    <m/>
  </r>
  <r>
    <s v="TK60210"/>
    <d v="2023-09-28T21:08:00"/>
    <s v="email"/>
    <x v="2"/>
    <x v="0"/>
    <s v="Unable to connecting the Snowflake sync"/>
    <n v="21"/>
    <d v="2023-09-28T22:46:00"/>
    <b v="0"/>
    <m/>
  </r>
  <r>
    <s v="TK62702"/>
    <d v="2023-09-28T21:19:00"/>
    <s v="email"/>
    <x v="4"/>
    <x v="3"/>
    <s v="Request to a refund for an annual plan"/>
    <n v="219"/>
    <d v="2023-10-01T18:42:07"/>
    <b v="0"/>
    <m/>
  </r>
  <r>
    <s v="TK63080"/>
    <d v="2023-09-29T01:30:00"/>
    <s v="email"/>
    <x v="1"/>
    <x v="1"/>
    <s v="Cannot webhook deliveries failing"/>
    <m/>
    <m/>
    <b v="0"/>
    <m/>
  </r>
  <r>
    <s v="TK62924"/>
    <d v="2023-09-29T04:53:00"/>
    <s v="in-app"/>
    <x v="1"/>
    <x v="3"/>
    <s v="Error when the API rate limit"/>
    <n v="129"/>
    <d v="2023-09-30T12:59:12"/>
    <b v="0"/>
    <m/>
  </r>
  <r>
    <s v="TK63875"/>
    <d v="2023-09-29T07:13:00"/>
    <s v="chat"/>
    <x v="1"/>
    <x v="1"/>
    <s v="Question about connecting the Snowflake sync"/>
    <n v="104"/>
    <m/>
    <b v="0"/>
    <m/>
  </r>
  <r>
    <s v="TK61157"/>
    <d v="2023-09-29T08:54:00"/>
    <s v="in-app"/>
    <x v="1"/>
    <x v="1"/>
    <s v="Unable to connecting the Snowflake sync"/>
    <m/>
    <d v="2023-10-03T20:02:36"/>
    <b v="0"/>
    <m/>
  </r>
  <r>
    <s v="TK63945"/>
    <d v="2023-09-30T06:08:00"/>
    <s v="in-app"/>
    <x v="1"/>
    <x v="1"/>
    <s v="Question about add a teammate"/>
    <n v="94"/>
    <d v="2023-10-02T15:57:23"/>
    <b v="0"/>
    <m/>
  </r>
  <r>
    <s v="TK63424"/>
    <d v="2023-09-30T09:27:00"/>
    <s v="phone"/>
    <x v="2"/>
    <x v="1"/>
    <s v="Error when log in after password reset"/>
    <n v="23"/>
    <d v="2023-10-06T13:21:14"/>
    <b v="0"/>
    <m/>
  </r>
  <r>
    <s v="TK63249"/>
    <d v="2023-09-30T14:49:00"/>
    <s v="chat"/>
    <x v="4"/>
    <x v="1"/>
    <s v="Question about add a teammate"/>
    <n v="39"/>
    <d v="2023-10-02T14:20:24"/>
    <b v="0"/>
    <m/>
  </r>
  <r>
    <s v="TK60005"/>
    <d v="2023-09-30T16:04:00"/>
    <s v="in-app"/>
    <x v="2"/>
    <x v="1"/>
    <s v="Unable to add a teammate"/>
    <n v="1613"/>
    <d v="2023-09-30T22:16:15"/>
    <b v="0"/>
    <n v="5"/>
  </r>
  <r>
    <s v="TK61051"/>
    <d v="2023-09-30T16:45:00"/>
    <s v="email"/>
    <x v="4"/>
    <x v="1"/>
    <s v="Question about a duplicate charge"/>
    <n v="65"/>
    <d v="2023-10-01T05:37:57"/>
    <b v="0"/>
    <m/>
  </r>
  <r>
    <s v="TK62802"/>
    <d v="2023-09-30T16:53:00"/>
    <s v="email"/>
    <x v="3"/>
    <x v="3"/>
    <s v="Request to add a teammate"/>
    <n v="115"/>
    <d v="2023-10-05T04:52:57"/>
    <b v="1"/>
    <m/>
  </r>
  <r>
    <s v="TK63433"/>
    <d v="2023-09-30T18:53:00"/>
    <s v="in-app"/>
    <x v="4"/>
    <x v="1"/>
    <s v="Cannot a duplicate charge"/>
    <n v="210"/>
    <d v="2023-10-01T11:38:01"/>
    <b v="0"/>
    <n v="3"/>
  </r>
  <r>
    <s v="TK60238"/>
    <d v="2023-09-30T22:24:00"/>
    <s v="phone"/>
    <x v="4"/>
    <x v="1"/>
    <s v="Question about a duplicate charge"/>
    <n v="135"/>
    <d v="2023-10-01T03:28:56"/>
    <b v="0"/>
    <m/>
  </r>
  <r>
    <s v="TK61342"/>
    <d v="2023-09-30T23:33:00"/>
    <s v="chat"/>
    <x v="0"/>
    <x v="1"/>
    <s v="Unable to connecting the Snowflake sync"/>
    <n v="147"/>
    <d v="2023-10-01T00:56:12"/>
    <b v="0"/>
    <n v="4"/>
  </r>
  <r>
    <s v="TK61896"/>
    <d v="2023-10-01T00:17:00"/>
    <s v="email"/>
    <x v="1"/>
    <x v="1"/>
    <s v="Request to webhook deliveries failing"/>
    <n v="28"/>
    <d v="2023-10-01T09:32:37"/>
    <b v="0"/>
    <n v="5"/>
  </r>
  <r>
    <s v="TK61813"/>
    <d v="2023-10-01T03:16:00"/>
    <s v="chat"/>
    <x v="2"/>
    <x v="0"/>
    <s v="Cannot a refund for an annual plan"/>
    <n v="9"/>
    <d v="2023-10-03T05:15:16"/>
    <b v="0"/>
    <m/>
  </r>
  <r>
    <s v="TK60506"/>
    <d v="2023-10-01T11:10:00"/>
    <s v="chat"/>
    <x v="1"/>
    <x v="1"/>
    <s v="How do I two-factor authentication"/>
    <n v="374"/>
    <d v="2023-10-01T22:46:39"/>
    <b v="0"/>
    <m/>
  </r>
  <r>
    <s v="TK62680"/>
    <d v="2023-10-01T14:48:00"/>
    <s v="in-app"/>
    <x v="3"/>
    <x v="3"/>
    <s v="Request to the invoice for last month"/>
    <n v="83"/>
    <d v="2023-10-22T18:47:24"/>
    <b v="0"/>
    <m/>
  </r>
  <r>
    <s v="TK62138"/>
    <d v="2023-10-01T15:00:00"/>
    <s v="phone"/>
    <x v="1"/>
    <x v="1"/>
    <s v="Cannot downgrade my plan"/>
    <n v="118"/>
    <d v="2023-10-03T07:06:14"/>
    <b v="0"/>
    <m/>
  </r>
  <r>
    <s v="TK61013"/>
    <d v="2023-10-01T15:26:00"/>
    <s v="email"/>
    <x v="1"/>
    <x v="0"/>
    <s v="Unable to the invoice for last month"/>
    <n v="38"/>
    <d v="2023-10-03T20:25:32"/>
    <b v="0"/>
    <n v="4"/>
  </r>
  <r>
    <s v="TK62079"/>
    <d v="2023-10-01T16:17:00"/>
    <s v="in-app"/>
    <x v="3"/>
    <x v="3"/>
    <s v="Question about connecting the Snowflake sync"/>
    <n v="74"/>
    <d v="2023-10-06T00:51:04"/>
    <b v="0"/>
    <n v="5"/>
  </r>
  <r>
    <s v="TK63005"/>
    <d v="2023-10-01T16:26:00"/>
    <s v="in-app"/>
    <x v="3"/>
    <x v="1"/>
    <s v="How do I two-factor authentication"/>
    <n v="52"/>
    <m/>
    <b v="0"/>
    <m/>
  </r>
  <r>
    <s v="TK60553"/>
    <d v="2023-10-01T19:28:00"/>
    <s v="in-app"/>
    <x v="2"/>
    <x v="2"/>
    <s v="How do I webhook deliveries failing"/>
    <n v="3"/>
    <d v="2023-10-01T22:39:35"/>
    <b v="0"/>
    <m/>
  </r>
  <r>
    <s v="TK60272"/>
    <d v="2023-10-01T23:28:00"/>
    <s v="chat"/>
    <x v="1"/>
    <x v="1"/>
    <s v="Cannot a duplicate charge"/>
    <n v="234"/>
    <d v="2023-10-07T22:24:23"/>
    <b v="0"/>
    <m/>
  </r>
  <r>
    <s v="TK61735"/>
    <d v="2023-10-02T01:49:00"/>
    <s v="email"/>
    <x v="4"/>
    <x v="1"/>
    <s v="Question about a refund for an annual plan"/>
    <n v="156"/>
    <d v="2023-10-03T18:30:26"/>
    <b v="0"/>
    <m/>
  </r>
  <r>
    <s v="TK60981"/>
    <d v="2023-10-02T03:25:00"/>
    <s v="chat"/>
    <x v="1"/>
    <x v="3"/>
    <s v="Question about the invoice for last month"/>
    <n v="160"/>
    <d v="2023-10-06T09:34:57"/>
    <b v="0"/>
    <m/>
  </r>
  <r>
    <s v="TK63369"/>
    <d v="2023-10-02T06:20:00"/>
    <s v="chat"/>
    <x v="0"/>
    <x v="3"/>
    <s v="Cannot a refund for an annual plan"/>
    <n v="158"/>
    <m/>
    <b v="0"/>
    <m/>
  </r>
  <r>
    <s v="TK62692"/>
    <d v="2023-10-02T12:22:00"/>
    <s v="phone"/>
    <x v="3"/>
    <x v="1"/>
    <s v="Request to downgrade my plan"/>
    <n v="39"/>
    <d v="2023-10-08T00:29:41"/>
    <b v="0"/>
    <n v="4"/>
  </r>
  <r>
    <s v="TK61476"/>
    <d v="2023-10-02T14:55:00"/>
    <s v="phone"/>
    <x v="2"/>
    <x v="3"/>
    <s v="Error when connecting the Snowflake sync"/>
    <n v="743"/>
    <d v="2023-10-08T17:08:10"/>
    <b v="0"/>
    <m/>
  </r>
  <r>
    <s v="TK60336"/>
    <d v="2023-10-02T15:54:00"/>
    <s v="phone"/>
    <x v="1"/>
    <x v="3"/>
    <s v="Issue with add a teammate"/>
    <n v="358"/>
    <d v="2023-10-27T20:56:10"/>
    <b v="0"/>
    <m/>
  </r>
  <r>
    <s v="TK63724"/>
    <d v="2023-10-02T17:54:00"/>
    <s v="in-app"/>
    <x v="1"/>
    <x v="1"/>
    <s v="Cannot two-factor authentication"/>
    <n v="8"/>
    <d v="2023-10-09T15:34:32"/>
    <b v="0"/>
    <m/>
  </r>
  <r>
    <s v="TK63815"/>
    <d v="2023-10-02T17:56:00"/>
    <s v="email"/>
    <x v="1"/>
    <x v="1"/>
    <s v="Issue with two-factor authentication"/>
    <n v="78"/>
    <m/>
    <b v="0"/>
    <m/>
  </r>
  <r>
    <s v="TK60266"/>
    <d v="2023-10-02T23:49:00"/>
    <s v="chat"/>
    <x v="4"/>
    <x v="0"/>
    <s v="Cannot downgrade my plan"/>
    <n v="49"/>
    <d v="2023-10-03T00:51:04"/>
    <b v="0"/>
    <m/>
  </r>
  <r>
    <s v="TK63886"/>
    <d v="2023-10-03T02:07:00"/>
    <s v="in-app"/>
    <x v="1"/>
    <x v="0"/>
    <s v="Question about downgrade my plan"/>
    <n v="60"/>
    <d v="2023-10-03T18:17:29"/>
    <b v="0"/>
    <n v="3"/>
  </r>
  <r>
    <s v="TK62455"/>
    <d v="2023-10-03T02:13:00"/>
    <s v="email"/>
    <x v="1"/>
    <x v="0"/>
    <s v="How do I log in after password reset"/>
    <n v="64"/>
    <d v="2023-10-11T10:44:13"/>
    <b v="0"/>
    <m/>
  </r>
  <r>
    <s v="TK61038"/>
    <d v="2023-10-03T03:43:00"/>
    <s v="chat"/>
    <x v="0"/>
    <x v="1"/>
    <s v="Unable to downgrade my plan"/>
    <m/>
    <d v="2023-10-04T04:40:58"/>
    <b v="0"/>
    <m/>
  </r>
  <r>
    <s v="TK61938"/>
    <d v="2023-10-03T05:17:00"/>
    <s v="chat"/>
    <x v="1"/>
    <x v="1"/>
    <s v="Error when downgrade my plan"/>
    <n v="46"/>
    <d v="2023-10-04T18:43:21"/>
    <b v="0"/>
    <m/>
  </r>
  <r>
    <s v="TK60730"/>
    <d v="2023-10-03T10:10:00"/>
    <s v="chat"/>
    <x v="1"/>
    <x v="1"/>
    <s v="Request to connecting the Snowflake sync"/>
    <n v="53"/>
    <m/>
    <b v="0"/>
    <m/>
  </r>
  <r>
    <s v="TK62750"/>
    <d v="2023-10-03T10:54:00"/>
    <s v="chat"/>
    <x v="1"/>
    <x v="3"/>
    <s v="Cannot a duplicate charge"/>
    <n v="373"/>
    <d v="2023-10-21T03:34:21"/>
    <b v="0"/>
    <m/>
  </r>
  <r>
    <s v="TK63556"/>
    <d v="2023-10-03T19:47:00"/>
    <s v="chat"/>
    <x v="4"/>
    <x v="1"/>
    <s v="Request to the invoice for last month"/>
    <m/>
    <d v="2023-10-04T03:06:29"/>
    <b v="0"/>
    <m/>
  </r>
  <r>
    <s v="TK62277"/>
    <d v="2023-10-03T21:40:00"/>
    <s v="in-app"/>
    <x v="4"/>
    <x v="0"/>
    <s v="Unable to the API rate limit"/>
    <n v="78"/>
    <d v="2023-10-04T01:58:01"/>
    <b v="0"/>
    <m/>
  </r>
  <r>
    <s v="TK61952"/>
    <d v="2023-10-03T22:24:00"/>
    <s v="in-app"/>
    <x v="0"/>
    <x v="3"/>
    <s v="Request to a duplicate charge"/>
    <n v="103"/>
    <d v="2023-10-06T06:37:33"/>
    <b v="0"/>
    <m/>
  </r>
  <r>
    <s v="TK61695"/>
    <d v="2023-10-04T00:48:00"/>
    <s v="chat"/>
    <x v="1"/>
    <x v="0"/>
    <s v="Issue with log in after password reset"/>
    <n v="30"/>
    <d v="2023-10-04T15:05:58"/>
    <b v="0"/>
    <m/>
  </r>
  <r>
    <s v="TK61670"/>
    <d v="2023-10-04T01:40:00"/>
    <s v="chat"/>
    <x v="0"/>
    <x v="1"/>
    <s v="How do I export my data"/>
    <n v="132"/>
    <d v="2023-10-05T16:29:18"/>
    <b v="0"/>
    <m/>
  </r>
  <r>
    <s v="TK62526"/>
    <d v="2023-10-04T01:58:00"/>
    <s v="email"/>
    <x v="4"/>
    <x v="3"/>
    <s v="Unable to two-factor authentication"/>
    <n v="285"/>
    <d v="2023-10-04T11:42:33"/>
    <b v="0"/>
    <m/>
  </r>
  <r>
    <s v="TK62074"/>
    <d v="2023-10-04T04:03:00"/>
    <s v="chat"/>
    <x v="4"/>
    <x v="1"/>
    <s v="Request to webhook deliveries failing"/>
    <n v="181"/>
    <d v="2023-10-08T05:41:11"/>
    <b v="0"/>
    <n v="5"/>
  </r>
  <r>
    <s v="TK62362"/>
    <d v="2023-10-04T04:29:00"/>
    <s v="phone"/>
    <x v="1"/>
    <x v="1"/>
    <s v="How do I log in after password reset"/>
    <n v="52"/>
    <d v="2023-10-17T09:04:08"/>
    <b v="0"/>
    <m/>
  </r>
  <r>
    <s v="TK60228"/>
    <d v="2023-10-04T07:06:00"/>
    <s v="chat"/>
    <x v="3"/>
    <x v="1"/>
    <s v="Request to two-factor authentication"/>
    <n v="1597"/>
    <d v="2023-10-12T14:35:16"/>
    <b v="0"/>
    <m/>
  </r>
  <r>
    <s v="TK60601"/>
    <d v="2023-10-04T09:28:00"/>
    <s v="chat"/>
    <x v="4"/>
    <x v="1"/>
    <s v="Issue with a duplicate charge"/>
    <n v="580"/>
    <d v="2023-10-04T22:02:41"/>
    <b v="0"/>
    <m/>
  </r>
  <r>
    <s v="TK61308"/>
    <d v="2023-10-04T12:24:00"/>
    <s v="in-app"/>
    <x v="1"/>
    <x v="0"/>
    <s v="Cannot a duplicate charge"/>
    <n v="121"/>
    <d v="2023-10-07T08:29:25"/>
    <b v="0"/>
    <n v="4"/>
  </r>
  <r>
    <s v="TK60765"/>
    <d v="2023-10-04T14:05:00"/>
    <s v="chat"/>
    <x v="2"/>
    <x v="1"/>
    <s v="Unable to a duplicate charge"/>
    <n v="90"/>
    <d v="2023-10-07T16:23:51"/>
    <b v="0"/>
    <n v="5"/>
  </r>
  <r>
    <s v="TK61704"/>
    <d v="2023-10-04T16:51:00"/>
    <s v="phone"/>
    <x v="0"/>
    <x v="1"/>
    <s v="Issue with downgrade my plan"/>
    <n v="22"/>
    <d v="2023-10-11T01:05:47"/>
    <b v="0"/>
    <m/>
  </r>
  <r>
    <s v="TK63320"/>
    <d v="2023-10-04T18:02:00"/>
    <s v="email"/>
    <x v="3"/>
    <x v="1"/>
    <s v="Issue with the API rate limit"/>
    <n v="60"/>
    <d v="2023-10-04T23:27:15"/>
    <b v="0"/>
    <m/>
  </r>
  <r>
    <s v="TK63260"/>
    <d v="2023-10-04T21:03:00"/>
    <s v="email"/>
    <x v="1"/>
    <x v="1"/>
    <s v="Cannot add a teammate"/>
    <n v="94"/>
    <d v="2023-10-07T13:30:27"/>
    <b v="0"/>
    <n v="5"/>
  </r>
  <r>
    <s v="TK63001"/>
    <d v="2023-10-05T00:23:00"/>
    <s v="in-app"/>
    <x v="1"/>
    <x v="2"/>
    <s v="Cannot webhook deliveries failing"/>
    <n v="16"/>
    <d v="2023-10-05T15:21:54"/>
    <b v="1"/>
    <m/>
  </r>
  <r>
    <s v="TK61496"/>
    <d v="2023-10-05T01:15:00"/>
    <s v="email"/>
    <x v="1"/>
    <x v="1"/>
    <s v="Cannot add a teammate"/>
    <n v="44"/>
    <d v="2023-10-09T02:19:30"/>
    <b v="1"/>
    <m/>
  </r>
  <r>
    <s v="TK61176"/>
    <d v="2023-10-05T03:55:00"/>
    <s v="in-app"/>
    <x v="0"/>
    <x v="0"/>
    <s v="Request to a refund for an annual plan"/>
    <n v="13"/>
    <d v="2023-10-05T14:23:38"/>
    <b v="0"/>
    <m/>
  </r>
  <r>
    <s v="TK61505"/>
    <d v="2023-10-05T05:23:00"/>
    <s v="email"/>
    <x v="2"/>
    <x v="1"/>
    <s v="Unable to a duplicate charge"/>
    <n v="106"/>
    <d v="2023-10-05T19:55:08"/>
    <b v="0"/>
    <m/>
  </r>
  <r>
    <s v="TK62045"/>
    <d v="2023-10-05T08:21:00"/>
    <s v="email"/>
    <x v="4"/>
    <x v="1"/>
    <s v="Request to the API rate limit"/>
    <n v="314"/>
    <d v="2023-10-06T09:47:14"/>
    <b v="0"/>
    <m/>
  </r>
  <r>
    <s v="TK61233"/>
    <d v="2023-10-05T13:09:00"/>
    <s v="email"/>
    <x v="1"/>
    <x v="0"/>
    <s v="Issue with the invoice for last month"/>
    <n v="8"/>
    <d v="2023-10-06T18:57:12"/>
    <b v="0"/>
    <m/>
  </r>
  <r>
    <s v="TK63269"/>
    <d v="2023-10-05T14:30:00"/>
    <s v="in-app"/>
    <x v="1"/>
    <x v="1"/>
    <s v="Cannot two-factor authentication"/>
    <n v="69"/>
    <d v="2023-10-06T07:01:59"/>
    <b v="0"/>
    <m/>
  </r>
  <r>
    <s v="TK62642"/>
    <d v="2023-10-05T19:52:00"/>
    <s v="chat"/>
    <x v="2"/>
    <x v="0"/>
    <s v="Error when export my data"/>
    <n v="162"/>
    <d v="2023-10-06T04:26:51"/>
    <b v="0"/>
    <n v="4"/>
  </r>
  <r>
    <s v="TK61778"/>
    <d v="2023-10-06T00:38:00"/>
    <s v="in-app"/>
    <x v="3"/>
    <x v="1"/>
    <s v="Issue with add a teammate"/>
    <n v="20"/>
    <d v="2023-10-08T08:38:01"/>
    <b v="0"/>
    <n v="4"/>
  </r>
  <r>
    <s v="TK62148"/>
    <d v="2023-10-06T01:35:00"/>
    <s v="chat"/>
    <x v="1"/>
    <x v="2"/>
    <s v="Cannot two-factor authentication"/>
    <n v="6"/>
    <d v="2023-10-06T08:51:00"/>
    <b v="0"/>
    <m/>
  </r>
  <r>
    <s v="TK60099"/>
    <d v="2023-10-06T02:00:00"/>
    <s v="in-app"/>
    <x v="1"/>
    <x v="0"/>
    <s v="How do I downgrade my plan"/>
    <n v="73"/>
    <d v="2023-10-06T06:49:43"/>
    <b v="0"/>
    <m/>
  </r>
  <r>
    <s v="TK62076"/>
    <d v="2023-10-06T04:22:00"/>
    <s v="in-app"/>
    <x v="1"/>
    <x v="3"/>
    <s v="Question about add a teammate"/>
    <n v="177"/>
    <d v="2023-10-09T11:17:46"/>
    <b v="0"/>
    <m/>
  </r>
  <r>
    <s v="TK62826"/>
    <d v="2023-10-06T05:44:00"/>
    <s v="email"/>
    <x v="0"/>
    <x v="1"/>
    <s v="Issue with the API rate limit"/>
    <n v="31"/>
    <d v="2023-10-06T16:15:45"/>
    <b v="0"/>
    <m/>
  </r>
  <r>
    <s v="TK63168"/>
    <d v="2023-10-06T05:48:00"/>
    <s v="chat"/>
    <x v="1"/>
    <x v="1"/>
    <s v="Request to the invoice for last month"/>
    <n v="177"/>
    <d v="2023-10-07T03:41:39"/>
    <b v="0"/>
    <m/>
  </r>
  <r>
    <s v="TK61107"/>
    <d v="2023-10-06T06:56:00"/>
    <s v="in-app"/>
    <x v="3"/>
    <x v="3"/>
    <s v="Issue with a refund for an annual plan"/>
    <n v="361"/>
    <d v="2023-10-07T21:53:52"/>
    <b v="0"/>
    <m/>
  </r>
  <r>
    <s v="TK61000"/>
    <d v="2023-10-06T08:38:00"/>
    <s v="email"/>
    <x v="3"/>
    <x v="2"/>
    <s v="Question about log in after password reset"/>
    <n v="31"/>
    <m/>
    <b v="0"/>
    <m/>
  </r>
  <r>
    <s v="TK62055"/>
    <d v="2023-10-06T14:08:00"/>
    <s v="phone"/>
    <x v="1"/>
    <x v="1"/>
    <s v="Error when export my data"/>
    <n v="40"/>
    <d v="2023-10-07T06:56:05"/>
    <b v="0"/>
    <m/>
  </r>
  <r>
    <s v="TK63403"/>
    <d v="2023-10-06T14:30:00"/>
    <s v="phone"/>
    <x v="2"/>
    <x v="1"/>
    <s v="Issue with add a teammate"/>
    <n v="44"/>
    <d v="2023-10-07T19:28:24"/>
    <b v="0"/>
    <n v="4"/>
  </r>
  <r>
    <s v="TK63895"/>
    <d v="2023-10-06T14:33:00"/>
    <s v="chat"/>
    <x v="3"/>
    <x v="0"/>
    <s v="Request to a duplicate charge"/>
    <n v="22"/>
    <d v="2023-10-10T04:01:19"/>
    <b v="0"/>
    <m/>
  </r>
  <r>
    <s v="TK62282"/>
    <d v="2023-10-06T16:14:00"/>
    <s v="email"/>
    <x v="2"/>
    <x v="1"/>
    <s v="Error when connecting the Snowflake sync"/>
    <m/>
    <m/>
    <b v="0"/>
    <m/>
  </r>
  <r>
    <s v="TK61331"/>
    <d v="2023-10-06T16:16:00"/>
    <s v="chat"/>
    <x v="2"/>
    <x v="1"/>
    <s v="Unable to connecting the Snowflake sync"/>
    <n v="252"/>
    <d v="2023-10-06T20:46:56"/>
    <b v="0"/>
    <n v="5"/>
  </r>
  <r>
    <s v="TK61249"/>
    <d v="2023-10-06T17:40:00"/>
    <s v="in-app"/>
    <x v="2"/>
    <x v="0"/>
    <s v="Issue with two-factor authentication"/>
    <n v="34"/>
    <d v="2023-10-06T21:59:17"/>
    <b v="0"/>
    <m/>
  </r>
  <r>
    <s v="TK60253"/>
    <d v="2023-10-06T17:43:00"/>
    <s v="in-app"/>
    <x v="0"/>
    <x v="0"/>
    <s v="Issue with connecting the Snowflake sync"/>
    <n v="35"/>
    <d v="2023-10-07T16:13:49"/>
    <b v="0"/>
    <n v="5"/>
  </r>
  <r>
    <s v="TK63353"/>
    <d v="2023-10-06T18:32:00"/>
    <s v="phone"/>
    <x v="1"/>
    <x v="0"/>
    <s v="Issue with a duplicate charge"/>
    <n v="77"/>
    <d v="2023-10-09T22:31:59"/>
    <b v="0"/>
    <m/>
  </r>
  <r>
    <s v="TK61846"/>
    <d v="2023-10-07T02:07:00"/>
    <s v="in-app"/>
    <x v="2"/>
    <x v="1"/>
    <s v="Request to a duplicate charge"/>
    <n v="241"/>
    <d v="2023-10-07T03:47:51"/>
    <b v="0"/>
    <m/>
  </r>
  <r>
    <s v="TK63165"/>
    <d v="2023-10-07T03:45:00"/>
    <s v="chat"/>
    <x v="1"/>
    <x v="1"/>
    <s v="Request to two-factor authentication"/>
    <n v="287"/>
    <d v="2023-10-08T04:27:38"/>
    <b v="0"/>
    <m/>
  </r>
  <r>
    <s v="TK61830"/>
    <d v="2023-10-07T05:03:00"/>
    <s v="phone"/>
    <x v="3"/>
    <x v="3"/>
    <s v="Cannot the dashboard loading slowly"/>
    <n v="290"/>
    <d v="2023-11-05T23:20:19"/>
    <b v="0"/>
    <n v="5"/>
  </r>
  <r>
    <s v="TK63451"/>
    <d v="2023-10-07T08:42:00"/>
    <s v="chat"/>
    <x v="3"/>
    <x v="3"/>
    <s v="Cannot a duplicate charge"/>
    <n v="225"/>
    <d v="2023-11-02T08:15:36"/>
    <b v="0"/>
    <m/>
  </r>
  <r>
    <s v="TK62146"/>
    <d v="2023-10-07T09:35:00"/>
    <s v="email"/>
    <x v="3"/>
    <x v="1"/>
    <s v="How do I downgrade my plan"/>
    <n v="157"/>
    <d v="2023-10-14T08:12:41"/>
    <b v="0"/>
    <m/>
  </r>
  <r>
    <s v="TK60825"/>
    <d v="2023-10-07T09:49:00"/>
    <s v="email"/>
    <x v="0"/>
    <x v="1"/>
    <s v="How do I the invoice for last month"/>
    <n v="227"/>
    <d v="2023-10-08T12:57:35"/>
    <b v="0"/>
    <m/>
  </r>
  <r>
    <s v="TK60302"/>
    <d v="2023-10-07T12:35:00"/>
    <s v="chat"/>
    <x v="1"/>
    <x v="0"/>
    <s v="Issue with the invoice for last month"/>
    <n v="61"/>
    <d v="2023-10-07T17:46:56"/>
    <b v="0"/>
    <m/>
  </r>
  <r>
    <s v="TK60193"/>
    <d v="2023-10-07T13:40:00"/>
    <s v="email"/>
    <x v="2"/>
    <x v="3"/>
    <s v="Question about export my data"/>
    <n v="721"/>
    <d v="2023-10-09T06:35:21"/>
    <b v="0"/>
    <m/>
  </r>
  <r>
    <s v="TK62437"/>
    <d v="2023-10-07T14:36:00"/>
    <s v="in-app"/>
    <x v="2"/>
    <x v="1"/>
    <s v="Cannot two-factor authentication"/>
    <n v="238"/>
    <d v="2023-10-08T01:47:12"/>
    <b v="0"/>
    <n v="5"/>
  </r>
  <r>
    <s v="TK60892"/>
    <d v="2023-10-07T17:09:00"/>
    <s v="email"/>
    <x v="3"/>
    <x v="1"/>
    <s v="Question about the invoice for last month"/>
    <n v="120"/>
    <d v="2023-10-10T08:48:46"/>
    <b v="0"/>
    <m/>
  </r>
  <r>
    <s v="TK61336"/>
    <d v="2023-10-07T17:54:00"/>
    <s v="email"/>
    <x v="2"/>
    <x v="2"/>
    <s v="How do I the API rate limit"/>
    <n v="8"/>
    <d v="2023-10-07T18:42:09"/>
    <b v="0"/>
    <m/>
  </r>
  <r>
    <s v="TK62797"/>
    <d v="2023-10-07T17:54:00"/>
    <s v="in-app"/>
    <x v="1"/>
    <x v="1"/>
    <s v="Question about add a teammate"/>
    <n v="61"/>
    <d v="2023-10-09T00:28:11"/>
    <b v="0"/>
    <m/>
  </r>
  <r>
    <s v="TK62367"/>
    <d v="2023-10-07T19:19:00"/>
    <s v="chat"/>
    <x v="4"/>
    <x v="0"/>
    <s v="Unable to log in after password reset"/>
    <n v="31"/>
    <d v="2023-10-08T12:28:39"/>
    <b v="0"/>
    <n v="5"/>
  </r>
  <r>
    <s v="TK60875"/>
    <d v="2023-10-07T19:27:00"/>
    <s v="chat"/>
    <x v="2"/>
    <x v="1"/>
    <s v="Cannot the API rate limit"/>
    <n v="58"/>
    <d v="2023-10-09T05:21:13"/>
    <b v="0"/>
    <n v="5"/>
  </r>
  <r>
    <s v="TK60249"/>
    <d v="2023-10-07T20:08:00"/>
    <s v="email"/>
    <x v="1"/>
    <x v="0"/>
    <s v="Unable to a refund for an annual plan"/>
    <n v="44"/>
    <d v="2023-10-08T02:20:04"/>
    <b v="0"/>
    <m/>
  </r>
  <r>
    <s v="TK63139"/>
    <d v="2023-10-07T20:36:00"/>
    <s v="email"/>
    <x v="2"/>
    <x v="0"/>
    <s v="Error when export my data"/>
    <n v="32"/>
    <d v="2023-10-08T17:57:54"/>
    <b v="0"/>
    <m/>
  </r>
  <r>
    <s v="TK61511"/>
    <d v="2023-10-07T22:58:00"/>
    <s v="in-app"/>
    <x v="2"/>
    <x v="1"/>
    <s v="Cannot webhook deliveries failing"/>
    <n v="100"/>
    <d v="2023-10-08T05:46:19"/>
    <b v="0"/>
    <n v="5"/>
  </r>
  <r>
    <s v="TK60476"/>
    <d v="2023-10-08T05:35:00"/>
    <s v="email"/>
    <x v="4"/>
    <x v="3"/>
    <s v="Error when the API rate limit"/>
    <n v="986"/>
    <d v="2023-10-12T00:09:17"/>
    <b v="0"/>
    <m/>
  </r>
  <r>
    <s v="TK61611"/>
    <d v="2023-10-08T07:19:00"/>
    <s v="chat"/>
    <x v="2"/>
    <x v="1"/>
    <s v="Error when a refund for an annual plan"/>
    <n v="55"/>
    <m/>
    <b v="0"/>
    <m/>
  </r>
  <r>
    <s v="TK63119"/>
    <d v="2023-10-08T14:37:00"/>
    <s v="email"/>
    <x v="4"/>
    <x v="3"/>
    <s v="Error when the invoice for last month"/>
    <m/>
    <d v="2023-10-12T13:08:30"/>
    <b v="0"/>
    <m/>
  </r>
  <r>
    <s v="TK60911"/>
    <d v="2023-10-08T21:54:00"/>
    <s v="email"/>
    <x v="3"/>
    <x v="1"/>
    <s v="Unable to export my data"/>
    <n v="146"/>
    <d v="2023-10-16T06:22:20"/>
    <b v="1"/>
    <m/>
  </r>
  <r>
    <s v="TK60851"/>
    <d v="2023-10-08T23:27:00"/>
    <s v="in-app"/>
    <x v="1"/>
    <x v="1"/>
    <s v="Question about a refund for an annual plan"/>
    <n v="120"/>
    <m/>
    <b v="0"/>
    <m/>
  </r>
  <r>
    <s v="TK60041"/>
    <d v="2023-10-09T00:44:00"/>
    <s v="phone"/>
    <x v="0"/>
    <x v="1"/>
    <s v="Cannot add a teammate"/>
    <n v="11"/>
    <d v="2023-10-09T21:31:23"/>
    <b v="0"/>
    <m/>
  </r>
  <r>
    <s v="TK61191"/>
    <d v="2023-10-09T04:31:00"/>
    <s v="in-app"/>
    <x v="1"/>
    <x v="3"/>
    <s v="Error when the API rate limit"/>
    <n v="87"/>
    <d v="2023-10-10T16:11:27"/>
    <b v="0"/>
    <m/>
  </r>
  <r>
    <s v="TK63592"/>
    <d v="2023-10-09T12:37:00"/>
    <s v="in-app"/>
    <x v="1"/>
    <x v="3"/>
    <s v="How do I log in after password reset"/>
    <n v="39"/>
    <d v="2023-10-11T16:43:52"/>
    <b v="0"/>
    <m/>
  </r>
  <r>
    <s v="TK62495"/>
    <d v="2023-10-09T14:16:00"/>
    <s v="chat"/>
    <x v="0"/>
    <x v="3"/>
    <s v="How do I the dashboard loading slowly"/>
    <n v="377"/>
    <d v="2023-10-12T07:46:11"/>
    <b v="0"/>
    <m/>
  </r>
  <r>
    <s v="TK61190"/>
    <d v="2023-10-09T17:10:00"/>
    <s v="chat"/>
    <x v="1"/>
    <x v="0"/>
    <s v="Issue with the dashboard loading slowly"/>
    <n v="53"/>
    <d v="2023-10-10T08:44:54"/>
    <b v="0"/>
    <m/>
  </r>
  <r>
    <s v="TK63322"/>
    <d v="2023-10-09T19:45:00"/>
    <s v="chat"/>
    <x v="2"/>
    <x v="1"/>
    <s v="How do I the dashboard loading slowly"/>
    <n v="138"/>
    <d v="2023-10-14T09:58:31"/>
    <b v="0"/>
    <m/>
  </r>
  <r>
    <s v="TK60937"/>
    <d v="2023-10-09T21:28:00"/>
    <s v="chat"/>
    <x v="1"/>
    <x v="0"/>
    <s v="Unable to connecting the Snowflake sync"/>
    <n v="82"/>
    <d v="2023-10-12T11:36:56"/>
    <b v="0"/>
    <m/>
  </r>
  <r>
    <s v="TK61101"/>
    <d v="2023-10-09T22:03:00"/>
    <s v="in-app"/>
    <x v="0"/>
    <x v="1"/>
    <s v="How do I two-factor authentication"/>
    <n v="26"/>
    <d v="2023-10-10T04:12:07"/>
    <b v="0"/>
    <m/>
  </r>
  <r>
    <s v="TK62909"/>
    <d v="2023-10-10T00:25:00"/>
    <s v="in-app"/>
    <x v="3"/>
    <x v="1"/>
    <s v="Request to webhook deliveries failing"/>
    <n v="409"/>
    <d v="2023-10-10T08:28:04"/>
    <b v="1"/>
    <n v="4"/>
  </r>
  <r>
    <s v="TK60007"/>
    <d v="2023-10-10T07:04:00"/>
    <s v="chat"/>
    <x v="4"/>
    <x v="3"/>
    <s v="Unable to webhook deliveries failing"/>
    <n v="59"/>
    <d v="2023-10-11T19:09:17"/>
    <b v="0"/>
    <m/>
  </r>
  <r>
    <s v="TK60365"/>
    <d v="2023-10-10T07:25:00"/>
    <s v="email"/>
    <x v="2"/>
    <x v="0"/>
    <s v="Cannot the invoice for last month"/>
    <n v="49"/>
    <d v="2023-10-10T08:54:30"/>
    <b v="0"/>
    <m/>
  </r>
  <r>
    <s v="TK61405"/>
    <d v="2023-10-10T07:27:00"/>
    <s v="chat"/>
    <x v="1"/>
    <x v="1"/>
    <s v="How do I add a teammate"/>
    <n v="183"/>
    <d v="2023-10-12T01:15:25"/>
    <b v="0"/>
    <m/>
  </r>
  <r>
    <s v="TK61144"/>
    <d v="2023-10-10T14:07:00"/>
    <s v="email"/>
    <x v="4"/>
    <x v="0"/>
    <s v="Issue with the invoice for last month"/>
    <n v="8"/>
    <d v="2023-10-10T17:34:44"/>
    <b v="0"/>
    <m/>
  </r>
  <r>
    <s v="TK63391"/>
    <d v="2023-10-10T15:56:00"/>
    <s v="chat"/>
    <x v="4"/>
    <x v="0"/>
    <s v="Question about webhook deliveries failing"/>
    <n v="21"/>
    <d v="2023-10-10T20:41:19"/>
    <b v="0"/>
    <m/>
  </r>
  <r>
    <s v="TK60639"/>
    <d v="2023-10-10T18:00:00"/>
    <s v="in-app"/>
    <x v="2"/>
    <x v="1"/>
    <s v="Cannot export my data"/>
    <n v="67"/>
    <d v="2023-10-11T01:47:55"/>
    <b v="0"/>
    <m/>
  </r>
  <r>
    <s v="TK63140"/>
    <d v="2023-10-10T18:52:00"/>
    <s v="in-app"/>
    <x v="4"/>
    <x v="1"/>
    <s v="Unable to a duplicate charge"/>
    <n v="81"/>
    <d v="2023-10-13T06:23:16"/>
    <b v="0"/>
    <m/>
  </r>
  <r>
    <s v="TK62920"/>
    <d v="2023-10-10T19:20:00"/>
    <s v="in-app"/>
    <x v="4"/>
    <x v="3"/>
    <s v="Issue with a duplicate charge"/>
    <n v="233"/>
    <d v="2023-10-12T13:31:15"/>
    <b v="0"/>
    <n v="4"/>
  </r>
  <r>
    <s v="TK60240"/>
    <d v="2023-10-11T01:52:00"/>
    <s v="chat"/>
    <x v="1"/>
    <x v="3"/>
    <s v="Issue with connecting the Snowflake sync"/>
    <n v="162"/>
    <d v="2023-10-14T01:55:22"/>
    <b v="0"/>
    <n v="4"/>
  </r>
  <r>
    <s v="TK62914"/>
    <d v="2023-10-11T02:12:00"/>
    <s v="chat"/>
    <x v="2"/>
    <x v="1"/>
    <s v="How do I the dashboard loading slowly"/>
    <m/>
    <d v="2023-10-11T09:11:18"/>
    <b v="0"/>
    <m/>
  </r>
  <r>
    <s v="TK60938"/>
    <d v="2023-10-11T03:14:00"/>
    <s v="email"/>
    <x v="2"/>
    <x v="0"/>
    <s v="Issue with the invoice for last month"/>
    <n v="24"/>
    <m/>
    <b v="0"/>
    <m/>
  </r>
  <r>
    <s v="TK62062"/>
    <d v="2023-10-11T06:18:00"/>
    <s v="in-app"/>
    <x v="1"/>
    <x v="1"/>
    <s v="Request to webhook deliveries failing"/>
    <n v="71"/>
    <d v="2023-10-21T07:14:12"/>
    <b v="0"/>
    <m/>
  </r>
  <r>
    <s v="TK62735"/>
    <d v="2023-10-11T08:06:00"/>
    <s v="in-app"/>
    <x v="1"/>
    <x v="3"/>
    <s v="Question about the dashboard loading slowly"/>
    <n v="108"/>
    <d v="2023-10-15T01:42:58"/>
    <b v="0"/>
    <m/>
  </r>
  <r>
    <s v="TK61565"/>
    <d v="2023-10-11T12:17:00"/>
    <s v="chat"/>
    <x v="2"/>
    <x v="3"/>
    <s v="Issue with add a teammate"/>
    <n v="62"/>
    <d v="2023-10-17T05:41:13"/>
    <b v="0"/>
    <n v="2"/>
  </r>
  <r>
    <s v="TK60961"/>
    <d v="2023-10-11T12:45:00"/>
    <s v="phone"/>
    <x v="4"/>
    <x v="1"/>
    <s v="Question about add a teammate"/>
    <n v="32"/>
    <d v="2023-10-11T14:31:36"/>
    <b v="0"/>
    <m/>
  </r>
  <r>
    <s v="TK61590"/>
    <d v="2023-10-11T14:13:00"/>
    <s v="in-app"/>
    <x v="4"/>
    <x v="1"/>
    <s v="Question about the API rate limit"/>
    <n v="228"/>
    <d v="2023-10-12T20:50:01"/>
    <b v="0"/>
    <m/>
  </r>
  <r>
    <s v="TK63985"/>
    <d v="2023-10-11T14:56:00"/>
    <s v="phone"/>
    <x v="1"/>
    <x v="1"/>
    <s v="Question about the API rate limit"/>
    <n v="145"/>
    <d v="2023-10-28T06:42:11"/>
    <b v="0"/>
    <m/>
  </r>
  <r>
    <s v="TK61542"/>
    <d v="2023-10-11T15:49:00"/>
    <s v="phone"/>
    <x v="0"/>
    <x v="1"/>
    <s v="Error when a duplicate charge"/>
    <n v="172"/>
    <d v="2023-10-13T04:19:12"/>
    <b v="0"/>
    <m/>
  </r>
  <r>
    <s v="TK60494"/>
    <d v="2023-10-11T17:18:00"/>
    <s v="email"/>
    <x v="1"/>
    <x v="3"/>
    <s v="Error when export my data"/>
    <n v="454"/>
    <d v="2023-10-16T20:00:19"/>
    <b v="0"/>
    <m/>
  </r>
  <r>
    <s v="TK61666"/>
    <d v="2023-10-11T19:55:00"/>
    <s v="in-app"/>
    <x v="3"/>
    <x v="1"/>
    <s v="Request to connecting the Snowflake sync"/>
    <n v="123"/>
    <m/>
    <b v="0"/>
    <m/>
  </r>
  <r>
    <s v="TK62892"/>
    <d v="2023-10-11T20:17:00"/>
    <s v="chat"/>
    <x v="2"/>
    <x v="1"/>
    <s v="Unable to connecting the Snowflake sync"/>
    <n v="54"/>
    <d v="2023-10-12T11:08:27"/>
    <b v="0"/>
    <n v="3"/>
  </r>
  <r>
    <s v="TK61551"/>
    <d v="2023-10-11T23:03:00"/>
    <s v="email"/>
    <x v="1"/>
    <x v="1"/>
    <s v="How do I webhook deliveries failing"/>
    <n v="71"/>
    <d v="2023-10-14T08:36:44"/>
    <b v="0"/>
    <n v="4"/>
  </r>
  <r>
    <s v="TK62624"/>
    <d v="2023-10-12T03:24:00"/>
    <s v="email"/>
    <x v="3"/>
    <x v="1"/>
    <s v="Issue with two-factor authentication"/>
    <n v="332"/>
    <d v="2023-10-13T17:12:21"/>
    <b v="0"/>
    <m/>
  </r>
  <r>
    <s v="TK60417"/>
    <d v="2023-10-12T06:15:00"/>
    <s v="in-app"/>
    <x v="0"/>
    <x v="1"/>
    <s v="Unable to the dashboard loading slowly"/>
    <n v="200"/>
    <d v="2023-10-12T20:52:56"/>
    <b v="0"/>
    <n v="5"/>
  </r>
  <r>
    <s v="TK63661"/>
    <d v="2023-10-12T09:51:00"/>
    <s v="in-app"/>
    <x v="0"/>
    <x v="3"/>
    <s v="Issue with export my data"/>
    <n v="194"/>
    <d v="2023-10-13T22:17:14"/>
    <b v="0"/>
    <m/>
  </r>
  <r>
    <s v="TK60978"/>
    <d v="2023-10-12T11:20:00"/>
    <s v="email"/>
    <x v="1"/>
    <x v="3"/>
    <s v="Question about the API rate limit"/>
    <n v="37"/>
    <d v="2023-10-15T20:31:46"/>
    <b v="0"/>
    <n v="5"/>
  </r>
  <r>
    <s v="TK62793"/>
    <d v="2023-10-12T14:07:00"/>
    <s v="chat"/>
    <x v="3"/>
    <x v="1"/>
    <s v="Request to a refund for an annual plan"/>
    <n v="65"/>
    <d v="2023-10-16T16:46:31"/>
    <b v="0"/>
    <n v="4"/>
  </r>
  <r>
    <s v="TK62209"/>
    <d v="2023-10-12T19:22:00"/>
    <s v="in-app"/>
    <x v="1"/>
    <x v="1"/>
    <s v="Question about add a teammate"/>
    <n v="678"/>
    <m/>
    <b v="0"/>
    <m/>
  </r>
  <r>
    <s v="TK63313"/>
    <d v="2023-10-12T21:16:00"/>
    <s v="in-app"/>
    <x v="3"/>
    <x v="1"/>
    <s v="Issue with downgrade my plan"/>
    <n v="45"/>
    <m/>
    <b v="0"/>
    <m/>
  </r>
  <r>
    <s v="TK62616"/>
    <d v="2023-10-12T21:36:00"/>
    <s v="email"/>
    <x v="1"/>
    <x v="0"/>
    <s v="Request to export my data"/>
    <n v="183"/>
    <d v="2023-10-14T02:56:42"/>
    <b v="0"/>
    <m/>
  </r>
  <r>
    <s v="TK63379"/>
    <d v="2023-10-12T22:03:00"/>
    <s v="in-app"/>
    <x v="2"/>
    <x v="3"/>
    <s v="Request to export my data"/>
    <n v="170"/>
    <d v="2023-10-13T04:50:16"/>
    <b v="1"/>
    <m/>
  </r>
  <r>
    <s v="TK61977"/>
    <d v="2023-10-13T00:32:00"/>
    <s v="in-app"/>
    <x v="2"/>
    <x v="1"/>
    <s v="Error when a duplicate charge"/>
    <n v="188"/>
    <d v="2023-10-13T15:25:19"/>
    <b v="0"/>
    <m/>
  </r>
  <r>
    <s v="TK63729"/>
    <d v="2023-10-13T05:51:00"/>
    <s v="email"/>
    <x v="2"/>
    <x v="1"/>
    <s v="Request to the dashboard loading slowly"/>
    <n v="26"/>
    <d v="2023-10-14T13:04:54"/>
    <b v="0"/>
    <n v="5"/>
  </r>
  <r>
    <s v="TK60120"/>
    <d v="2023-10-13T05:52:00"/>
    <s v="email"/>
    <x v="3"/>
    <x v="1"/>
    <s v="Unable to log in after password reset"/>
    <n v="506"/>
    <d v="2023-10-19T16:31:53"/>
    <b v="0"/>
    <m/>
  </r>
  <r>
    <s v="TK60394"/>
    <d v="2023-10-13T06:31:00"/>
    <s v="email"/>
    <x v="4"/>
    <x v="0"/>
    <s v="Error when add a teammate"/>
    <n v="19"/>
    <d v="2023-10-13T11:35:36"/>
    <b v="0"/>
    <m/>
  </r>
  <r>
    <s v="TK62641"/>
    <d v="2023-10-13T10:33:00"/>
    <s v="in-app"/>
    <x v="1"/>
    <x v="1"/>
    <s v="How do I add a teammate"/>
    <n v="444"/>
    <d v="2023-10-14T14:10:53"/>
    <b v="0"/>
    <n v="5"/>
  </r>
  <r>
    <s v="TK61723"/>
    <d v="2023-10-13T10:55:00"/>
    <s v="in-app"/>
    <x v="2"/>
    <x v="1"/>
    <s v="Request to a refund for an annual plan"/>
    <n v="18"/>
    <d v="2023-10-17T02:02:21"/>
    <b v="0"/>
    <m/>
  </r>
  <r>
    <s v="TK61510"/>
    <d v="2023-10-13T14:39:00"/>
    <s v="email"/>
    <x v="1"/>
    <x v="1"/>
    <s v="How do I add a teammate"/>
    <n v="39"/>
    <d v="2023-10-15T16:40:22"/>
    <b v="0"/>
    <m/>
  </r>
  <r>
    <s v="TK60012"/>
    <d v="2023-10-13T15:59:00"/>
    <s v="email"/>
    <x v="1"/>
    <x v="1"/>
    <s v="Unable to export my data"/>
    <n v="72"/>
    <d v="2023-10-27T14:27:23"/>
    <b v="0"/>
    <m/>
  </r>
  <r>
    <s v="TK60996"/>
    <d v="2023-10-13T21:56:00"/>
    <s v="email"/>
    <x v="4"/>
    <x v="3"/>
    <s v="How do I the API rate limit"/>
    <n v="514"/>
    <d v="2023-10-14T17:44:53"/>
    <b v="0"/>
    <n v="4"/>
  </r>
  <r>
    <s v="TK61492"/>
    <d v="2023-10-13T23:01:00"/>
    <s v="chat"/>
    <x v="2"/>
    <x v="0"/>
    <s v="Error when two-factor authentication"/>
    <n v="41"/>
    <d v="2023-10-20T17:31:39"/>
    <b v="1"/>
    <m/>
  </r>
  <r>
    <s v="TK61407"/>
    <d v="2023-10-14T01:45:00"/>
    <s v="email"/>
    <x v="1"/>
    <x v="2"/>
    <s v="How do I connecting the Snowflake sync"/>
    <n v="13"/>
    <d v="2023-10-15T01:29:11"/>
    <b v="0"/>
    <n v="4"/>
  </r>
  <r>
    <s v="TK62342"/>
    <d v="2023-10-14T01:47:00"/>
    <s v="in-app"/>
    <x v="3"/>
    <x v="2"/>
    <s v="Unable to webhook deliveries failing"/>
    <n v="33"/>
    <d v="2023-10-14T13:50:54"/>
    <b v="0"/>
    <m/>
  </r>
  <r>
    <s v="TK62012"/>
    <d v="2023-10-14T05:28:00"/>
    <s v="email"/>
    <x v="1"/>
    <x v="1"/>
    <s v="Cannot export my data"/>
    <n v="133"/>
    <d v="2023-10-15T09:36:17"/>
    <b v="0"/>
    <m/>
  </r>
  <r>
    <s v="TK61982"/>
    <d v="2023-10-14T06:16:00"/>
    <s v="email"/>
    <x v="2"/>
    <x v="1"/>
    <s v="Issue with a refund for an annual plan"/>
    <n v="438"/>
    <d v="2023-10-14T08:52:12"/>
    <b v="0"/>
    <m/>
  </r>
  <r>
    <s v="TK63033"/>
    <d v="2023-10-14T06:27:00"/>
    <s v="chat"/>
    <x v="2"/>
    <x v="3"/>
    <s v="Request to the dashboard loading slowly"/>
    <n v="379"/>
    <d v="2023-10-15T00:44:55"/>
    <b v="0"/>
    <m/>
  </r>
  <r>
    <s v="TK62518"/>
    <d v="2023-10-14T06:31:00"/>
    <s v="phone"/>
    <x v="0"/>
    <x v="1"/>
    <s v="Unable to two-factor authentication"/>
    <n v="77"/>
    <d v="2023-10-18T14:13:18"/>
    <b v="0"/>
    <n v="4"/>
  </r>
  <r>
    <s v="TK63293"/>
    <d v="2023-10-14T10:41:00"/>
    <s v="phone"/>
    <x v="2"/>
    <x v="3"/>
    <s v="How do I webhook deliveries failing"/>
    <n v="47"/>
    <d v="2023-10-15T07:24:57"/>
    <b v="0"/>
    <n v="5"/>
  </r>
  <r>
    <s v="TK60203"/>
    <d v="2023-10-14T11:24:00"/>
    <s v="email"/>
    <x v="4"/>
    <x v="0"/>
    <s v="Request to the dashboard loading slowly"/>
    <n v="93"/>
    <d v="2023-10-14T18:44:50"/>
    <b v="0"/>
    <m/>
  </r>
  <r>
    <s v="TK60847"/>
    <d v="2023-10-14T16:20:00"/>
    <s v="phone"/>
    <x v="1"/>
    <x v="1"/>
    <s v="Cannot the dashboard loading slowly"/>
    <n v="131"/>
    <d v="2023-10-16T09:50:52"/>
    <b v="0"/>
    <m/>
  </r>
  <r>
    <s v="TK61745"/>
    <d v="2023-10-14T16:32:00"/>
    <s v="phone"/>
    <x v="1"/>
    <x v="0"/>
    <s v="Question about log in after password reset"/>
    <n v="45"/>
    <d v="2023-10-15T00:44:51"/>
    <b v="0"/>
    <m/>
  </r>
  <r>
    <s v="TK61864"/>
    <d v="2023-10-14T16:54:00"/>
    <s v="in-app"/>
    <x v="1"/>
    <x v="0"/>
    <s v="Request to connecting the Snowflake sync"/>
    <n v="494"/>
    <d v="2023-10-15T01:36:42"/>
    <b v="0"/>
    <m/>
  </r>
  <r>
    <s v="TK60963"/>
    <d v="2023-10-14T17:53:00"/>
    <s v="chat"/>
    <x v="4"/>
    <x v="1"/>
    <s v="Error when log in after password reset"/>
    <n v="104"/>
    <d v="2023-10-15T10:53:49"/>
    <b v="1"/>
    <m/>
  </r>
  <r>
    <s v="TK60222"/>
    <d v="2023-10-14T20:06:00"/>
    <s v="in-app"/>
    <x v="2"/>
    <x v="3"/>
    <s v="Unable to add a teammate"/>
    <n v="474"/>
    <d v="2023-10-15T21:22:24"/>
    <b v="0"/>
    <n v="2"/>
  </r>
  <r>
    <s v="TK63892"/>
    <d v="2023-10-14T20:08:00"/>
    <s v="in-app"/>
    <x v="1"/>
    <x v="1"/>
    <s v="Cannot the dashboard loading slowly"/>
    <n v="210"/>
    <d v="2023-10-16T12:32:46"/>
    <b v="0"/>
    <m/>
  </r>
  <r>
    <s v="TK62472"/>
    <d v="2023-10-14T21:26:00"/>
    <s v="in-app"/>
    <x v="4"/>
    <x v="0"/>
    <s v="How do I export my data"/>
    <n v="10"/>
    <d v="2023-10-16T17:24:11"/>
    <b v="0"/>
    <n v="5"/>
  </r>
  <r>
    <s v="TK62572"/>
    <d v="2023-10-14T21:45:00"/>
    <s v="email"/>
    <x v="4"/>
    <x v="1"/>
    <s v="Unable to the invoice for last month"/>
    <n v="35"/>
    <d v="2023-10-15T06:14:38"/>
    <b v="0"/>
    <n v="5"/>
  </r>
  <r>
    <s v="TK60893"/>
    <d v="2023-10-14T23:41:00"/>
    <s v="chat"/>
    <x v="2"/>
    <x v="3"/>
    <s v="How do I the API rate limit"/>
    <n v="248"/>
    <d v="2023-10-19T09:19:44"/>
    <b v="0"/>
    <m/>
  </r>
  <r>
    <s v="TK61239"/>
    <d v="2023-10-15T00:44:00"/>
    <s v="email"/>
    <x v="1"/>
    <x v="3"/>
    <s v="Request to the dashboard loading slowly"/>
    <n v="309"/>
    <d v="2023-10-28T01:09:58"/>
    <b v="1"/>
    <m/>
  </r>
  <r>
    <s v="TK63421"/>
    <d v="2023-10-15T01:00:00"/>
    <s v="email"/>
    <x v="3"/>
    <x v="1"/>
    <s v="Error when the dashboard loading slowly"/>
    <m/>
    <d v="2023-10-15T08:46:35"/>
    <b v="0"/>
    <m/>
  </r>
  <r>
    <s v="TK60713"/>
    <d v="2023-10-15T01:07:00"/>
    <s v="email"/>
    <x v="1"/>
    <x v="0"/>
    <s v="Request to a refund for an annual plan"/>
    <n v="13"/>
    <d v="2023-10-16T02:18:27"/>
    <b v="0"/>
    <m/>
  </r>
  <r>
    <s v="TK61631"/>
    <d v="2023-10-15T01:15:00"/>
    <s v="chat"/>
    <x v="0"/>
    <x v="0"/>
    <s v="Question about add a teammate"/>
    <n v="3"/>
    <d v="2023-10-17T00:31:57"/>
    <b v="0"/>
    <n v="1"/>
  </r>
  <r>
    <s v="TK60234"/>
    <d v="2023-10-15T03:23:00"/>
    <s v="chat"/>
    <x v="4"/>
    <x v="1"/>
    <s v="Question about export my data"/>
    <n v="580"/>
    <d v="2023-10-15T12:31:59"/>
    <b v="0"/>
    <n v="4"/>
  </r>
  <r>
    <s v="TK61879"/>
    <d v="2023-10-15T05:27:00"/>
    <s v="chat"/>
    <x v="3"/>
    <x v="3"/>
    <s v="How do I webhook deliveries failing"/>
    <n v="149"/>
    <m/>
    <b v="0"/>
    <m/>
  </r>
  <r>
    <s v="TK60510"/>
    <d v="2023-10-15T07:32:00"/>
    <s v="chat"/>
    <x v="1"/>
    <x v="2"/>
    <s v="Issue with log in after password reset"/>
    <n v="6"/>
    <d v="2023-10-15T10:22:41"/>
    <b v="0"/>
    <m/>
  </r>
  <r>
    <s v="TK62613"/>
    <d v="2023-10-15T08:24:00"/>
    <s v="email"/>
    <x v="1"/>
    <x v="1"/>
    <s v="Cannot the API rate limit"/>
    <n v="16"/>
    <d v="2023-10-18T19:21:09"/>
    <b v="0"/>
    <n v="5"/>
  </r>
  <r>
    <s v="TK63958"/>
    <d v="2023-10-15T08:39:00"/>
    <s v="email"/>
    <x v="2"/>
    <x v="0"/>
    <s v="Question about log in after password reset"/>
    <n v="69"/>
    <d v="2023-10-16T12:19:23"/>
    <b v="0"/>
    <m/>
  </r>
  <r>
    <s v="TK63295"/>
    <d v="2023-10-15T11:25:00"/>
    <s v="in-app"/>
    <x v="3"/>
    <x v="1"/>
    <s v="Unable to webhook deliveries failing"/>
    <n v="98"/>
    <d v="2023-10-16T01:30:06"/>
    <b v="0"/>
    <m/>
  </r>
  <r>
    <s v="TK62829"/>
    <d v="2023-10-15T13:49:00"/>
    <s v="chat"/>
    <x v="0"/>
    <x v="0"/>
    <s v="Question about a refund for an annual plan"/>
    <n v="21"/>
    <d v="2023-10-17T15:26:04"/>
    <b v="0"/>
    <n v="5"/>
  </r>
  <r>
    <s v="TK60987"/>
    <d v="2023-10-15T19:37:00"/>
    <s v="chat"/>
    <x v="1"/>
    <x v="1"/>
    <s v="Request to log in after password reset"/>
    <n v="27"/>
    <d v="2023-10-20T05:45:04"/>
    <b v="0"/>
    <m/>
  </r>
  <r>
    <s v="TK61923"/>
    <d v="2023-10-15T20:51:00"/>
    <s v="email"/>
    <x v="2"/>
    <x v="1"/>
    <s v="Unable to the invoice for last month"/>
    <n v="82"/>
    <d v="2023-10-17T07:53:37"/>
    <b v="0"/>
    <m/>
  </r>
  <r>
    <s v="TK62216"/>
    <d v="2023-10-15T21:32:00"/>
    <s v="email"/>
    <x v="1"/>
    <x v="0"/>
    <s v="Request to two-factor authentication"/>
    <n v="84"/>
    <m/>
    <b v="0"/>
    <m/>
  </r>
  <r>
    <s v="TK60496"/>
    <d v="2023-10-15T22:10:00"/>
    <s v="in-app"/>
    <x v="0"/>
    <x v="1"/>
    <s v="Issue with the dashboard loading slowly"/>
    <n v="208"/>
    <d v="2023-10-16T21:31:56"/>
    <b v="0"/>
    <m/>
  </r>
  <r>
    <s v="TK61979"/>
    <d v="2023-10-16T00:23:00"/>
    <s v="email"/>
    <x v="4"/>
    <x v="1"/>
    <s v="Unable to log in after password reset"/>
    <n v="734"/>
    <d v="2023-10-16T16:08:05"/>
    <b v="0"/>
    <m/>
  </r>
  <r>
    <s v="TK61099"/>
    <d v="2023-10-16T01:04:00"/>
    <s v="in-app"/>
    <x v="3"/>
    <x v="3"/>
    <s v="Issue with export my data"/>
    <n v="117"/>
    <d v="2023-10-20T20:25:01"/>
    <b v="0"/>
    <m/>
  </r>
  <r>
    <s v="TK60523"/>
    <d v="2023-10-16T03:30:00"/>
    <s v="chat"/>
    <x v="2"/>
    <x v="1"/>
    <s v="Cannot downgrade my plan"/>
    <n v="55"/>
    <m/>
    <b v="0"/>
    <m/>
  </r>
  <r>
    <s v="TK63439"/>
    <d v="2023-10-16T04:21:00"/>
    <s v="phone"/>
    <x v="2"/>
    <x v="1"/>
    <s v="Cannot webhook deliveries failing"/>
    <n v="149"/>
    <d v="2023-10-17T02:19:26"/>
    <b v="0"/>
    <m/>
  </r>
  <r>
    <s v="TK62596"/>
    <d v="2023-10-16T04:57:00"/>
    <s v="chat"/>
    <x v="3"/>
    <x v="1"/>
    <s v="Issue with log in after password reset"/>
    <n v="128"/>
    <d v="2023-10-16T22:22:18"/>
    <b v="0"/>
    <m/>
  </r>
  <r>
    <s v="TK63784"/>
    <d v="2023-10-16T05:24:00"/>
    <s v="email"/>
    <x v="0"/>
    <x v="1"/>
    <s v="Issue with export my data"/>
    <n v="19"/>
    <d v="2023-10-19T23:57:58"/>
    <b v="0"/>
    <m/>
  </r>
  <r>
    <s v="TK61075"/>
    <d v="2023-10-16T05:55:00"/>
    <s v="phone"/>
    <x v="1"/>
    <x v="0"/>
    <s v="How do I a duplicate charge"/>
    <n v="49"/>
    <d v="2023-10-29T14:50:24"/>
    <b v="0"/>
    <n v="5"/>
  </r>
  <r>
    <s v="TK62128"/>
    <d v="2023-10-16T07:21:00"/>
    <s v="email"/>
    <x v="2"/>
    <x v="0"/>
    <s v="Error when the dashboard loading slowly"/>
    <n v="53"/>
    <d v="2023-10-17T05:13:23"/>
    <b v="0"/>
    <m/>
  </r>
  <r>
    <s v="TK62811"/>
    <d v="2023-10-16T09:16:00"/>
    <s v="chat"/>
    <x v="3"/>
    <x v="1"/>
    <s v="How do I log in after password reset"/>
    <n v="277"/>
    <d v="2023-10-19T05:51:23"/>
    <b v="0"/>
    <m/>
  </r>
  <r>
    <s v="TK61527"/>
    <d v="2023-10-16T09:28:00"/>
    <s v="phone"/>
    <x v="2"/>
    <x v="1"/>
    <s v="Question about connecting the Snowflake sync"/>
    <n v="93"/>
    <d v="2023-10-17T09:06:30"/>
    <b v="0"/>
    <m/>
  </r>
  <r>
    <s v="TK63428"/>
    <d v="2023-10-16T14:07:00"/>
    <s v="chat"/>
    <x v="1"/>
    <x v="1"/>
    <s v="Unable to a refund for an annual plan"/>
    <n v="147"/>
    <d v="2023-10-19T05:40:39"/>
    <b v="0"/>
    <m/>
  </r>
  <r>
    <s v="TK63110"/>
    <d v="2023-10-16T14:22:00"/>
    <s v="email"/>
    <x v="4"/>
    <x v="1"/>
    <s v="Request to the dashboard loading slowly"/>
    <n v="53"/>
    <d v="2023-10-17T06:30:10"/>
    <b v="1"/>
    <m/>
  </r>
  <r>
    <s v="TK62890"/>
    <d v="2023-10-16T14:52:00"/>
    <s v="email"/>
    <x v="0"/>
    <x v="2"/>
    <s v="Question about the API rate limit"/>
    <n v="24"/>
    <d v="2023-10-17T00:13:33"/>
    <b v="0"/>
    <m/>
  </r>
  <r>
    <s v="TK61959"/>
    <d v="2023-10-16T18:17:00"/>
    <s v="email"/>
    <x v="1"/>
    <x v="1"/>
    <s v="Request to connecting the Snowflake sync"/>
    <n v="290"/>
    <d v="2023-10-20T10:47:59"/>
    <b v="0"/>
    <m/>
  </r>
  <r>
    <s v="TK61397"/>
    <d v="2023-10-16T18:26:00"/>
    <s v="phone"/>
    <x v="1"/>
    <x v="2"/>
    <s v="Request to two-factor authentication"/>
    <n v="34"/>
    <d v="2023-10-17T05:36:54"/>
    <b v="0"/>
    <n v="5"/>
  </r>
  <r>
    <s v="TK62051"/>
    <d v="2023-10-16T19:18:00"/>
    <s v="email"/>
    <x v="2"/>
    <x v="2"/>
    <s v="Question about export my data"/>
    <n v="21"/>
    <d v="2023-10-17T09:03:03"/>
    <b v="1"/>
    <n v="4"/>
  </r>
  <r>
    <s v="TK60739"/>
    <d v="2023-10-16T23:43:00"/>
    <s v="email"/>
    <x v="0"/>
    <x v="3"/>
    <s v="Error when two-factor authentication"/>
    <n v="93"/>
    <d v="2023-10-18T07:21:51"/>
    <b v="0"/>
    <m/>
  </r>
  <r>
    <s v="TK62736"/>
    <d v="2023-10-17T05:00:00"/>
    <s v="email"/>
    <x v="4"/>
    <x v="1"/>
    <s v="Error when downgrade my plan"/>
    <m/>
    <d v="2023-10-20T02:23:27"/>
    <b v="0"/>
    <n v="4"/>
  </r>
  <r>
    <s v="TK60616"/>
    <d v="2023-10-17T05:20:00"/>
    <s v="chat"/>
    <x v="2"/>
    <x v="1"/>
    <s v="How do I connecting the Snowflake sync"/>
    <n v="19"/>
    <d v="2023-10-18T01:23:16"/>
    <b v="0"/>
    <m/>
  </r>
  <r>
    <s v="TK60133"/>
    <d v="2023-10-17T07:01:00"/>
    <s v="in-app"/>
    <x v="3"/>
    <x v="1"/>
    <s v="Question about downgrade my plan"/>
    <n v="60"/>
    <d v="2023-10-17T17:49:26"/>
    <b v="0"/>
    <m/>
  </r>
  <r>
    <s v="TK61106"/>
    <d v="2023-10-17T07:52:00"/>
    <s v="email"/>
    <x v="1"/>
    <x v="1"/>
    <s v="Issue with log in after password reset"/>
    <n v="89"/>
    <d v="2023-10-19T03:08:02"/>
    <b v="0"/>
    <m/>
  </r>
  <r>
    <s v="TK60201"/>
    <d v="2023-10-17T14:35:00"/>
    <s v="chat"/>
    <x v="4"/>
    <x v="1"/>
    <s v="Error when log in after password reset"/>
    <n v="92"/>
    <d v="2023-10-18T05:21:19"/>
    <b v="0"/>
    <n v="5"/>
  </r>
  <r>
    <s v="TK60974"/>
    <d v="2023-10-17T17:13:00"/>
    <s v="in-app"/>
    <x v="2"/>
    <x v="0"/>
    <s v="How do I downgrade my plan"/>
    <n v="25"/>
    <d v="2023-10-18T04:10:26"/>
    <b v="0"/>
    <m/>
  </r>
  <r>
    <s v="TK62320"/>
    <d v="2023-10-17T20:18:00"/>
    <s v="email"/>
    <x v="1"/>
    <x v="0"/>
    <s v="Error when a refund for an annual plan"/>
    <n v="16"/>
    <d v="2023-10-18T08:21:40"/>
    <b v="0"/>
    <m/>
  </r>
  <r>
    <s v="TK60423"/>
    <d v="2023-10-17T23:09:00"/>
    <s v="chat"/>
    <x v="0"/>
    <x v="0"/>
    <s v="Question about a refund for an annual plan"/>
    <n v="77"/>
    <d v="2023-10-18T02:10:52"/>
    <b v="0"/>
    <m/>
  </r>
  <r>
    <s v="TK63963"/>
    <d v="2023-10-18T01:57:00"/>
    <s v="phone"/>
    <x v="4"/>
    <x v="1"/>
    <s v="Issue with webhook deliveries failing"/>
    <n v="277"/>
    <d v="2023-10-19T12:36:13"/>
    <b v="0"/>
    <n v="1"/>
  </r>
  <r>
    <s v="TK63484"/>
    <d v="2023-10-18T02:15:00"/>
    <s v="email"/>
    <x v="1"/>
    <x v="3"/>
    <s v="Unable to add a teammate"/>
    <n v="41"/>
    <d v="2023-10-20T17:51:26"/>
    <b v="0"/>
    <m/>
  </r>
  <r>
    <s v="TK62807"/>
    <d v="2023-10-18T03:03:00"/>
    <s v="chat"/>
    <x v="3"/>
    <x v="0"/>
    <s v="Cannot downgrade my plan"/>
    <n v="26"/>
    <d v="2023-10-21T01:48:21"/>
    <b v="0"/>
    <m/>
  </r>
  <r>
    <s v="TK63562"/>
    <d v="2023-10-18T04:34:00"/>
    <s v="in-app"/>
    <x v="1"/>
    <x v="0"/>
    <s v="Question about the API rate limit"/>
    <n v="13"/>
    <d v="2023-10-19T11:04:01"/>
    <b v="1"/>
    <m/>
  </r>
  <r>
    <s v="TK63289"/>
    <d v="2023-10-18T05:44:00"/>
    <s v="phone"/>
    <x v="1"/>
    <x v="0"/>
    <s v="Error when add a teammate"/>
    <n v="37"/>
    <d v="2023-10-20T06:53:56"/>
    <b v="0"/>
    <n v="4"/>
  </r>
  <r>
    <s v="TK63913"/>
    <d v="2023-10-18T12:19:00"/>
    <s v="chat"/>
    <x v="2"/>
    <x v="2"/>
    <s v="Error when a duplicate charge"/>
    <n v="3"/>
    <d v="2023-10-18T12:59:38"/>
    <b v="0"/>
    <m/>
  </r>
  <r>
    <s v="TK60226"/>
    <d v="2023-10-18T16:35:00"/>
    <s v="chat"/>
    <x v="1"/>
    <x v="1"/>
    <s v="Question about the API rate limit"/>
    <n v="29"/>
    <d v="2023-10-19T15:07:23"/>
    <b v="1"/>
    <n v="2"/>
  </r>
  <r>
    <s v="TK63226"/>
    <d v="2023-10-18T17:29:00"/>
    <s v="in-app"/>
    <x v="3"/>
    <x v="3"/>
    <s v="Request to a refund for an annual plan"/>
    <n v="267"/>
    <d v="2023-10-20T01:48:36"/>
    <b v="0"/>
    <n v="5"/>
  </r>
  <r>
    <s v="TK61520"/>
    <d v="2023-10-18T20:55:00"/>
    <s v="email"/>
    <x v="1"/>
    <x v="3"/>
    <s v="How do I webhook deliveries failing"/>
    <n v="104"/>
    <d v="2023-10-21T09:15:17"/>
    <b v="0"/>
    <m/>
  </r>
  <r>
    <s v="TK60967"/>
    <d v="2023-10-18T22:21:00"/>
    <s v="in-app"/>
    <x v="0"/>
    <x v="0"/>
    <s v="How do I a duplicate charge"/>
    <n v="41"/>
    <d v="2023-10-18T23:43:15"/>
    <b v="0"/>
    <m/>
  </r>
  <r>
    <s v="TK61169"/>
    <d v="2023-10-18T22:55:00"/>
    <s v="email"/>
    <x v="1"/>
    <x v="0"/>
    <s v="How do I add a teammate"/>
    <n v="71"/>
    <d v="2023-10-27T10:29:21"/>
    <b v="0"/>
    <m/>
  </r>
  <r>
    <s v="TK61914"/>
    <d v="2023-10-19T00:35:00"/>
    <s v="email"/>
    <x v="0"/>
    <x v="1"/>
    <s v="Error when connecting the Snowflake sync"/>
    <n v="219"/>
    <d v="2023-10-22T01:04:06"/>
    <b v="0"/>
    <n v="4"/>
  </r>
  <r>
    <s v="TK60177"/>
    <d v="2023-10-19T03:58:00"/>
    <s v="phone"/>
    <x v="2"/>
    <x v="1"/>
    <s v="Cannot connecting the Snowflake sync"/>
    <n v="103"/>
    <d v="2023-10-19T18:28:52"/>
    <b v="0"/>
    <m/>
  </r>
  <r>
    <s v="TK61779"/>
    <d v="2023-10-19T06:01:00"/>
    <s v="email"/>
    <x v="1"/>
    <x v="3"/>
    <s v="Error when the invoice for last month"/>
    <n v="305"/>
    <d v="2023-10-22T17:54:56"/>
    <b v="0"/>
    <n v="4"/>
  </r>
  <r>
    <s v="TK60565"/>
    <d v="2023-10-19T12:29:00"/>
    <s v="in-app"/>
    <x v="0"/>
    <x v="0"/>
    <s v="Error when downgrade my plan"/>
    <n v="73"/>
    <d v="2023-10-21T04:30:11"/>
    <b v="0"/>
    <n v="5"/>
  </r>
  <r>
    <s v="TK63181"/>
    <d v="2023-10-19T16:29:00"/>
    <s v="email"/>
    <x v="4"/>
    <x v="1"/>
    <s v="Error when connecting the Snowflake sync"/>
    <n v="240"/>
    <d v="2023-10-21T13:40:09"/>
    <b v="0"/>
    <m/>
  </r>
  <r>
    <s v="TK63460"/>
    <d v="2023-10-19T16:46:00"/>
    <s v="email"/>
    <x v="2"/>
    <x v="0"/>
    <s v="Unable to log in after password reset"/>
    <n v="22"/>
    <d v="2023-10-19T18:13:14"/>
    <b v="0"/>
    <n v="4"/>
  </r>
  <r>
    <s v="TK62213"/>
    <d v="2023-10-19T18:07:00"/>
    <s v="email"/>
    <x v="1"/>
    <x v="0"/>
    <s v="Request to the API rate limit"/>
    <m/>
    <d v="2023-10-22T03:44:46"/>
    <b v="0"/>
    <n v="5"/>
  </r>
  <r>
    <s v="TK60385"/>
    <d v="2023-10-19T20:42:00"/>
    <s v="email"/>
    <x v="4"/>
    <x v="0"/>
    <s v="Request to a duplicate charge"/>
    <n v="26"/>
    <d v="2023-10-19T23:49:48"/>
    <b v="0"/>
    <m/>
  </r>
  <r>
    <s v="TK61212"/>
    <d v="2023-10-19T20:43:00"/>
    <s v="in-app"/>
    <x v="1"/>
    <x v="1"/>
    <s v="Question about the invoice for last month"/>
    <n v="153"/>
    <m/>
    <b v="0"/>
    <m/>
  </r>
  <r>
    <s v="TK61703"/>
    <d v="2023-10-19T23:56:00"/>
    <s v="chat"/>
    <x v="2"/>
    <x v="1"/>
    <s v="Unable to webhook deliveries failing"/>
    <n v="79"/>
    <m/>
    <b v="0"/>
    <m/>
  </r>
  <r>
    <s v="TK60576"/>
    <d v="2023-10-20T02:59:00"/>
    <s v="phone"/>
    <x v="0"/>
    <x v="3"/>
    <s v="Question about downgrade my plan"/>
    <n v="544"/>
    <d v="2023-10-21T07:26:24"/>
    <b v="0"/>
    <m/>
  </r>
  <r>
    <s v="TK62013"/>
    <d v="2023-10-20T05:31:00"/>
    <s v="phone"/>
    <x v="3"/>
    <x v="0"/>
    <s v="Question about log in after password reset"/>
    <n v="126"/>
    <d v="2023-10-20T12:26:40"/>
    <b v="0"/>
    <n v="4"/>
  </r>
  <r>
    <s v="TK61298"/>
    <d v="2023-10-20T08:01:00"/>
    <s v="in-app"/>
    <x v="2"/>
    <x v="0"/>
    <s v="Request to a refund for an annual plan"/>
    <n v="232"/>
    <d v="2023-10-20T13:41:13"/>
    <b v="1"/>
    <m/>
  </r>
  <r>
    <s v="TK60050"/>
    <d v="2023-10-20T16:40:00"/>
    <s v="phone"/>
    <x v="2"/>
    <x v="1"/>
    <s v="How do I log in after password reset"/>
    <n v="128"/>
    <d v="2023-10-28T18:40:13"/>
    <b v="0"/>
    <m/>
  </r>
  <r>
    <s v="TK60437"/>
    <d v="2023-10-20T20:57:00"/>
    <s v="chat"/>
    <x v="1"/>
    <x v="1"/>
    <s v="Request to a refund for an annual plan"/>
    <n v="139"/>
    <d v="2023-10-23T02:39:56"/>
    <b v="0"/>
    <n v="2"/>
  </r>
  <r>
    <s v="TK60389"/>
    <d v="2023-10-20T22:28:00"/>
    <s v="email"/>
    <x v="0"/>
    <x v="1"/>
    <s v="Request to connecting the Snowflake sync"/>
    <n v="143"/>
    <d v="2023-10-21T04:07:33"/>
    <b v="0"/>
    <m/>
  </r>
  <r>
    <s v="TK63971"/>
    <d v="2023-10-21T04:52:00"/>
    <s v="email"/>
    <x v="4"/>
    <x v="1"/>
    <s v="Question about a refund for an annual plan"/>
    <n v="88"/>
    <d v="2023-10-21T20:51:01"/>
    <b v="0"/>
    <m/>
  </r>
  <r>
    <s v="TK61828"/>
    <d v="2023-10-21T08:53:00"/>
    <s v="email"/>
    <x v="2"/>
    <x v="1"/>
    <s v="Issue with the dashboard loading slowly"/>
    <n v="33"/>
    <d v="2023-10-26T00:37:39"/>
    <b v="1"/>
    <m/>
  </r>
  <r>
    <s v="TK63440"/>
    <d v="2023-10-21T10:16:00"/>
    <s v="email"/>
    <x v="4"/>
    <x v="0"/>
    <s v="Issue with the dashboard loading slowly"/>
    <n v="31"/>
    <d v="2023-10-21T20:37:46"/>
    <b v="1"/>
    <n v="2"/>
  </r>
  <r>
    <s v="TK60956"/>
    <d v="2023-10-21T11:02:00"/>
    <s v="phone"/>
    <x v="2"/>
    <x v="0"/>
    <s v="Error when webhook deliveries failing"/>
    <n v="13"/>
    <d v="2023-10-22T00:29:12"/>
    <b v="0"/>
    <m/>
  </r>
  <r>
    <s v="TK60290"/>
    <d v="2023-10-21T13:47:00"/>
    <s v="email"/>
    <x v="4"/>
    <x v="3"/>
    <s v="Question about a duplicate charge"/>
    <n v="260"/>
    <d v="2023-10-23T06:36:10"/>
    <b v="1"/>
    <n v="5"/>
  </r>
  <r>
    <s v="TK63156"/>
    <d v="2023-10-21T14:07:00"/>
    <s v="chat"/>
    <x v="3"/>
    <x v="1"/>
    <s v="How do I downgrade my plan"/>
    <n v="66"/>
    <d v="2023-10-22T01:05:41"/>
    <b v="0"/>
    <n v="5"/>
  </r>
  <r>
    <s v="TK62042"/>
    <d v="2023-10-21T14:26:00"/>
    <s v="email"/>
    <x v="0"/>
    <x v="1"/>
    <s v="Cannot webhook deliveries failing"/>
    <n v="67"/>
    <d v="2023-10-22T02:34:33"/>
    <b v="0"/>
    <n v="4"/>
  </r>
  <r>
    <s v="TK61945"/>
    <d v="2023-10-21T20:16:00"/>
    <s v="email"/>
    <x v="2"/>
    <x v="3"/>
    <s v="Issue with log in after password reset"/>
    <n v="316"/>
    <d v="2023-10-23T06:51:43"/>
    <b v="0"/>
    <n v="5"/>
  </r>
  <r>
    <s v="TK60342"/>
    <d v="2023-10-21T20:46:00"/>
    <s v="in-app"/>
    <x v="2"/>
    <x v="3"/>
    <s v="Question about two-factor authentication"/>
    <n v="54"/>
    <d v="2023-10-22T16:19:22"/>
    <b v="0"/>
    <m/>
  </r>
  <r>
    <s v="TK63256"/>
    <d v="2023-10-21T23:02:00"/>
    <s v="chat"/>
    <x v="1"/>
    <x v="1"/>
    <s v="Issue with the dashboard loading slowly"/>
    <n v="434"/>
    <d v="2023-10-23T07:58:25"/>
    <b v="0"/>
    <m/>
  </r>
  <r>
    <s v="TK61147"/>
    <d v="2023-10-21T23:53:00"/>
    <s v="in-app"/>
    <x v="3"/>
    <x v="0"/>
    <s v="Question about two-factor authentication"/>
    <n v="36"/>
    <d v="2023-10-23T03:56:24"/>
    <b v="0"/>
    <n v="5"/>
  </r>
  <r>
    <s v="TK60580"/>
    <d v="2023-10-22T14:02:00"/>
    <s v="phone"/>
    <x v="1"/>
    <x v="2"/>
    <s v="Request to log in after password reset"/>
    <n v="13"/>
    <d v="2023-10-22T19:57:56"/>
    <b v="0"/>
    <n v="5"/>
  </r>
  <r>
    <s v="TK60288"/>
    <d v="2023-10-22T14:27:00"/>
    <s v="email"/>
    <x v="1"/>
    <x v="0"/>
    <s v="How do I add a teammate"/>
    <n v="37"/>
    <d v="2023-10-25T12:01:11"/>
    <b v="0"/>
    <m/>
  </r>
  <r>
    <s v="TK60097"/>
    <d v="2023-10-22T16:27:00"/>
    <s v="chat"/>
    <x v="1"/>
    <x v="3"/>
    <s v="Question about connecting the Snowflake sync"/>
    <n v="259"/>
    <d v="2023-10-23T20:11:45"/>
    <b v="0"/>
    <m/>
  </r>
  <r>
    <s v="TK63900"/>
    <d v="2023-10-22T19:01:00"/>
    <s v="in-app"/>
    <x v="0"/>
    <x v="2"/>
    <s v="Unable to the API rate limit"/>
    <n v="32"/>
    <d v="2023-10-22T23:01:50"/>
    <b v="0"/>
    <m/>
  </r>
  <r>
    <s v="TK63591"/>
    <d v="2023-10-22T20:48:00"/>
    <s v="in-app"/>
    <x v="4"/>
    <x v="0"/>
    <s v="Cannot downgrade my plan"/>
    <n v="43"/>
    <d v="2023-10-22T23:20:43"/>
    <b v="0"/>
    <n v="5"/>
  </r>
  <r>
    <s v="TK62384"/>
    <d v="2023-10-22T21:37:00"/>
    <s v="chat"/>
    <x v="4"/>
    <x v="1"/>
    <s v="Cannot a duplicate charge"/>
    <n v="124"/>
    <d v="2023-10-29T05:43:49"/>
    <b v="0"/>
    <m/>
  </r>
  <r>
    <s v="TK60059"/>
    <d v="2023-10-23T04:22:00"/>
    <s v="email"/>
    <x v="2"/>
    <x v="1"/>
    <s v="Request to the invoice for last month"/>
    <n v="33"/>
    <d v="2023-10-23T09:49:53"/>
    <b v="0"/>
    <m/>
  </r>
  <r>
    <s v="TK60912"/>
    <d v="2023-10-23T04:56:00"/>
    <s v="email"/>
    <x v="2"/>
    <x v="1"/>
    <s v="Error when add a teammate"/>
    <n v="20"/>
    <d v="2023-10-26T06:38:37"/>
    <b v="0"/>
    <m/>
  </r>
  <r>
    <s v="TK62170"/>
    <d v="2023-10-23T07:58:00"/>
    <s v="email"/>
    <x v="2"/>
    <x v="1"/>
    <s v="Issue with add a teammate"/>
    <n v="130"/>
    <d v="2023-10-24T12:13:42"/>
    <b v="0"/>
    <m/>
  </r>
  <r>
    <s v="TK60143"/>
    <d v="2023-10-23T10:50:00"/>
    <s v="chat"/>
    <x v="2"/>
    <x v="3"/>
    <s v="Cannot a refund for an annual plan"/>
    <n v="86"/>
    <d v="2023-10-23T21:41:19"/>
    <b v="0"/>
    <m/>
  </r>
  <r>
    <s v="TK61662"/>
    <d v="2023-10-23T11:57:00"/>
    <s v="email"/>
    <x v="3"/>
    <x v="0"/>
    <s v="Question about add a teammate"/>
    <n v="17"/>
    <d v="2023-10-24T11:30:52"/>
    <b v="0"/>
    <m/>
  </r>
  <r>
    <s v="TK60372"/>
    <d v="2023-10-23T15:06:00"/>
    <s v="chat"/>
    <x v="2"/>
    <x v="2"/>
    <s v="Error when two-factor authentication"/>
    <n v="14"/>
    <d v="2023-10-24T01:37:46"/>
    <b v="0"/>
    <m/>
  </r>
  <r>
    <s v="TK63247"/>
    <d v="2023-10-23T15:36:00"/>
    <s v="email"/>
    <x v="1"/>
    <x v="1"/>
    <s v="Unable to export my data"/>
    <n v="45"/>
    <d v="2023-10-23T19:37:30"/>
    <b v="0"/>
    <m/>
  </r>
  <r>
    <s v="TK61011"/>
    <d v="2023-10-23T17:50:00"/>
    <s v="chat"/>
    <x v="3"/>
    <x v="2"/>
    <s v="How do I connecting the Snowflake sync"/>
    <n v="18"/>
    <d v="2023-10-26T10:03:41"/>
    <b v="0"/>
    <m/>
  </r>
  <r>
    <s v="TK61117"/>
    <d v="2023-10-23T21:48:00"/>
    <s v="email"/>
    <x v="2"/>
    <x v="3"/>
    <s v="Request to the invoice for last month"/>
    <n v="1614"/>
    <d v="2023-10-24T14:32:56"/>
    <b v="0"/>
    <m/>
  </r>
  <r>
    <s v="TK61429"/>
    <d v="2023-10-23T22:27:00"/>
    <s v="in-app"/>
    <x v="1"/>
    <x v="1"/>
    <s v="Unable to a duplicate charge"/>
    <n v="151"/>
    <d v="2023-10-24T09:54:13"/>
    <b v="0"/>
    <n v="1"/>
  </r>
  <r>
    <s v="TK62591"/>
    <d v="2023-10-24T00:08:00"/>
    <s v="email"/>
    <x v="0"/>
    <x v="3"/>
    <s v="How do I downgrade my plan"/>
    <n v="84"/>
    <d v="2023-10-27T13:31:36"/>
    <b v="0"/>
    <m/>
  </r>
  <r>
    <s v="TK61561"/>
    <d v="2023-10-24T01:31:00"/>
    <s v="chat"/>
    <x v="2"/>
    <x v="1"/>
    <s v="Issue with the dashboard loading slowly"/>
    <n v="41"/>
    <d v="2023-10-24T10:22:54"/>
    <b v="0"/>
    <m/>
  </r>
  <r>
    <s v="TK62734"/>
    <d v="2023-10-24T03:05:00"/>
    <s v="email"/>
    <x v="4"/>
    <x v="1"/>
    <s v="Error when export my data"/>
    <n v="289"/>
    <d v="2023-10-24T05:26:59"/>
    <b v="0"/>
    <n v="3"/>
  </r>
  <r>
    <s v="TK61318"/>
    <d v="2023-10-24T03:57:00"/>
    <s v="email"/>
    <x v="3"/>
    <x v="0"/>
    <s v="Unable to a duplicate charge"/>
    <n v="10"/>
    <d v="2023-10-24T20:34:01"/>
    <b v="1"/>
    <m/>
  </r>
  <r>
    <s v="TK63138"/>
    <d v="2023-10-24T06:29:00"/>
    <s v="in-app"/>
    <x v="0"/>
    <x v="1"/>
    <s v="Issue with the dashboard loading slowly"/>
    <n v="61"/>
    <d v="2023-10-25T18:23:14"/>
    <b v="1"/>
    <m/>
  </r>
  <r>
    <s v="TK62706"/>
    <d v="2023-10-24T09:16:00"/>
    <s v="in-app"/>
    <x v="2"/>
    <x v="0"/>
    <s v="Request to downgrade my plan"/>
    <n v="121"/>
    <d v="2023-10-24T13:51:45"/>
    <b v="0"/>
    <m/>
  </r>
  <r>
    <s v="TK63638"/>
    <d v="2023-10-24T11:10:00"/>
    <s v="email"/>
    <x v="4"/>
    <x v="1"/>
    <s v="Error when log in after password reset"/>
    <n v="45"/>
    <d v="2023-10-25T00:14:11"/>
    <b v="0"/>
    <m/>
  </r>
  <r>
    <s v="TK63930"/>
    <d v="2023-10-24T13:38:00"/>
    <s v="chat"/>
    <x v="4"/>
    <x v="1"/>
    <s v="How do I connecting the Snowflake sync"/>
    <n v="16"/>
    <d v="2023-11-10T11:51:52"/>
    <b v="0"/>
    <m/>
  </r>
  <r>
    <s v="TK61032"/>
    <d v="2023-10-24T23:49:00"/>
    <s v="chat"/>
    <x v="0"/>
    <x v="1"/>
    <s v="Error when webhook deliveries failing"/>
    <n v="79"/>
    <d v="2023-10-25T06:57:51"/>
    <b v="1"/>
    <n v="5"/>
  </r>
  <r>
    <s v="TK63187"/>
    <d v="2023-10-25T00:17:00"/>
    <s v="email"/>
    <x v="1"/>
    <x v="1"/>
    <s v="How do I two-factor authentication"/>
    <n v="96"/>
    <d v="2023-10-27T20:54:47"/>
    <b v="0"/>
    <n v="4"/>
  </r>
  <r>
    <s v="TK60358"/>
    <d v="2023-10-25T01:59:00"/>
    <s v="email"/>
    <x v="1"/>
    <x v="3"/>
    <s v="Error when add a teammate"/>
    <n v="60"/>
    <d v="2023-10-25T04:29:17"/>
    <b v="0"/>
    <n v="1"/>
  </r>
  <r>
    <s v="TK62531"/>
    <d v="2023-10-25T06:03:00"/>
    <s v="phone"/>
    <x v="3"/>
    <x v="0"/>
    <s v="Issue with the invoice for last month"/>
    <n v="11"/>
    <d v="2023-10-25T14:23:22"/>
    <b v="0"/>
    <n v="1"/>
  </r>
  <r>
    <s v="TK63415"/>
    <d v="2023-10-25T06:36:00"/>
    <s v="in-app"/>
    <x v="4"/>
    <x v="1"/>
    <s v="Error when the invoice for last month"/>
    <n v="7"/>
    <d v="2023-10-25T19:50:45"/>
    <b v="0"/>
    <m/>
  </r>
  <r>
    <s v="TK61079"/>
    <d v="2023-10-25T09:22:00"/>
    <s v="in-app"/>
    <x v="3"/>
    <x v="1"/>
    <s v="Issue with a refund for an annual plan"/>
    <n v="204"/>
    <d v="2023-10-26T06:58:44"/>
    <b v="0"/>
    <m/>
  </r>
  <r>
    <s v="TK63105"/>
    <d v="2023-10-25T09:39:00"/>
    <s v="in-app"/>
    <x v="0"/>
    <x v="2"/>
    <s v="Request to two-factor authentication"/>
    <n v="33"/>
    <d v="2023-10-25T11:32:01"/>
    <b v="0"/>
    <n v="5"/>
  </r>
  <r>
    <s v="TK63523"/>
    <d v="2023-10-25T14:24:00"/>
    <s v="in-app"/>
    <x v="3"/>
    <x v="0"/>
    <s v="Question about downgrade my plan"/>
    <n v="11"/>
    <d v="2023-10-26T16:29:06"/>
    <b v="0"/>
    <m/>
  </r>
  <r>
    <s v="TK62989"/>
    <d v="2023-10-25T15:25:00"/>
    <s v="chat"/>
    <x v="1"/>
    <x v="3"/>
    <s v="Unable to two-factor authentication"/>
    <n v="52"/>
    <d v="2023-10-27T16:08:33"/>
    <b v="0"/>
    <m/>
  </r>
  <r>
    <s v="TK61133"/>
    <d v="2023-10-25T17:52:00"/>
    <s v="in-app"/>
    <x v="2"/>
    <x v="1"/>
    <s v="Question about export my data"/>
    <m/>
    <d v="2023-10-26T10:58:16"/>
    <b v="0"/>
    <m/>
  </r>
  <r>
    <s v="TK63292"/>
    <d v="2023-10-25T21:07:00"/>
    <s v="chat"/>
    <x v="1"/>
    <x v="3"/>
    <s v="Unable to add a teammate"/>
    <n v="98"/>
    <m/>
    <b v="0"/>
    <m/>
  </r>
  <r>
    <s v="TK62168"/>
    <d v="2023-10-26T03:03:00"/>
    <s v="phone"/>
    <x v="4"/>
    <x v="1"/>
    <s v="Issue with the dashboard loading slowly"/>
    <n v="64"/>
    <d v="2023-10-28T18:12:30"/>
    <b v="0"/>
    <m/>
  </r>
  <r>
    <s v="TK63219"/>
    <d v="2023-10-26T04:21:00"/>
    <s v="in-app"/>
    <x v="0"/>
    <x v="1"/>
    <s v="Unable to a duplicate charge"/>
    <n v="53"/>
    <d v="2023-10-26T11:27:55"/>
    <b v="0"/>
    <m/>
  </r>
  <r>
    <s v="TK62406"/>
    <d v="2023-10-26T08:20:00"/>
    <s v="email"/>
    <x v="1"/>
    <x v="1"/>
    <s v="Cannot the API rate limit"/>
    <n v="589"/>
    <d v="2023-10-29T01:20:26"/>
    <b v="0"/>
    <m/>
  </r>
  <r>
    <s v="TK63625"/>
    <d v="2023-10-26T12:15:00"/>
    <s v="in-app"/>
    <x v="2"/>
    <x v="1"/>
    <s v="How do I a duplicate charge"/>
    <n v="140"/>
    <d v="2023-10-26T22:04:24"/>
    <b v="0"/>
    <m/>
  </r>
  <r>
    <s v="TK60520"/>
    <d v="2023-10-26T23:27:00"/>
    <s v="in-app"/>
    <x v="1"/>
    <x v="1"/>
    <s v="Request to the dashboard loading slowly"/>
    <n v="10"/>
    <d v="2023-10-28T00:44:11"/>
    <b v="0"/>
    <m/>
  </r>
  <r>
    <s v="TK63731"/>
    <d v="2023-10-26T23:38:00"/>
    <s v="in-app"/>
    <x v="1"/>
    <x v="1"/>
    <s v="Error when a duplicate charge"/>
    <n v="163"/>
    <d v="2023-11-01T19:52:17"/>
    <b v="0"/>
    <n v="2"/>
  </r>
  <r>
    <s v="TK60273"/>
    <d v="2023-10-27T00:44:00"/>
    <s v="chat"/>
    <x v="1"/>
    <x v="3"/>
    <s v="Cannot a duplicate charge"/>
    <n v="3914"/>
    <d v="2023-11-10T10:56:40"/>
    <b v="0"/>
    <m/>
  </r>
  <r>
    <s v="TK62615"/>
    <d v="2023-10-27T01:00:00"/>
    <s v="phone"/>
    <x v="4"/>
    <x v="0"/>
    <s v="Issue with connecting the Snowflake sync"/>
    <n v="16"/>
    <d v="2023-10-27T02:16:47"/>
    <b v="0"/>
    <n v="5"/>
  </r>
  <r>
    <s v="TK62868"/>
    <d v="2023-10-27T01:15:00"/>
    <s v="in-app"/>
    <x v="1"/>
    <x v="1"/>
    <s v="Question about a refund for an annual plan"/>
    <n v="432"/>
    <d v="2023-10-28T05:42:47"/>
    <b v="0"/>
    <m/>
  </r>
  <r>
    <s v="TK62129"/>
    <d v="2023-10-27T01:17:00"/>
    <s v="email"/>
    <x v="0"/>
    <x v="3"/>
    <s v="Unable to the invoice for last month"/>
    <m/>
    <d v="2023-11-08T18:07:45"/>
    <b v="0"/>
    <n v="5"/>
  </r>
  <r>
    <s v="TK60560"/>
    <d v="2023-10-27T05:02:00"/>
    <s v="email"/>
    <x v="1"/>
    <x v="3"/>
    <s v="How do I export my data"/>
    <n v="93"/>
    <d v="2023-11-04T09:01:33"/>
    <b v="0"/>
    <n v="5"/>
  </r>
  <r>
    <s v="TK63290"/>
    <d v="2023-10-27T06:48:00"/>
    <s v="chat"/>
    <x v="3"/>
    <x v="3"/>
    <s v="Request to the dashboard loading slowly"/>
    <n v="82"/>
    <d v="2023-10-30T19:57:55"/>
    <b v="0"/>
    <n v="5"/>
  </r>
  <r>
    <s v="TK63588"/>
    <d v="2023-10-27T09:15:00"/>
    <s v="chat"/>
    <x v="0"/>
    <x v="1"/>
    <s v="Request to the dashboard loading slowly"/>
    <n v="162"/>
    <d v="2023-10-28T03:29:26"/>
    <b v="0"/>
    <m/>
  </r>
  <r>
    <s v="TK62106"/>
    <d v="2023-10-27T10:18:00"/>
    <s v="phone"/>
    <x v="1"/>
    <x v="1"/>
    <s v="Question about the API rate limit"/>
    <n v="179"/>
    <d v="2023-10-29T05:41:57"/>
    <b v="0"/>
    <m/>
  </r>
  <r>
    <s v="TK61294"/>
    <d v="2023-10-27T12:23:00"/>
    <s v="chat"/>
    <x v="2"/>
    <x v="3"/>
    <s v="Error when the invoice for last month"/>
    <n v="77"/>
    <d v="2023-10-29T22:17:52"/>
    <b v="0"/>
    <m/>
  </r>
  <r>
    <s v="TK63045"/>
    <d v="2023-10-27T16:18:00"/>
    <s v="phone"/>
    <x v="0"/>
    <x v="1"/>
    <s v="How do I log in after password reset"/>
    <n v="142"/>
    <d v="2023-10-28T05:36:26"/>
    <b v="0"/>
    <m/>
  </r>
  <r>
    <s v="TK61560"/>
    <d v="2023-10-27T17:19:00"/>
    <s v="in-app"/>
    <x v="4"/>
    <x v="1"/>
    <s v="Error when a duplicate charge"/>
    <n v="19"/>
    <d v="2023-10-29T14:51:34"/>
    <b v="0"/>
    <m/>
  </r>
  <r>
    <s v="TK63961"/>
    <d v="2023-10-28T00:55:00"/>
    <s v="in-app"/>
    <x v="3"/>
    <x v="3"/>
    <s v="Question about the dashboard loading slowly"/>
    <n v="800"/>
    <d v="2023-10-30T08:27:39"/>
    <b v="0"/>
    <n v="4"/>
  </r>
  <r>
    <s v="TK63798"/>
    <d v="2023-10-28T07:26:00"/>
    <s v="chat"/>
    <x v="1"/>
    <x v="1"/>
    <s v="Error when downgrade my plan"/>
    <n v="219"/>
    <d v="2023-11-01T18:33:58"/>
    <b v="0"/>
    <n v="5"/>
  </r>
  <r>
    <s v="TK63225"/>
    <d v="2023-10-28T11:40:00"/>
    <s v="phone"/>
    <x v="0"/>
    <x v="1"/>
    <s v="Request to two-factor authentication"/>
    <n v="11"/>
    <d v="2023-10-29T06:43:59"/>
    <b v="0"/>
    <m/>
  </r>
  <r>
    <s v="TK61827"/>
    <d v="2023-10-28T18:56:00"/>
    <s v="chat"/>
    <x v="1"/>
    <x v="2"/>
    <s v="Issue with log in after password reset"/>
    <n v="23"/>
    <d v="2023-10-28T20:51:55"/>
    <b v="0"/>
    <m/>
  </r>
  <r>
    <s v="TK61451"/>
    <d v="2023-10-28T21:10:00"/>
    <s v="chat"/>
    <x v="1"/>
    <x v="0"/>
    <s v="Question about add a teammate"/>
    <n v="26"/>
    <d v="2023-10-29T10:46:06"/>
    <b v="0"/>
    <m/>
  </r>
  <r>
    <s v="TK63660"/>
    <d v="2023-10-29T00:09:00"/>
    <s v="phone"/>
    <x v="2"/>
    <x v="0"/>
    <s v="Error when connecting the Snowflake sync"/>
    <n v="57"/>
    <d v="2023-10-29T02:06:44"/>
    <b v="0"/>
    <m/>
  </r>
  <r>
    <s v="TK61603"/>
    <d v="2023-10-29T00:10:00"/>
    <s v="email"/>
    <x v="3"/>
    <x v="1"/>
    <s v="Issue with webhook deliveries failing"/>
    <n v="92"/>
    <d v="2023-10-29T06:24:52"/>
    <b v="0"/>
    <m/>
  </r>
  <r>
    <s v="TK62810"/>
    <d v="2023-10-29T02:34:00"/>
    <s v="in-app"/>
    <x v="1"/>
    <x v="1"/>
    <s v="Question about the API rate limit"/>
    <n v="50"/>
    <d v="2023-11-04T15:55:10"/>
    <b v="0"/>
    <m/>
  </r>
  <r>
    <s v="TK63404"/>
    <d v="2023-10-29T05:53:00"/>
    <s v="in-app"/>
    <x v="1"/>
    <x v="1"/>
    <s v="How do I add a teammate"/>
    <n v="186"/>
    <d v="2023-10-30T09:29:58"/>
    <b v="0"/>
    <m/>
  </r>
  <r>
    <s v="TK60149"/>
    <d v="2023-10-29T11:13:00"/>
    <s v="in-app"/>
    <x v="4"/>
    <x v="2"/>
    <s v="Request to the dashboard loading slowly"/>
    <n v="56"/>
    <d v="2023-10-29T17:25:59"/>
    <b v="0"/>
    <n v="2"/>
  </r>
  <r>
    <s v="TK61114"/>
    <d v="2023-10-29T11:40:00"/>
    <s v="email"/>
    <x v="4"/>
    <x v="2"/>
    <s v="Question about the API rate limit"/>
    <n v="34"/>
    <d v="2023-10-29T21:15:58"/>
    <b v="0"/>
    <n v="5"/>
  </r>
  <r>
    <s v="TK60726"/>
    <d v="2023-10-29T17:16:00"/>
    <s v="chat"/>
    <x v="1"/>
    <x v="3"/>
    <s v="Question about the dashboard loading slowly"/>
    <n v="467"/>
    <d v="2023-11-15T08:43:21"/>
    <b v="0"/>
    <n v="5"/>
  </r>
  <r>
    <s v="TK62854"/>
    <d v="2023-10-29T18:59:00"/>
    <s v="chat"/>
    <x v="0"/>
    <x v="3"/>
    <s v="Question about log in after password reset"/>
    <n v="308"/>
    <d v="2023-10-31T17:51:32"/>
    <b v="0"/>
    <n v="5"/>
  </r>
  <r>
    <s v="TK60813"/>
    <d v="2023-10-29T20:15:00"/>
    <s v="email"/>
    <x v="0"/>
    <x v="1"/>
    <s v="Cannot a refund for an annual plan"/>
    <n v="186"/>
    <d v="2023-11-30T11:51:38"/>
    <b v="0"/>
    <n v="3"/>
  </r>
  <r>
    <s v="TK60627"/>
    <d v="2023-10-29T23:56:00"/>
    <s v="chat"/>
    <x v="1"/>
    <x v="1"/>
    <s v="Unable to webhook deliveries failing"/>
    <n v="33"/>
    <m/>
    <b v="0"/>
    <m/>
  </r>
  <r>
    <s v="TK62306"/>
    <d v="2023-10-30T03:16:00"/>
    <s v="email"/>
    <x v="1"/>
    <x v="0"/>
    <s v="Question about log in after password reset"/>
    <n v="123"/>
    <d v="2023-11-01T10:20:23"/>
    <b v="0"/>
    <n v="5"/>
  </r>
  <r>
    <s v="TK60920"/>
    <d v="2023-10-30T04:20:00"/>
    <s v="email"/>
    <x v="2"/>
    <x v="1"/>
    <s v="Unable to downgrade my plan"/>
    <n v="106"/>
    <d v="2023-10-31T20:51:29"/>
    <b v="0"/>
    <m/>
  </r>
  <r>
    <s v="TK61477"/>
    <d v="2023-10-30T05:50:00"/>
    <s v="email"/>
    <x v="1"/>
    <x v="1"/>
    <s v="How do I downgrade my plan"/>
    <n v="167"/>
    <d v="2023-11-02T23:33:58"/>
    <b v="0"/>
    <m/>
  </r>
  <r>
    <s v="TK61785"/>
    <d v="2023-10-30T06:32:00"/>
    <s v="in-app"/>
    <x v="2"/>
    <x v="1"/>
    <s v="Question about webhook deliveries failing"/>
    <n v="98"/>
    <m/>
    <b v="0"/>
    <m/>
  </r>
  <r>
    <s v="TK63224"/>
    <d v="2023-10-30T07:50:00"/>
    <s v="chat"/>
    <x v="1"/>
    <x v="1"/>
    <s v="Request to two-factor authentication"/>
    <n v="131"/>
    <d v="2023-10-31T10:35:02"/>
    <b v="0"/>
    <n v="1"/>
  </r>
  <r>
    <s v="TK60433"/>
    <d v="2023-10-30T13:26:00"/>
    <s v="email"/>
    <x v="2"/>
    <x v="3"/>
    <s v="Issue with the dashboard loading slowly"/>
    <n v="409"/>
    <d v="2023-10-31T14:16:33"/>
    <b v="1"/>
    <n v="5"/>
  </r>
  <r>
    <s v="TK61513"/>
    <d v="2023-10-30T16:39:00"/>
    <s v="email"/>
    <x v="3"/>
    <x v="1"/>
    <s v="Unable to a refund for an annual plan"/>
    <n v="15"/>
    <d v="2023-11-03T01:31:38"/>
    <b v="0"/>
    <m/>
  </r>
  <r>
    <s v="TK60644"/>
    <d v="2023-10-30T17:11:00"/>
    <s v="in-app"/>
    <x v="2"/>
    <x v="1"/>
    <s v="Request to two-factor authentication"/>
    <n v="141"/>
    <d v="2023-10-31T11:13:48"/>
    <b v="0"/>
    <n v="1"/>
  </r>
  <r>
    <s v="TK60671"/>
    <d v="2023-10-30T19:20:00"/>
    <s v="in-app"/>
    <x v="1"/>
    <x v="1"/>
    <s v="Cannot the dashboard loading slowly"/>
    <n v="193"/>
    <d v="2023-11-01T10:07:21"/>
    <b v="0"/>
    <m/>
  </r>
  <r>
    <s v="TK60262"/>
    <d v="2023-10-30T20:00:00"/>
    <s v="chat"/>
    <x v="1"/>
    <x v="3"/>
    <s v="Issue with the invoice for last month"/>
    <n v="119"/>
    <d v="2023-10-31T08:27:05"/>
    <b v="0"/>
    <m/>
  </r>
  <r>
    <s v="TK63600"/>
    <d v="2023-10-30T23:04:00"/>
    <s v="email"/>
    <x v="0"/>
    <x v="3"/>
    <s v="Request to log in after password reset"/>
    <n v="46"/>
    <d v="2023-11-04T23:43:50"/>
    <b v="0"/>
    <n v="5"/>
  </r>
  <r>
    <s v="TK60145"/>
    <d v="2023-10-30T23:47:00"/>
    <s v="email"/>
    <x v="3"/>
    <x v="1"/>
    <s v="How do I downgrade my plan"/>
    <n v="129"/>
    <d v="2023-11-07T13:18:39"/>
    <b v="0"/>
    <n v="5"/>
  </r>
  <r>
    <s v="TK62376"/>
    <d v="2023-10-31T01:02:00"/>
    <s v="in-app"/>
    <x v="3"/>
    <x v="1"/>
    <s v="Issue with the invoice for last month"/>
    <n v="193"/>
    <d v="2023-11-05T02:09:29"/>
    <b v="0"/>
    <m/>
  </r>
  <r>
    <s v="TK62120"/>
    <d v="2023-10-31T01:36:00"/>
    <s v="email"/>
    <x v="1"/>
    <x v="1"/>
    <s v="Issue with export my data"/>
    <n v="32"/>
    <d v="2023-11-08T10:54:47"/>
    <b v="0"/>
    <m/>
  </r>
  <r>
    <s v="TK60161"/>
    <d v="2023-10-31T02:24:00"/>
    <s v="phone"/>
    <x v="1"/>
    <x v="3"/>
    <s v="Unable to downgrade my plan"/>
    <n v="107"/>
    <d v="2023-11-08T04:45:27"/>
    <b v="0"/>
    <m/>
  </r>
  <r>
    <s v="TK63011"/>
    <d v="2023-10-31T04:22:00"/>
    <s v="in-app"/>
    <x v="2"/>
    <x v="1"/>
    <s v="Cannot the API rate limit"/>
    <n v="131"/>
    <d v="2023-10-31T10:44:04"/>
    <b v="0"/>
    <n v="5"/>
  </r>
  <r>
    <s v="TK61605"/>
    <d v="2023-10-31T04:38:00"/>
    <s v="chat"/>
    <x v="1"/>
    <x v="0"/>
    <s v="Error when two-factor authentication"/>
    <n v="32"/>
    <d v="2023-11-14T12:51:42"/>
    <b v="0"/>
    <m/>
  </r>
  <r>
    <s v="TK62626"/>
    <d v="2023-10-31T07:42:00"/>
    <s v="phone"/>
    <x v="1"/>
    <x v="1"/>
    <s v="Error when connecting the Snowflake sync"/>
    <n v="112"/>
    <d v="2023-11-07T08:56:03"/>
    <b v="0"/>
    <m/>
  </r>
  <r>
    <s v="TK60057"/>
    <d v="2023-10-31T12:05:00"/>
    <s v="chat"/>
    <x v="3"/>
    <x v="0"/>
    <s v="Request to the invoice for last month"/>
    <m/>
    <d v="2023-11-06T04:52:46"/>
    <b v="0"/>
    <m/>
  </r>
  <r>
    <s v="TK62536"/>
    <d v="2023-10-31T21:19:00"/>
    <s v="email"/>
    <x v="2"/>
    <x v="1"/>
    <s v="Issue with the dashboard loading slowly"/>
    <n v="130"/>
    <d v="2023-11-01T12:04:24"/>
    <b v="0"/>
    <n v="5"/>
  </r>
  <r>
    <s v="TK61258"/>
    <d v="2023-11-01T02:02:00"/>
    <s v="in-app"/>
    <x v="2"/>
    <x v="1"/>
    <s v="Error when the invoice for last month"/>
    <n v="17"/>
    <d v="2023-11-01T06:05:13"/>
    <b v="0"/>
    <m/>
  </r>
  <r>
    <s v="TK62796"/>
    <d v="2023-11-01T09:04:00"/>
    <s v="email"/>
    <x v="2"/>
    <x v="0"/>
    <s v="Cannot two-factor authentication"/>
    <n v="58"/>
    <d v="2023-11-01T16:26:02"/>
    <b v="0"/>
    <n v="4"/>
  </r>
  <r>
    <s v="TK61363"/>
    <d v="2023-11-01T10:43:00"/>
    <s v="chat"/>
    <x v="1"/>
    <x v="2"/>
    <s v="Request to two-factor authentication"/>
    <n v="15"/>
    <d v="2023-11-01T14:17:30"/>
    <b v="0"/>
    <m/>
  </r>
  <r>
    <s v="TK63220"/>
    <d v="2023-11-01T13:42:00"/>
    <s v="email"/>
    <x v="0"/>
    <x v="0"/>
    <s v="Issue with the dashboard loading slowly"/>
    <n v="205"/>
    <d v="2023-11-01T16:43:28"/>
    <b v="0"/>
    <m/>
  </r>
  <r>
    <s v="TK60915"/>
    <d v="2023-11-01T14:54:00"/>
    <s v="email"/>
    <x v="2"/>
    <x v="0"/>
    <s v="How do I webhook deliveries failing"/>
    <n v="259"/>
    <d v="2023-11-01T17:43:41"/>
    <b v="0"/>
    <n v="5"/>
  </r>
  <r>
    <s v="TK61052"/>
    <d v="2023-11-01T15:35:00"/>
    <s v="in-app"/>
    <x v="2"/>
    <x v="2"/>
    <s v="Question about the invoice for last month"/>
    <n v="25"/>
    <d v="2023-11-02T08:59:17"/>
    <b v="0"/>
    <m/>
  </r>
  <r>
    <s v="TK60364"/>
    <d v="2023-11-01T15:57:00"/>
    <s v="email"/>
    <x v="2"/>
    <x v="1"/>
    <s v="Error when two-factor authentication"/>
    <n v="207"/>
    <d v="2023-11-01T18:48:38"/>
    <b v="0"/>
    <n v="3"/>
  </r>
  <r>
    <s v="TK63802"/>
    <d v="2023-11-01T16:00:00"/>
    <s v="email"/>
    <x v="1"/>
    <x v="0"/>
    <s v="Question about two-factor authentication"/>
    <n v="55"/>
    <d v="2023-11-02T06:24:49"/>
    <b v="0"/>
    <m/>
  </r>
  <r>
    <s v="TK60782"/>
    <d v="2023-11-01T16:33:00"/>
    <s v="chat"/>
    <x v="1"/>
    <x v="1"/>
    <s v="Request to two-factor authentication"/>
    <n v="55"/>
    <d v="2023-11-03T08:36:45"/>
    <b v="0"/>
    <m/>
  </r>
  <r>
    <s v="TK62275"/>
    <d v="2023-11-01T17:57:00"/>
    <s v="in-app"/>
    <x v="4"/>
    <x v="3"/>
    <s v="Unable to the API rate limit"/>
    <n v="114"/>
    <d v="2023-11-01T21:15:20"/>
    <b v="0"/>
    <n v="4"/>
  </r>
  <r>
    <s v="TK62524"/>
    <d v="2023-11-02T04:00:00"/>
    <s v="email"/>
    <x v="3"/>
    <x v="0"/>
    <s v="Issue with webhook deliveries failing"/>
    <n v="12"/>
    <d v="2023-11-02T09:59:27"/>
    <b v="0"/>
    <n v="5"/>
  </r>
  <r>
    <s v="TK63630"/>
    <d v="2023-11-02T04:24:00"/>
    <s v="chat"/>
    <x v="3"/>
    <x v="1"/>
    <s v="Error when the dashboard loading slowly"/>
    <n v="70"/>
    <d v="2023-11-08T19:21:20"/>
    <b v="0"/>
    <n v="5"/>
  </r>
  <r>
    <s v="TK63786"/>
    <d v="2023-11-02T06:23:00"/>
    <s v="email"/>
    <x v="1"/>
    <x v="1"/>
    <s v="Error when connecting the Snowflake sync"/>
    <m/>
    <d v="2023-11-02T20:18:53"/>
    <b v="0"/>
    <m/>
  </r>
  <r>
    <s v="TK60135"/>
    <d v="2023-11-02T07:01:00"/>
    <s v="email"/>
    <x v="2"/>
    <x v="1"/>
    <s v="Error when two-factor authentication"/>
    <n v="26"/>
    <d v="2023-11-04T00:22:27"/>
    <b v="0"/>
    <m/>
  </r>
  <r>
    <s v="TK61185"/>
    <d v="2023-11-02T07:14:00"/>
    <s v="email"/>
    <x v="1"/>
    <x v="3"/>
    <s v="Question about a duplicate charge"/>
    <n v="296"/>
    <d v="2023-11-29T23:14:04"/>
    <b v="0"/>
    <n v="4"/>
  </r>
  <r>
    <s v="TK60672"/>
    <d v="2023-11-02T08:27:00"/>
    <s v="email"/>
    <x v="4"/>
    <x v="1"/>
    <s v="Question about add a teammate"/>
    <n v="169"/>
    <d v="2023-11-03T03:09:53"/>
    <b v="0"/>
    <m/>
  </r>
  <r>
    <s v="TK60200"/>
    <d v="2023-11-02T09:20:00"/>
    <s v="in-app"/>
    <x v="1"/>
    <x v="1"/>
    <s v="Error when add a teammate"/>
    <n v="167"/>
    <d v="2023-11-05T11:47:15"/>
    <b v="0"/>
    <n v="1"/>
  </r>
  <r>
    <s v="TK61497"/>
    <d v="2023-11-02T09:56:00"/>
    <s v="phone"/>
    <x v="4"/>
    <x v="0"/>
    <s v="Error when export my data"/>
    <n v="15"/>
    <d v="2023-11-02T19:17:55"/>
    <b v="0"/>
    <n v="5"/>
  </r>
  <r>
    <s v="TK60459"/>
    <d v="2023-11-02T12:19:00"/>
    <s v="in-app"/>
    <x v="1"/>
    <x v="1"/>
    <s v="Unable to the invoice for last month"/>
    <n v="210"/>
    <d v="2023-11-04T14:30:36"/>
    <b v="0"/>
    <m/>
  </r>
  <r>
    <s v="TK60992"/>
    <d v="2023-11-02T12:33:00"/>
    <s v="phone"/>
    <x v="2"/>
    <x v="1"/>
    <s v="Request to the dashboard loading slowly"/>
    <n v="374"/>
    <d v="2023-11-07T15:58:25"/>
    <b v="0"/>
    <m/>
  </r>
  <r>
    <s v="TK61593"/>
    <d v="2023-11-02T14:13:00"/>
    <s v="chat"/>
    <x v="1"/>
    <x v="1"/>
    <s v="Question about two-factor authentication"/>
    <n v="63"/>
    <d v="2023-11-04T09:42:42"/>
    <b v="0"/>
    <m/>
  </r>
  <r>
    <s v="TK60740"/>
    <d v="2023-11-02T15:21:00"/>
    <s v="in-app"/>
    <x v="1"/>
    <x v="1"/>
    <s v="Error when connecting the Snowflake sync"/>
    <n v="97"/>
    <d v="2023-11-09T02:07:05"/>
    <b v="0"/>
    <m/>
  </r>
  <r>
    <s v="TK63840"/>
    <d v="2023-11-02T20:20:00"/>
    <s v="chat"/>
    <x v="2"/>
    <x v="1"/>
    <s v="Cannot export my data"/>
    <n v="114"/>
    <d v="2023-11-03T02:57:14"/>
    <b v="0"/>
    <m/>
  </r>
  <r>
    <s v="TK63633"/>
    <d v="2023-11-03T02:25:00"/>
    <s v="chat"/>
    <x v="1"/>
    <x v="2"/>
    <s v="Error when downgrade my plan"/>
    <n v="51"/>
    <d v="2023-11-03T04:36:20"/>
    <b v="0"/>
    <m/>
  </r>
  <r>
    <s v="TK62637"/>
    <d v="2023-11-03T02:34:00"/>
    <s v="chat"/>
    <x v="0"/>
    <x v="3"/>
    <s v="How do I add a teammate"/>
    <n v="188"/>
    <d v="2023-11-04T01:18:37"/>
    <b v="0"/>
    <m/>
  </r>
  <r>
    <s v="TK62758"/>
    <d v="2023-11-03T06:15:00"/>
    <s v="in-app"/>
    <x v="2"/>
    <x v="1"/>
    <s v="Cannot log in after password reset"/>
    <n v="83"/>
    <d v="2023-11-09T08:37:42"/>
    <b v="0"/>
    <m/>
  </r>
  <r>
    <s v="TK63748"/>
    <d v="2023-11-03T06:56:00"/>
    <s v="chat"/>
    <x v="1"/>
    <x v="1"/>
    <s v="How do I downgrade my plan"/>
    <n v="504"/>
    <m/>
    <b v="0"/>
    <m/>
  </r>
  <r>
    <s v="TK63233"/>
    <d v="2023-11-03T08:23:00"/>
    <s v="in-app"/>
    <x v="0"/>
    <x v="0"/>
    <s v="Unable to the dashboard loading slowly"/>
    <n v="34"/>
    <d v="2023-11-03T16:17:55"/>
    <b v="0"/>
    <n v="4"/>
  </r>
  <r>
    <s v="TK60610"/>
    <d v="2023-11-03T11:07:00"/>
    <s v="email"/>
    <x v="4"/>
    <x v="1"/>
    <s v="How do I add a teammate"/>
    <n v="34"/>
    <d v="2023-11-03T13:46:06"/>
    <b v="0"/>
    <m/>
  </r>
  <r>
    <s v="TK60073"/>
    <d v="2023-11-03T11:21:00"/>
    <s v="chat"/>
    <x v="0"/>
    <x v="0"/>
    <s v="Request to the API rate limit"/>
    <n v="32"/>
    <d v="2023-11-03T13:24:31"/>
    <b v="0"/>
    <n v="5"/>
  </r>
  <r>
    <s v="TK61789"/>
    <d v="2023-11-03T12:17:00"/>
    <s v="chat"/>
    <x v="3"/>
    <x v="1"/>
    <s v="Cannot webhook deliveries failing"/>
    <n v="256"/>
    <d v="2023-11-03T19:45:47"/>
    <b v="0"/>
    <m/>
  </r>
  <r>
    <s v="TK62127"/>
    <d v="2023-11-03T16:41:00"/>
    <s v="chat"/>
    <x v="2"/>
    <x v="1"/>
    <s v="Issue with downgrade my plan"/>
    <n v="196"/>
    <d v="2023-11-09T07:41:19"/>
    <b v="0"/>
    <n v="1"/>
  </r>
  <r>
    <s v="TK62329"/>
    <d v="2023-11-03T19:20:00"/>
    <s v="phone"/>
    <x v="2"/>
    <x v="0"/>
    <s v="Request to the dashboard loading slowly"/>
    <n v="12"/>
    <d v="2023-11-04T08:18:24"/>
    <b v="0"/>
    <m/>
  </r>
  <r>
    <s v="TK60828"/>
    <d v="2023-11-03T20:45:00"/>
    <s v="phone"/>
    <x v="1"/>
    <x v="1"/>
    <s v="Unable to add a teammate"/>
    <n v="64"/>
    <d v="2023-11-04T16:21:04"/>
    <b v="0"/>
    <m/>
  </r>
  <r>
    <s v="TK62032"/>
    <d v="2023-11-03T22:31:00"/>
    <s v="in-app"/>
    <x v="1"/>
    <x v="3"/>
    <s v="Cannot a duplicate charge"/>
    <n v="77"/>
    <d v="2023-11-11T18:43:59"/>
    <b v="0"/>
    <n v="1"/>
  </r>
  <r>
    <s v="TK62166"/>
    <d v="2023-11-04T00:14:00"/>
    <s v="chat"/>
    <x v="3"/>
    <x v="1"/>
    <s v="Question about export my data"/>
    <n v="124"/>
    <d v="2023-11-14T10:03:36"/>
    <b v="0"/>
    <n v="5"/>
  </r>
  <r>
    <s v="TK63505"/>
    <d v="2023-11-04T00:50:00"/>
    <s v="in-app"/>
    <x v="2"/>
    <x v="3"/>
    <s v="Question about connecting the Snowflake sync"/>
    <n v="213"/>
    <d v="2023-11-05T02:44:25"/>
    <b v="1"/>
    <n v="1"/>
  </r>
  <r>
    <s v="TK62521"/>
    <d v="2023-11-04T00:53:00"/>
    <s v="chat"/>
    <x v="3"/>
    <x v="1"/>
    <s v="Error when connecting the Snowflake sync"/>
    <n v="226"/>
    <d v="2023-11-10T01:08:14"/>
    <b v="0"/>
    <m/>
  </r>
  <r>
    <s v="TK62940"/>
    <d v="2023-11-04T03:07:00"/>
    <s v="chat"/>
    <x v="1"/>
    <x v="0"/>
    <s v="Error when the dashboard loading slowly"/>
    <n v="91"/>
    <d v="2023-11-06T15:38:33"/>
    <b v="0"/>
    <n v="4"/>
  </r>
  <r>
    <s v="TK60534"/>
    <d v="2023-11-04T05:53:00"/>
    <s v="phone"/>
    <x v="1"/>
    <x v="3"/>
    <s v="Error when add a teammate"/>
    <n v="53"/>
    <d v="2023-11-14T05:42:23"/>
    <b v="0"/>
    <n v="5"/>
  </r>
  <r>
    <s v="TK61737"/>
    <d v="2023-11-04T06:38:00"/>
    <s v="chat"/>
    <x v="1"/>
    <x v="0"/>
    <s v="Issue with downgrade my plan"/>
    <n v="45"/>
    <d v="2023-11-07T22:23:38"/>
    <b v="0"/>
    <m/>
  </r>
  <r>
    <s v="TK61127"/>
    <d v="2023-11-04T08:29:00"/>
    <s v="phone"/>
    <x v="3"/>
    <x v="3"/>
    <s v="Question about export my data"/>
    <n v="27"/>
    <d v="2023-11-10T00:47:28"/>
    <b v="0"/>
    <m/>
  </r>
  <r>
    <s v="TK63643"/>
    <d v="2023-11-04T08:37:00"/>
    <s v="in-app"/>
    <x v="4"/>
    <x v="1"/>
    <s v="Question about connecting the Snowflake sync"/>
    <n v="228"/>
    <m/>
    <b v="0"/>
    <m/>
  </r>
  <r>
    <s v="TK63037"/>
    <d v="2023-11-04T09:57:00"/>
    <s v="in-app"/>
    <x v="0"/>
    <x v="1"/>
    <s v="Unable to add a teammate"/>
    <n v="278"/>
    <d v="2023-11-05T23:29:30"/>
    <b v="0"/>
    <m/>
  </r>
  <r>
    <s v="TK62039"/>
    <d v="2023-11-04T10:14:00"/>
    <s v="chat"/>
    <x v="3"/>
    <x v="1"/>
    <s v="Request to a duplicate charge"/>
    <n v="61"/>
    <d v="2023-11-04T22:49:27"/>
    <b v="0"/>
    <n v="4"/>
  </r>
  <r>
    <s v="TK63108"/>
    <d v="2023-11-04T15:48:00"/>
    <s v="phone"/>
    <x v="2"/>
    <x v="0"/>
    <s v="Cannot downgrade my plan"/>
    <n v="118"/>
    <d v="2023-11-06T13:38:50"/>
    <b v="0"/>
    <m/>
  </r>
  <r>
    <s v="TK61634"/>
    <d v="2023-11-04T16:24:00"/>
    <s v="email"/>
    <x v="2"/>
    <x v="1"/>
    <s v="Cannot downgrade my plan"/>
    <n v="102"/>
    <d v="2023-11-05T06:17:20"/>
    <b v="0"/>
    <m/>
  </r>
  <r>
    <s v="TK63803"/>
    <d v="2023-11-04T17:45:00"/>
    <s v="email"/>
    <x v="2"/>
    <x v="3"/>
    <s v="Error when connecting the Snowflake sync"/>
    <n v="644"/>
    <d v="2023-11-05T18:55:10"/>
    <b v="0"/>
    <n v="5"/>
  </r>
  <r>
    <s v="TK60514"/>
    <d v="2023-11-05T04:25:00"/>
    <s v="in-app"/>
    <x v="2"/>
    <x v="1"/>
    <s v="Unable to connecting the Snowflake sync"/>
    <n v="101"/>
    <d v="2023-11-07T00:00:41"/>
    <b v="0"/>
    <m/>
  </r>
  <r>
    <s v="TK61709"/>
    <d v="2023-11-05T05:42:00"/>
    <s v="email"/>
    <x v="1"/>
    <x v="3"/>
    <s v="How do I connecting the Snowflake sync"/>
    <n v="251"/>
    <d v="2023-11-19T17:09:11"/>
    <b v="0"/>
    <m/>
  </r>
  <r>
    <s v="TK62287"/>
    <d v="2023-11-05T09:53:00"/>
    <s v="chat"/>
    <x v="0"/>
    <x v="0"/>
    <s v="Issue with downgrade my plan"/>
    <n v="13"/>
    <d v="2023-11-05T19:45:07"/>
    <b v="0"/>
    <m/>
  </r>
  <r>
    <s v="TK62091"/>
    <d v="2023-11-05T16:06:00"/>
    <s v="in-app"/>
    <x v="3"/>
    <x v="1"/>
    <s v="Issue with two-factor authentication"/>
    <n v="43"/>
    <d v="2023-11-10T19:42:36"/>
    <b v="0"/>
    <m/>
  </r>
  <r>
    <s v="TK63933"/>
    <d v="2023-11-05T18:47:00"/>
    <s v="in-app"/>
    <x v="4"/>
    <x v="2"/>
    <s v="Unable to downgrade my plan"/>
    <n v="19"/>
    <d v="2023-11-05T20:45:03"/>
    <b v="0"/>
    <m/>
  </r>
  <r>
    <s v="TK62028"/>
    <d v="2023-11-05T23:31:00"/>
    <s v="in-app"/>
    <x v="1"/>
    <x v="3"/>
    <s v="How do I export my data"/>
    <n v="789"/>
    <d v="2023-11-09T22:03:51"/>
    <b v="0"/>
    <n v="5"/>
  </r>
  <r>
    <s v="TK60155"/>
    <d v="2023-11-06T00:06:00"/>
    <s v="in-app"/>
    <x v="1"/>
    <x v="2"/>
    <s v="Unable to a refund for an annual plan"/>
    <m/>
    <d v="2023-11-06T06:54:24"/>
    <b v="0"/>
    <m/>
  </r>
  <r>
    <s v="TK61110"/>
    <d v="2023-11-06T05:56:00"/>
    <s v="chat"/>
    <x v="1"/>
    <x v="1"/>
    <s v="Unable to log in after password reset"/>
    <n v="34"/>
    <d v="2023-11-08T03:47:47"/>
    <b v="0"/>
    <n v="5"/>
  </r>
  <r>
    <s v="TK63635"/>
    <d v="2023-11-06T06:04:00"/>
    <s v="in-app"/>
    <x v="1"/>
    <x v="1"/>
    <s v="Unable to webhook deliveries failing"/>
    <n v="340"/>
    <d v="2023-11-07T12:46:37"/>
    <b v="0"/>
    <m/>
  </r>
  <r>
    <s v="TK63402"/>
    <d v="2023-11-06T06:05:00"/>
    <s v="phone"/>
    <x v="4"/>
    <x v="1"/>
    <s v="Issue with a refund for an annual plan"/>
    <n v="111"/>
    <d v="2023-11-09T07:07:01"/>
    <b v="0"/>
    <m/>
  </r>
  <r>
    <s v="TK60881"/>
    <d v="2023-11-06T06:19:00"/>
    <s v="in-app"/>
    <x v="1"/>
    <x v="1"/>
    <s v="Question about two-factor authentication"/>
    <n v="22"/>
    <d v="2023-11-12T16:15:28"/>
    <b v="0"/>
    <m/>
  </r>
  <r>
    <s v="TK60590"/>
    <d v="2023-11-06T10:44:00"/>
    <s v="in-app"/>
    <x v="1"/>
    <x v="0"/>
    <s v="How do I export my data"/>
    <n v="18"/>
    <d v="2023-11-07T11:05:36"/>
    <b v="1"/>
    <m/>
  </r>
  <r>
    <s v="TK62459"/>
    <d v="2023-11-06T11:42:00"/>
    <s v="chat"/>
    <x v="1"/>
    <x v="3"/>
    <s v="Request to the dashboard loading slowly"/>
    <n v="76"/>
    <m/>
    <b v="0"/>
    <m/>
  </r>
  <r>
    <s v="TK63851"/>
    <d v="2023-11-06T12:59:00"/>
    <s v="email"/>
    <x v="1"/>
    <x v="1"/>
    <s v="Unable to downgrade my plan"/>
    <n v="311"/>
    <d v="2023-11-07T23:42:47"/>
    <b v="0"/>
    <n v="4"/>
  </r>
  <r>
    <s v="TK61303"/>
    <d v="2023-11-06T13:49:00"/>
    <s v="email"/>
    <x v="2"/>
    <x v="1"/>
    <s v="Error when export my data"/>
    <n v="13"/>
    <d v="2023-11-09T12:32:13"/>
    <b v="0"/>
    <m/>
  </r>
  <r>
    <s v="TK61027"/>
    <d v="2023-11-06T14:31:00"/>
    <s v="chat"/>
    <x v="2"/>
    <x v="1"/>
    <s v="Unable to the dashboard loading slowly"/>
    <n v="17"/>
    <d v="2023-11-07T03:16:17"/>
    <b v="0"/>
    <m/>
  </r>
  <r>
    <s v="TK62951"/>
    <d v="2023-11-06T19:53:00"/>
    <s v="in-app"/>
    <x v="2"/>
    <x v="0"/>
    <s v="Cannot export my data"/>
    <n v="1196"/>
    <d v="2023-11-06T23:44:56"/>
    <b v="0"/>
    <m/>
  </r>
  <r>
    <s v="TK61159"/>
    <d v="2023-11-06T20:24:00"/>
    <s v="phone"/>
    <x v="4"/>
    <x v="1"/>
    <s v="Unable to downgrade my plan"/>
    <n v="1060"/>
    <m/>
    <b v="0"/>
    <m/>
  </r>
  <r>
    <s v="TK60717"/>
    <d v="2023-11-06T21:02:00"/>
    <s v="chat"/>
    <x v="1"/>
    <x v="3"/>
    <s v="How do I connecting the Snowflake sync"/>
    <n v="175"/>
    <d v="2023-11-15T15:47:26"/>
    <b v="0"/>
    <n v="3"/>
  </r>
  <r>
    <s v="TK62666"/>
    <d v="2023-11-06T23:57:00"/>
    <s v="chat"/>
    <x v="1"/>
    <x v="3"/>
    <s v="Issue with a refund for an annual plan"/>
    <n v="257"/>
    <d v="2023-11-24T11:49:16"/>
    <b v="0"/>
    <n v="5"/>
  </r>
  <r>
    <s v="TK61247"/>
    <d v="2023-11-07T01:19:00"/>
    <s v="chat"/>
    <x v="1"/>
    <x v="0"/>
    <s v="Request to a refund for an annual plan"/>
    <n v="44"/>
    <d v="2023-11-07T08:31:49"/>
    <b v="0"/>
    <m/>
  </r>
  <r>
    <s v="TK61370"/>
    <d v="2023-11-07T01:35:00"/>
    <s v="phone"/>
    <x v="0"/>
    <x v="1"/>
    <s v="How do I the API rate limit"/>
    <n v="24"/>
    <d v="2023-11-07T09:02:05"/>
    <b v="1"/>
    <m/>
  </r>
  <r>
    <s v="TK62509"/>
    <d v="2023-11-07T10:24:00"/>
    <s v="chat"/>
    <x v="1"/>
    <x v="1"/>
    <s v="Question about log in after password reset"/>
    <n v="34"/>
    <d v="2023-11-11T23:10:13"/>
    <b v="0"/>
    <m/>
  </r>
  <r>
    <s v="TK63509"/>
    <d v="2023-11-07T14:53:00"/>
    <s v="chat"/>
    <x v="2"/>
    <x v="3"/>
    <s v="How do I the API rate limit"/>
    <n v="148"/>
    <d v="2023-11-09T23:04:23"/>
    <b v="0"/>
    <m/>
  </r>
  <r>
    <s v="TK60823"/>
    <d v="2023-11-07T14:59:00"/>
    <s v="in-app"/>
    <x v="0"/>
    <x v="3"/>
    <s v="Cannot downgrade my plan"/>
    <n v="192"/>
    <d v="2023-11-10T03:00:34"/>
    <b v="0"/>
    <m/>
  </r>
  <r>
    <s v="TK62849"/>
    <d v="2023-11-07T17:21:00"/>
    <s v="email"/>
    <x v="4"/>
    <x v="0"/>
    <s v="Question about a duplicate charge"/>
    <m/>
    <d v="2023-11-07T22:21:40"/>
    <b v="0"/>
    <m/>
  </r>
  <r>
    <s v="TK62975"/>
    <d v="2023-11-07T19:48:00"/>
    <s v="chat"/>
    <x v="2"/>
    <x v="1"/>
    <s v="Cannot webhook deliveries failing"/>
    <n v="74"/>
    <d v="2023-11-12T16:52:04"/>
    <b v="0"/>
    <n v="5"/>
  </r>
  <r>
    <s v="TK63935"/>
    <d v="2023-11-07T21:36:00"/>
    <s v="in-app"/>
    <x v="0"/>
    <x v="0"/>
    <s v="How do I export my data"/>
    <n v="71"/>
    <d v="2023-11-09T11:41:56"/>
    <b v="0"/>
    <n v="3"/>
  </r>
  <r>
    <s v="TK62328"/>
    <d v="2023-11-08T01:41:00"/>
    <s v="phone"/>
    <x v="4"/>
    <x v="2"/>
    <s v="Cannot export my data"/>
    <n v="14"/>
    <d v="2023-11-08T02:16:52"/>
    <b v="0"/>
    <m/>
  </r>
  <r>
    <s v="TK62137"/>
    <d v="2023-11-08T07:06:00"/>
    <s v="in-app"/>
    <x v="4"/>
    <x v="0"/>
    <s v="Issue with the API rate limit"/>
    <n v="326"/>
    <d v="2023-11-12T05:43:03"/>
    <b v="0"/>
    <m/>
  </r>
  <r>
    <s v="TK63864"/>
    <d v="2023-11-08T17:18:00"/>
    <s v="phone"/>
    <x v="4"/>
    <x v="1"/>
    <s v="Question about two-factor authentication"/>
    <n v="38"/>
    <d v="2023-11-12T06:21:13"/>
    <b v="0"/>
    <m/>
  </r>
  <r>
    <s v="TK63481"/>
    <d v="2023-11-08T17:32:00"/>
    <s v="in-app"/>
    <x v="0"/>
    <x v="0"/>
    <s v="Unable to connecting the Snowflake sync"/>
    <n v="9"/>
    <d v="2023-11-09T22:43:06"/>
    <b v="1"/>
    <m/>
  </r>
  <r>
    <s v="TK63143"/>
    <d v="2023-11-08T18:09:00"/>
    <s v="phone"/>
    <x v="1"/>
    <x v="3"/>
    <s v="Error when downgrade my plan"/>
    <n v="81"/>
    <d v="2023-11-10T05:50:55"/>
    <b v="0"/>
    <m/>
  </r>
  <r>
    <s v="TK61195"/>
    <d v="2023-11-08T19:45:00"/>
    <s v="in-app"/>
    <x v="3"/>
    <x v="3"/>
    <s v="Error when a refund for an annual plan"/>
    <n v="799"/>
    <d v="2023-11-10T10:21:05"/>
    <b v="0"/>
    <m/>
  </r>
  <r>
    <s v="TK62986"/>
    <d v="2023-11-09T02:47:00"/>
    <s v="in-app"/>
    <x v="4"/>
    <x v="3"/>
    <s v="Question about add a teammate"/>
    <n v="72"/>
    <d v="2023-11-11T02:08:44"/>
    <b v="0"/>
    <m/>
  </r>
  <r>
    <s v="TK63268"/>
    <d v="2023-11-09T04:51:00"/>
    <s v="email"/>
    <x v="4"/>
    <x v="1"/>
    <s v="Unable to connecting the Snowflake sync"/>
    <n v="32"/>
    <d v="2023-11-10T08:05:38"/>
    <b v="0"/>
    <m/>
  </r>
  <r>
    <s v="TK60670"/>
    <d v="2023-11-09T06:53:00"/>
    <s v="in-app"/>
    <x v="1"/>
    <x v="0"/>
    <s v="Error when export my data"/>
    <n v="20"/>
    <d v="2023-11-09T13:42:38"/>
    <b v="0"/>
    <m/>
  </r>
  <r>
    <s v="TK61224"/>
    <d v="2023-11-09T06:54:00"/>
    <s v="chat"/>
    <x v="3"/>
    <x v="1"/>
    <s v="Request to add a teammate"/>
    <n v="244"/>
    <d v="2023-11-11T10:36:05"/>
    <b v="0"/>
    <m/>
  </r>
  <r>
    <s v="TK63348"/>
    <d v="2023-11-09T07:32:00"/>
    <s v="chat"/>
    <x v="3"/>
    <x v="1"/>
    <s v="Question about a refund for an annual plan"/>
    <n v="161"/>
    <d v="2023-11-15T21:49:24"/>
    <b v="0"/>
    <m/>
  </r>
  <r>
    <s v="TK60256"/>
    <d v="2023-11-09T12:44:00"/>
    <s v="chat"/>
    <x v="4"/>
    <x v="3"/>
    <s v="Unable to the invoice for last month"/>
    <n v="109"/>
    <d v="2023-11-10T10:40:11"/>
    <b v="0"/>
    <m/>
  </r>
  <r>
    <s v="TK60190"/>
    <d v="2023-11-09T14:20:00"/>
    <s v="chat"/>
    <x v="2"/>
    <x v="0"/>
    <s v="Unable to the API rate limit"/>
    <n v="22"/>
    <d v="2023-11-09T16:13:30"/>
    <b v="0"/>
    <n v="3"/>
  </r>
  <r>
    <s v="TK61221"/>
    <d v="2023-11-09T18:41:00"/>
    <s v="chat"/>
    <x v="2"/>
    <x v="0"/>
    <s v="Question about connecting the Snowflake sync"/>
    <n v="92"/>
    <d v="2023-11-10T19:20:54"/>
    <b v="0"/>
    <n v="4"/>
  </r>
  <r>
    <s v="TK63777"/>
    <d v="2023-11-09T19:50:00"/>
    <s v="phone"/>
    <x v="1"/>
    <x v="1"/>
    <s v="How do I export my data"/>
    <n v="16"/>
    <d v="2023-11-10T08:50:31"/>
    <b v="0"/>
    <n v="4"/>
  </r>
  <r>
    <s v="TK63817"/>
    <d v="2023-11-09T20:12:00"/>
    <s v="phone"/>
    <x v="2"/>
    <x v="0"/>
    <s v="Unable to the invoice for last month"/>
    <n v="101"/>
    <d v="2023-11-10T00:33:11"/>
    <b v="0"/>
    <m/>
  </r>
  <r>
    <s v="TK60618"/>
    <d v="2023-11-09T20:58:00"/>
    <s v="chat"/>
    <x v="1"/>
    <x v="1"/>
    <s v="Error when add a teammate"/>
    <n v="211"/>
    <d v="2023-11-11T20:08:37"/>
    <b v="0"/>
    <m/>
  </r>
  <r>
    <s v="TK62260"/>
    <d v="2023-11-09T21:09:00"/>
    <s v="email"/>
    <x v="1"/>
    <x v="0"/>
    <s v="Request to the dashboard loading slowly"/>
    <n v="63"/>
    <d v="2023-11-10T02:03:05"/>
    <b v="1"/>
    <m/>
  </r>
  <r>
    <s v="TK60118"/>
    <d v="2023-11-10T01:58:00"/>
    <s v="chat"/>
    <x v="1"/>
    <x v="1"/>
    <s v="Question about two-factor authentication"/>
    <n v="19"/>
    <d v="2023-11-10T17:12:02"/>
    <b v="0"/>
    <m/>
  </r>
  <r>
    <s v="TK63938"/>
    <d v="2023-11-10T02:20:00"/>
    <s v="in-app"/>
    <x v="3"/>
    <x v="0"/>
    <s v="Error when a refund for an annual plan"/>
    <n v="140"/>
    <d v="2023-11-11T08:33:54"/>
    <b v="0"/>
    <n v="5"/>
  </r>
  <r>
    <s v="TK61213"/>
    <d v="2023-11-10T06:34:00"/>
    <s v="email"/>
    <x v="0"/>
    <x v="1"/>
    <s v="Error when export my data"/>
    <n v="83"/>
    <d v="2023-11-10T12:47:11"/>
    <b v="1"/>
    <m/>
  </r>
  <r>
    <s v="TK60657"/>
    <d v="2023-11-10T09:05:00"/>
    <s v="chat"/>
    <x v="1"/>
    <x v="1"/>
    <s v="Unable to connecting the Snowflake sync"/>
    <m/>
    <d v="2023-11-16T23:12:55"/>
    <b v="0"/>
    <m/>
  </r>
  <r>
    <s v="TK63073"/>
    <d v="2023-11-10T09:55:00"/>
    <s v="phone"/>
    <x v="0"/>
    <x v="0"/>
    <s v="Question about connecting the Snowflake sync"/>
    <n v="39"/>
    <d v="2023-11-11T13:58:22"/>
    <b v="1"/>
    <n v="4"/>
  </r>
  <r>
    <s v="TK60867"/>
    <d v="2023-11-10T11:33:00"/>
    <s v="chat"/>
    <x v="1"/>
    <x v="0"/>
    <s v="Question about add a teammate"/>
    <n v="28"/>
    <d v="2023-11-14T19:59:06"/>
    <b v="0"/>
    <m/>
  </r>
  <r>
    <s v="TK63455"/>
    <d v="2023-11-10T12:44:00"/>
    <s v="in-app"/>
    <x v="1"/>
    <x v="0"/>
    <s v="Issue with two-factor authentication"/>
    <n v="56"/>
    <d v="2023-11-11T14:45:48"/>
    <b v="0"/>
    <m/>
  </r>
  <r>
    <s v="TK60679"/>
    <d v="2023-11-10T16:34:00"/>
    <s v="email"/>
    <x v="4"/>
    <x v="3"/>
    <s v="Cannot the dashboard loading slowly"/>
    <n v="62"/>
    <d v="2023-11-18T06:35:43"/>
    <b v="0"/>
    <m/>
  </r>
  <r>
    <s v="TK61656"/>
    <d v="2023-11-10T18:32:00"/>
    <s v="in-app"/>
    <x v="4"/>
    <x v="0"/>
    <s v="Question about a duplicate charge"/>
    <n v="7"/>
    <d v="2023-11-11T06:28:30"/>
    <b v="0"/>
    <m/>
  </r>
  <r>
    <s v="TK62314"/>
    <d v="2023-11-10T19:21:00"/>
    <s v="chat"/>
    <x v="0"/>
    <x v="3"/>
    <s v="How do I connecting the Snowflake sync"/>
    <n v="534"/>
    <d v="2023-11-12T01:06:59"/>
    <b v="0"/>
    <n v="5"/>
  </r>
  <r>
    <s v="TK60812"/>
    <d v="2023-11-10T21:12:00"/>
    <s v="in-app"/>
    <x v="1"/>
    <x v="3"/>
    <s v="Unable to the dashboard loading slowly"/>
    <n v="217"/>
    <d v="2023-11-25T22:15:11"/>
    <b v="0"/>
    <m/>
  </r>
  <r>
    <s v="TK62113"/>
    <d v="2023-11-10T21:35:00"/>
    <s v="in-app"/>
    <x v="3"/>
    <x v="1"/>
    <s v="Issue with log in after password reset"/>
    <m/>
    <d v="2023-11-11T12:44:43"/>
    <b v="0"/>
    <m/>
  </r>
  <r>
    <s v="TK60917"/>
    <d v="2023-11-10T22:13:00"/>
    <s v="phone"/>
    <x v="4"/>
    <x v="1"/>
    <s v="Request to the API rate limit"/>
    <n v="60"/>
    <d v="2023-11-14T17:16:25"/>
    <b v="0"/>
    <m/>
  </r>
  <r>
    <s v="TK62299"/>
    <d v="2023-11-11T02:51:00"/>
    <s v="email"/>
    <x v="1"/>
    <x v="0"/>
    <s v="How do I a duplicate charge"/>
    <n v="25"/>
    <d v="2023-11-14T19:36:22"/>
    <b v="0"/>
    <m/>
  </r>
  <r>
    <s v="TK62597"/>
    <d v="2023-11-11T05:13:00"/>
    <s v="phone"/>
    <x v="4"/>
    <x v="0"/>
    <s v="Cannot add a teammate"/>
    <n v="10"/>
    <d v="2023-11-12T08:03:36"/>
    <b v="0"/>
    <m/>
  </r>
  <r>
    <s v="TK63474"/>
    <d v="2023-11-11T09:11:00"/>
    <s v="chat"/>
    <x v="2"/>
    <x v="3"/>
    <s v="Question about log in after password reset"/>
    <n v="37"/>
    <d v="2023-11-14T12:11:53"/>
    <b v="0"/>
    <m/>
  </r>
  <r>
    <s v="TK63307"/>
    <d v="2023-11-11T18:53:00"/>
    <s v="email"/>
    <x v="4"/>
    <x v="0"/>
    <s v="Request to the dashboard loading slowly"/>
    <n v="5"/>
    <d v="2023-11-12T13:48:32"/>
    <b v="0"/>
    <m/>
  </r>
  <r>
    <s v="TK62101"/>
    <d v="2023-11-11T22:49:00"/>
    <s v="in-app"/>
    <x v="2"/>
    <x v="1"/>
    <s v="Issue with a duplicate charge"/>
    <n v="465"/>
    <d v="2023-11-13T22:04:24"/>
    <b v="0"/>
    <n v="5"/>
  </r>
  <r>
    <s v="TK61948"/>
    <d v="2023-11-12T02:41:00"/>
    <s v="phone"/>
    <x v="4"/>
    <x v="0"/>
    <s v="Issue with a duplicate charge"/>
    <n v="4"/>
    <d v="2023-11-13T23:39:04"/>
    <b v="0"/>
    <n v="4"/>
  </r>
  <r>
    <s v="TK63344"/>
    <d v="2023-11-12T04:24:00"/>
    <s v="email"/>
    <x v="4"/>
    <x v="1"/>
    <s v="Unable to connecting the Snowflake sync"/>
    <n v="123"/>
    <d v="2023-11-13T04:54:18"/>
    <b v="0"/>
    <n v="4"/>
  </r>
  <r>
    <s v="TK63551"/>
    <d v="2023-11-12T04:30:00"/>
    <s v="phone"/>
    <x v="2"/>
    <x v="1"/>
    <s v="Unable to log in after password reset"/>
    <m/>
    <d v="2023-11-13T11:35:46"/>
    <b v="0"/>
    <n v="3"/>
  </r>
  <r>
    <s v="TK62859"/>
    <d v="2023-11-12T08:30:00"/>
    <s v="chat"/>
    <x v="3"/>
    <x v="1"/>
    <s v="Request to the API rate limit"/>
    <n v="173"/>
    <d v="2023-11-16T08:40:01"/>
    <b v="0"/>
    <n v="5"/>
  </r>
  <r>
    <s v="TK60374"/>
    <d v="2023-11-12T14:13:00"/>
    <s v="in-app"/>
    <x v="2"/>
    <x v="0"/>
    <s v="Error when webhook deliveries failing"/>
    <n v="81"/>
    <d v="2023-11-12T23:59:25"/>
    <b v="0"/>
    <m/>
  </r>
  <r>
    <s v="TK62889"/>
    <d v="2023-11-12T20:22:00"/>
    <s v="in-app"/>
    <x v="1"/>
    <x v="3"/>
    <s v="Cannot add a teammate"/>
    <n v="673"/>
    <d v="2023-11-15T03:09:14"/>
    <b v="0"/>
    <n v="5"/>
  </r>
  <r>
    <s v="TK63281"/>
    <d v="2023-11-12T22:12:00"/>
    <s v="chat"/>
    <x v="3"/>
    <x v="1"/>
    <s v="Issue with a duplicate charge"/>
    <n v="74"/>
    <d v="2023-11-17T17:52:09"/>
    <b v="0"/>
    <m/>
  </r>
  <r>
    <s v="TK62671"/>
    <d v="2023-11-12T22:53:00"/>
    <s v="email"/>
    <x v="1"/>
    <x v="0"/>
    <s v="Issue with connecting the Snowflake sync"/>
    <n v="26"/>
    <d v="2023-11-13T14:23:11"/>
    <b v="0"/>
    <m/>
  </r>
  <r>
    <s v="TK62436"/>
    <d v="2023-11-12T23:20:00"/>
    <s v="email"/>
    <x v="1"/>
    <x v="3"/>
    <s v="Unable to downgrade my plan"/>
    <n v="138"/>
    <d v="2023-11-17T15:08:30"/>
    <b v="0"/>
    <m/>
  </r>
  <r>
    <s v="TK63531"/>
    <d v="2023-11-13T00:46:00"/>
    <s v="chat"/>
    <x v="3"/>
    <x v="0"/>
    <s v="Unable to connecting the Snowflake sync"/>
    <n v="55"/>
    <d v="2023-11-15T16:37:31"/>
    <b v="0"/>
    <n v="5"/>
  </r>
  <r>
    <s v="TK63891"/>
    <d v="2023-11-13T03:03:00"/>
    <s v="email"/>
    <x v="0"/>
    <x v="3"/>
    <s v="Error when add a teammate"/>
    <n v="543"/>
    <d v="2023-11-14T14:21:21"/>
    <b v="0"/>
    <m/>
  </r>
  <r>
    <s v="TK62957"/>
    <d v="2023-11-13T04:52:00"/>
    <s v="chat"/>
    <x v="1"/>
    <x v="3"/>
    <s v="Cannot downgrade my plan"/>
    <n v="65"/>
    <d v="2023-11-18T00:15:23"/>
    <b v="0"/>
    <m/>
  </r>
  <r>
    <s v="TK62928"/>
    <d v="2023-11-13T12:12:00"/>
    <s v="chat"/>
    <x v="1"/>
    <x v="0"/>
    <s v="Question about the API rate limit"/>
    <n v="46"/>
    <m/>
    <b v="0"/>
    <m/>
  </r>
  <r>
    <s v="TK60830"/>
    <d v="2023-11-13T15:18:00"/>
    <s v="in-app"/>
    <x v="1"/>
    <x v="1"/>
    <s v="Unable to a refund for an annual plan"/>
    <n v="123"/>
    <m/>
    <b v="0"/>
    <m/>
  </r>
  <r>
    <s v="TK62257"/>
    <d v="2023-11-13T16:01:00"/>
    <s v="email"/>
    <x v="3"/>
    <x v="2"/>
    <s v="Request to a refund for an annual plan"/>
    <n v="36"/>
    <d v="2023-11-14T11:54:55"/>
    <b v="0"/>
    <m/>
  </r>
  <r>
    <s v="TK63890"/>
    <d v="2023-11-13T17:11:00"/>
    <s v="chat"/>
    <x v="3"/>
    <x v="1"/>
    <s v="Cannot a duplicate charge"/>
    <n v="162"/>
    <d v="2023-11-17T13:24:38"/>
    <b v="0"/>
    <m/>
  </r>
  <r>
    <s v="TK60704"/>
    <d v="2023-11-13T17:46:00"/>
    <s v="phone"/>
    <x v="2"/>
    <x v="1"/>
    <s v="Cannot the invoice for last month"/>
    <n v="68"/>
    <d v="2023-11-14T04:16:49"/>
    <b v="0"/>
    <n v="5"/>
  </r>
  <r>
    <s v="TK61104"/>
    <d v="2023-11-13T18:28:00"/>
    <s v="in-app"/>
    <x v="4"/>
    <x v="1"/>
    <s v="How do I a duplicate charge"/>
    <n v="42"/>
    <d v="2023-11-19T08:03:55"/>
    <b v="0"/>
    <m/>
  </r>
  <r>
    <s v="TK63378"/>
    <d v="2023-11-13T19:23:00"/>
    <s v="email"/>
    <x v="3"/>
    <x v="1"/>
    <s v="Request to two-factor authentication"/>
    <n v="73"/>
    <d v="2023-11-14T23:07:32"/>
    <b v="0"/>
    <m/>
  </r>
  <r>
    <s v="TK60598"/>
    <d v="2023-11-13T22:23:00"/>
    <s v="in-app"/>
    <x v="1"/>
    <x v="1"/>
    <s v="Issue with two-factor authentication"/>
    <n v="60"/>
    <d v="2023-11-14T12:38:51"/>
    <b v="0"/>
    <m/>
  </r>
  <r>
    <s v="TK60402"/>
    <d v="2023-11-13T22:26:00"/>
    <s v="email"/>
    <x v="3"/>
    <x v="1"/>
    <s v="Cannot two-factor authentication"/>
    <n v="10"/>
    <d v="2023-11-14T07:14:23"/>
    <b v="1"/>
    <m/>
  </r>
  <r>
    <s v="TK61943"/>
    <d v="2023-11-14T00:01:00"/>
    <s v="chat"/>
    <x v="3"/>
    <x v="0"/>
    <s v="Unable to the invoice for last month"/>
    <n v="11"/>
    <d v="2023-11-14T06:26:54"/>
    <b v="0"/>
    <m/>
  </r>
  <r>
    <s v="TK63160"/>
    <d v="2023-11-14T10:29:00"/>
    <s v="in-app"/>
    <x v="1"/>
    <x v="1"/>
    <s v="Unable to export my data"/>
    <n v="158"/>
    <d v="2023-11-28T14:23:55"/>
    <b v="0"/>
    <n v="5"/>
  </r>
  <r>
    <s v="TK63397"/>
    <d v="2023-11-14T13:20:00"/>
    <s v="in-app"/>
    <x v="0"/>
    <x v="1"/>
    <s v="Unable to a duplicate charge"/>
    <n v="137"/>
    <m/>
    <b v="0"/>
    <m/>
  </r>
  <r>
    <s v="TK62979"/>
    <d v="2023-11-14T13:34:00"/>
    <s v="in-app"/>
    <x v="0"/>
    <x v="1"/>
    <s v="Error when a duplicate charge"/>
    <n v="65"/>
    <d v="2023-11-14T17:35:09"/>
    <b v="0"/>
    <n v="4"/>
  </r>
  <r>
    <s v="TK61025"/>
    <d v="2023-11-14T14:52:00"/>
    <s v="phone"/>
    <x v="2"/>
    <x v="3"/>
    <s v="Error when add a teammate"/>
    <n v="92"/>
    <d v="2023-11-15T17:14:36"/>
    <b v="0"/>
    <m/>
  </r>
  <r>
    <s v="TK61919"/>
    <d v="2023-11-14T16:28:00"/>
    <s v="chat"/>
    <x v="3"/>
    <x v="1"/>
    <s v="How do I the dashboard loading slowly"/>
    <n v="127"/>
    <m/>
    <b v="0"/>
    <m/>
  </r>
  <r>
    <s v="TK60609"/>
    <d v="2023-11-14T18:30:00"/>
    <s v="chat"/>
    <x v="3"/>
    <x v="1"/>
    <s v="Request to two-factor authentication"/>
    <n v="378"/>
    <d v="2023-12-13T01:38:10"/>
    <b v="0"/>
    <m/>
  </r>
  <r>
    <s v="TK63394"/>
    <d v="2023-11-14T20:07:00"/>
    <s v="email"/>
    <x v="2"/>
    <x v="3"/>
    <s v="Unable to a duplicate charge"/>
    <n v="174"/>
    <d v="2023-11-16T19:16:54"/>
    <b v="0"/>
    <m/>
  </r>
  <r>
    <s v="TK60061"/>
    <d v="2023-11-14T21:14:00"/>
    <s v="chat"/>
    <x v="1"/>
    <x v="3"/>
    <s v="Question about the invoice for last month"/>
    <n v="395"/>
    <d v="2023-11-15T16:17:03"/>
    <b v="0"/>
    <m/>
  </r>
  <r>
    <s v="TK61835"/>
    <d v="2023-11-15T00:16:00"/>
    <s v="email"/>
    <x v="0"/>
    <x v="0"/>
    <s v="Issue with two-factor authentication"/>
    <n v="120"/>
    <d v="2023-11-15T18:44:45"/>
    <b v="0"/>
    <n v="4"/>
  </r>
  <r>
    <s v="TK62026"/>
    <d v="2023-11-15T03:01:00"/>
    <s v="in-app"/>
    <x v="3"/>
    <x v="1"/>
    <s v="Question about a duplicate charge"/>
    <n v="214"/>
    <d v="2023-11-18T23:37:15"/>
    <b v="0"/>
    <n v="5"/>
  </r>
  <r>
    <s v="TK62158"/>
    <d v="2023-11-15T03:41:00"/>
    <s v="chat"/>
    <x v="1"/>
    <x v="1"/>
    <s v="Question about two-factor authentication"/>
    <n v="40"/>
    <d v="2023-11-16T03:44:52"/>
    <b v="0"/>
    <n v="3"/>
  </r>
  <r>
    <s v="TK60617"/>
    <d v="2023-11-15T04:22:00"/>
    <s v="email"/>
    <x v="4"/>
    <x v="3"/>
    <s v="Error when downgrade my plan"/>
    <n v="122"/>
    <d v="2023-11-17T01:08:10"/>
    <b v="0"/>
    <m/>
  </r>
  <r>
    <s v="TK60539"/>
    <d v="2023-11-15T05:07:00"/>
    <s v="chat"/>
    <x v="2"/>
    <x v="3"/>
    <s v="Cannot two-factor authentication"/>
    <n v="200"/>
    <d v="2023-11-16T00:12:01"/>
    <b v="0"/>
    <m/>
  </r>
  <r>
    <s v="TK63414"/>
    <d v="2023-11-15T06:14:00"/>
    <s v="email"/>
    <x v="0"/>
    <x v="1"/>
    <s v="Issue with log in after password reset"/>
    <n v="190"/>
    <d v="2023-11-17T15:55:05"/>
    <b v="0"/>
    <n v="5"/>
  </r>
  <r>
    <s v="TK60551"/>
    <d v="2023-11-15T07:31:00"/>
    <s v="email"/>
    <x v="0"/>
    <x v="3"/>
    <s v="Request to two-factor authentication"/>
    <n v="39"/>
    <d v="2023-11-18T06:39:24"/>
    <b v="0"/>
    <m/>
  </r>
  <r>
    <s v="TK60680"/>
    <d v="2023-11-15T08:16:00"/>
    <s v="chat"/>
    <x v="2"/>
    <x v="1"/>
    <s v="Issue with the API rate limit"/>
    <n v="62"/>
    <d v="2023-11-17T03:19:23"/>
    <b v="0"/>
    <n v="5"/>
  </r>
  <r>
    <s v="TK61006"/>
    <d v="2023-11-15T09:42:00"/>
    <s v="email"/>
    <x v="1"/>
    <x v="1"/>
    <s v="Request to the API rate limit"/>
    <n v="179"/>
    <d v="2023-11-15T13:41:18"/>
    <b v="0"/>
    <m/>
  </r>
  <r>
    <s v="TK60393"/>
    <d v="2023-11-15T11:11:00"/>
    <s v="email"/>
    <x v="1"/>
    <x v="2"/>
    <s v="Request to export my data"/>
    <n v="11"/>
    <d v="2023-11-17T06:23:07"/>
    <b v="0"/>
    <m/>
  </r>
  <r>
    <s v="TK61416"/>
    <d v="2023-11-15T12:37:00"/>
    <s v="phone"/>
    <x v="1"/>
    <x v="3"/>
    <s v="How do I the dashboard loading slowly"/>
    <n v="264"/>
    <d v="2023-11-16T22:20:32"/>
    <b v="0"/>
    <m/>
  </r>
  <r>
    <s v="TK63703"/>
    <d v="2023-11-15T12:57:00"/>
    <s v="in-app"/>
    <x v="4"/>
    <x v="1"/>
    <s v="Issue with a duplicate charge"/>
    <n v="163"/>
    <d v="2023-12-05T09:54:23"/>
    <b v="0"/>
    <m/>
  </r>
  <r>
    <s v="TK63483"/>
    <d v="2023-11-15T15:01:00"/>
    <s v="chat"/>
    <x v="4"/>
    <x v="3"/>
    <s v="How do I a duplicate charge"/>
    <n v="440"/>
    <d v="2023-11-16T12:33:23"/>
    <b v="0"/>
    <n v="4"/>
  </r>
  <r>
    <s v="TK60122"/>
    <d v="2023-11-15T17:41:00"/>
    <s v="email"/>
    <x v="1"/>
    <x v="3"/>
    <s v="Unable to a duplicate charge"/>
    <n v="126"/>
    <d v="2023-11-21T22:44:57"/>
    <b v="0"/>
    <m/>
  </r>
  <r>
    <s v="TK63888"/>
    <d v="2023-11-15T20:12:00"/>
    <s v="email"/>
    <x v="1"/>
    <x v="3"/>
    <s v="Error when the invoice for last month"/>
    <n v="183"/>
    <d v="2023-11-24T22:47:34"/>
    <b v="0"/>
    <m/>
  </r>
  <r>
    <s v="TK62813"/>
    <d v="2023-11-15T20:32:00"/>
    <s v="email"/>
    <x v="1"/>
    <x v="0"/>
    <s v="Error when downgrade my plan"/>
    <n v="71"/>
    <m/>
    <b v="0"/>
    <m/>
  </r>
  <r>
    <s v="TK62711"/>
    <d v="2023-11-15T21:10:00"/>
    <s v="email"/>
    <x v="3"/>
    <x v="0"/>
    <s v="Request to two-factor authentication"/>
    <n v="120"/>
    <d v="2023-11-16T06:00:23"/>
    <b v="0"/>
    <n v="5"/>
  </r>
  <r>
    <s v="TK60043"/>
    <d v="2023-11-16T03:53:00"/>
    <s v="email"/>
    <x v="4"/>
    <x v="1"/>
    <s v="Request to log in after password reset"/>
    <n v="80"/>
    <d v="2023-11-16T17:47:31"/>
    <b v="0"/>
    <m/>
  </r>
  <r>
    <s v="TK60716"/>
    <d v="2023-11-16T07:30:00"/>
    <s v="in-app"/>
    <x v="2"/>
    <x v="3"/>
    <s v="How do I connecting the Snowflake sync"/>
    <n v="60"/>
    <d v="2023-11-16T20:35:03"/>
    <b v="0"/>
    <m/>
  </r>
  <r>
    <s v="TK63093"/>
    <d v="2023-11-16T09:18:00"/>
    <s v="phone"/>
    <x v="0"/>
    <x v="1"/>
    <s v="How do I log in after password reset"/>
    <n v="53"/>
    <d v="2023-11-18T08:45:50"/>
    <b v="0"/>
    <n v="4"/>
  </r>
  <r>
    <s v="TK60807"/>
    <d v="2023-11-16T11:06:00"/>
    <s v="email"/>
    <x v="4"/>
    <x v="0"/>
    <s v="How do I log in after password reset"/>
    <n v="50"/>
    <d v="2023-11-16T13:50:27"/>
    <b v="0"/>
    <m/>
  </r>
  <r>
    <s v="TK61023"/>
    <d v="2023-11-16T13:14:00"/>
    <s v="in-app"/>
    <x v="4"/>
    <x v="1"/>
    <s v="Issue with log in after password reset"/>
    <n v="90"/>
    <d v="2023-11-18T13:54:37"/>
    <b v="0"/>
    <n v="5"/>
  </r>
  <r>
    <s v="TK63425"/>
    <d v="2023-11-16T17:33:00"/>
    <s v="email"/>
    <x v="0"/>
    <x v="1"/>
    <s v="Unable to connecting the Snowflake sync"/>
    <n v="154"/>
    <d v="2023-11-18T06:09:43"/>
    <b v="0"/>
    <n v="5"/>
  </r>
  <r>
    <s v="TK63928"/>
    <d v="2023-11-16T17:49:00"/>
    <s v="in-app"/>
    <x v="4"/>
    <x v="1"/>
    <s v="How do I export my data"/>
    <n v="56"/>
    <d v="2023-11-16T20:43:43"/>
    <b v="0"/>
    <n v="5"/>
  </r>
  <r>
    <s v="TK60071"/>
    <d v="2023-11-16T18:08:00"/>
    <s v="chat"/>
    <x v="1"/>
    <x v="0"/>
    <s v="Question about the API rate limit"/>
    <n v="108"/>
    <d v="2023-11-17T02:34:37"/>
    <b v="0"/>
    <m/>
  </r>
  <r>
    <s v="TK62221"/>
    <d v="2023-11-16T19:02:00"/>
    <s v="in-app"/>
    <x v="2"/>
    <x v="1"/>
    <s v="Error when add a teammate"/>
    <n v="45"/>
    <d v="2023-11-17T09:19:27"/>
    <b v="0"/>
    <n v="3"/>
  </r>
  <r>
    <s v="TK63368"/>
    <d v="2023-11-16T19:57:00"/>
    <s v="chat"/>
    <x v="1"/>
    <x v="0"/>
    <s v="Unable to two-factor authentication"/>
    <n v="77"/>
    <d v="2023-11-17T22:09:24"/>
    <b v="0"/>
    <n v="2"/>
  </r>
  <r>
    <s v="TK62201"/>
    <d v="2023-11-16T20:36:00"/>
    <s v="chat"/>
    <x v="1"/>
    <x v="1"/>
    <s v="Unable to two-factor authentication"/>
    <n v="251"/>
    <m/>
    <b v="0"/>
    <m/>
  </r>
  <r>
    <s v="TK63354"/>
    <d v="2023-11-16T20:42:00"/>
    <s v="chat"/>
    <x v="3"/>
    <x v="3"/>
    <s v="Cannot a refund for an annual plan"/>
    <n v="206"/>
    <d v="2023-11-22T07:46:44"/>
    <b v="0"/>
    <m/>
  </r>
  <r>
    <s v="TK63578"/>
    <d v="2023-11-16T22:52:00"/>
    <s v="phone"/>
    <x v="2"/>
    <x v="0"/>
    <s v="Error when a refund for an annual plan"/>
    <n v="11"/>
    <d v="2023-11-17T10:11:05"/>
    <b v="0"/>
    <m/>
  </r>
  <r>
    <s v="TK62757"/>
    <d v="2023-11-17T00:24:00"/>
    <s v="phone"/>
    <x v="1"/>
    <x v="0"/>
    <s v="Issue with the API rate limit"/>
    <n v="428"/>
    <m/>
    <b v="0"/>
    <m/>
  </r>
  <r>
    <s v="TK62645"/>
    <d v="2023-11-17T00:44:00"/>
    <s v="chat"/>
    <x v="1"/>
    <x v="2"/>
    <s v="Error when connecting the Snowflake sync"/>
    <n v="6"/>
    <d v="2023-11-17T10:50:45"/>
    <b v="1"/>
    <m/>
  </r>
  <r>
    <s v="TK63558"/>
    <d v="2023-11-17T06:08:00"/>
    <s v="phone"/>
    <x v="3"/>
    <x v="1"/>
    <s v="Error when downgrade my plan"/>
    <n v="535"/>
    <d v="2023-11-20T05:10:37"/>
    <b v="0"/>
    <n v="4"/>
  </r>
  <r>
    <s v="TK60802"/>
    <d v="2023-11-17T07:23:00"/>
    <s v="phone"/>
    <x v="1"/>
    <x v="0"/>
    <s v="Error when webhook deliveries failing"/>
    <n v="34"/>
    <d v="2023-11-17T18:49:52"/>
    <b v="0"/>
    <m/>
  </r>
  <r>
    <s v="TK63337"/>
    <d v="2023-11-17T10:40:00"/>
    <s v="in-app"/>
    <x v="1"/>
    <x v="3"/>
    <s v="Request to a duplicate charge"/>
    <n v="116"/>
    <d v="2023-12-10T00:18:40"/>
    <b v="0"/>
    <m/>
  </r>
  <r>
    <s v="TK62560"/>
    <d v="2023-11-17T11:02:00"/>
    <s v="email"/>
    <x v="1"/>
    <x v="1"/>
    <s v="How do I a refund for an annual plan"/>
    <n v="65"/>
    <d v="2023-11-17T15:45:31"/>
    <b v="0"/>
    <m/>
  </r>
  <r>
    <s v="TK60319"/>
    <d v="2023-11-17T11:19:00"/>
    <s v="chat"/>
    <x v="0"/>
    <x v="0"/>
    <s v="Issue with a refund for an annual plan"/>
    <n v="147"/>
    <d v="2023-11-17T23:15:21"/>
    <b v="0"/>
    <n v="5"/>
  </r>
  <r>
    <s v="TK62677"/>
    <d v="2023-11-17T13:35:00"/>
    <s v="email"/>
    <x v="1"/>
    <x v="1"/>
    <s v="How do I a duplicate charge"/>
    <n v="126"/>
    <d v="2023-11-27T21:00:28"/>
    <b v="0"/>
    <n v="3"/>
  </r>
  <r>
    <s v="TK60069"/>
    <d v="2023-11-17T16:07:00"/>
    <s v="in-app"/>
    <x v="3"/>
    <x v="1"/>
    <s v="Error when two-factor authentication"/>
    <n v="30"/>
    <d v="2023-11-18T23:10:58"/>
    <b v="0"/>
    <m/>
  </r>
  <r>
    <s v="TK62791"/>
    <d v="2023-11-17T16:32:00"/>
    <s v="phone"/>
    <x v="4"/>
    <x v="0"/>
    <s v="Issue with a duplicate charge"/>
    <n v="65"/>
    <d v="2023-11-18T04:03:17"/>
    <b v="0"/>
    <m/>
  </r>
  <r>
    <s v="TK62429"/>
    <d v="2023-11-17T17:06:00"/>
    <s v="email"/>
    <x v="4"/>
    <x v="1"/>
    <s v="Question about the invoice for last month"/>
    <n v="230"/>
    <d v="2023-11-18T19:14:14"/>
    <b v="0"/>
    <m/>
  </r>
  <r>
    <s v="TK62902"/>
    <d v="2023-11-17T17:45:00"/>
    <s v="chat"/>
    <x v="4"/>
    <x v="1"/>
    <s v="Cannot downgrade my plan"/>
    <n v="42"/>
    <d v="2023-11-20T19:56:51"/>
    <b v="0"/>
    <m/>
  </r>
  <r>
    <s v="TK60286"/>
    <d v="2023-11-17T20:09:00"/>
    <s v="email"/>
    <x v="3"/>
    <x v="1"/>
    <s v="Question about the invoice for last month"/>
    <n v="54"/>
    <d v="2023-11-23T01:53:48"/>
    <b v="1"/>
    <n v="4"/>
  </r>
  <r>
    <s v="TK60000"/>
    <d v="2023-11-17T20:59:00"/>
    <s v="email"/>
    <x v="4"/>
    <x v="1"/>
    <s v="How do I export my data"/>
    <n v="40"/>
    <d v="2023-11-21T03:45:19"/>
    <b v="0"/>
    <n v="4"/>
  </r>
  <r>
    <s v="TK63568"/>
    <d v="2023-11-17T22:50:00"/>
    <s v="email"/>
    <x v="1"/>
    <x v="3"/>
    <s v="Issue with a duplicate charge"/>
    <n v="494"/>
    <d v="2023-11-18T23:39:51"/>
    <b v="0"/>
    <n v="3"/>
  </r>
  <r>
    <s v="TK62368"/>
    <d v="2023-11-18T03:28:00"/>
    <s v="phone"/>
    <x v="1"/>
    <x v="3"/>
    <s v="Issue with downgrade my plan"/>
    <n v="245"/>
    <d v="2023-11-28T17:20:03"/>
    <b v="0"/>
    <n v="5"/>
  </r>
  <r>
    <s v="TK61547"/>
    <d v="2023-11-18T07:34:00"/>
    <s v="chat"/>
    <x v="2"/>
    <x v="0"/>
    <s v="Issue with the API rate limit"/>
    <n v="6"/>
    <d v="2023-11-18T19:19:43"/>
    <b v="0"/>
    <m/>
  </r>
  <r>
    <s v="TK63878"/>
    <d v="2023-11-18T08:02:00"/>
    <s v="in-app"/>
    <x v="4"/>
    <x v="3"/>
    <s v="Request to two-factor authentication"/>
    <n v="458"/>
    <d v="2023-11-18T22:11:41"/>
    <b v="0"/>
    <n v="4"/>
  </r>
  <r>
    <s v="TK61437"/>
    <d v="2023-11-18T13:15:00"/>
    <s v="email"/>
    <x v="1"/>
    <x v="1"/>
    <s v="How do I two-factor authentication"/>
    <n v="260"/>
    <d v="2023-11-21T07:41:57"/>
    <b v="0"/>
    <n v="4"/>
  </r>
  <r>
    <s v="TK60346"/>
    <d v="2023-11-18T13:32:00"/>
    <s v="chat"/>
    <x v="2"/>
    <x v="1"/>
    <s v="Cannot export my data"/>
    <n v="21"/>
    <m/>
    <b v="0"/>
    <m/>
  </r>
  <r>
    <s v="TK61834"/>
    <d v="2023-11-18T15:06:00"/>
    <s v="in-app"/>
    <x v="2"/>
    <x v="1"/>
    <s v="Question about webhook deliveries failing"/>
    <n v="106"/>
    <d v="2023-11-20T20:34:07"/>
    <b v="0"/>
    <m/>
  </r>
  <r>
    <s v="TK63780"/>
    <d v="2023-11-18T18:29:00"/>
    <s v="phone"/>
    <x v="1"/>
    <x v="2"/>
    <s v="Issue with the API rate limit"/>
    <m/>
    <d v="2023-11-18T21:53:35"/>
    <b v="0"/>
    <m/>
  </r>
  <r>
    <s v="TK62938"/>
    <d v="2023-11-18T19:56:00"/>
    <s v="chat"/>
    <x v="2"/>
    <x v="0"/>
    <s v="Issue with add a teammate"/>
    <m/>
    <d v="2023-11-19T01:05:58"/>
    <b v="0"/>
    <n v="4"/>
  </r>
  <r>
    <s v="TK61483"/>
    <d v="2023-11-18T21:10:00"/>
    <s v="email"/>
    <x v="1"/>
    <x v="1"/>
    <s v="Unable to a duplicate charge"/>
    <n v="86"/>
    <d v="2023-11-21T02:16:51"/>
    <b v="0"/>
    <n v="4"/>
  </r>
  <r>
    <s v="TK63480"/>
    <d v="2023-11-18T23:17:00"/>
    <s v="phone"/>
    <x v="1"/>
    <x v="1"/>
    <s v="How do I two-factor authentication"/>
    <n v="51"/>
    <d v="2023-11-19T15:44:45"/>
    <b v="0"/>
    <m/>
  </r>
  <r>
    <s v="TK60766"/>
    <d v="2023-11-19T02:09:00"/>
    <s v="in-app"/>
    <x v="2"/>
    <x v="1"/>
    <s v="Cannot the dashboard loading slowly"/>
    <m/>
    <d v="2023-11-19T11:35:24"/>
    <b v="0"/>
    <n v="3"/>
  </r>
  <r>
    <s v="TK62730"/>
    <d v="2023-11-19T04:36:00"/>
    <s v="email"/>
    <x v="0"/>
    <x v="0"/>
    <s v="How do I the API rate limit"/>
    <n v="59"/>
    <d v="2023-11-20T17:41:25"/>
    <b v="0"/>
    <m/>
  </r>
  <r>
    <s v="TK62878"/>
    <d v="2023-11-19T06:39:00"/>
    <s v="chat"/>
    <x v="1"/>
    <x v="0"/>
    <s v="Question about downgrade my plan"/>
    <n v="66"/>
    <d v="2023-11-19T20:28:04"/>
    <b v="1"/>
    <m/>
  </r>
  <r>
    <s v="TK61719"/>
    <d v="2023-11-19T11:19:00"/>
    <s v="chat"/>
    <x v="1"/>
    <x v="1"/>
    <s v="Question about the dashboard loading slowly"/>
    <n v="142"/>
    <d v="2023-11-28T01:08:57"/>
    <b v="1"/>
    <n v="5"/>
  </r>
  <r>
    <s v="TK62593"/>
    <d v="2023-11-19T14:21:00"/>
    <s v="email"/>
    <x v="0"/>
    <x v="1"/>
    <s v="Request to the dashboard loading slowly"/>
    <n v="106"/>
    <d v="2023-11-20T09:57:01"/>
    <b v="0"/>
    <m/>
  </r>
  <r>
    <s v="TK63959"/>
    <d v="2023-11-19T15:53:00"/>
    <s v="email"/>
    <x v="3"/>
    <x v="1"/>
    <s v="Question about log in after password reset"/>
    <n v="25"/>
    <m/>
    <b v="0"/>
    <m/>
  </r>
  <r>
    <s v="TK62525"/>
    <d v="2023-11-19T16:27:00"/>
    <s v="chat"/>
    <x v="2"/>
    <x v="3"/>
    <s v="How do I log in after password reset"/>
    <n v="64"/>
    <d v="2023-11-21T05:38:13"/>
    <b v="0"/>
    <m/>
  </r>
  <r>
    <s v="TK60104"/>
    <d v="2023-11-19T16:56:00"/>
    <s v="chat"/>
    <x v="2"/>
    <x v="1"/>
    <s v="Unable to downgrade my plan"/>
    <n v="74"/>
    <d v="2023-11-22T12:54:38"/>
    <b v="0"/>
    <n v="4"/>
  </r>
  <r>
    <s v="TK61832"/>
    <d v="2023-11-19T18:15:00"/>
    <s v="in-app"/>
    <x v="4"/>
    <x v="0"/>
    <s v="Cannot the dashboard loading slowly"/>
    <m/>
    <d v="2023-11-20T09:28:59"/>
    <b v="0"/>
    <n v="4"/>
  </r>
  <r>
    <s v="TK62893"/>
    <d v="2023-11-19T20:22:00"/>
    <s v="phone"/>
    <x v="4"/>
    <x v="1"/>
    <s v="Question about export my data"/>
    <n v="229"/>
    <d v="2023-11-20T06:47:29"/>
    <b v="0"/>
    <n v="5"/>
  </r>
  <r>
    <s v="TK61183"/>
    <d v="2023-11-19T21:24:00"/>
    <s v="in-app"/>
    <x v="2"/>
    <x v="1"/>
    <s v="How do I add a teammate"/>
    <n v="148"/>
    <d v="2023-11-22T10:52:07"/>
    <b v="0"/>
    <n v="5"/>
  </r>
  <r>
    <s v="TK62189"/>
    <d v="2023-11-20T02:25:00"/>
    <s v="email"/>
    <x v="2"/>
    <x v="1"/>
    <s v="Request to the invoice for last month"/>
    <n v="104"/>
    <d v="2023-11-20T04:56:21"/>
    <b v="0"/>
    <n v="4"/>
  </r>
  <r>
    <s v="TK60024"/>
    <d v="2023-11-20T07:30:00"/>
    <s v="in-app"/>
    <x v="1"/>
    <x v="1"/>
    <s v="Unable to two-factor authentication"/>
    <m/>
    <d v="2023-11-20T10:30:41"/>
    <b v="0"/>
    <n v="3"/>
  </r>
  <r>
    <s v="TK62603"/>
    <d v="2023-11-20T07:31:00"/>
    <s v="chat"/>
    <x v="3"/>
    <x v="1"/>
    <s v="Error when a refund for an annual plan"/>
    <m/>
    <d v="2023-11-22T14:50:00"/>
    <b v="0"/>
    <n v="5"/>
  </r>
  <r>
    <s v="TK60850"/>
    <d v="2023-11-20T11:30:00"/>
    <s v="email"/>
    <x v="4"/>
    <x v="0"/>
    <s v="Question about webhook deliveries failing"/>
    <n v="45"/>
    <d v="2023-11-21T04:51:32"/>
    <b v="0"/>
    <m/>
  </r>
  <r>
    <s v="TK63669"/>
    <d v="2023-11-20T15:47:00"/>
    <s v="phone"/>
    <x v="1"/>
    <x v="1"/>
    <s v="How do I the dashboard loading slowly"/>
    <n v="139"/>
    <d v="2023-11-21T14:00:43"/>
    <b v="0"/>
    <m/>
  </r>
  <r>
    <s v="TK61810"/>
    <d v="2023-11-20T15:55:00"/>
    <s v="chat"/>
    <x v="2"/>
    <x v="1"/>
    <s v="Cannot a duplicate charge"/>
    <n v="81"/>
    <d v="2023-11-21T05:21:52"/>
    <b v="0"/>
    <m/>
  </r>
  <r>
    <s v="TK60658"/>
    <d v="2023-11-20T18:16:00"/>
    <s v="email"/>
    <x v="2"/>
    <x v="1"/>
    <s v="How do I the invoice for last month"/>
    <n v="138"/>
    <d v="2023-11-21T13:44:28"/>
    <b v="0"/>
    <n v="5"/>
  </r>
  <r>
    <s v="TK60427"/>
    <d v="2023-11-20T19:31:00"/>
    <s v="chat"/>
    <x v="0"/>
    <x v="1"/>
    <s v="Request to two-factor authentication"/>
    <n v="73"/>
    <d v="2023-11-21T04:09:08"/>
    <b v="0"/>
    <n v="5"/>
  </r>
  <r>
    <s v="TK60863"/>
    <d v="2023-11-20T23:34:00"/>
    <s v="in-app"/>
    <x v="4"/>
    <x v="3"/>
    <s v="Question about add a teammate"/>
    <n v="233"/>
    <d v="2023-11-21T20:37:37"/>
    <b v="1"/>
    <n v="5"/>
  </r>
  <r>
    <s v="TK63242"/>
    <d v="2023-11-20T23:59:00"/>
    <s v="in-app"/>
    <x v="2"/>
    <x v="1"/>
    <s v="How do I webhook deliveries failing"/>
    <n v="16"/>
    <d v="2023-11-21T21:39:58"/>
    <b v="0"/>
    <m/>
  </r>
  <r>
    <s v="TK63871"/>
    <d v="2023-11-21T00:34:00"/>
    <s v="chat"/>
    <x v="2"/>
    <x v="1"/>
    <s v="Issue with the invoice for last month"/>
    <n v="198"/>
    <d v="2023-11-22T13:34:41"/>
    <b v="0"/>
    <m/>
  </r>
  <r>
    <s v="TK62767"/>
    <d v="2023-11-21T04:31:00"/>
    <s v="in-app"/>
    <x v="1"/>
    <x v="1"/>
    <s v="Request to add a teammate"/>
    <n v="127"/>
    <m/>
    <b v="0"/>
    <m/>
  </r>
  <r>
    <s v="TK63115"/>
    <d v="2023-11-21T05:11:00"/>
    <s v="chat"/>
    <x v="4"/>
    <x v="0"/>
    <s v="Unable to the API rate limit"/>
    <n v="40"/>
    <d v="2023-11-21T10:39:36"/>
    <b v="0"/>
    <m/>
  </r>
  <r>
    <s v="TK60924"/>
    <d v="2023-11-21T06:20:00"/>
    <s v="chat"/>
    <x v="2"/>
    <x v="0"/>
    <s v="Question about downgrade my plan"/>
    <n v="277"/>
    <d v="2023-11-21T11:22:12"/>
    <b v="0"/>
    <m/>
  </r>
  <r>
    <s v="TK61708"/>
    <d v="2023-11-21T08:35:00"/>
    <s v="chat"/>
    <x v="0"/>
    <x v="2"/>
    <s v="Request to the invoice for last month"/>
    <n v="38"/>
    <d v="2023-11-21T15:05:48"/>
    <b v="0"/>
    <n v="5"/>
  </r>
  <r>
    <s v="TK62943"/>
    <d v="2023-11-21T10:50:00"/>
    <s v="email"/>
    <x v="3"/>
    <x v="0"/>
    <s v="Question about the dashboard loading slowly"/>
    <n v="32"/>
    <d v="2023-11-24T00:14:27"/>
    <b v="0"/>
    <n v="5"/>
  </r>
  <r>
    <s v="TK62000"/>
    <d v="2023-11-21T10:52:00"/>
    <s v="in-app"/>
    <x v="2"/>
    <x v="1"/>
    <s v="Error when the dashboard loading slowly"/>
    <n v="70"/>
    <d v="2023-11-21T19:02:34"/>
    <b v="0"/>
    <n v="3"/>
  </r>
  <r>
    <s v="TK60324"/>
    <d v="2023-11-21T14:45:00"/>
    <s v="email"/>
    <x v="1"/>
    <x v="1"/>
    <s v="Unable to a duplicate charge"/>
    <n v="189"/>
    <d v="2023-11-21T16:09:39"/>
    <b v="0"/>
    <n v="3"/>
  </r>
  <r>
    <s v="TK61697"/>
    <d v="2023-11-21T15:45:00"/>
    <s v="email"/>
    <x v="3"/>
    <x v="3"/>
    <s v="Request to the dashboard loading slowly"/>
    <n v="110"/>
    <d v="2023-11-25T13:36:18"/>
    <b v="1"/>
    <m/>
  </r>
  <r>
    <s v="TK60637"/>
    <d v="2023-11-21T17:25:00"/>
    <s v="email"/>
    <x v="1"/>
    <x v="1"/>
    <s v="How do I a duplicate charge"/>
    <n v="29"/>
    <m/>
    <b v="0"/>
    <m/>
  </r>
  <r>
    <s v="TK62985"/>
    <d v="2023-11-21T18:04:00"/>
    <s v="email"/>
    <x v="2"/>
    <x v="3"/>
    <s v="Question about connecting the Snowflake sync"/>
    <m/>
    <d v="2023-11-21T18:58:50"/>
    <b v="0"/>
    <m/>
  </r>
  <r>
    <s v="TK62395"/>
    <d v="2023-11-21T18:14:00"/>
    <s v="chat"/>
    <x v="2"/>
    <x v="1"/>
    <s v="Question about a refund for an annual plan"/>
    <n v="16"/>
    <d v="2023-11-22T07:36:21"/>
    <b v="0"/>
    <n v="5"/>
  </r>
  <r>
    <s v="TK61937"/>
    <d v="2023-11-21T18:42:00"/>
    <s v="phone"/>
    <x v="4"/>
    <x v="0"/>
    <s v="Question about webhook deliveries failing"/>
    <n v="68"/>
    <d v="2023-11-21T20:12:59"/>
    <b v="0"/>
    <m/>
  </r>
  <r>
    <s v="TK62385"/>
    <d v="2023-11-21T19:15:00"/>
    <s v="chat"/>
    <x v="0"/>
    <x v="0"/>
    <s v="Unable to downgrade my plan"/>
    <n v="75"/>
    <d v="2023-11-26T09:58:55"/>
    <b v="0"/>
    <m/>
  </r>
  <r>
    <s v="TK63419"/>
    <d v="2023-11-21T23:46:00"/>
    <s v="in-app"/>
    <x v="0"/>
    <x v="1"/>
    <s v="How do I two-factor authentication"/>
    <n v="22"/>
    <d v="2023-11-23T17:17:50"/>
    <b v="0"/>
    <n v="4"/>
  </r>
  <r>
    <s v="TK63734"/>
    <d v="2023-11-22T08:37:00"/>
    <s v="phone"/>
    <x v="0"/>
    <x v="0"/>
    <s v="How do I export my data"/>
    <n v="5"/>
    <d v="2023-11-25T08:43:43"/>
    <b v="0"/>
    <m/>
  </r>
  <r>
    <s v="TK63751"/>
    <d v="2023-11-22T10:45:00"/>
    <s v="email"/>
    <x v="0"/>
    <x v="1"/>
    <s v="Error when export my data"/>
    <n v="171"/>
    <d v="2023-11-24T10:55:24"/>
    <b v="0"/>
    <n v="5"/>
  </r>
  <r>
    <s v="TK60198"/>
    <d v="2023-11-22T11:27:00"/>
    <s v="in-app"/>
    <x v="1"/>
    <x v="1"/>
    <s v="Question about the dashboard loading slowly"/>
    <m/>
    <d v="2023-11-30T11:22:43"/>
    <b v="0"/>
    <n v="5"/>
  </r>
  <r>
    <s v="TK60378"/>
    <d v="2023-11-22T13:53:00"/>
    <s v="chat"/>
    <x v="0"/>
    <x v="1"/>
    <s v="Cannot downgrade my plan"/>
    <n v="33"/>
    <d v="2023-11-22T20:52:35"/>
    <b v="0"/>
    <m/>
  </r>
  <r>
    <s v="TK62273"/>
    <d v="2023-11-22T17:19:00"/>
    <s v="phone"/>
    <x v="1"/>
    <x v="1"/>
    <s v="Unable to add a teammate"/>
    <n v="1113"/>
    <d v="2023-11-22T20:32:52"/>
    <b v="0"/>
    <n v="5"/>
  </r>
  <r>
    <s v="TK62231"/>
    <d v="2023-11-23T02:18:00"/>
    <s v="chat"/>
    <x v="1"/>
    <x v="3"/>
    <s v="Error when downgrade my plan"/>
    <n v="169"/>
    <m/>
    <b v="0"/>
    <m/>
  </r>
  <r>
    <s v="TK62775"/>
    <d v="2023-11-23T07:12:00"/>
    <s v="email"/>
    <x v="3"/>
    <x v="3"/>
    <s v="Unable to the invoice for last month"/>
    <n v="112"/>
    <d v="2023-11-28T05:36:32"/>
    <b v="0"/>
    <n v="5"/>
  </r>
  <r>
    <s v="TK63919"/>
    <d v="2023-11-23T12:31:00"/>
    <s v="email"/>
    <x v="1"/>
    <x v="0"/>
    <s v="Question about add a teammate"/>
    <m/>
    <d v="2023-11-24T00:53:18"/>
    <b v="0"/>
    <m/>
  </r>
  <r>
    <s v="TK62929"/>
    <d v="2023-11-23T19:54:00"/>
    <s v="chat"/>
    <x v="4"/>
    <x v="3"/>
    <s v="Cannot two-factor authentication"/>
    <n v="279"/>
    <d v="2023-11-27T21:15:30"/>
    <b v="0"/>
    <n v="4"/>
  </r>
  <r>
    <s v="TK60115"/>
    <d v="2023-11-23T23:46:00"/>
    <s v="email"/>
    <x v="1"/>
    <x v="3"/>
    <s v="Cannot connecting the Snowflake sync"/>
    <n v="206"/>
    <d v="2023-11-29T10:31:11"/>
    <b v="0"/>
    <m/>
  </r>
  <r>
    <s v="TK61875"/>
    <d v="2023-11-24T00:19:00"/>
    <s v="chat"/>
    <x v="1"/>
    <x v="3"/>
    <s v="Cannot log in after password reset"/>
    <n v="134"/>
    <d v="2023-11-27T16:52:41"/>
    <b v="0"/>
    <m/>
  </r>
  <r>
    <s v="TK62391"/>
    <d v="2023-11-24T02:29:00"/>
    <s v="in-app"/>
    <x v="2"/>
    <x v="0"/>
    <s v="Unable to export my data"/>
    <n v="13"/>
    <d v="2023-11-24T13:39:48"/>
    <b v="0"/>
    <n v="5"/>
  </r>
  <r>
    <s v="TK60584"/>
    <d v="2023-11-24T08:05:00"/>
    <s v="email"/>
    <x v="3"/>
    <x v="0"/>
    <s v="Cannot a duplicate charge"/>
    <n v="39"/>
    <d v="2023-11-24T10:40:43"/>
    <b v="0"/>
    <n v="5"/>
  </r>
  <r>
    <s v="TK61635"/>
    <d v="2023-11-24T08:20:00"/>
    <s v="chat"/>
    <x v="2"/>
    <x v="2"/>
    <s v="Error when export my data"/>
    <n v="19"/>
    <d v="2023-11-24T11:59:05"/>
    <b v="0"/>
    <m/>
  </r>
  <r>
    <s v="TK62056"/>
    <d v="2023-11-24T08:47:00"/>
    <s v="chat"/>
    <x v="0"/>
    <x v="2"/>
    <s v="Issue with export my data"/>
    <n v="7"/>
    <d v="2023-11-24T10:30:08"/>
    <b v="0"/>
    <n v="1"/>
  </r>
  <r>
    <s v="TK60804"/>
    <d v="2023-11-24T09:53:00"/>
    <s v="email"/>
    <x v="0"/>
    <x v="1"/>
    <s v="How do I the invoice for last month"/>
    <n v="45"/>
    <m/>
    <b v="0"/>
    <m/>
  </r>
  <r>
    <s v="TK61968"/>
    <d v="2023-11-24T10:12:00"/>
    <s v="chat"/>
    <x v="2"/>
    <x v="3"/>
    <s v="Request to two-factor authentication"/>
    <n v="49"/>
    <d v="2023-11-25T01:38:11"/>
    <b v="1"/>
    <n v="4"/>
  </r>
  <r>
    <s v="TK61478"/>
    <d v="2023-11-24T10:28:00"/>
    <s v="email"/>
    <x v="4"/>
    <x v="1"/>
    <s v="Question about two-factor authentication"/>
    <n v="73"/>
    <d v="2023-11-25T03:04:16"/>
    <b v="0"/>
    <m/>
  </r>
  <r>
    <s v="TK63412"/>
    <d v="2023-11-24T12:49:00"/>
    <s v="in-app"/>
    <x v="2"/>
    <x v="0"/>
    <s v="Error when add a teammate"/>
    <n v="168"/>
    <d v="2023-11-24T17:16:16"/>
    <b v="0"/>
    <m/>
  </r>
  <r>
    <s v="TK62009"/>
    <d v="2023-11-24T14:03:00"/>
    <s v="chat"/>
    <x v="2"/>
    <x v="3"/>
    <s v="How do I connecting the Snowflake sync"/>
    <n v="173"/>
    <d v="2023-11-25T06:37:55"/>
    <b v="0"/>
    <m/>
  </r>
  <r>
    <s v="TK62255"/>
    <d v="2023-11-24T15:22:00"/>
    <s v="in-app"/>
    <x v="1"/>
    <x v="3"/>
    <s v="Issue with downgrade my plan"/>
    <n v="92"/>
    <d v="2023-11-28T17:00:09"/>
    <b v="0"/>
    <n v="5"/>
  </r>
  <r>
    <s v="TK60462"/>
    <d v="2023-11-24T20:50:00"/>
    <s v="in-app"/>
    <x v="1"/>
    <x v="1"/>
    <s v="Error when webhook deliveries failing"/>
    <n v="44"/>
    <d v="2023-11-26T23:33:14"/>
    <b v="0"/>
    <n v="5"/>
  </r>
  <r>
    <s v="TK61822"/>
    <d v="2023-11-25T03:21:00"/>
    <s v="in-app"/>
    <x v="0"/>
    <x v="0"/>
    <s v="Error when log in after password reset"/>
    <n v="62"/>
    <m/>
    <b v="0"/>
    <m/>
  </r>
  <r>
    <s v="TK63768"/>
    <d v="2023-11-25T05:17:00"/>
    <s v="chat"/>
    <x v="3"/>
    <x v="1"/>
    <s v="Question about export my data"/>
    <n v="107"/>
    <d v="2023-11-29T18:23:42"/>
    <b v="0"/>
    <n v="5"/>
  </r>
  <r>
    <s v="TK60131"/>
    <d v="2023-11-25T08:37:00"/>
    <s v="chat"/>
    <x v="4"/>
    <x v="0"/>
    <s v="Unable to a refund for an annual plan"/>
    <n v="28"/>
    <d v="2023-11-25T18:26:28"/>
    <b v="0"/>
    <m/>
  </r>
  <r>
    <s v="TK63896"/>
    <d v="2023-11-25T10:02:00"/>
    <s v="chat"/>
    <x v="3"/>
    <x v="1"/>
    <s v="Request to log in after password reset"/>
    <n v="165"/>
    <d v="2023-11-25T15:11:39"/>
    <b v="0"/>
    <m/>
  </r>
  <r>
    <s v="TK61242"/>
    <d v="2023-11-25T10:45:00"/>
    <s v="chat"/>
    <x v="1"/>
    <x v="0"/>
    <s v="Error when downgrade my plan"/>
    <n v="18"/>
    <d v="2023-11-25T11:57:41"/>
    <b v="0"/>
    <m/>
  </r>
  <r>
    <s v="TK61689"/>
    <d v="2023-11-25T12:35:00"/>
    <s v="chat"/>
    <x v="3"/>
    <x v="3"/>
    <s v="Request to a duplicate charge"/>
    <n v="301"/>
    <d v="2023-12-02T14:47:49"/>
    <b v="0"/>
    <m/>
  </r>
  <r>
    <s v="TK62917"/>
    <d v="2023-11-25T17:08:00"/>
    <s v="email"/>
    <x v="1"/>
    <x v="0"/>
    <s v="Cannot two-factor authentication"/>
    <n v="70"/>
    <d v="2023-11-27T02:21:34"/>
    <b v="0"/>
    <m/>
  </r>
  <r>
    <s v="TK63713"/>
    <d v="2023-11-25T23:25:00"/>
    <s v="email"/>
    <x v="0"/>
    <x v="1"/>
    <s v="How do I a refund for an annual plan"/>
    <n v="241"/>
    <d v="2023-11-26T13:02:01"/>
    <b v="0"/>
    <n v="5"/>
  </r>
  <r>
    <s v="TK63077"/>
    <d v="2023-11-26T07:08:00"/>
    <s v="chat"/>
    <x v="0"/>
    <x v="1"/>
    <s v="Error when a duplicate charge"/>
    <n v="47"/>
    <d v="2023-11-26T20:38:26"/>
    <b v="1"/>
    <n v="5"/>
  </r>
  <r>
    <s v="TK60597"/>
    <d v="2023-11-26T09:24:00"/>
    <s v="chat"/>
    <x v="1"/>
    <x v="1"/>
    <s v="Cannot downgrade my plan"/>
    <n v="238"/>
    <d v="2023-11-26T12:18:29"/>
    <b v="0"/>
    <m/>
  </r>
  <r>
    <s v="TK61870"/>
    <d v="2023-11-26T11:20:00"/>
    <s v="email"/>
    <x v="1"/>
    <x v="0"/>
    <s v="Question about add a teammate"/>
    <n v="18"/>
    <d v="2023-11-26T12:30:59"/>
    <b v="0"/>
    <m/>
  </r>
  <r>
    <s v="TK63735"/>
    <d v="2023-11-26T13:08:00"/>
    <s v="chat"/>
    <x v="1"/>
    <x v="1"/>
    <s v="Question about the dashboard loading slowly"/>
    <n v="632"/>
    <m/>
    <b v="0"/>
    <m/>
  </r>
  <r>
    <s v="TK63406"/>
    <d v="2023-11-26T15:52:00"/>
    <s v="phone"/>
    <x v="1"/>
    <x v="1"/>
    <s v="Issue with add a teammate"/>
    <n v="83"/>
    <m/>
    <b v="0"/>
    <m/>
  </r>
  <r>
    <s v="TK61028"/>
    <d v="2023-11-26T17:21:00"/>
    <s v="email"/>
    <x v="2"/>
    <x v="0"/>
    <s v="Cannot downgrade my plan"/>
    <n v="31"/>
    <d v="2023-11-26T20:02:27"/>
    <b v="0"/>
    <m/>
  </r>
  <r>
    <s v="TK60701"/>
    <d v="2023-11-26T17:26:00"/>
    <s v="chat"/>
    <x v="4"/>
    <x v="2"/>
    <s v="How do I add a teammate"/>
    <n v="8"/>
    <d v="2023-11-27T00:11:24"/>
    <b v="0"/>
    <n v="4"/>
  </r>
  <r>
    <s v="TK62433"/>
    <d v="2023-11-26T20:16:00"/>
    <s v="email"/>
    <x v="3"/>
    <x v="1"/>
    <s v="Request to export my data"/>
    <n v="138"/>
    <m/>
    <b v="0"/>
    <m/>
  </r>
  <r>
    <s v="TK61306"/>
    <d v="2023-11-26T20:46:00"/>
    <s v="email"/>
    <x v="0"/>
    <x v="1"/>
    <s v="How do I log in after password reset"/>
    <n v="35"/>
    <d v="2023-11-29T10:35:52"/>
    <b v="0"/>
    <m/>
  </r>
  <r>
    <s v="TK62503"/>
    <d v="2023-11-26T22:26:00"/>
    <s v="phone"/>
    <x v="0"/>
    <x v="1"/>
    <s v="Cannot the dashboard loading slowly"/>
    <n v="142"/>
    <d v="2023-11-27T14:28:45"/>
    <b v="0"/>
    <m/>
  </r>
  <r>
    <s v="TK63835"/>
    <d v="2023-11-27T02:13:00"/>
    <s v="in-app"/>
    <x v="1"/>
    <x v="2"/>
    <s v="How do I connecting the Snowflake sync"/>
    <n v="9"/>
    <d v="2023-11-27T19:41:52"/>
    <b v="0"/>
    <n v="5"/>
  </r>
  <r>
    <s v="TK60064"/>
    <d v="2023-11-27T04:11:00"/>
    <s v="chat"/>
    <x v="4"/>
    <x v="1"/>
    <s v="Request to the dashboard loading slowly"/>
    <m/>
    <d v="2023-11-28T17:04:03"/>
    <b v="0"/>
    <m/>
  </r>
  <r>
    <s v="TK61018"/>
    <d v="2023-11-27T06:25:00"/>
    <s v="chat"/>
    <x v="4"/>
    <x v="1"/>
    <s v="Cannot a duplicate charge"/>
    <n v="129"/>
    <d v="2023-11-29T16:35:33"/>
    <b v="0"/>
    <n v="4"/>
  </r>
  <r>
    <s v="TK60923"/>
    <d v="2023-11-27T07:32:00"/>
    <s v="email"/>
    <x v="0"/>
    <x v="2"/>
    <s v="Unable to export my data"/>
    <n v="4"/>
    <d v="2023-11-27T08:22:41"/>
    <b v="0"/>
    <m/>
  </r>
  <r>
    <s v="TK60524"/>
    <d v="2023-11-27T11:09:00"/>
    <s v="email"/>
    <x v="1"/>
    <x v="0"/>
    <s v="Issue with add a teammate"/>
    <n v="24"/>
    <d v="2023-11-29T00:02:28"/>
    <b v="0"/>
    <m/>
  </r>
  <r>
    <s v="TK61269"/>
    <d v="2023-11-27T11:45:00"/>
    <s v="in-app"/>
    <x v="2"/>
    <x v="1"/>
    <s v="Request to a duplicate charge"/>
    <m/>
    <d v="2023-12-03T18:51:55"/>
    <b v="0"/>
    <m/>
  </r>
  <r>
    <s v="TK60557"/>
    <d v="2023-11-27T12:15:00"/>
    <s v="email"/>
    <x v="3"/>
    <x v="1"/>
    <s v="Issue with downgrade my plan"/>
    <n v="123"/>
    <d v="2023-12-21T18:19:59"/>
    <b v="0"/>
    <m/>
  </r>
  <r>
    <s v="TK62883"/>
    <d v="2023-11-27T12:16:00"/>
    <s v="in-app"/>
    <x v="2"/>
    <x v="1"/>
    <s v="Request to add a teammate"/>
    <n v="33"/>
    <d v="2023-11-28T00:29:32"/>
    <b v="0"/>
    <n v="1"/>
  </r>
  <r>
    <s v="TK61515"/>
    <d v="2023-11-27T15:06:00"/>
    <s v="chat"/>
    <x v="2"/>
    <x v="1"/>
    <s v="Question about webhook deliveries failing"/>
    <n v="46"/>
    <d v="2023-11-27T21:13:06"/>
    <b v="0"/>
    <m/>
  </r>
  <r>
    <s v="TK63528"/>
    <d v="2023-11-28T00:29:00"/>
    <s v="phone"/>
    <x v="4"/>
    <x v="0"/>
    <s v="Request to export my data"/>
    <n v="48"/>
    <d v="2023-11-28T04:55:10"/>
    <b v="0"/>
    <m/>
  </r>
  <r>
    <s v="TK63007"/>
    <d v="2023-11-28T00:44:00"/>
    <s v="chat"/>
    <x v="1"/>
    <x v="0"/>
    <s v="Unable to the dashboard loading slowly"/>
    <n v="12"/>
    <d v="2023-11-30T05:48:01"/>
    <b v="0"/>
    <m/>
  </r>
  <r>
    <s v="TK60009"/>
    <d v="2023-11-28T12:58:00"/>
    <s v="chat"/>
    <x v="1"/>
    <x v="2"/>
    <s v="How do I the dashboard loading slowly"/>
    <n v="22"/>
    <d v="2023-11-28T22:59:34"/>
    <b v="0"/>
    <n v="5"/>
  </r>
  <r>
    <s v="TK61484"/>
    <d v="2023-11-28T15:10:00"/>
    <s v="email"/>
    <x v="0"/>
    <x v="0"/>
    <s v="Request to export my data"/>
    <m/>
    <d v="2023-11-29T01:42:56"/>
    <b v="0"/>
    <n v="4"/>
  </r>
  <r>
    <s v="TK63585"/>
    <d v="2023-11-28T15:44:00"/>
    <s v="in-app"/>
    <x v="0"/>
    <x v="1"/>
    <s v="How do I the dashboard loading slowly"/>
    <n v="61"/>
    <d v="2023-11-29T19:47:08"/>
    <b v="0"/>
    <m/>
  </r>
  <r>
    <s v="TK62978"/>
    <d v="2023-11-28T17:03:00"/>
    <s v="email"/>
    <x v="4"/>
    <x v="1"/>
    <s v="Request to export my data"/>
    <n v="170"/>
    <d v="2023-11-30T10:05:39"/>
    <b v="0"/>
    <m/>
  </r>
  <r>
    <s v="TK60508"/>
    <d v="2023-11-28T17:57:00"/>
    <s v="chat"/>
    <x v="1"/>
    <x v="1"/>
    <s v="Request to two-factor authentication"/>
    <n v="88"/>
    <d v="2023-11-30T18:09:11"/>
    <b v="0"/>
    <n v="2"/>
  </r>
  <r>
    <s v="TK60125"/>
    <d v="2023-11-28T19:53:00"/>
    <s v="email"/>
    <x v="2"/>
    <x v="1"/>
    <s v="Request to add a teammate"/>
    <n v="145"/>
    <d v="2023-11-29T03:13:05"/>
    <b v="0"/>
    <m/>
  </r>
  <r>
    <s v="TK62817"/>
    <d v="2023-11-28T22:18:00"/>
    <s v="in-app"/>
    <x v="1"/>
    <x v="1"/>
    <s v="How do I connecting the Snowflake sync"/>
    <n v="785"/>
    <d v="2023-12-03T13:14:55"/>
    <b v="0"/>
    <m/>
  </r>
  <r>
    <s v="TK62465"/>
    <d v="2023-11-28T22:28:00"/>
    <s v="email"/>
    <x v="4"/>
    <x v="0"/>
    <s v="How do I export my data"/>
    <n v="84"/>
    <d v="2023-11-29T06:30:18"/>
    <b v="0"/>
    <m/>
  </r>
  <r>
    <s v="TK62915"/>
    <d v="2023-11-28T23:06:00"/>
    <s v="in-app"/>
    <x v="2"/>
    <x v="0"/>
    <s v="Cannot add a teammate"/>
    <n v="145"/>
    <d v="2023-11-29T01:03:56"/>
    <b v="0"/>
    <m/>
  </r>
  <r>
    <s v="TK61217"/>
    <d v="2023-11-29T00:52:00"/>
    <s v="chat"/>
    <x v="0"/>
    <x v="0"/>
    <s v="Question about the API rate limit"/>
    <n v="28"/>
    <d v="2023-11-29T10:36:53"/>
    <b v="0"/>
    <n v="3"/>
  </r>
  <r>
    <s v="TK61255"/>
    <d v="2023-11-29T01:27:00"/>
    <s v="in-app"/>
    <x v="2"/>
    <x v="1"/>
    <s v="How do I the invoice for last month"/>
    <n v="577"/>
    <d v="2023-11-29T12:19:00"/>
    <b v="0"/>
    <m/>
  </r>
  <r>
    <s v="TK62650"/>
    <d v="2023-11-29T04:27:00"/>
    <s v="email"/>
    <x v="4"/>
    <x v="1"/>
    <s v="Issue with webhook deliveries failing"/>
    <n v="231"/>
    <d v="2023-12-02T04:49:38"/>
    <b v="0"/>
    <m/>
  </r>
  <r>
    <s v="TK62432"/>
    <d v="2023-11-29T05:37:00"/>
    <s v="email"/>
    <x v="2"/>
    <x v="1"/>
    <s v="Unable to webhook deliveries failing"/>
    <n v="54"/>
    <d v="2023-12-01T08:53:23"/>
    <b v="0"/>
    <m/>
  </r>
  <r>
    <s v="TK62054"/>
    <d v="2023-11-29T07:39:00"/>
    <s v="phone"/>
    <x v="4"/>
    <x v="0"/>
    <s v="Cannot connecting the Snowflake sync"/>
    <n v="42"/>
    <d v="2023-11-29T09:37:41"/>
    <b v="1"/>
    <m/>
  </r>
  <r>
    <s v="TK60546"/>
    <d v="2023-11-29T10:24:00"/>
    <s v="chat"/>
    <x v="4"/>
    <x v="1"/>
    <s v="Question about webhook deliveries failing"/>
    <n v="204"/>
    <d v="2023-11-29T12:24:41"/>
    <b v="0"/>
    <m/>
  </r>
  <r>
    <s v="TK63158"/>
    <d v="2023-11-29T11:07:00"/>
    <s v="phone"/>
    <x v="2"/>
    <x v="3"/>
    <s v="Error when a refund for an annual plan"/>
    <n v="53"/>
    <d v="2023-12-01T01:49:52"/>
    <b v="0"/>
    <m/>
  </r>
  <r>
    <s v="TK63270"/>
    <d v="2023-11-29T15:00:00"/>
    <s v="chat"/>
    <x v="1"/>
    <x v="1"/>
    <s v="Unable to downgrade my plan"/>
    <n v="4"/>
    <d v="2023-12-17T23:38:50"/>
    <b v="0"/>
    <m/>
  </r>
  <r>
    <s v="TK62580"/>
    <d v="2023-11-29T15:40:00"/>
    <s v="in-app"/>
    <x v="2"/>
    <x v="0"/>
    <s v="How do I the invoice for last month"/>
    <n v="29"/>
    <d v="2023-11-30T13:24:21"/>
    <b v="0"/>
    <n v="4"/>
  </r>
  <r>
    <s v="TK62330"/>
    <d v="2023-11-29T18:17:00"/>
    <s v="email"/>
    <x v="0"/>
    <x v="3"/>
    <s v="Error when a duplicate charge"/>
    <n v="155"/>
    <d v="2023-11-29T20:31:14"/>
    <b v="0"/>
    <n v="5"/>
  </r>
  <r>
    <s v="TK63021"/>
    <d v="2023-11-29T20:45:00"/>
    <s v="chat"/>
    <x v="1"/>
    <x v="1"/>
    <s v="Cannot two-factor authentication"/>
    <n v="45"/>
    <d v="2023-12-01T03:08:44"/>
    <b v="0"/>
    <m/>
  </r>
  <r>
    <s v="TK62224"/>
    <d v="2023-11-29T23:12:00"/>
    <s v="email"/>
    <x v="4"/>
    <x v="2"/>
    <s v="Issue with webhook deliveries failing"/>
    <n v="38"/>
    <d v="2023-11-30T02:48:59"/>
    <b v="0"/>
    <n v="5"/>
  </r>
  <r>
    <s v="TK61381"/>
    <d v="2023-11-30T02:09:00"/>
    <s v="chat"/>
    <x v="0"/>
    <x v="0"/>
    <s v="Request to add a teammate"/>
    <n v="64"/>
    <d v="2023-11-30T09:15:38"/>
    <b v="1"/>
    <n v="4"/>
  </r>
  <r>
    <s v="TK61683"/>
    <d v="2023-11-30T05:07:00"/>
    <s v="in-app"/>
    <x v="2"/>
    <x v="1"/>
    <s v="Question about two-factor authentication"/>
    <n v="13"/>
    <d v="2023-11-30T14:17:39"/>
    <b v="0"/>
    <m/>
  </r>
  <r>
    <s v="TK61062"/>
    <d v="2023-11-30T05:29:00"/>
    <s v="in-app"/>
    <x v="3"/>
    <x v="1"/>
    <s v="Error when connecting the Snowflake sync"/>
    <n v="16"/>
    <d v="2023-11-30T21:01:22"/>
    <b v="0"/>
    <m/>
  </r>
  <r>
    <s v="TK60635"/>
    <d v="2023-11-30T05:42:00"/>
    <s v="chat"/>
    <x v="1"/>
    <x v="1"/>
    <s v="Cannot two-factor authentication"/>
    <n v="82"/>
    <d v="2023-12-03T23:32:38"/>
    <b v="0"/>
    <m/>
  </r>
  <r>
    <s v="TK60801"/>
    <d v="2023-11-30T06:27:00"/>
    <s v="in-app"/>
    <x v="1"/>
    <x v="0"/>
    <s v="Question about the invoice for last month"/>
    <n v="41"/>
    <d v="2023-11-30T21:43:37"/>
    <b v="0"/>
    <m/>
  </r>
  <r>
    <s v="TK61286"/>
    <d v="2023-11-30T08:17:00"/>
    <s v="email"/>
    <x v="0"/>
    <x v="3"/>
    <s v="Issue with connecting the Snowflake sync"/>
    <n v="77"/>
    <d v="2023-11-30T12:49:43"/>
    <b v="0"/>
    <n v="4"/>
  </r>
  <r>
    <s v="TK60225"/>
    <d v="2023-11-30T12:47:00"/>
    <s v="in-app"/>
    <x v="0"/>
    <x v="3"/>
    <s v="Request to a duplicate charge"/>
    <n v="175"/>
    <d v="2023-11-30T22:13:40"/>
    <b v="0"/>
    <m/>
  </r>
  <r>
    <s v="TK62574"/>
    <d v="2023-11-30T16:43:00"/>
    <s v="chat"/>
    <x v="2"/>
    <x v="3"/>
    <s v="How do I connecting the Snowflake sync"/>
    <n v="57"/>
    <d v="2023-12-10T02:35:53"/>
    <b v="0"/>
    <m/>
  </r>
  <r>
    <s v="TK63431"/>
    <d v="2023-11-30T17:24:00"/>
    <s v="email"/>
    <x v="1"/>
    <x v="0"/>
    <s v="Issue with connecting the Snowflake sync"/>
    <n v="29"/>
    <d v="2023-12-01T08:05:01"/>
    <b v="0"/>
    <m/>
  </r>
  <r>
    <s v="TK60667"/>
    <d v="2023-11-30T20:08:00"/>
    <s v="chat"/>
    <x v="4"/>
    <x v="3"/>
    <s v="Cannot a refund for an annual plan"/>
    <m/>
    <d v="2023-12-01T15:58:17"/>
    <b v="0"/>
    <m/>
  </r>
  <r>
    <s v="TK62990"/>
    <d v="2023-11-30T22:49:00"/>
    <s v="email"/>
    <x v="3"/>
    <x v="3"/>
    <s v="Error when the invoice for last month"/>
    <n v="933"/>
    <d v="2023-12-06T05:07:01"/>
    <b v="0"/>
    <n v="5"/>
  </r>
  <r>
    <s v="TK61769"/>
    <d v="2023-12-01T05:35:00"/>
    <s v="chat"/>
    <x v="2"/>
    <x v="1"/>
    <s v="Issue with add a teammate"/>
    <n v="119"/>
    <d v="2023-12-02T22:31:49"/>
    <b v="0"/>
    <n v="5"/>
  </r>
  <r>
    <s v="TK61902"/>
    <d v="2023-12-01T12:01:00"/>
    <s v="email"/>
    <x v="1"/>
    <x v="3"/>
    <s v="Unable to the API rate limit"/>
    <n v="251"/>
    <d v="2023-12-03T23:45:49"/>
    <b v="1"/>
    <m/>
  </r>
  <r>
    <s v="TK62259"/>
    <d v="2023-12-01T12:40:00"/>
    <s v="in-app"/>
    <x v="1"/>
    <x v="0"/>
    <s v="Question about log in after password reset"/>
    <n v="41"/>
    <d v="2023-12-01T21:58:08"/>
    <b v="0"/>
    <m/>
  </r>
  <r>
    <s v="TK60728"/>
    <d v="2023-12-01T13:28:00"/>
    <s v="email"/>
    <x v="3"/>
    <x v="3"/>
    <s v="Issue with log in after password reset"/>
    <n v="1187"/>
    <d v="2023-12-02T23:49:59"/>
    <b v="0"/>
    <m/>
  </r>
  <r>
    <s v="TK62571"/>
    <d v="2023-12-01T13:59:00"/>
    <s v="chat"/>
    <x v="1"/>
    <x v="3"/>
    <s v="How do I log in after password reset"/>
    <n v="46"/>
    <d v="2023-12-02T10:36:02"/>
    <b v="0"/>
    <m/>
  </r>
  <r>
    <s v="TK63746"/>
    <d v="2023-12-01T15:54:00"/>
    <s v="in-app"/>
    <x v="1"/>
    <x v="0"/>
    <s v="Error when the invoice for last month"/>
    <n v="53"/>
    <d v="2023-12-01T21:52:03"/>
    <b v="0"/>
    <n v="1"/>
  </r>
  <r>
    <s v="TK62147"/>
    <d v="2023-12-01T16:39:00"/>
    <s v="email"/>
    <x v="1"/>
    <x v="1"/>
    <s v="How do I two-factor authentication"/>
    <n v="174"/>
    <d v="2023-12-05T19:14:11"/>
    <b v="0"/>
    <m/>
  </r>
  <r>
    <s v="TK63538"/>
    <d v="2023-12-01T18:07:00"/>
    <s v="email"/>
    <x v="2"/>
    <x v="1"/>
    <s v="How do I connecting the Snowflake sync"/>
    <n v="115"/>
    <d v="2023-12-03T13:53:40"/>
    <b v="0"/>
    <m/>
  </r>
  <r>
    <s v="TK63316"/>
    <d v="2023-12-01T18:55:00"/>
    <s v="in-app"/>
    <x v="1"/>
    <x v="1"/>
    <s v="Cannot export my data"/>
    <n v="126"/>
    <d v="2023-12-03T12:55:26"/>
    <b v="0"/>
    <m/>
  </r>
  <r>
    <s v="TK61282"/>
    <d v="2023-12-01T20:24:00"/>
    <s v="email"/>
    <x v="0"/>
    <x v="1"/>
    <s v="How do I a duplicate charge"/>
    <n v="45"/>
    <d v="2023-12-02T08:52:18"/>
    <b v="0"/>
    <n v="5"/>
  </r>
  <r>
    <s v="TK63609"/>
    <d v="2023-12-01T20:24:00"/>
    <s v="in-app"/>
    <x v="1"/>
    <x v="1"/>
    <s v="Unable to downgrade my plan"/>
    <n v="43"/>
    <d v="2023-12-02T03:03:41"/>
    <b v="0"/>
    <m/>
  </r>
  <r>
    <s v="TK63882"/>
    <d v="2023-12-01T20:40:00"/>
    <s v="email"/>
    <x v="2"/>
    <x v="3"/>
    <s v="Issue with two-factor authentication"/>
    <n v="185"/>
    <d v="2023-12-02T17:59:58"/>
    <b v="0"/>
    <m/>
  </r>
  <r>
    <s v="TK63204"/>
    <d v="2023-12-01T21:24:00"/>
    <s v="email"/>
    <x v="1"/>
    <x v="0"/>
    <s v="Question about webhook deliveries failing"/>
    <n v="208"/>
    <d v="2023-12-02T09:16:27"/>
    <b v="0"/>
    <m/>
  </r>
  <r>
    <s v="TK62300"/>
    <d v="2023-12-01T21:58:00"/>
    <s v="email"/>
    <x v="1"/>
    <x v="0"/>
    <s v="Error when webhook deliveries failing"/>
    <n v="44"/>
    <d v="2023-12-04T16:47:54"/>
    <b v="0"/>
    <n v="5"/>
  </r>
  <r>
    <s v="TK60441"/>
    <d v="2023-12-01T23:21:00"/>
    <s v="email"/>
    <x v="2"/>
    <x v="0"/>
    <s v="Question about a refund for an annual plan"/>
    <n v="62"/>
    <d v="2023-12-02T05:48:13"/>
    <b v="0"/>
    <m/>
  </r>
  <r>
    <s v="TK61278"/>
    <d v="2023-12-02T00:50:00"/>
    <s v="email"/>
    <x v="3"/>
    <x v="0"/>
    <s v="Error when a refund for an annual plan"/>
    <n v="33"/>
    <d v="2023-12-03T13:42:35"/>
    <b v="0"/>
    <m/>
  </r>
  <r>
    <s v="TK60654"/>
    <d v="2023-12-02T04:31:00"/>
    <s v="email"/>
    <x v="4"/>
    <x v="1"/>
    <s v="Issue with add a teammate"/>
    <n v="450"/>
    <d v="2023-12-02T12:27:30"/>
    <b v="0"/>
    <m/>
  </r>
  <r>
    <s v="TK63296"/>
    <d v="2023-12-02T08:17:00"/>
    <s v="in-app"/>
    <x v="1"/>
    <x v="1"/>
    <s v="Error when webhook deliveries failing"/>
    <n v="141"/>
    <d v="2023-12-02T21:48:50"/>
    <b v="0"/>
    <m/>
  </r>
  <r>
    <s v="TK63202"/>
    <d v="2023-12-02T08:34:00"/>
    <s v="phone"/>
    <x v="1"/>
    <x v="3"/>
    <s v="Unable to log in after password reset"/>
    <n v="27"/>
    <d v="2023-12-02T14:35:16"/>
    <b v="0"/>
    <n v="4"/>
  </r>
  <r>
    <s v="TK60507"/>
    <d v="2023-12-02T08:54:00"/>
    <s v="in-app"/>
    <x v="1"/>
    <x v="1"/>
    <s v="Cannot connecting the Snowflake sync"/>
    <n v="65"/>
    <d v="2023-12-04T07:02:56"/>
    <b v="0"/>
    <n v="1"/>
  </r>
  <r>
    <s v="TK62326"/>
    <d v="2023-12-02T12:03:00"/>
    <s v="phone"/>
    <x v="2"/>
    <x v="1"/>
    <s v="Request to connecting the Snowflake sync"/>
    <n v="138"/>
    <d v="2023-12-03T03:01:36"/>
    <b v="0"/>
    <n v="5"/>
  </r>
  <r>
    <s v="TK61005"/>
    <d v="2023-12-02T14:55:00"/>
    <s v="in-app"/>
    <x v="2"/>
    <x v="1"/>
    <s v="Issue with webhook deliveries failing"/>
    <m/>
    <d v="2023-12-04T03:45:35"/>
    <b v="0"/>
    <m/>
  </r>
  <r>
    <s v="TK62925"/>
    <d v="2023-12-02T16:29:00"/>
    <s v="chat"/>
    <x v="1"/>
    <x v="1"/>
    <s v="Question about a refund for an annual plan"/>
    <n v="114"/>
    <d v="2023-12-03T22:07:51"/>
    <b v="0"/>
    <m/>
  </r>
  <r>
    <s v="TK61307"/>
    <d v="2023-12-02T22:40:00"/>
    <s v="chat"/>
    <x v="0"/>
    <x v="2"/>
    <s v="Request to webhook deliveries failing"/>
    <n v="9"/>
    <d v="2023-12-03T06:58:02"/>
    <b v="0"/>
    <m/>
  </r>
  <r>
    <s v="TK61211"/>
    <d v="2023-12-03T01:56:00"/>
    <s v="in-app"/>
    <x v="3"/>
    <x v="3"/>
    <s v="Cannot the API rate limit"/>
    <n v="140"/>
    <d v="2023-12-04T15:07:29"/>
    <b v="0"/>
    <n v="5"/>
  </r>
  <r>
    <s v="TK63171"/>
    <d v="2023-12-03T11:36:00"/>
    <s v="chat"/>
    <x v="1"/>
    <x v="2"/>
    <s v="Request to the dashboard loading slowly"/>
    <n v="34"/>
    <d v="2023-12-04T12:19:47"/>
    <b v="0"/>
    <n v="2"/>
  </r>
  <r>
    <s v="TK62016"/>
    <d v="2023-12-03T17:05:00"/>
    <s v="email"/>
    <x v="0"/>
    <x v="3"/>
    <s v="Request to the invoice for last month"/>
    <n v="197"/>
    <d v="2023-12-05T17:55:39"/>
    <b v="0"/>
    <n v="5"/>
  </r>
  <r>
    <s v="TK63756"/>
    <d v="2023-12-03T17:08:00"/>
    <s v="phone"/>
    <x v="0"/>
    <x v="3"/>
    <s v="Issue with two-factor authentication"/>
    <n v="164"/>
    <d v="2023-12-04T17:21:44"/>
    <b v="0"/>
    <n v="4"/>
  </r>
  <r>
    <s v="TK63908"/>
    <d v="2023-12-03T20:43:00"/>
    <s v="phone"/>
    <x v="3"/>
    <x v="2"/>
    <s v="How do I connecting the Snowflake sync"/>
    <n v="20"/>
    <d v="2023-12-04T07:58:37"/>
    <b v="0"/>
    <m/>
  </r>
  <r>
    <s v="TK60246"/>
    <d v="2023-12-03T21:58:00"/>
    <s v="email"/>
    <x v="3"/>
    <x v="1"/>
    <s v="How do I webhook deliveries failing"/>
    <n v="490"/>
    <d v="2023-12-04T12:48:05"/>
    <b v="0"/>
    <m/>
  </r>
  <r>
    <s v="TK61801"/>
    <d v="2023-12-04T00:43:00"/>
    <s v="chat"/>
    <x v="2"/>
    <x v="2"/>
    <s v="Question about the dashboard loading slowly"/>
    <n v="4"/>
    <d v="2023-12-04T09:00:42"/>
    <b v="0"/>
    <m/>
  </r>
  <r>
    <s v="TK63318"/>
    <d v="2023-12-04T05:00:00"/>
    <s v="chat"/>
    <x v="2"/>
    <x v="1"/>
    <s v="Issue with add a teammate"/>
    <n v="39"/>
    <d v="2023-12-07T04:10:38"/>
    <b v="1"/>
    <m/>
  </r>
  <r>
    <s v="TK62648"/>
    <d v="2023-12-04T05:45:00"/>
    <s v="phone"/>
    <x v="1"/>
    <x v="1"/>
    <s v="Issue with webhook deliveries failing"/>
    <n v="54"/>
    <d v="2023-12-15T15:52:26"/>
    <b v="0"/>
    <m/>
  </r>
  <r>
    <s v="TK63725"/>
    <d v="2023-12-04T07:55:00"/>
    <s v="phone"/>
    <x v="0"/>
    <x v="0"/>
    <s v="Unable to the dashboard loading slowly"/>
    <n v="22"/>
    <d v="2023-12-04T10:30:52"/>
    <b v="0"/>
    <m/>
  </r>
  <r>
    <s v="TK62272"/>
    <d v="2023-12-04T13:53:00"/>
    <s v="email"/>
    <x v="1"/>
    <x v="1"/>
    <s v="Error when the API rate limit"/>
    <n v="97"/>
    <d v="2023-12-11T08:11:05"/>
    <b v="0"/>
    <m/>
  </r>
  <r>
    <s v="TK63152"/>
    <d v="2023-12-04T15:15:00"/>
    <s v="in-app"/>
    <x v="1"/>
    <x v="1"/>
    <s v="Unable to downgrade my plan"/>
    <n v="41"/>
    <d v="2023-12-05T12:59:20"/>
    <b v="0"/>
    <n v="4"/>
  </r>
  <r>
    <s v="TK62100"/>
    <d v="2023-12-04T16:45:00"/>
    <s v="email"/>
    <x v="2"/>
    <x v="2"/>
    <s v="Unable to two-factor authentication"/>
    <n v="86"/>
    <d v="2023-12-04T19:09:17"/>
    <b v="0"/>
    <m/>
  </r>
  <r>
    <s v="TK62927"/>
    <d v="2023-12-04T20:33:00"/>
    <s v="in-app"/>
    <x v="1"/>
    <x v="1"/>
    <s v="How do I downgrade my plan"/>
    <n v="156"/>
    <d v="2023-12-05T21:26:04"/>
    <b v="0"/>
    <m/>
  </r>
  <r>
    <s v="TK62053"/>
    <d v="2023-12-04T21:35:00"/>
    <s v="chat"/>
    <x v="2"/>
    <x v="0"/>
    <s v="How do I the invoice for last month"/>
    <n v="240"/>
    <d v="2023-12-04T23:24:14"/>
    <b v="0"/>
    <m/>
  </r>
  <r>
    <s v="TK61387"/>
    <d v="2023-12-05T00:04:00"/>
    <s v="chat"/>
    <x v="1"/>
    <x v="1"/>
    <s v="Cannot add a teammate"/>
    <n v="375"/>
    <d v="2023-12-10T03:31:25"/>
    <b v="0"/>
    <n v="3"/>
  </r>
  <r>
    <s v="TK61108"/>
    <d v="2023-12-05T00:55:00"/>
    <s v="email"/>
    <x v="1"/>
    <x v="1"/>
    <s v="Cannot connecting the Snowflake sync"/>
    <n v="113"/>
    <d v="2023-12-06T02:26:28"/>
    <b v="0"/>
    <m/>
  </r>
  <r>
    <s v="TK62623"/>
    <d v="2023-12-05T02:02:00"/>
    <s v="chat"/>
    <x v="1"/>
    <x v="2"/>
    <s v="Cannot webhook deliveries failing"/>
    <n v="22"/>
    <d v="2023-12-05T12:10:12"/>
    <b v="1"/>
    <n v="3"/>
  </r>
  <r>
    <s v="TK63862"/>
    <d v="2023-12-05T02:06:00"/>
    <s v="phone"/>
    <x v="0"/>
    <x v="1"/>
    <s v="Question about downgrade my plan"/>
    <n v="193"/>
    <d v="2023-12-09T20:24:58"/>
    <b v="1"/>
    <m/>
  </r>
  <r>
    <s v="TK60452"/>
    <d v="2023-12-05T07:19:00"/>
    <s v="chat"/>
    <x v="4"/>
    <x v="0"/>
    <s v="Cannot a duplicate charge"/>
    <n v="29"/>
    <d v="2023-12-05T09:42:43"/>
    <b v="0"/>
    <m/>
  </r>
  <r>
    <s v="TK63010"/>
    <d v="2023-12-05T13:14:00"/>
    <s v="chat"/>
    <x v="2"/>
    <x v="3"/>
    <s v="Question about the invoice for last month"/>
    <n v="574"/>
    <d v="2023-12-23T08:33:58"/>
    <b v="0"/>
    <m/>
  </r>
  <r>
    <s v="TK60583"/>
    <d v="2023-12-05T17:36:00"/>
    <s v="chat"/>
    <x v="2"/>
    <x v="0"/>
    <s v="How do I two-factor authentication"/>
    <n v="25"/>
    <d v="2023-12-06T02:16:33"/>
    <b v="0"/>
    <n v="4"/>
  </r>
  <r>
    <s v="TK60836"/>
    <d v="2023-12-05T19:01:00"/>
    <s v="email"/>
    <x v="1"/>
    <x v="1"/>
    <s v="How do I two-factor authentication"/>
    <m/>
    <d v="2023-12-07T04:40:03"/>
    <b v="0"/>
    <m/>
  </r>
  <r>
    <s v="TK62352"/>
    <d v="2023-12-05T19:17:00"/>
    <s v="in-app"/>
    <x v="4"/>
    <x v="2"/>
    <s v="Question about the API rate limit"/>
    <n v="10"/>
    <d v="2023-12-05T22:19:30"/>
    <b v="0"/>
    <m/>
  </r>
  <r>
    <s v="TK63239"/>
    <d v="2023-12-05T21:47:00"/>
    <s v="in-app"/>
    <x v="1"/>
    <x v="1"/>
    <s v="Request to downgrade my plan"/>
    <n v="81"/>
    <m/>
    <b v="0"/>
    <m/>
  </r>
  <r>
    <s v="TK63166"/>
    <d v="2023-12-06T03:26:00"/>
    <s v="chat"/>
    <x v="2"/>
    <x v="2"/>
    <s v="How do I connecting the Snowflake sync"/>
    <n v="43"/>
    <d v="2023-12-06T05:21:57"/>
    <b v="0"/>
    <m/>
  </r>
  <r>
    <s v="TK62732"/>
    <d v="2023-12-06T06:07:00"/>
    <s v="chat"/>
    <x v="3"/>
    <x v="3"/>
    <s v="How do I webhook deliveries failing"/>
    <n v="109"/>
    <d v="2023-12-07T07:55:58"/>
    <b v="0"/>
    <m/>
  </r>
  <r>
    <s v="TK63426"/>
    <d v="2023-12-06T08:25:00"/>
    <s v="chat"/>
    <x v="2"/>
    <x v="1"/>
    <s v="Unable to export my data"/>
    <n v="360"/>
    <d v="2023-12-15T13:49:04"/>
    <b v="0"/>
    <m/>
  </r>
  <r>
    <s v="TK63944"/>
    <d v="2023-12-06T09:00:00"/>
    <s v="in-app"/>
    <x v="2"/>
    <x v="1"/>
    <s v="Request to connecting the Snowflake sync"/>
    <n v="1099"/>
    <d v="2023-12-06T15:51:34"/>
    <b v="0"/>
    <m/>
  </r>
  <r>
    <s v="TK60757"/>
    <d v="2023-12-06T10:34:00"/>
    <s v="in-app"/>
    <x v="1"/>
    <x v="3"/>
    <s v="Cannot the invoice for last month"/>
    <n v="203"/>
    <d v="2023-12-08T15:24:25"/>
    <b v="0"/>
    <n v="3"/>
  </r>
  <r>
    <s v="TK61747"/>
    <d v="2023-12-06T11:41:00"/>
    <s v="chat"/>
    <x v="0"/>
    <x v="3"/>
    <s v="Request to connecting the Snowflake sync"/>
    <n v="48"/>
    <d v="2023-12-22T16:21:37"/>
    <b v="0"/>
    <n v="4"/>
  </r>
  <r>
    <s v="TK60749"/>
    <d v="2023-12-06T12:04:00"/>
    <s v="phone"/>
    <x v="1"/>
    <x v="0"/>
    <s v="Error when webhook deliveries failing"/>
    <n v="19"/>
    <d v="2023-12-06T20:40:24"/>
    <b v="0"/>
    <m/>
  </r>
  <r>
    <s v="TK61464"/>
    <d v="2023-12-06T16:28:00"/>
    <s v="chat"/>
    <x v="2"/>
    <x v="1"/>
    <s v="Cannot webhook deliveries failing"/>
    <n v="196"/>
    <d v="2023-12-07T02:52:50"/>
    <b v="0"/>
    <m/>
  </r>
  <r>
    <s v="TK62327"/>
    <d v="2023-12-06T17:12:00"/>
    <s v="chat"/>
    <x v="0"/>
    <x v="1"/>
    <s v="How do I connecting the Snowflake sync"/>
    <n v="25"/>
    <d v="2023-12-07T03:27:18"/>
    <b v="0"/>
    <n v="1"/>
  </r>
  <r>
    <s v="TK63366"/>
    <d v="2023-12-06T20:42:00"/>
    <s v="email"/>
    <x v="4"/>
    <x v="1"/>
    <s v="Request to two-factor authentication"/>
    <n v="58"/>
    <d v="2023-12-07T18:25:26"/>
    <b v="0"/>
    <n v="5"/>
  </r>
  <r>
    <s v="TK60732"/>
    <d v="2023-12-07T10:40:00"/>
    <s v="in-app"/>
    <x v="3"/>
    <x v="3"/>
    <s v="Request to the invoice for last month"/>
    <n v="237"/>
    <d v="2023-12-09T03:52:14"/>
    <b v="0"/>
    <m/>
  </r>
  <r>
    <s v="TK60416"/>
    <d v="2023-12-07T14:07:00"/>
    <s v="chat"/>
    <x v="4"/>
    <x v="0"/>
    <s v="Error when log in after password reset"/>
    <n v="64"/>
    <d v="2023-12-07T16:35:52"/>
    <b v="0"/>
    <m/>
  </r>
  <r>
    <s v="TK61868"/>
    <d v="2023-12-07T15:03:00"/>
    <s v="email"/>
    <x v="1"/>
    <x v="1"/>
    <s v="Unable to export my data"/>
    <n v="56"/>
    <d v="2023-12-08T06:04:54"/>
    <b v="0"/>
    <m/>
  </r>
  <r>
    <s v="TK62103"/>
    <d v="2023-12-07T20:21:00"/>
    <s v="chat"/>
    <x v="2"/>
    <x v="1"/>
    <s v="Error when the dashboard loading slowly"/>
    <n v="160"/>
    <d v="2023-12-08T11:24:01"/>
    <b v="0"/>
    <n v="4"/>
  </r>
  <r>
    <s v="TK62499"/>
    <d v="2023-12-07T21:28:00"/>
    <s v="in-app"/>
    <x v="4"/>
    <x v="1"/>
    <s v="Unable to downgrade my plan"/>
    <n v="20"/>
    <d v="2023-12-09T02:41:38"/>
    <b v="0"/>
    <m/>
  </r>
  <r>
    <s v="TK62658"/>
    <d v="2023-12-08T00:24:00"/>
    <s v="email"/>
    <x v="1"/>
    <x v="3"/>
    <s v="Unable to webhook deliveries failing"/>
    <n v="51"/>
    <d v="2023-12-22T22:09:32"/>
    <b v="0"/>
    <m/>
  </r>
  <r>
    <s v="TK62731"/>
    <d v="2023-12-08T03:32:00"/>
    <s v="in-app"/>
    <x v="1"/>
    <x v="3"/>
    <s v="How do I a refund for an annual plan"/>
    <n v="207"/>
    <d v="2023-12-21T14:08:59"/>
    <b v="0"/>
    <m/>
  </r>
  <r>
    <s v="TK63120"/>
    <d v="2023-12-08T03:38:00"/>
    <s v="in-app"/>
    <x v="0"/>
    <x v="3"/>
    <s v="Cannot the API rate limit"/>
    <n v="177"/>
    <d v="2023-12-09T00:47:43"/>
    <b v="0"/>
    <n v="5"/>
  </r>
  <r>
    <s v="TK61647"/>
    <d v="2023-12-08T06:51:00"/>
    <s v="email"/>
    <x v="1"/>
    <x v="1"/>
    <s v="Question about connecting the Snowflake sync"/>
    <n v="37"/>
    <d v="2023-12-12T15:09:42"/>
    <b v="1"/>
    <n v="2"/>
  </r>
  <r>
    <s v="TK60490"/>
    <d v="2023-12-08T13:21:00"/>
    <s v="in-app"/>
    <x v="0"/>
    <x v="2"/>
    <s v="Question about add a teammate"/>
    <n v="4"/>
    <d v="2023-12-08T18:18:35"/>
    <b v="0"/>
    <m/>
  </r>
  <r>
    <s v="TK62953"/>
    <d v="2023-12-08T14:30:00"/>
    <s v="in-app"/>
    <x v="2"/>
    <x v="0"/>
    <s v="How do I two-factor authentication"/>
    <n v="163"/>
    <d v="2023-12-08T21:35:56"/>
    <b v="0"/>
    <n v="2"/>
  </r>
  <r>
    <s v="TK60172"/>
    <d v="2023-12-08T19:27:00"/>
    <s v="email"/>
    <x v="4"/>
    <x v="1"/>
    <s v="Error when downgrade my plan"/>
    <n v="32"/>
    <d v="2023-12-14T06:56:53"/>
    <b v="0"/>
    <m/>
  </r>
  <r>
    <s v="TK62167"/>
    <d v="2023-12-09T07:40:00"/>
    <s v="email"/>
    <x v="4"/>
    <x v="1"/>
    <s v="Cannot downgrade my plan"/>
    <n v="452"/>
    <d v="2023-12-12T02:33:52"/>
    <b v="0"/>
    <m/>
  </r>
  <r>
    <s v="TK61041"/>
    <d v="2023-12-09T08:42:00"/>
    <s v="in-app"/>
    <x v="1"/>
    <x v="1"/>
    <s v="Unable to add a teammate"/>
    <n v="73"/>
    <d v="2023-12-11T12:31:19"/>
    <b v="0"/>
    <n v="3"/>
  </r>
  <r>
    <s v="TK60965"/>
    <d v="2023-12-09T10:41:00"/>
    <s v="chat"/>
    <x v="1"/>
    <x v="1"/>
    <s v="Request to the invoice for last month"/>
    <n v="296"/>
    <d v="2023-12-12T08:23:20"/>
    <b v="0"/>
    <n v="4"/>
  </r>
  <r>
    <s v="TK61930"/>
    <d v="2023-12-09T12:23:00"/>
    <s v="email"/>
    <x v="2"/>
    <x v="2"/>
    <s v="Error when log in after password reset"/>
    <m/>
    <d v="2023-12-09T14:57:15"/>
    <b v="0"/>
    <n v="5"/>
  </r>
  <r>
    <s v="TK61577"/>
    <d v="2023-12-09T12:31:00"/>
    <s v="email"/>
    <x v="0"/>
    <x v="0"/>
    <s v="How do I two-factor authentication"/>
    <n v="56"/>
    <d v="2023-12-09T20:37:29"/>
    <b v="0"/>
    <n v="1"/>
  </r>
  <r>
    <s v="TK62371"/>
    <d v="2023-12-09T12:46:00"/>
    <s v="chat"/>
    <x v="3"/>
    <x v="3"/>
    <s v="Error when log in after password reset"/>
    <n v="765"/>
    <m/>
    <b v="0"/>
    <m/>
  </r>
  <r>
    <s v="TK62363"/>
    <d v="2023-12-09T13:50:00"/>
    <s v="chat"/>
    <x v="1"/>
    <x v="2"/>
    <s v="Error when export my data"/>
    <n v="30"/>
    <d v="2023-12-10T03:24:09"/>
    <b v="0"/>
    <m/>
  </r>
  <r>
    <s v="TK61554"/>
    <d v="2023-12-09T13:56:00"/>
    <s v="email"/>
    <x v="1"/>
    <x v="0"/>
    <s v="Question about webhook deliveries failing"/>
    <n v="173"/>
    <d v="2023-12-17T15:26:24"/>
    <b v="0"/>
    <m/>
  </r>
  <r>
    <s v="TK61602"/>
    <d v="2023-12-09T16:05:00"/>
    <s v="in-app"/>
    <x v="2"/>
    <x v="3"/>
    <s v="Cannot a duplicate charge"/>
    <m/>
    <d v="2023-12-12T23:45:25"/>
    <b v="0"/>
    <m/>
  </r>
  <r>
    <s v="TK61851"/>
    <d v="2023-12-09T17:07:00"/>
    <s v="email"/>
    <x v="0"/>
    <x v="1"/>
    <s v="Question about the API rate limit"/>
    <n v="48"/>
    <d v="2023-12-17T09:46:10"/>
    <b v="0"/>
    <m/>
  </r>
  <r>
    <s v="TK61329"/>
    <d v="2023-12-09T17:23:00"/>
    <s v="in-app"/>
    <x v="2"/>
    <x v="1"/>
    <s v="Unable to log in after password reset"/>
    <n v="582"/>
    <d v="2023-12-13T14:50:45"/>
    <b v="0"/>
    <m/>
  </r>
  <r>
    <s v="TK63114"/>
    <d v="2023-12-09T19:39:00"/>
    <s v="in-app"/>
    <x v="2"/>
    <x v="3"/>
    <s v="Unable to the API rate limit"/>
    <n v="78"/>
    <d v="2023-12-10T00:41:36"/>
    <b v="0"/>
    <m/>
  </r>
  <r>
    <s v="TK62947"/>
    <d v="2023-12-09T21:13:00"/>
    <s v="phone"/>
    <x v="4"/>
    <x v="1"/>
    <s v="Cannot connecting the Snowflake sync"/>
    <n v="129"/>
    <d v="2023-12-12T23:26:43"/>
    <b v="0"/>
    <n v="4"/>
  </r>
  <r>
    <s v="TK61219"/>
    <d v="2023-12-09T22:10:00"/>
    <s v="in-app"/>
    <x v="2"/>
    <x v="1"/>
    <s v="Cannot webhook deliveries failing"/>
    <n v="64"/>
    <d v="2023-12-10T19:19:11"/>
    <b v="0"/>
    <m/>
  </r>
  <r>
    <s v="TK61238"/>
    <d v="2023-12-10T02:03:00"/>
    <s v="email"/>
    <x v="3"/>
    <x v="0"/>
    <s v="Issue with two-factor authentication"/>
    <n v="52"/>
    <d v="2023-12-11T09:00:01"/>
    <b v="0"/>
    <m/>
  </r>
  <r>
    <s v="TK62265"/>
    <d v="2023-12-10T02:17:00"/>
    <s v="email"/>
    <x v="1"/>
    <x v="0"/>
    <s v="Issue with log in after password reset"/>
    <n v="53"/>
    <d v="2023-12-10T09:47:26"/>
    <b v="0"/>
    <n v="4"/>
  </r>
  <r>
    <s v="TK62729"/>
    <d v="2023-12-10T02:30:00"/>
    <s v="chat"/>
    <x v="2"/>
    <x v="1"/>
    <s v="Cannot the dashboard loading slowly"/>
    <n v="120"/>
    <d v="2023-12-12T02:05:27"/>
    <b v="0"/>
    <n v="5"/>
  </r>
  <r>
    <s v="TK63324"/>
    <d v="2023-12-10T03:09:00"/>
    <s v="email"/>
    <x v="4"/>
    <x v="1"/>
    <s v="Cannot the dashboard loading slowly"/>
    <n v="168"/>
    <d v="2023-12-10T17:18:20"/>
    <b v="0"/>
    <m/>
  </r>
  <r>
    <s v="TK61773"/>
    <d v="2023-12-10T04:11:00"/>
    <s v="in-app"/>
    <x v="2"/>
    <x v="0"/>
    <s v="Error when the API rate limit"/>
    <n v="30"/>
    <d v="2023-12-10T15:57:29"/>
    <b v="0"/>
    <m/>
  </r>
  <r>
    <s v="TK62372"/>
    <d v="2023-12-10T07:48:00"/>
    <s v="phone"/>
    <x v="2"/>
    <x v="1"/>
    <s v="Cannot the invoice for last month"/>
    <n v="68"/>
    <d v="2023-12-10T14:11:18"/>
    <b v="1"/>
    <m/>
  </r>
  <r>
    <s v="TK61738"/>
    <d v="2023-12-10T09:40:00"/>
    <s v="chat"/>
    <x v="1"/>
    <x v="1"/>
    <s v="Unable to a refund for an annual plan"/>
    <n v="33"/>
    <d v="2023-12-12T23:13:38"/>
    <b v="0"/>
    <n v="2"/>
  </r>
  <r>
    <s v="TK61826"/>
    <d v="2023-12-10T11:08:00"/>
    <s v="email"/>
    <x v="2"/>
    <x v="0"/>
    <s v="Error when the invoice for last month"/>
    <n v="77"/>
    <d v="2023-12-11T17:22:08"/>
    <b v="0"/>
    <n v="3"/>
  </r>
  <r>
    <s v="TK61248"/>
    <d v="2023-12-10T11:17:00"/>
    <s v="in-app"/>
    <x v="2"/>
    <x v="1"/>
    <s v="Request to export my data"/>
    <m/>
    <d v="2023-12-10T20:36:36"/>
    <b v="0"/>
    <n v="4"/>
  </r>
  <r>
    <s v="TK61907"/>
    <d v="2023-12-10T12:44:00"/>
    <s v="phone"/>
    <x v="1"/>
    <x v="1"/>
    <s v="Unable to the invoice for last month"/>
    <n v="56"/>
    <d v="2023-12-11T06:28:57"/>
    <b v="0"/>
    <m/>
  </r>
  <r>
    <s v="TK63036"/>
    <d v="2023-12-10T14:55:00"/>
    <s v="email"/>
    <x v="1"/>
    <x v="1"/>
    <s v="How do I add a teammate"/>
    <n v="67"/>
    <d v="2023-12-11T02:45:27"/>
    <b v="0"/>
    <n v="3"/>
  </r>
  <r>
    <s v="TK62441"/>
    <d v="2023-12-10T16:36:00"/>
    <s v="email"/>
    <x v="1"/>
    <x v="1"/>
    <s v="Issue with the API rate limit"/>
    <n v="497"/>
    <d v="2023-12-16T09:59:40"/>
    <b v="0"/>
    <n v="5"/>
  </r>
  <r>
    <s v="TK62295"/>
    <d v="2023-12-10T17:33:00"/>
    <s v="email"/>
    <x v="4"/>
    <x v="1"/>
    <s v="Question about webhook deliveries failing"/>
    <m/>
    <d v="2023-12-11T16:57:00"/>
    <b v="0"/>
    <m/>
  </r>
  <r>
    <s v="TK63769"/>
    <d v="2023-12-10T19:56:00"/>
    <s v="chat"/>
    <x v="0"/>
    <x v="1"/>
    <s v="Question about export my data"/>
    <n v="139"/>
    <d v="2023-12-12T05:31:12"/>
    <b v="0"/>
    <m/>
  </r>
  <r>
    <s v="TK60213"/>
    <d v="2023-12-10T20:27:00"/>
    <s v="phone"/>
    <x v="2"/>
    <x v="1"/>
    <s v="Cannot the dashboard loading slowly"/>
    <n v="182"/>
    <d v="2023-12-13T04:52:46"/>
    <b v="0"/>
    <m/>
  </r>
  <r>
    <s v="TK63116"/>
    <d v="2023-12-10T20:41:00"/>
    <s v="email"/>
    <x v="0"/>
    <x v="0"/>
    <s v="Cannot log in after password reset"/>
    <n v="17"/>
    <d v="2023-12-11T00:10:27"/>
    <b v="0"/>
    <n v="4"/>
  </r>
  <r>
    <s v="TK60244"/>
    <d v="2023-12-10T21:10:00"/>
    <s v="chat"/>
    <x v="2"/>
    <x v="1"/>
    <s v="Cannot add a teammate"/>
    <n v="304"/>
    <d v="2023-12-11T08:20:45"/>
    <b v="0"/>
    <m/>
  </r>
  <r>
    <s v="TK61880"/>
    <d v="2023-12-11T03:50:00"/>
    <s v="chat"/>
    <x v="1"/>
    <x v="1"/>
    <s v="Request to the invoice for last month"/>
    <n v="202"/>
    <d v="2023-12-15T01:56:46"/>
    <b v="0"/>
    <n v="4"/>
  </r>
  <r>
    <s v="TK61646"/>
    <d v="2023-12-11T06:21:00"/>
    <s v="email"/>
    <x v="2"/>
    <x v="0"/>
    <s v="Request to export my data"/>
    <n v="12"/>
    <d v="2023-12-11T09:13:40"/>
    <b v="0"/>
    <n v="5"/>
  </r>
  <r>
    <s v="TK62281"/>
    <d v="2023-12-11T06:57:00"/>
    <s v="chat"/>
    <x v="4"/>
    <x v="3"/>
    <s v="Unable to export my data"/>
    <n v="19"/>
    <d v="2023-12-12T22:59:31"/>
    <b v="0"/>
    <n v="5"/>
  </r>
  <r>
    <s v="TK60676"/>
    <d v="2023-12-11T08:22:00"/>
    <s v="email"/>
    <x v="1"/>
    <x v="2"/>
    <s v="Error when the invoice for last month"/>
    <n v="21"/>
    <d v="2023-12-13T04:38:45"/>
    <b v="0"/>
    <m/>
  </r>
  <r>
    <s v="TK60294"/>
    <d v="2023-12-11T11:07:00"/>
    <s v="email"/>
    <x v="0"/>
    <x v="3"/>
    <s v="How do I connecting the Snowflake sync"/>
    <n v="671"/>
    <d v="2023-12-12T09:25:48"/>
    <b v="0"/>
    <n v="5"/>
  </r>
  <r>
    <s v="TK60694"/>
    <d v="2023-12-11T14:50:00"/>
    <s v="in-app"/>
    <x v="2"/>
    <x v="0"/>
    <s v="Request to webhook deliveries failing"/>
    <n v="29"/>
    <d v="2023-12-11T23:08:27"/>
    <b v="0"/>
    <m/>
  </r>
  <r>
    <s v="TK60384"/>
    <d v="2023-12-11T15:36:00"/>
    <s v="email"/>
    <x v="1"/>
    <x v="0"/>
    <s v="Unable to webhook deliveries failing"/>
    <n v="44"/>
    <d v="2023-12-12T08:52:05"/>
    <b v="0"/>
    <m/>
  </r>
  <r>
    <s v="TK63873"/>
    <d v="2023-12-11T16:32:00"/>
    <s v="email"/>
    <x v="0"/>
    <x v="2"/>
    <s v="Cannot the API rate limit"/>
    <n v="14"/>
    <d v="2023-12-11T20:56:59"/>
    <b v="0"/>
    <m/>
  </r>
  <r>
    <s v="TK60529"/>
    <d v="2023-12-11T19:07:00"/>
    <s v="phone"/>
    <x v="4"/>
    <x v="1"/>
    <s v="Unable to downgrade my plan"/>
    <n v="36"/>
    <d v="2023-12-12T07:50:39"/>
    <b v="0"/>
    <n v="4"/>
  </r>
  <r>
    <s v="TK61182"/>
    <d v="2023-12-11T19:59:00"/>
    <s v="chat"/>
    <x v="2"/>
    <x v="3"/>
    <s v="Issue with downgrade my plan"/>
    <n v="113"/>
    <d v="2023-12-12T01:13:21"/>
    <b v="0"/>
    <m/>
  </r>
  <r>
    <s v="TK62419"/>
    <d v="2023-12-12T00:53:00"/>
    <s v="email"/>
    <x v="2"/>
    <x v="3"/>
    <s v="Error when the dashboard loading slowly"/>
    <n v="188"/>
    <d v="2023-12-13T20:57:51"/>
    <b v="1"/>
    <m/>
  </r>
  <r>
    <s v="TK61487"/>
    <d v="2023-12-12T01:26:00"/>
    <s v="chat"/>
    <x v="2"/>
    <x v="0"/>
    <s v="How do I downgrade my plan"/>
    <n v="34"/>
    <d v="2023-12-12T06:14:38"/>
    <b v="0"/>
    <n v="5"/>
  </r>
  <r>
    <s v="TK63874"/>
    <d v="2023-12-12T06:16:00"/>
    <s v="email"/>
    <x v="0"/>
    <x v="1"/>
    <s v="Issue with export my data"/>
    <n v="12"/>
    <d v="2023-12-13T16:57:32"/>
    <b v="1"/>
    <m/>
  </r>
  <r>
    <s v="TK61971"/>
    <d v="2023-12-12T10:35:00"/>
    <s v="chat"/>
    <x v="1"/>
    <x v="1"/>
    <s v="Error when the invoice for last month"/>
    <n v="619"/>
    <d v="2023-12-15T23:38:20"/>
    <b v="0"/>
    <m/>
  </r>
  <r>
    <s v="TK62987"/>
    <d v="2023-12-12T12:26:00"/>
    <s v="in-app"/>
    <x v="1"/>
    <x v="2"/>
    <s v="How do I downgrade my plan"/>
    <n v="6"/>
    <d v="2023-12-12T17:17:38"/>
    <b v="0"/>
    <m/>
  </r>
  <r>
    <s v="TK61906"/>
    <d v="2023-12-12T13:35:00"/>
    <s v="phone"/>
    <x v="1"/>
    <x v="0"/>
    <s v="How do I add a teammate"/>
    <n v="20"/>
    <d v="2023-12-14T20:00:19"/>
    <b v="0"/>
    <n v="5"/>
  </r>
  <r>
    <s v="TK60101"/>
    <d v="2023-12-12T14:06:00"/>
    <s v="email"/>
    <x v="1"/>
    <x v="3"/>
    <s v="Cannot the invoice for last month"/>
    <n v="78"/>
    <d v="2023-12-13T13:27:12"/>
    <b v="0"/>
    <n v="4"/>
  </r>
  <r>
    <s v="TK63984"/>
    <d v="2023-12-12T15:23:00"/>
    <s v="chat"/>
    <x v="1"/>
    <x v="3"/>
    <s v="Question about downgrade my plan"/>
    <n v="64"/>
    <d v="2023-12-15T13:12:28"/>
    <b v="0"/>
    <m/>
  </r>
  <r>
    <s v="TK61246"/>
    <d v="2023-12-12T20:34:00"/>
    <s v="email"/>
    <x v="4"/>
    <x v="1"/>
    <s v="How do I webhook deliveries failing"/>
    <n v="20"/>
    <d v="2023-12-13T06:31:34"/>
    <b v="0"/>
    <n v="5"/>
  </r>
  <r>
    <s v="TK62769"/>
    <d v="2023-12-12T21:04:00"/>
    <s v="phone"/>
    <x v="0"/>
    <x v="1"/>
    <s v="Request to webhook deliveries failing"/>
    <n v="569"/>
    <d v="2023-12-13T02:10:34"/>
    <b v="0"/>
    <m/>
  </r>
  <r>
    <s v="TK60464"/>
    <d v="2023-12-12T23:35:00"/>
    <s v="in-app"/>
    <x v="3"/>
    <x v="2"/>
    <s v="Question about webhook deliveries failing"/>
    <m/>
    <d v="2023-12-13T08:53:49"/>
    <b v="0"/>
    <m/>
  </r>
  <r>
    <s v="TK63167"/>
    <d v="2023-12-13T05:50:00"/>
    <s v="in-app"/>
    <x v="4"/>
    <x v="3"/>
    <s v="Question about connecting the Snowflake sync"/>
    <n v="30"/>
    <d v="2023-12-14T00:25:43"/>
    <b v="0"/>
    <m/>
  </r>
  <r>
    <s v="TK62335"/>
    <d v="2023-12-13T08:35:00"/>
    <s v="email"/>
    <x v="4"/>
    <x v="0"/>
    <s v="Issue with connecting the Snowflake sync"/>
    <n v="18"/>
    <d v="2023-12-13T11:10:06"/>
    <b v="1"/>
    <m/>
  </r>
  <r>
    <s v="TK60096"/>
    <d v="2023-12-13T10:13:00"/>
    <s v="in-app"/>
    <x v="1"/>
    <x v="0"/>
    <s v="Request to log in after password reset"/>
    <n v="27"/>
    <d v="2023-12-14T19:43:13"/>
    <b v="0"/>
    <m/>
  </r>
  <r>
    <s v="TK62398"/>
    <d v="2023-12-13T12:11:00"/>
    <s v="email"/>
    <x v="1"/>
    <x v="3"/>
    <s v="Error when a duplicate charge"/>
    <n v="299"/>
    <m/>
    <b v="0"/>
    <m/>
  </r>
  <r>
    <s v="TK61758"/>
    <d v="2023-12-13T12:17:00"/>
    <s v="chat"/>
    <x v="1"/>
    <x v="2"/>
    <s v="Issue with downgrade my plan"/>
    <n v="12"/>
    <d v="2023-12-14T02:16:49"/>
    <b v="0"/>
    <m/>
  </r>
  <r>
    <s v="TK62430"/>
    <d v="2023-12-13T17:51:00"/>
    <s v="email"/>
    <x v="2"/>
    <x v="1"/>
    <s v="Unable to log in after password reset"/>
    <n v="341"/>
    <d v="2023-12-21T00:05:07"/>
    <b v="0"/>
    <m/>
  </r>
  <r>
    <s v="TK61623"/>
    <d v="2023-12-13T21:45:00"/>
    <s v="in-app"/>
    <x v="3"/>
    <x v="3"/>
    <s v="Error when the API rate limit"/>
    <n v="124"/>
    <d v="2024-01-20T10:47:49"/>
    <b v="0"/>
    <m/>
  </r>
  <r>
    <s v="TK62130"/>
    <d v="2023-12-13T23:49:00"/>
    <s v="chat"/>
    <x v="3"/>
    <x v="3"/>
    <s v="Unable to a refund for an annual plan"/>
    <n v="92"/>
    <d v="2023-12-14T03:04:20"/>
    <b v="0"/>
    <m/>
  </r>
  <r>
    <s v="TK61378"/>
    <d v="2023-12-14T03:53:00"/>
    <s v="phone"/>
    <x v="2"/>
    <x v="1"/>
    <s v="Question about webhook deliveries failing"/>
    <n v="158"/>
    <d v="2023-12-15T05:11:28"/>
    <b v="1"/>
    <n v="5"/>
  </r>
  <r>
    <s v="TK62369"/>
    <d v="2023-12-14T14:12:00"/>
    <s v="in-app"/>
    <x v="0"/>
    <x v="1"/>
    <s v="Error when two-factor authentication"/>
    <n v="139"/>
    <d v="2023-12-14T17:35:47"/>
    <b v="0"/>
    <n v="2"/>
  </r>
  <r>
    <s v="TK60028"/>
    <d v="2023-12-14T18:03:00"/>
    <s v="phone"/>
    <x v="4"/>
    <x v="1"/>
    <s v="Issue with connecting the Snowflake sync"/>
    <n v="125"/>
    <d v="2023-12-17T06:03:51"/>
    <b v="0"/>
    <m/>
  </r>
  <r>
    <s v="TK62533"/>
    <d v="2023-12-14T18:53:00"/>
    <s v="email"/>
    <x v="4"/>
    <x v="3"/>
    <s v="Error when the API rate limit"/>
    <m/>
    <d v="2023-12-16T14:22:10"/>
    <b v="1"/>
    <m/>
  </r>
  <r>
    <s v="TK63029"/>
    <d v="2023-12-15T04:11:00"/>
    <s v="email"/>
    <x v="2"/>
    <x v="1"/>
    <s v="Issue with log in after password reset"/>
    <m/>
    <d v="2023-12-21T15:21:47"/>
    <b v="0"/>
    <m/>
  </r>
  <r>
    <s v="TK60815"/>
    <d v="2023-12-15T06:23:00"/>
    <s v="chat"/>
    <x v="4"/>
    <x v="0"/>
    <s v="Cannot log in after password reset"/>
    <n v="11"/>
    <d v="2023-12-16T01:54:02"/>
    <b v="0"/>
    <m/>
  </r>
  <r>
    <s v="TK60589"/>
    <d v="2023-12-15T11:01:00"/>
    <s v="phone"/>
    <x v="0"/>
    <x v="0"/>
    <s v="Error when the API rate limit"/>
    <n v="68"/>
    <d v="2023-12-16T17:48:50"/>
    <b v="0"/>
    <n v="4"/>
  </r>
  <r>
    <s v="TK61843"/>
    <d v="2023-12-15T13:37:00"/>
    <s v="in-app"/>
    <x v="2"/>
    <x v="3"/>
    <s v="Cannot a refund for an annual plan"/>
    <n v="264"/>
    <d v="2023-12-17T11:41:40"/>
    <b v="0"/>
    <m/>
  </r>
  <r>
    <s v="TK62182"/>
    <d v="2023-12-15T14:31:00"/>
    <s v="in-app"/>
    <x v="1"/>
    <x v="3"/>
    <s v="Request to the API rate limit"/>
    <n v="618"/>
    <d v="2023-12-19T11:14:22"/>
    <b v="0"/>
    <n v="4"/>
  </r>
  <r>
    <s v="TK63540"/>
    <d v="2023-12-15T17:25:00"/>
    <s v="chat"/>
    <x v="2"/>
    <x v="0"/>
    <s v="Request to the invoice for last month"/>
    <n v="71"/>
    <d v="2023-12-15T19:06:37"/>
    <b v="0"/>
    <m/>
  </r>
  <r>
    <s v="TK63758"/>
    <d v="2023-12-15T20:19:00"/>
    <s v="phone"/>
    <x v="1"/>
    <x v="2"/>
    <s v="Cannot connecting the Snowflake sync"/>
    <n v="10"/>
    <d v="2023-12-16T11:00:41"/>
    <b v="0"/>
    <n v="4"/>
  </r>
  <r>
    <s v="TK62956"/>
    <d v="2023-12-15T21:59:00"/>
    <s v="email"/>
    <x v="1"/>
    <x v="1"/>
    <s v="Question about webhook deliveries failing"/>
    <n v="51"/>
    <d v="2023-12-16T06:51:40"/>
    <b v="0"/>
    <m/>
  </r>
  <r>
    <s v="TK62698"/>
    <d v="2023-12-16T02:46:00"/>
    <s v="in-app"/>
    <x v="1"/>
    <x v="3"/>
    <s v="Cannot downgrade my plan"/>
    <n v="22"/>
    <d v="2023-12-21T14:54:34"/>
    <b v="0"/>
    <m/>
  </r>
  <r>
    <s v="TK60137"/>
    <d v="2023-12-16T11:06:00"/>
    <s v="phone"/>
    <x v="1"/>
    <x v="2"/>
    <s v="Unable to downgrade my plan"/>
    <n v="83"/>
    <d v="2023-12-16T14:57:41"/>
    <b v="0"/>
    <n v="3"/>
  </r>
  <r>
    <s v="TK61098"/>
    <d v="2023-12-16T13:20:00"/>
    <s v="email"/>
    <x v="2"/>
    <x v="1"/>
    <s v="Unable to downgrade my plan"/>
    <n v="183"/>
    <d v="2023-12-17T04:18:01"/>
    <b v="0"/>
    <n v="4"/>
  </r>
  <r>
    <s v="TK62971"/>
    <d v="2023-12-16T14:22:00"/>
    <s v="chat"/>
    <x v="0"/>
    <x v="1"/>
    <s v="Issue with add a teammate"/>
    <n v="69"/>
    <d v="2023-12-18T14:08:15"/>
    <b v="0"/>
    <m/>
  </r>
  <r>
    <s v="TK60038"/>
    <d v="2023-12-16T14:29:00"/>
    <s v="chat"/>
    <x v="2"/>
    <x v="1"/>
    <s v="Error when export my data"/>
    <n v="106"/>
    <d v="2023-12-16T20:24:04"/>
    <b v="0"/>
    <n v="4"/>
  </r>
  <r>
    <s v="TK63418"/>
    <d v="2023-12-16T14:57:00"/>
    <s v="email"/>
    <x v="2"/>
    <x v="3"/>
    <s v="Cannot a refund for an annual plan"/>
    <n v="115"/>
    <d v="2023-12-18T21:29:05"/>
    <b v="0"/>
    <n v="5"/>
  </r>
  <r>
    <s v="TK61418"/>
    <d v="2023-12-16T14:58:00"/>
    <s v="chat"/>
    <x v="1"/>
    <x v="0"/>
    <s v="Question about the invoice for last month"/>
    <n v="20"/>
    <m/>
    <b v="0"/>
    <m/>
  </r>
  <r>
    <s v="TK63358"/>
    <d v="2023-12-16T15:02:00"/>
    <s v="in-app"/>
    <x v="2"/>
    <x v="1"/>
    <s v="Cannot downgrade my plan"/>
    <n v="94"/>
    <d v="2023-12-22T11:35:51"/>
    <b v="0"/>
    <n v="5"/>
  </r>
  <r>
    <s v="TK62512"/>
    <d v="2023-12-16T15:07:00"/>
    <s v="email"/>
    <x v="2"/>
    <x v="3"/>
    <s v="Request to downgrade my plan"/>
    <n v="139"/>
    <d v="2023-12-18T07:27:45"/>
    <b v="0"/>
    <m/>
  </r>
  <r>
    <s v="TK63027"/>
    <d v="2023-12-16T17:38:00"/>
    <s v="chat"/>
    <x v="2"/>
    <x v="1"/>
    <s v="Cannot export my data"/>
    <n v="18"/>
    <d v="2023-12-17T18:56:03"/>
    <b v="0"/>
    <n v="4"/>
  </r>
  <r>
    <s v="TK61384"/>
    <d v="2023-12-16T18:40:00"/>
    <s v="email"/>
    <x v="1"/>
    <x v="0"/>
    <s v="Question about two-factor authentication"/>
    <n v="139"/>
    <d v="2023-12-20T04:51:08"/>
    <b v="0"/>
    <m/>
  </r>
  <r>
    <s v="TK62862"/>
    <d v="2023-12-16T19:26:00"/>
    <s v="email"/>
    <x v="1"/>
    <x v="1"/>
    <s v="Question about log in after password reset"/>
    <n v="193"/>
    <d v="2023-12-18T12:12:28"/>
    <b v="0"/>
    <m/>
  </r>
  <r>
    <s v="TK61529"/>
    <d v="2023-12-16T19:53:00"/>
    <s v="chat"/>
    <x v="2"/>
    <x v="3"/>
    <s v="Issue with two-factor authentication"/>
    <n v="1123"/>
    <d v="2023-12-17T16:05:11"/>
    <b v="0"/>
    <n v="4"/>
  </r>
  <r>
    <s v="TK62715"/>
    <d v="2023-12-16T20:59:00"/>
    <s v="chat"/>
    <x v="2"/>
    <x v="3"/>
    <s v="Unable to webhook deliveries failing"/>
    <n v="65"/>
    <m/>
    <b v="0"/>
    <m/>
  </r>
  <r>
    <s v="TK61661"/>
    <d v="2023-12-17T10:46:00"/>
    <s v="chat"/>
    <x v="4"/>
    <x v="0"/>
    <s v="Request to two-factor authentication"/>
    <n v="72"/>
    <d v="2023-12-19T01:09:16"/>
    <b v="0"/>
    <m/>
  </r>
  <r>
    <s v="TK63514"/>
    <d v="2023-12-17T16:34:00"/>
    <s v="email"/>
    <x v="1"/>
    <x v="3"/>
    <s v="Error when downgrade my plan"/>
    <n v="302"/>
    <d v="2023-12-19T01:04:37"/>
    <b v="1"/>
    <m/>
  </r>
  <r>
    <s v="TK63054"/>
    <d v="2023-12-17T16:56:00"/>
    <s v="in-app"/>
    <x v="3"/>
    <x v="2"/>
    <s v="Unable to export my data"/>
    <n v="10"/>
    <m/>
    <b v="0"/>
    <m/>
  </r>
  <r>
    <s v="TK61912"/>
    <d v="2023-12-17T19:56:00"/>
    <s v="chat"/>
    <x v="0"/>
    <x v="1"/>
    <s v="Issue with a refund for an annual plan"/>
    <n v="457"/>
    <d v="2023-12-20T12:11:28"/>
    <b v="0"/>
    <n v="4"/>
  </r>
  <r>
    <s v="TK63723"/>
    <d v="2023-12-17T22:36:00"/>
    <s v="in-app"/>
    <x v="2"/>
    <x v="1"/>
    <s v="Cannot a duplicate charge"/>
    <n v="124"/>
    <d v="2023-12-18T08:27:11"/>
    <b v="0"/>
    <m/>
  </r>
  <r>
    <s v="TK61838"/>
    <d v="2023-12-18T00:41:00"/>
    <s v="phone"/>
    <x v="2"/>
    <x v="3"/>
    <s v="Unable to connecting the Snowflake sync"/>
    <n v="226"/>
    <d v="2023-12-21T23:59:30"/>
    <b v="0"/>
    <n v="5"/>
  </r>
  <r>
    <s v="TK61357"/>
    <d v="2023-12-18T02:44:00"/>
    <s v="chat"/>
    <x v="1"/>
    <x v="1"/>
    <s v="Issue with export my data"/>
    <n v="125"/>
    <d v="2023-12-20T09:34:31"/>
    <b v="0"/>
    <m/>
  </r>
  <r>
    <s v="TK60971"/>
    <d v="2023-12-18T04:42:00"/>
    <s v="chat"/>
    <x v="3"/>
    <x v="0"/>
    <s v="Issue with two-factor authentication"/>
    <n v="93"/>
    <d v="2023-12-18T07:41:21"/>
    <b v="1"/>
    <m/>
  </r>
  <r>
    <s v="TK61893"/>
    <d v="2023-12-18T12:38:00"/>
    <s v="phone"/>
    <x v="0"/>
    <x v="1"/>
    <s v="Error when the API rate limit"/>
    <n v="90"/>
    <d v="2023-12-18T17:36:00"/>
    <b v="0"/>
    <n v="4"/>
  </r>
  <r>
    <s v="TK61371"/>
    <d v="2023-12-18T12:44:00"/>
    <s v="chat"/>
    <x v="0"/>
    <x v="1"/>
    <s v="Unable to downgrade my plan"/>
    <n v="97"/>
    <d v="2023-12-21T21:13:43"/>
    <b v="0"/>
    <m/>
  </r>
  <r>
    <s v="TK61925"/>
    <d v="2023-12-18T23:53:00"/>
    <s v="phone"/>
    <x v="2"/>
    <x v="0"/>
    <s v="Cannot a duplicate charge"/>
    <n v="44"/>
    <d v="2023-12-19T00:55:40"/>
    <b v="0"/>
    <m/>
  </r>
  <r>
    <s v="TK61894"/>
    <d v="2023-12-19T02:29:00"/>
    <s v="in-app"/>
    <x v="2"/>
    <x v="1"/>
    <s v="Issue with the invoice for last month"/>
    <m/>
    <d v="2023-12-19T10:34:08"/>
    <b v="0"/>
    <m/>
  </r>
  <r>
    <s v="TK60606"/>
    <d v="2023-12-19T03:18:00"/>
    <s v="email"/>
    <x v="4"/>
    <x v="0"/>
    <s v="Issue with the invoice for last month"/>
    <n v="15"/>
    <d v="2023-12-19T12:31:05"/>
    <b v="0"/>
    <m/>
  </r>
  <r>
    <s v="TK61892"/>
    <d v="2023-12-19T03:46:00"/>
    <s v="email"/>
    <x v="0"/>
    <x v="1"/>
    <s v="How do I the API rate limit"/>
    <n v="173"/>
    <d v="2023-12-19T12:41:45"/>
    <b v="0"/>
    <m/>
  </r>
  <r>
    <s v="TK62714"/>
    <d v="2023-12-19T04:12:00"/>
    <s v="email"/>
    <x v="1"/>
    <x v="3"/>
    <s v="How do I export my data"/>
    <n v="78"/>
    <m/>
    <b v="0"/>
    <m/>
  </r>
  <r>
    <s v="TK62504"/>
    <d v="2023-12-19T05:32:00"/>
    <s v="email"/>
    <x v="4"/>
    <x v="0"/>
    <s v="Issue with two-factor authentication"/>
    <n v="237"/>
    <d v="2023-12-19T06:50:48"/>
    <b v="0"/>
    <m/>
  </r>
  <r>
    <s v="TK62945"/>
    <d v="2023-12-19T05:46:00"/>
    <s v="chat"/>
    <x v="3"/>
    <x v="1"/>
    <s v="Question about the API rate limit"/>
    <n v="68"/>
    <d v="2023-12-20T23:08:20"/>
    <b v="0"/>
    <m/>
  </r>
  <r>
    <s v="TK60383"/>
    <d v="2023-12-19T10:06:00"/>
    <s v="in-app"/>
    <x v="1"/>
    <x v="3"/>
    <s v="Unable to export my data"/>
    <n v="245"/>
    <d v="2023-12-21T09:19:50"/>
    <b v="0"/>
    <m/>
  </r>
  <r>
    <s v="TK63658"/>
    <d v="2023-12-19T11:50:00"/>
    <s v="in-app"/>
    <x v="0"/>
    <x v="0"/>
    <s v="Question about the dashboard loading slowly"/>
    <n v="29"/>
    <d v="2023-12-19T17:10:44"/>
    <b v="0"/>
    <m/>
  </r>
  <r>
    <s v="TK62058"/>
    <d v="2023-12-19T14:03:00"/>
    <s v="chat"/>
    <x v="1"/>
    <x v="3"/>
    <s v="How do I the API rate limit"/>
    <n v="89"/>
    <d v="2023-12-22T18:25:21"/>
    <b v="0"/>
    <m/>
  </r>
  <r>
    <s v="TK60309"/>
    <d v="2023-12-19T18:02:00"/>
    <s v="email"/>
    <x v="4"/>
    <x v="0"/>
    <s v="Error when a refund for an annual plan"/>
    <n v="62"/>
    <d v="2023-12-21T08:49:55"/>
    <b v="0"/>
    <m/>
  </r>
  <r>
    <s v="TK62344"/>
    <d v="2023-12-19T21:16:00"/>
    <s v="chat"/>
    <x v="2"/>
    <x v="1"/>
    <s v="Unable to the API rate limit"/>
    <n v="84"/>
    <d v="2023-12-20T11:14:30"/>
    <b v="0"/>
    <m/>
  </r>
  <r>
    <s v="TK61545"/>
    <d v="2023-12-20T00:36:00"/>
    <s v="email"/>
    <x v="3"/>
    <x v="1"/>
    <s v="Error when a refund for an annual plan"/>
    <n v="94"/>
    <d v="2023-12-27T23:23:09"/>
    <b v="0"/>
    <m/>
  </r>
  <r>
    <s v="TK62627"/>
    <d v="2023-12-20T01:42:00"/>
    <s v="email"/>
    <x v="3"/>
    <x v="1"/>
    <s v="How do I webhook deliveries failing"/>
    <n v="125"/>
    <d v="2024-01-06T19:25:49"/>
    <b v="0"/>
    <m/>
  </r>
  <r>
    <s v="TK61933"/>
    <d v="2023-12-20T01:56:00"/>
    <s v="phone"/>
    <x v="2"/>
    <x v="1"/>
    <s v="Cannot connecting the Snowflake sync"/>
    <n v="55"/>
    <m/>
    <b v="0"/>
    <m/>
  </r>
  <r>
    <s v="TK63841"/>
    <d v="2023-12-20T03:52:00"/>
    <s v="email"/>
    <x v="3"/>
    <x v="1"/>
    <s v="Issue with export my data"/>
    <m/>
    <m/>
    <b v="0"/>
    <m/>
  </r>
  <r>
    <s v="TK61655"/>
    <d v="2023-12-20T12:13:00"/>
    <s v="in-app"/>
    <x v="4"/>
    <x v="0"/>
    <s v="Cannot downgrade my plan"/>
    <n v="52"/>
    <d v="2023-12-20T14:59:34"/>
    <b v="0"/>
    <m/>
  </r>
  <r>
    <s v="TK63939"/>
    <d v="2023-12-20T12:56:00"/>
    <s v="chat"/>
    <x v="4"/>
    <x v="3"/>
    <s v="Question about the invoice for last month"/>
    <n v="175"/>
    <d v="2023-12-22T07:57:27"/>
    <b v="0"/>
    <n v="4"/>
  </r>
  <r>
    <s v="TK63530"/>
    <d v="2023-12-20T17:22:00"/>
    <s v="email"/>
    <x v="1"/>
    <x v="1"/>
    <s v="Issue with a duplicate charge"/>
    <n v="79"/>
    <d v="2023-12-21T18:45:30"/>
    <b v="1"/>
    <n v="5"/>
  </r>
  <r>
    <s v="TK62169"/>
    <d v="2023-12-20T17:34:00"/>
    <s v="in-app"/>
    <x v="0"/>
    <x v="1"/>
    <s v="Question about connecting the Snowflake sync"/>
    <n v="153"/>
    <d v="2023-12-20T21:33:39"/>
    <b v="0"/>
    <m/>
  </r>
  <r>
    <s v="TK61781"/>
    <d v="2023-12-20T22:54:00"/>
    <s v="in-app"/>
    <x v="0"/>
    <x v="1"/>
    <s v="Error when two-factor authentication"/>
    <n v="71"/>
    <d v="2023-12-22T03:08:43"/>
    <b v="0"/>
    <m/>
  </r>
  <r>
    <s v="TK61143"/>
    <d v="2023-12-21T00:43:00"/>
    <s v="chat"/>
    <x v="4"/>
    <x v="3"/>
    <s v="Request to webhook deliveries failing"/>
    <n v="107"/>
    <d v="2023-12-27T07:39:10"/>
    <b v="0"/>
    <n v="3"/>
  </r>
  <r>
    <s v="TK60075"/>
    <d v="2023-12-21T00:49:00"/>
    <s v="chat"/>
    <x v="1"/>
    <x v="0"/>
    <s v="Issue with export my data"/>
    <n v="16"/>
    <d v="2023-12-22T21:26:48"/>
    <b v="0"/>
    <m/>
  </r>
  <r>
    <s v="TK60158"/>
    <d v="2023-12-21T01:53:00"/>
    <s v="in-app"/>
    <x v="2"/>
    <x v="0"/>
    <s v="Issue with connecting the Snowflake sync"/>
    <n v="33"/>
    <d v="2023-12-21T05:40:04"/>
    <b v="0"/>
    <m/>
  </r>
  <r>
    <s v="TK62358"/>
    <d v="2023-12-21T05:42:00"/>
    <s v="in-app"/>
    <x v="4"/>
    <x v="3"/>
    <s v="Unable to add a teammate"/>
    <n v="107"/>
    <d v="2023-12-21T18:43:44"/>
    <b v="0"/>
    <m/>
  </r>
  <r>
    <s v="TK61965"/>
    <d v="2023-12-21T06:36:00"/>
    <s v="in-app"/>
    <x v="1"/>
    <x v="1"/>
    <s v="Cannot export my data"/>
    <n v="70"/>
    <d v="2023-12-22T14:30:30"/>
    <b v="0"/>
    <m/>
  </r>
  <r>
    <s v="TK60130"/>
    <d v="2023-12-21T07:18:00"/>
    <s v="in-app"/>
    <x v="3"/>
    <x v="3"/>
    <s v="Unable to the API rate limit"/>
    <n v="61"/>
    <d v="2023-12-23T21:40:36"/>
    <b v="0"/>
    <m/>
  </r>
  <r>
    <s v="TK62600"/>
    <d v="2023-12-21T08:03:00"/>
    <s v="email"/>
    <x v="3"/>
    <x v="0"/>
    <s v="Cannot log in after password reset"/>
    <n v="95"/>
    <d v="2023-12-21T17:53:38"/>
    <b v="0"/>
    <m/>
  </r>
  <r>
    <s v="TK60428"/>
    <d v="2023-12-21T15:41:00"/>
    <s v="email"/>
    <x v="2"/>
    <x v="1"/>
    <s v="How do I a refund for an annual plan"/>
    <n v="102"/>
    <d v="2023-12-24T00:03:24"/>
    <b v="1"/>
    <m/>
  </r>
  <r>
    <s v="TK63989"/>
    <d v="2023-12-21T16:00:00"/>
    <s v="email"/>
    <x v="1"/>
    <x v="1"/>
    <s v="Error when a duplicate charge"/>
    <n v="21"/>
    <d v="2023-12-22T09:42:03"/>
    <b v="1"/>
    <n v="3"/>
  </r>
  <r>
    <s v="TK63103"/>
    <d v="2023-12-22T00:09:00"/>
    <s v="chat"/>
    <x v="1"/>
    <x v="0"/>
    <s v="Request to export my data"/>
    <n v="16"/>
    <d v="2023-12-22T03:26:04"/>
    <b v="0"/>
    <m/>
  </r>
  <r>
    <s v="TK60922"/>
    <d v="2023-12-22T02:32:00"/>
    <s v="chat"/>
    <x v="1"/>
    <x v="0"/>
    <s v="How do I two-factor authentication"/>
    <n v="69"/>
    <d v="2023-12-23T11:05:11"/>
    <b v="0"/>
    <n v="1"/>
  </r>
  <r>
    <s v="TK61455"/>
    <d v="2023-12-22T03:20:00"/>
    <s v="chat"/>
    <x v="2"/>
    <x v="1"/>
    <s v="How do I add a teammate"/>
    <n v="438"/>
    <d v="2023-12-22T08:52:31"/>
    <b v="0"/>
    <m/>
  </r>
  <r>
    <s v="TK60588"/>
    <d v="2023-12-22T03:58:00"/>
    <s v="email"/>
    <x v="1"/>
    <x v="0"/>
    <s v="Question about a refund for an annual plan"/>
    <n v="45"/>
    <d v="2023-12-22T09:38:08"/>
    <b v="0"/>
    <m/>
  </r>
  <r>
    <s v="TK61382"/>
    <d v="2023-12-22T04:49:00"/>
    <s v="email"/>
    <x v="4"/>
    <x v="1"/>
    <s v="Unable to connecting the Snowflake sync"/>
    <n v="171"/>
    <d v="2023-12-25T15:57:05"/>
    <b v="0"/>
    <m/>
  </r>
  <r>
    <s v="TK61681"/>
    <d v="2023-12-22T05:11:00"/>
    <s v="chat"/>
    <x v="1"/>
    <x v="3"/>
    <s v="Error when log in after password reset"/>
    <n v="216"/>
    <d v="2024-01-04T21:00:09"/>
    <b v="0"/>
    <m/>
  </r>
  <r>
    <s v="TK61792"/>
    <d v="2023-12-22T06:03:00"/>
    <s v="phone"/>
    <x v="3"/>
    <x v="3"/>
    <s v="Question about export my data"/>
    <n v="628"/>
    <d v="2024-01-03T13:40:25"/>
    <b v="1"/>
    <m/>
  </r>
  <r>
    <s v="TK62356"/>
    <d v="2023-12-22T08:10:00"/>
    <s v="chat"/>
    <x v="0"/>
    <x v="1"/>
    <s v="Request to webhook deliveries failing"/>
    <n v="36"/>
    <d v="2023-12-25T19:01:17"/>
    <b v="0"/>
    <n v="2"/>
  </r>
  <r>
    <s v="TK60373"/>
    <d v="2023-12-22T11:23:00"/>
    <s v="in-app"/>
    <x v="3"/>
    <x v="1"/>
    <s v="Cannot downgrade my plan"/>
    <n v="93"/>
    <d v="2023-12-26T01:48:03"/>
    <b v="0"/>
    <m/>
  </r>
  <r>
    <s v="TK62785"/>
    <d v="2023-12-22T12:33:00"/>
    <s v="in-app"/>
    <x v="3"/>
    <x v="1"/>
    <s v="Request to the dashboard loading slowly"/>
    <n v="111"/>
    <m/>
    <b v="0"/>
    <m/>
  </r>
  <r>
    <s v="TK63148"/>
    <d v="2023-12-22T14:03:00"/>
    <s v="email"/>
    <x v="1"/>
    <x v="0"/>
    <s v="How do I downgrade my plan"/>
    <n v="138"/>
    <m/>
    <b v="0"/>
    <m/>
  </r>
  <r>
    <s v="TK63214"/>
    <d v="2023-12-22T16:16:00"/>
    <s v="phone"/>
    <x v="3"/>
    <x v="1"/>
    <s v="Question about a duplicate charge"/>
    <n v="86"/>
    <d v="2023-12-23T10:41:43"/>
    <b v="0"/>
    <m/>
  </r>
  <r>
    <s v="TK61849"/>
    <d v="2023-12-23T01:33:00"/>
    <s v="chat"/>
    <x v="1"/>
    <x v="3"/>
    <s v="Unable to export my data"/>
    <n v="62"/>
    <d v="2023-12-31T14:21:53"/>
    <b v="0"/>
    <m/>
  </r>
  <r>
    <s v="TK62420"/>
    <d v="2023-12-23T02:30:00"/>
    <s v="in-app"/>
    <x v="0"/>
    <x v="3"/>
    <s v="Request to two-factor authentication"/>
    <n v="452"/>
    <d v="2023-12-26T15:26:04"/>
    <b v="0"/>
    <m/>
  </r>
  <r>
    <s v="TK60166"/>
    <d v="2023-12-23T02:52:00"/>
    <s v="email"/>
    <x v="4"/>
    <x v="1"/>
    <s v="Issue with the dashboard loading slowly"/>
    <n v="63"/>
    <d v="2023-12-23T04:54:50"/>
    <b v="0"/>
    <m/>
  </r>
  <r>
    <s v="TK60602"/>
    <d v="2023-12-23T06:53:00"/>
    <s v="email"/>
    <x v="2"/>
    <x v="3"/>
    <s v="Unable to a duplicate charge"/>
    <n v="126"/>
    <d v="2023-12-28T06:39:54"/>
    <b v="0"/>
    <n v="5"/>
  </r>
  <r>
    <s v="TK60720"/>
    <d v="2023-12-23T09:42:00"/>
    <s v="in-app"/>
    <x v="4"/>
    <x v="1"/>
    <s v="Unable to two-factor authentication"/>
    <n v="64"/>
    <d v="2023-12-23T19:19:08"/>
    <b v="0"/>
    <n v="5"/>
  </r>
  <r>
    <s v="TK62539"/>
    <d v="2023-12-23T14:41:00"/>
    <s v="email"/>
    <x v="1"/>
    <x v="1"/>
    <s v="Question about a refund for an annual plan"/>
    <n v="138"/>
    <d v="2023-12-26T07:57:56"/>
    <b v="0"/>
    <m/>
  </r>
  <r>
    <s v="TK61046"/>
    <d v="2023-12-23T18:10:00"/>
    <s v="in-app"/>
    <x v="0"/>
    <x v="0"/>
    <s v="Unable to the dashboard loading slowly"/>
    <n v="63"/>
    <d v="2023-12-24T11:38:06"/>
    <b v="0"/>
    <n v="4"/>
  </r>
  <r>
    <s v="TK61569"/>
    <d v="2023-12-23T19:54:00"/>
    <s v="phone"/>
    <x v="3"/>
    <x v="3"/>
    <s v="How do I export my data"/>
    <n v="53"/>
    <d v="2023-12-28T04:35:48"/>
    <b v="0"/>
    <m/>
  </r>
  <r>
    <s v="TK60079"/>
    <d v="2023-12-23T21:33:00"/>
    <s v="in-app"/>
    <x v="2"/>
    <x v="1"/>
    <s v="Error when connecting the Snowflake sync"/>
    <n v="124"/>
    <d v="2023-12-25T08:08:35"/>
    <b v="0"/>
    <m/>
  </r>
  <r>
    <s v="TK61889"/>
    <d v="2023-12-23T21:36:00"/>
    <s v="email"/>
    <x v="2"/>
    <x v="3"/>
    <s v="How do I a refund for an annual plan"/>
    <n v="33"/>
    <d v="2023-12-25T23:11:58"/>
    <b v="0"/>
    <m/>
  </r>
  <r>
    <s v="TK63035"/>
    <d v="2023-12-23T23:36:00"/>
    <s v="chat"/>
    <x v="3"/>
    <x v="2"/>
    <s v="Issue with two-factor authentication"/>
    <n v="49"/>
    <d v="2023-12-24T10:43:17"/>
    <b v="0"/>
    <n v="5"/>
  </r>
  <r>
    <s v="TK61842"/>
    <d v="2023-12-24T11:18:00"/>
    <s v="email"/>
    <x v="0"/>
    <x v="0"/>
    <s v="Issue with webhook deliveries failing"/>
    <n v="32"/>
    <d v="2023-12-24T23:39:32"/>
    <b v="0"/>
    <n v="1"/>
  </r>
  <r>
    <s v="TK62343"/>
    <d v="2023-12-24T12:42:00"/>
    <s v="email"/>
    <x v="0"/>
    <x v="1"/>
    <s v="Cannot the API rate limit"/>
    <n v="117"/>
    <d v="2023-12-25T21:09:13"/>
    <b v="0"/>
    <m/>
  </r>
  <r>
    <s v="TK62779"/>
    <d v="2023-12-24T13:42:00"/>
    <s v="in-app"/>
    <x v="0"/>
    <x v="1"/>
    <s v="Question about the dashboard loading slowly"/>
    <n v="23"/>
    <d v="2023-12-27T12:48:35"/>
    <b v="0"/>
    <m/>
  </r>
  <r>
    <s v="TK61794"/>
    <d v="2023-12-24T16:52:00"/>
    <s v="phone"/>
    <x v="1"/>
    <x v="1"/>
    <s v="Error when the API rate limit"/>
    <m/>
    <d v="2023-12-25T03:58:57"/>
    <b v="0"/>
    <m/>
  </r>
  <r>
    <s v="TK61761"/>
    <d v="2023-12-24T18:08:00"/>
    <s v="chat"/>
    <x v="1"/>
    <x v="1"/>
    <s v="Unable to the dashboard loading slowly"/>
    <n v="18"/>
    <d v="2023-12-26T15:14:10"/>
    <b v="0"/>
    <m/>
  </r>
  <r>
    <s v="TK62983"/>
    <d v="2023-12-24T21:19:00"/>
    <s v="phone"/>
    <x v="0"/>
    <x v="3"/>
    <s v="Question about a duplicate charge"/>
    <n v="824"/>
    <d v="2023-12-25T10:08:18"/>
    <b v="0"/>
    <m/>
  </r>
  <r>
    <s v="TK63962"/>
    <d v="2023-12-24T22:32:00"/>
    <s v="in-app"/>
    <x v="4"/>
    <x v="1"/>
    <s v="Request to the invoice for last month"/>
    <n v="112"/>
    <d v="2023-12-25T14:01:00"/>
    <b v="0"/>
    <m/>
  </r>
  <r>
    <s v="TK63070"/>
    <d v="2023-12-25T03:20:00"/>
    <s v="chat"/>
    <x v="3"/>
    <x v="1"/>
    <s v="Error when export my data"/>
    <n v="13"/>
    <d v="2023-12-25T20:24:52"/>
    <b v="0"/>
    <m/>
  </r>
  <r>
    <s v="TK61777"/>
    <d v="2023-12-25T08:16:00"/>
    <s v="email"/>
    <x v="0"/>
    <x v="1"/>
    <s v="How do I connecting the Snowflake sync"/>
    <n v="23"/>
    <d v="2023-12-27T14:24:14"/>
    <b v="0"/>
    <m/>
  </r>
  <r>
    <s v="TK60153"/>
    <d v="2023-12-25T08:47:00"/>
    <s v="email"/>
    <x v="0"/>
    <x v="1"/>
    <s v="Unable to a refund for an annual plan"/>
    <n v="10"/>
    <d v="2023-12-25T13:14:48"/>
    <b v="0"/>
    <n v="5"/>
  </r>
  <r>
    <s v="TK63463"/>
    <d v="2023-12-25T12:23:00"/>
    <s v="email"/>
    <x v="1"/>
    <x v="1"/>
    <s v="Cannot webhook deliveries failing"/>
    <n v="236"/>
    <d v="2023-12-25T20:49:30"/>
    <b v="0"/>
    <m/>
  </r>
  <r>
    <s v="TK60348"/>
    <d v="2023-12-25T13:04:00"/>
    <s v="email"/>
    <x v="3"/>
    <x v="3"/>
    <s v="Unable to a duplicate charge"/>
    <n v="236"/>
    <d v="2024-01-23T11:17:45"/>
    <b v="0"/>
    <n v="5"/>
  </r>
  <r>
    <s v="TK63598"/>
    <d v="2023-12-25T13:57:00"/>
    <s v="in-app"/>
    <x v="1"/>
    <x v="1"/>
    <s v="Cannot connecting the Snowflake sync"/>
    <n v="64"/>
    <d v="2023-12-27T20:37:15"/>
    <b v="0"/>
    <n v="4"/>
  </r>
  <r>
    <s v="TK61579"/>
    <d v="2023-12-25T17:43:00"/>
    <s v="email"/>
    <x v="2"/>
    <x v="2"/>
    <s v="Issue with two-factor authentication"/>
    <n v="9"/>
    <d v="2023-12-25T19:42:11"/>
    <b v="1"/>
    <m/>
  </r>
  <r>
    <s v="TK63999"/>
    <d v="2023-12-25T23:37:00"/>
    <s v="email"/>
    <x v="0"/>
    <x v="3"/>
    <s v="Question about two-factor authentication"/>
    <n v="50"/>
    <d v="2023-12-26T19:18:02"/>
    <b v="0"/>
    <n v="5"/>
  </r>
  <r>
    <s v="TK61340"/>
    <d v="2023-12-26T01:07:00"/>
    <s v="chat"/>
    <x v="1"/>
    <x v="2"/>
    <s v="Unable to downgrade my plan"/>
    <n v="39"/>
    <d v="2023-12-26T01:54:23"/>
    <b v="0"/>
    <m/>
  </r>
  <r>
    <s v="TK61898"/>
    <d v="2023-12-26T05:00:00"/>
    <s v="email"/>
    <x v="1"/>
    <x v="3"/>
    <s v="Question about two-factor authentication"/>
    <n v="172"/>
    <d v="2023-12-28T08:29:51"/>
    <b v="0"/>
    <m/>
  </r>
  <r>
    <s v="TK61860"/>
    <d v="2023-12-26T08:19:00"/>
    <s v="in-app"/>
    <x v="4"/>
    <x v="3"/>
    <s v="How do I connecting the Snowflake sync"/>
    <n v="444"/>
    <d v="2023-12-27T09:12:23"/>
    <b v="0"/>
    <n v="5"/>
  </r>
  <r>
    <s v="TK62049"/>
    <d v="2023-12-26T09:59:00"/>
    <s v="email"/>
    <x v="1"/>
    <x v="1"/>
    <s v="Cannot two-factor authentication"/>
    <n v="136"/>
    <d v="2023-12-28T20:56:31"/>
    <b v="0"/>
    <m/>
  </r>
  <r>
    <s v="TK62141"/>
    <d v="2023-12-26T19:53:00"/>
    <s v="in-app"/>
    <x v="0"/>
    <x v="0"/>
    <s v="Question about downgrade my plan"/>
    <n v="54"/>
    <d v="2023-12-27T12:00:44"/>
    <b v="0"/>
    <m/>
  </r>
  <r>
    <s v="TK60103"/>
    <d v="2023-12-26T20:56:00"/>
    <s v="phone"/>
    <x v="2"/>
    <x v="3"/>
    <s v="Question about log in after password reset"/>
    <n v="536"/>
    <d v="2023-12-29T17:35:41"/>
    <b v="0"/>
    <n v="2"/>
  </r>
  <r>
    <s v="TK61811"/>
    <d v="2023-12-27T01:13:00"/>
    <s v="in-app"/>
    <x v="4"/>
    <x v="0"/>
    <s v="Question about the invoice for last month"/>
    <n v="112"/>
    <d v="2023-12-31T07:24:17"/>
    <b v="0"/>
    <m/>
  </r>
  <r>
    <s v="TK62323"/>
    <d v="2023-12-27T02:30:00"/>
    <s v="in-app"/>
    <x v="1"/>
    <x v="3"/>
    <s v="Question about connecting the Snowflake sync"/>
    <n v="85"/>
    <d v="2023-12-31T18:00:37"/>
    <b v="1"/>
    <m/>
  </r>
  <r>
    <s v="TK63909"/>
    <d v="2023-12-27T06:26:00"/>
    <s v="email"/>
    <x v="1"/>
    <x v="1"/>
    <s v="Question about connecting the Snowflake sync"/>
    <n v="111"/>
    <d v="2023-12-28T17:58:47"/>
    <b v="0"/>
    <m/>
  </r>
  <r>
    <s v="TK61280"/>
    <d v="2023-12-27T07:46:00"/>
    <s v="email"/>
    <x v="1"/>
    <x v="3"/>
    <s v="Error when downgrade my plan"/>
    <n v="255"/>
    <d v="2024-01-01T12:01:42"/>
    <b v="0"/>
    <m/>
  </r>
  <r>
    <s v="TK62913"/>
    <d v="2023-12-27T08:49:00"/>
    <s v="email"/>
    <x v="3"/>
    <x v="0"/>
    <s v="Issue with add a teammate"/>
    <m/>
    <d v="2023-12-27T16:36:10"/>
    <b v="0"/>
    <m/>
  </r>
  <r>
    <s v="TK63323"/>
    <d v="2023-12-27T09:43:00"/>
    <s v="in-app"/>
    <x v="0"/>
    <x v="3"/>
    <s v="Unable to export my data"/>
    <n v="138"/>
    <d v="2023-12-30T00:19:00"/>
    <b v="0"/>
    <m/>
  </r>
  <r>
    <s v="TK60341"/>
    <d v="2023-12-27T15:20:00"/>
    <s v="in-app"/>
    <x v="3"/>
    <x v="0"/>
    <s v="Question about webhook deliveries failing"/>
    <n v="134"/>
    <d v="2023-12-28T02:52:50"/>
    <b v="0"/>
    <m/>
  </r>
  <r>
    <s v="TK63217"/>
    <d v="2023-12-27T18:18:00"/>
    <s v="email"/>
    <x v="1"/>
    <x v="0"/>
    <s v="Issue with the dashboard loading slowly"/>
    <n v="101"/>
    <d v="2023-12-28T04:52:36"/>
    <b v="0"/>
    <n v="2"/>
  </r>
  <r>
    <s v="TK61036"/>
    <d v="2023-12-27T18:39:00"/>
    <s v="chat"/>
    <x v="4"/>
    <x v="2"/>
    <s v="Error when a duplicate charge"/>
    <n v="9"/>
    <d v="2023-12-27T21:27:36"/>
    <b v="0"/>
    <m/>
  </r>
  <r>
    <s v="TK60412"/>
    <d v="2023-12-27T20:08:00"/>
    <s v="chat"/>
    <x v="1"/>
    <x v="1"/>
    <s v="Issue with a duplicate charge"/>
    <n v="69"/>
    <d v="2023-12-29T07:10:45"/>
    <b v="0"/>
    <m/>
  </r>
  <r>
    <s v="TK62460"/>
    <d v="2023-12-27T20:14:00"/>
    <s v="chat"/>
    <x v="1"/>
    <x v="0"/>
    <s v="Question about downgrade my plan"/>
    <n v="9"/>
    <d v="2023-12-29T14:28:12"/>
    <b v="0"/>
    <m/>
  </r>
  <r>
    <s v="TK61559"/>
    <d v="2023-12-28T00:29:00"/>
    <s v="phone"/>
    <x v="2"/>
    <x v="1"/>
    <s v="Question about add a teammate"/>
    <n v="169"/>
    <d v="2023-12-28T02:39:16"/>
    <b v="1"/>
    <m/>
  </r>
  <r>
    <s v="TK60775"/>
    <d v="2023-12-28T00:58:00"/>
    <s v="email"/>
    <x v="4"/>
    <x v="2"/>
    <s v="Unable to downgrade my plan"/>
    <n v="5"/>
    <d v="2023-12-28T13:02:35"/>
    <b v="0"/>
    <m/>
  </r>
  <r>
    <s v="TK61124"/>
    <d v="2023-12-28T01:03:00"/>
    <s v="in-app"/>
    <x v="3"/>
    <x v="3"/>
    <s v="Issue with add a teammate"/>
    <n v="196"/>
    <d v="2023-12-29T11:06:57"/>
    <b v="0"/>
    <m/>
  </r>
  <r>
    <s v="TK63639"/>
    <d v="2023-12-28T01:06:00"/>
    <s v="in-app"/>
    <x v="1"/>
    <x v="1"/>
    <s v="Cannot the API rate limit"/>
    <n v="136"/>
    <d v="2024-01-04T17:14:18"/>
    <b v="0"/>
    <n v="3"/>
  </r>
  <r>
    <s v="TK62417"/>
    <d v="2023-12-28T01:50:00"/>
    <s v="email"/>
    <x v="2"/>
    <x v="1"/>
    <s v="Question about log in after password reset"/>
    <n v="272"/>
    <d v="2023-12-29T07:38:39"/>
    <b v="0"/>
    <n v="5"/>
  </r>
  <r>
    <s v="TK61050"/>
    <d v="2023-12-28T05:39:00"/>
    <s v="in-app"/>
    <x v="1"/>
    <x v="3"/>
    <s v="Request to the dashboard loading slowly"/>
    <m/>
    <m/>
    <b v="0"/>
    <m/>
  </r>
  <r>
    <s v="TK63262"/>
    <d v="2023-12-28T07:08:00"/>
    <s v="in-app"/>
    <x v="3"/>
    <x v="2"/>
    <s v="Error when webhook deliveries failing"/>
    <n v="31"/>
    <d v="2023-12-29T10:21:22"/>
    <b v="0"/>
    <m/>
  </r>
  <r>
    <s v="TK63653"/>
    <d v="2023-12-28T09:08:00"/>
    <s v="email"/>
    <x v="1"/>
    <x v="3"/>
    <s v="Request to two-factor authentication"/>
    <n v="166"/>
    <d v="2024-01-01T18:58:13"/>
    <b v="0"/>
    <m/>
  </r>
  <r>
    <s v="TK62179"/>
    <d v="2023-12-28T10:03:00"/>
    <s v="email"/>
    <x v="4"/>
    <x v="1"/>
    <s v="Unable to log in after password reset"/>
    <n v="177"/>
    <d v="2023-12-28T17:44:26"/>
    <b v="0"/>
    <m/>
  </r>
  <r>
    <s v="TK63857"/>
    <d v="2023-12-28T11:50:00"/>
    <s v="in-app"/>
    <x v="1"/>
    <x v="3"/>
    <s v="How do I export my data"/>
    <n v="525"/>
    <d v="2024-01-04T00:10:59"/>
    <b v="0"/>
    <m/>
  </r>
  <r>
    <s v="TK63512"/>
    <d v="2023-12-28T11:55:00"/>
    <s v="chat"/>
    <x v="4"/>
    <x v="1"/>
    <s v="Error when the API rate limit"/>
    <n v="103"/>
    <d v="2023-12-30T13:06:44"/>
    <b v="0"/>
    <m/>
  </r>
  <r>
    <s v="TK63950"/>
    <d v="2023-12-28T12:49:00"/>
    <s v="chat"/>
    <x v="1"/>
    <x v="2"/>
    <s v="Cannot log in after password reset"/>
    <n v="15"/>
    <d v="2023-12-29T19:32:01"/>
    <b v="0"/>
    <n v="5"/>
  </r>
  <r>
    <s v="TK61116"/>
    <d v="2023-12-28T13:16:00"/>
    <s v="email"/>
    <x v="1"/>
    <x v="1"/>
    <s v="Question about log in after password reset"/>
    <n v="60"/>
    <d v="2024-01-02T15:07:34"/>
    <b v="0"/>
    <n v="3"/>
  </r>
  <r>
    <s v="TK61751"/>
    <d v="2023-12-28T13:57:00"/>
    <s v="chat"/>
    <x v="2"/>
    <x v="3"/>
    <s v="Cannot export my data"/>
    <n v="216"/>
    <d v="2024-01-15T18:27:58"/>
    <b v="1"/>
    <m/>
  </r>
  <r>
    <s v="TK60925"/>
    <d v="2023-12-28T14:29:00"/>
    <s v="chat"/>
    <x v="2"/>
    <x v="3"/>
    <s v="Request to a duplicate charge"/>
    <n v="74"/>
    <d v="2023-12-31T19:27:01"/>
    <b v="0"/>
    <n v="5"/>
  </r>
  <r>
    <s v="TK61010"/>
    <d v="2023-12-28T15:49:00"/>
    <s v="email"/>
    <x v="1"/>
    <x v="1"/>
    <s v="Question about a duplicate charge"/>
    <n v="347"/>
    <d v="2023-12-29T12:34:16"/>
    <b v="1"/>
    <m/>
  </r>
  <r>
    <s v="TK62001"/>
    <d v="2023-12-28T18:59:00"/>
    <s v="email"/>
    <x v="1"/>
    <x v="0"/>
    <s v="Cannot connecting the Snowflake sync"/>
    <n v="112"/>
    <d v="2023-12-29T13:09:05"/>
    <b v="0"/>
    <m/>
  </r>
  <r>
    <s v="TK60088"/>
    <d v="2023-12-29T01:21:00"/>
    <s v="chat"/>
    <x v="4"/>
    <x v="1"/>
    <s v="Issue with add a teammate"/>
    <n v="113"/>
    <d v="2023-12-29T10:06:51"/>
    <b v="0"/>
    <m/>
  </r>
  <r>
    <s v="TK60271"/>
    <d v="2023-12-29T04:16:00"/>
    <s v="chat"/>
    <x v="4"/>
    <x v="3"/>
    <s v="Question about add a teammate"/>
    <n v="110"/>
    <d v="2023-12-29T10:36:40"/>
    <b v="0"/>
    <n v="5"/>
  </r>
  <r>
    <s v="TK60517"/>
    <d v="2023-12-29T05:01:00"/>
    <s v="in-app"/>
    <x v="1"/>
    <x v="0"/>
    <s v="Request to connecting the Snowflake sync"/>
    <n v="232"/>
    <d v="2023-12-30T04:15:40"/>
    <b v="1"/>
    <m/>
  </r>
  <r>
    <s v="TK63213"/>
    <d v="2023-12-29T07:50:00"/>
    <s v="chat"/>
    <x v="3"/>
    <x v="3"/>
    <s v="Question about a refund for an annual plan"/>
    <n v="199"/>
    <m/>
    <b v="0"/>
    <m/>
  </r>
  <r>
    <s v="TK62284"/>
    <d v="2023-12-29T07:57:00"/>
    <s v="chat"/>
    <x v="3"/>
    <x v="1"/>
    <s v="Issue with a duplicate charge"/>
    <n v="714"/>
    <d v="2024-01-11T19:17:42"/>
    <b v="0"/>
    <n v="4"/>
  </r>
  <r>
    <s v="TK60715"/>
    <d v="2023-12-29T08:01:00"/>
    <s v="email"/>
    <x v="1"/>
    <x v="1"/>
    <s v="Question about downgrade my plan"/>
    <n v="100"/>
    <d v="2023-12-30T13:39:55"/>
    <b v="1"/>
    <n v="4"/>
  </r>
  <r>
    <s v="TK60758"/>
    <d v="2023-12-29T08:44:00"/>
    <s v="in-app"/>
    <x v="1"/>
    <x v="1"/>
    <s v="Cannot two-factor authentication"/>
    <n v="440"/>
    <d v="2024-01-02T11:41:21"/>
    <b v="0"/>
    <m/>
  </r>
  <r>
    <s v="TK63458"/>
    <d v="2023-12-29T10:12:00"/>
    <s v="email"/>
    <x v="1"/>
    <x v="1"/>
    <s v="Question about add a teammate"/>
    <n v="106"/>
    <d v="2023-12-30T21:11:33"/>
    <b v="0"/>
    <m/>
  </r>
  <r>
    <s v="TK62612"/>
    <d v="2023-12-29T10:13:00"/>
    <s v="email"/>
    <x v="2"/>
    <x v="1"/>
    <s v="Cannot export my data"/>
    <n v="163"/>
    <d v="2023-12-29T23:50:16"/>
    <b v="0"/>
    <m/>
  </r>
  <r>
    <s v="TK63205"/>
    <d v="2023-12-29T16:36:00"/>
    <s v="email"/>
    <x v="1"/>
    <x v="0"/>
    <s v="Cannot export my data"/>
    <n v="41"/>
    <d v="2024-01-03T20:14:00"/>
    <b v="0"/>
    <m/>
  </r>
  <r>
    <s v="TK60165"/>
    <d v="2023-12-29T16:50:00"/>
    <s v="email"/>
    <x v="4"/>
    <x v="1"/>
    <s v="Unable to a refund for an annual plan"/>
    <n v="121"/>
    <d v="2023-12-30T02:11:15"/>
    <b v="0"/>
    <n v="4"/>
  </r>
  <r>
    <s v="TK63238"/>
    <d v="2023-12-29T16:51:00"/>
    <s v="in-app"/>
    <x v="2"/>
    <x v="0"/>
    <s v="Issue with log in after password reset"/>
    <n v="26"/>
    <d v="2023-12-29T18:12:49"/>
    <b v="0"/>
    <m/>
  </r>
  <r>
    <s v="TK60029"/>
    <d v="2023-12-29T18:25:00"/>
    <s v="email"/>
    <x v="4"/>
    <x v="0"/>
    <s v="Question about export my data"/>
    <n v="690"/>
    <d v="2023-12-30T00:01:12"/>
    <b v="0"/>
    <m/>
  </r>
  <r>
    <s v="TK60211"/>
    <d v="2023-12-29T21:56:00"/>
    <s v="email"/>
    <x v="3"/>
    <x v="1"/>
    <s v="Unable to log in after password reset"/>
    <n v="79"/>
    <d v="2024-01-11T03:20:05"/>
    <b v="0"/>
    <m/>
  </r>
  <r>
    <s v="TK62748"/>
    <d v="2023-12-29T22:34:00"/>
    <s v="email"/>
    <x v="1"/>
    <x v="1"/>
    <s v="Cannot downgrade my plan"/>
    <n v="111"/>
    <d v="2023-12-30T15:45:01"/>
    <b v="0"/>
    <n v="4"/>
  </r>
  <r>
    <s v="TK61164"/>
    <d v="2023-12-30T06:23:00"/>
    <s v="chat"/>
    <x v="3"/>
    <x v="1"/>
    <s v="How do I two-factor authentication"/>
    <n v="95"/>
    <d v="2024-01-04T00:32:50"/>
    <b v="0"/>
    <m/>
  </r>
  <r>
    <s v="TK62435"/>
    <d v="2023-12-30T08:29:00"/>
    <s v="in-app"/>
    <x v="1"/>
    <x v="0"/>
    <s v="Request to log in after password reset"/>
    <n v="11"/>
    <d v="2023-12-30T22:48:23"/>
    <b v="1"/>
    <m/>
  </r>
  <r>
    <s v="TK62143"/>
    <d v="2023-12-30T11:45:00"/>
    <s v="in-app"/>
    <x v="0"/>
    <x v="3"/>
    <s v="Unable to two-factor authentication"/>
    <n v="215"/>
    <d v="2024-01-02T14:18:48"/>
    <b v="0"/>
    <n v="4"/>
  </r>
  <r>
    <s v="TK61178"/>
    <d v="2023-12-30T14:39:00"/>
    <s v="email"/>
    <x v="1"/>
    <x v="3"/>
    <s v="How do I export my data"/>
    <n v="39"/>
    <d v="2024-01-02T21:41:02"/>
    <b v="1"/>
    <m/>
  </r>
  <r>
    <s v="TK60144"/>
    <d v="2023-12-30T23:59:00"/>
    <s v="email"/>
    <x v="1"/>
    <x v="3"/>
    <s v="Request to a refund for an annual plan"/>
    <m/>
    <d v="2024-01-08T13:47:24"/>
    <b v="0"/>
    <m/>
  </r>
  <r>
    <s v="TK63154"/>
    <d v="2023-12-31T01:49:00"/>
    <s v="email"/>
    <x v="4"/>
    <x v="1"/>
    <s v="How do I downgrade my plan"/>
    <n v="82"/>
    <d v="2023-12-31T18:52:49"/>
    <b v="0"/>
    <n v="5"/>
  </r>
  <r>
    <s v="TK63960"/>
    <d v="2023-12-31T05:02:00"/>
    <s v="in-app"/>
    <x v="2"/>
    <x v="3"/>
    <s v="How do I a duplicate charge"/>
    <n v="220"/>
    <d v="2024-01-02T14:07:52"/>
    <b v="0"/>
    <n v="1"/>
  </r>
  <r>
    <s v="TK63736"/>
    <d v="2023-12-31T05:50:00"/>
    <s v="chat"/>
    <x v="1"/>
    <x v="2"/>
    <s v="Request to a duplicate charge"/>
    <n v="28"/>
    <d v="2023-12-31T09:11:10"/>
    <b v="0"/>
    <m/>
  </r>
  <r>
    <s v="TK62907"/>
    <d v="2023-12-31T05:56:00"/>
    <s v="email"/>
    <x v="1"/>
    <x v="0"/>
    <s v="Error when connecting the Snowflake sync"/>
    <n v="11"/>
    <m/>
    <b v="0"/>
    <m/>
  </r>
  <r>
    <s v="TK60640"/>
    <d v="2023-12-31T05:58:00"/>
    <s v="email"/>
    <x v="4"/>
    <x v="1"/>
    <s v="Request to the dashboard loading slowly"/>
    <n v="411"/>
    <d v="2023-12-31T09:53:48"/>
    <b v="0"/>
    <m/>
  </r>
  <r>
    <s v="TK62746"/>
    <d v="2023-12-31T08:49:00"/>
    <s v="chat"/>
    <x v="0"/>
    <x v="3"/>
    <s v="Request to connecting the Snowflake sync"/>
    <n v="154"/>
    <d v="2024-01-04T06:20:09"/>
    <b v="0"/>
    <n v="4"/>
  </r>
  <r>
    <s v="TK61138"/>
    <d v="2023-12-31T13:05:00"/>
    <s v="email"/>
    <x v="0"/>
    <x v="3"/>
    <s v="Unable to the dashboard loading slowly"/>
    <n v="182"/>
    <d v="2024-01-04T04:31:38"/>
    <b v="0"/>
    <m/>
  </r>
  <r>
    <s v="TK62036"/>
    <d v="2023-12-31T15:20:00"/>
    <s v="email"/>
    <x v="2"/>
    <x v="1"/>
    <s v="Unable to the dashboard loading slowly"/>
    <n v="120"/>
    <d v="2024-01-02T23:48:10"/>
    <b v="0"/>
    <n v="4"/>
  </r>
  <r>
    <s v="TK61557"/>
    <d v="2023-12-31T19:43:00"/>
    <s v="email"/>
    <x v="4"/>
    <x v="1"/>
    <s v="Question about the API rate limit"/>
    <n v="64"/>
    <d v="2024-01-01T06:40:11"/>
    <b v="0"/>
    <m/>
  </r>
  <r>
    <s v="TK63923"/>
    <d v="2023-12-31T21:30:00"/>
    <s v="email"/>
    <x v="2"/>
    <x v="1"/>
    <s v="Request to export my data"/>
    <n v="39"/>
    <d v="2024-01-01T06:18:17"/>
    <b v="0"/>
    <m/>
  </r>
  <r>
    <s v="TK62881"/>
    <d v="2023-12-31T22:55:00"/>
    <s v="chat"/>
    <x v="2"/>
    <x v="3"/>
    <s v="Cannot log in after password reset"/>
    <n v="30"/>
    <d v="2024-01-01T13:14:12"/>
    <b v="0"/>
    <m/>
  </r>
  <r>
    <s v="TK61181"/>
    <d v="2023-12-31T23:53:00"/>
    <s v="chat"/>
    <x v="1"/>
    <x v="1"/>
    <s v="Request to log in after password reset"/>
    <n v="209"/>
    <d v="2024-01-03T23:50:44"/>
    <b v="0"/>
    <n v="5"/>
  </r>
  <r>
    <s v="TK61824"/>
    <d v="2024-01-01T00:47:00"/>
    <s v="email"/>
    <x v="3"/>
    <x v="3"/>
    <s v="Unable to the invoice for last month"/>
    <n v="439"/>
    <d v="2024-01-04T15:35:23"/>
    <b v="0"/>
    <n v="5"/>
  </r>
  <r>
    <s v="TK63680"/>
    <d v="2024-01-01T03:40:00"/>
    <s v="phone"/>
    <x v="4"/>
    <x v="1"/>
    <s v="Error when the dashboard loading slowly"/>
    <n v="126"/>
    <d v="2024-01-03T00:28:27"/>
    <b v="0"/>
    <m/>
  </r>
  <r>
    <s v="TK63069"/>
    <d v="2024-01-01T05:22:00"/>
    <s v="chat"/>
    <x v="1"/>
    <x v="0"/>
    <s v="Issue with connecting the Snowflake sync"/>
    <n v="7"/>
    <d v="2024-01-01T16:57:02"/>
    <b v="0"/>
    <m/>
  </r>
  <r>
    <s v="TK63987"/>
    <d v="2024-01-01T05:26:00"/>
    <s v="chat"/>
    <x v="2"/>
    <x v="1"/>
    <s v="Cannot add a teammate"/>
    <n v="70"/>
    <d v="2024-01-01T08:53:12"/>
    <b v="0"/>
    <m/>
  </r>
  <r>
    <s v="TK60327"/>
    <d v="2024-01-01T07:53:00"/>
    <s v="in-app"/>
    <x v="0"/>
    <x v="1"/>
    <s v="Unable to webhook deliveries failing"/>
    <n v="80"/>
    <d v="2024-01-05T04:14:02"/>
    <b v="0"/>
    <n v="5"/>
  </r>
  <r>
    <s v="TK61504"/>
    <d v="2024-01-01T16:18:00"/>
    <s v="chat"/>
    <x v="4"/>
    <x v="3"/>
    <s v="Request to add a teammate"/>
    <n v="188"/>
    <d v="2024-01-03T07:01:46"/>
    <b v="0"/>
    <m/>
  </r>
  <r>
    <s v="TK63722"/>
    <d v="2024-01-01T18:23:00"/>
    <s v="chat"/>
    <x v="1"/>
    <x v="3"/>
    <s v="Error when a refund for an annual plan"/>
    <n v="117"/>
    <d v="2024-01-03T02:22:25"/>
    <b v="0"/>
    <m/>
  </r>
  <r>
    <s v="TK63607"/>
    <d v="2024-01-01T22:10:00"/>
    <s v="in-app"/>
    <x v="0"/>
    <x v="3"/>
    <s v="Cannot downgrade my plan"/>
    <n v="610"/>
    <d v="2024-01-09T14:49:23"/>
    <b v="0"/>
    <m/>
  </r>
  <r>
    <s v="TK60031"/>
    <d v="2024-01-02T00:12:00"/>
    <s v="in-app"/>
    <x v="2"/>
    <x v="3"/>
    <s v="Issue with two-factor authentication"/>
    <n v="180"/>
    <d v="2024-01-04T17:56:21"/>
    <b v="0"/>
    <n v="3"/>
  </r>
  <r>
    <s v="TK63865"/>
    <d v="2024-01-02T03:32:00"/>
    <s v="chat"/>
    <x v="1"/>
    <x v="1"/>
    <s v="Unable to two-factor authentication"/>
    <n v="16"/>
    <m/>
    <b v="0"/>
    <m/>
  </r>
  <r>
    <s v="TK60622"/>
    <d v="2024-01-02T12:32:00"/>
    <s v="chat"/>
    <x v="4"/>
    <x v="1"/>
    <s v="How do I a refund for an annual plan"/>
    <n v="157"/>
    <d v="2024-01-02T13:11:32"/>
    <b v="0"/>
    <m/>
  </r>
  <r>
    <s v="TK60829"/>
    <d v="2024-01-02T14:11:00"/>
    <s v="in-app"/>
    <x v="2"/>
    <x v="3"/>
    <s v="Unable to the API rate limit"/>
    <n v="85"/>
    <d v="2024-01-03T21:18:50"/>
    <b v="0"/>
    <m/>
  </r>
  <r>
    <s v="TK60927"/>
    <d v="2024-01-02T16:04:00"/>
    <s v="email"/>
    <x v="1"/>
    <x v="3"/>
    <s v="Error when two-factor authentication"/>
    <n v="59"/>
    <d v="2024-01-07T19:56:27"/>
    <b v="0"/>
    <m/>
  </r>
  <r>
    <s v="TK62294"/>
    <d v="2024-01-02T17:15:00"/>
    <s v="phone"/>
    <x v="2"/>
    <x v="0"/>
    <s v="Issue with the invoice for last month"/>
    <n v="12"/>
    <d v="2024-01-03T00:17:23"/>
    <b v="0"/>
    <m/>
  </r>
  <r>
    <s v="TK63088"/>
    <d v="2024-01-02T18:19:00"/>
    <s v="chat"/>
    <x v="2"/>
    <x v="0"/>
    <s v="Cannot a duplicate charge"/>
    <m/>
    <d v="2024-01-05T14:29:29"/>
    <b v="0"/>
    <n v="5"/>
  </r>
  <r>
    <s v="TK61917"/>
    <d v="2024-01-02T18:24:00"/>
    <s v="email"/>
    <x v="1"/>
    <x v="2"/>
    <s v="Cannot the API rate limit"/>
    <n v="56"/>
    <m/>
    <b v="0"/>
    <m/>
  </r>
  <r>
    <s v="TK63014"/>
    <d v="2024-01-03T02:45:00"/>
    <s v="in-app"/>
    <x v="2"/>
    <x v="1"/>
    <s v="Request to add a teammate"/>
    <n v="105"/>
    <d v="2024-01-06T16:32:15"/>
    <b v="0"/>
    <m/>
  </r>
  <r>
    <s v="TK62331"/>
    <d v="2024-01-03T03:51:00"/>
    <s v="email"/>
    <x v="4"/>
    <x v="3"/>
    <s v="Unable to a duplicate charge"/>
    <n v="61"/>
    <d v="2024-01-04T22:38:27"/>
    <b v="0"/>
    <m/>
  </r>
  <r>
    <s v="TK61934"/>
    <d v="2024-01-03T04:01:00"/>
    <s v="email"/>
    <x v="4"/>
    <x v="1"/>
    <s v="Cannot connecting the Snowflake sync"/>
    <n v="12"/>
    <d v="2024-01-06T00:45:04"/>
    <b v="1"/>
    <m/>
  </r>
  <r>
    <s v="TK61034"/>
    <d v="2024-01-03T04:37:00"/>
    <s v="phone"/>
    <x v="2"/>
    <x v="0"/>
    <s v="Error when webhook deliveries failing"/>
    <n v="63"/>
    <d v="2024-01-05T08:54:02"/>
    <b v="0"/>
    <n v="5"/>
  </r>
  <r>
    <s v="TK61259"/>
    <d v="2024-01-03T05:53:00"/>
    <s v="in-app"/>
    <x v="1"/>
    <x v="3"/>
    <s v="Issue with the dashboard loading slowly"/>
    <n v="225"/>
    <d v="2024-01-06T08:57:18"/>
    <b v="0"/>
    <n v="2"/>
  </r>
  <r>
    <s v="TK61296"/>
    <d v="2024-01-03T08:20:00"/>
    <s v="chat"/>
    <x v="2"/>
    <x v="1"/>
    <s v="How do I add a teammate"/>
    <n v="93"/>
    <d v="2024-01-06T02:23:00"/>
    <b v="0"/>
    <n v="1"/>
  </r>
  <r>
    <s v="TK61489"/>
    <d v="2024-01-03T08:31:00"/>
    <s v="chat"/>
    <x v="4"/>
    <x v="1"/>
    <s v="Issue with a refund for an annual plan"/>
    <n v="100"/>
    <d v="2024-01-03T16:07:24"/>
    <b v="0"/>
    <n v="3"/>
  </r>
  <r>
    <s v="TK60479"/>
    <d v="2024-01-03T10:03:00"/>
    <s v="phone"/>
    <x v="3"/>
    <x v="2"/>
    <s v="Question about the dashboard loading slowly"/>
    <n v="8"/>
    <d v="2024-01-03T12:56:58"/>
    <b v="0"/>
    <m/>
  </r>
  <r>
    <s v="TK60650"/>
    <d v="2024-01-03T10:24:00"/>
    <s v="email"/>
    <x v="2"/>
    <x v="0"/>
    <s v="How do I log in after password reset"/>
    <n v="26"/>
    <d v="2024-01-03T16:46:23"/>
    <b v="0"/>
    <m/>
  </r>
  <r>
    <s v="TK62474"/>
    <d v="2024-01-03T13:59:00"/>
    <s v="phone"/>
    <x v="3"/>
    <x v="0"/>
    <s v="How do I export my data"/>
    <n v="50"/>
    <d v="2024-01-07T12:41:51"/>
    <b v="0"/>
    <n v="4"/>
  </r>
  <r>
    <s v="TK63940"/>
    <d v="2024-01-03T14:55:00"/>
    <s v="chat"/>
    <x v="2"/>
    <x v="1"/>
    <s v="Issue with two-factor authentication"/>
    <n v="267"/>
    <d v="2024-01-03T18:16:29"/>
    <b v="0"/>
    <m/>
  </r>
  <r>
    <s v="TK62783"/>
    <d v="2024-01-03T19:29:00"/>
    <s v="chat"/>
    <x v="0"/>
    <x v="3"/>
    <s v="How do I two-factor authentication"/>
    <n v="150"/>
    <d v="2024-01-05T09:34:55"/>
    <b v="0"/>
    <m/>
  </r>
  <r>
    <s v="TK60410"/>
    <d v="2024-01-04T00:44:00"/>
    <s v="chat"/>
    <x v="1"/>
    <x v="1"/>
    <s v="Question about log in after password reset"/>
    <n v="131"/>
    <d v="2024-01-05T04:08:38"/>
    <b v="0"/>
    <n v="5"/>
  </r>
  <r>
    <s v="TK63921"/>
    <d v="2024-01-04T02:37:00"/>
    <s v="in-app"/>
    <x v="1"/>
    <x v="1"/>
    <s v="Issue with downgrade my plan"/>
    <n v="79"/>
    <d v="2024-01-04T13:58:55"/>
    <b v="0"/>
    <m/>
  </r>
  <r>
    <s v="TK60541"/>
    <d v="2024-01-04T03:11:00"/>
    <s v="chat"/>
    <x v="0"/>
    <x v="0"/>
    <s v="Request to export my data"/>
    <n v="41"/>
    <d v="2024-01-04T07:23:03"/>
    <b v="0"/>
    <m/>
  </r>
  <r>
    <s v="TK62150"/>
    <d v="2024-01-04T06:28:00"/>
    <s v="email"/>
    <x v="4"/>
    <x v="3"/>
    <s v="Cannot export my data"/>
    <n v="88"/>
    <d v="2024-01-09T21:01:37"/>
    <b v="0"/>
    <n v="5"/>
  </r>
  <r>
    <s v="TK61555"/>
    <d v="2024-01-04T13:24:00"/>
    <s v="in-app"/>
    <x v="1"/>
    <x v="1"/>
    <s v="Request to two-factor authentication"/>
    <n v="36"/>
    <d v="2024-01-05T23:52:38"/>
    <b v="1"/>
    <m/>
  </r>
  <r>
    <s v="TK60376"/>
    <d v="2024-01-04T18:22:00"/>
    <s v="email"/>
    <x v="3"/>
    <x v="1"/>
    <s v="Issue with webhook deliveries failing"/>
    <n v="300"/>
    <d v="2024-01-14T16:10:54"/>
    <b v="0"/>
    <m/>
  </r>
  <r>
    <s v="TK62981"/>
    <d v="2024-01-04T18:28:00"/>
    <s v="email"/>
    <x v="1"/>
    <x v="0"/>
    <s v="Error when add a teammate"/>
    <n v="183"/>
    <d v="2024-01-04T23:40:02"/>
    <b v="0"/>
    <n v="1"/>
  </r>
  <r>
    <s v="TK60865"/>
    <d v="2024-01-04T19:49:00"/>
    <s v="in-app"/>
    <x v="1"/>
    <x v="1"/>
    <s v="Question about the API rate limit"/>
    <n v="24"/>
    <d v="2024-01-09T19:04:34"/>
    <b v="0"/>
    <m/>
  </r>
  <r>
    <s v="TK61932"/>
    <d v="2024-01-04T23:44:00"/>
    <s v="chat"/>
    <x v="4"/>
    <x v="1"/>
    <s v="Unable to downgrade my plan"/>
    <n v="82"/>
    <d v="2024-01-05T08:57:52"/>
    <b v="0"/>
    <m/>
  </r>
  <r>
    <s v="TK62159"/>
    <d v="2024-01-05T00:33:00"/>
    <s v="email"/>
    <x v="0"/>
    <x v="1"/>
    <s v="How do I the dashboard loading slowly"/>
    <n v="149"/>
    <d v="2024-01-05T04:53:47"/>
    <b v="0"/>
    <m/>
  </r>
  <r>
    <s v="TK63196"/>
    <d v="2024-01-05T02:57:00"/>
    <s v="email"/>
    <x v="4"/>
    <x v="3"/>
    <s v="Unable to add a teammate"/>
    <m/>
    <d v="2024-01-12T08:58:36"/>
    <b v="0"/>
    <m/>
  </r>
  <r>
    <s v="TK63136"/>
    <d v="2024-01-05T08:43:00"/>
    <s v="in-app"/>
    <x v="1"/>
    <x v="1"/>
    <s v="Issue with connecting the Snowflake sync"/>
    <n v="24"/>
    <d v="2024-01-05T21:31:45"/>
    <b v="0"/>
    <m/>
  </r>
  <r>
    <s v="TK61112"/>
    <d v="2024-01-05T17:19:00"/>
    <s v="email"/>
    <x v="1"/>
    <x v="1"/>
    <s v="Error when webhook deliveries failing"/>
    <n v="53"/>
    <d v="2024-01-08T14:16:49"/>
    <b v="1"/>
    <m/>
  </r>
  <r>
    <s v="TK60329"/>
    <d v="2024-01-05T18:39:00"/>
    <s v="email"/>
    <x v="3"/>
    <x v="1"/>
    <s v="Question about downgrade my plan"/>
    <n v="105"/>
    <d v="2024-01-11T09:30:43"/>
    <b v="0"/>
    <n v="5"/>
  </r>
  <r>
    <s v="TK61682"/>
    <d v="2024-01-05T20:13:00"/>
    <s v="phone"/>
    <x v="1"/>
    <x v="1"/>
    <s v="Question about the API rate limit"/>
    <n v="240"/>
    <d v="2024-01-06T13:00:03"/>
    <b v="0"/>
    <m/>
  </r>
  <r>
    <s v="TK61271"/>
    <d v="2024-01-06T00:20:00"/>
    <s v="email"/>
    <x v="1"/>
    <x v="0"/>
    <s v="Cannot add a teammate"/>
    <n v="57"/>
    <d v="2024-01-07T18:41:11"/>
    <b v="0"/>
    <m/>
  </r>
  <r>
    <s v="TK61362"/>
    <d v="2024-01-06T01:43:00"/>
    <s v="chat"/>
    <x v="1"/>
    <x v="1"/>
    <s v="Question about connecting the Snowflake sync"/>
    <n v="93"/>
    <d v="2024-01-06T21:32:09"/>
    <b v="0"/>
    <m/>
  </r>
  <r>
    <s v="TK62760"/>
    <d v="2024-01-06T04:20:00"/>
    <s v="email"/>
    <x v="0"/>
    <x v="1"/>
    <s v="Unable to export my data"/>
    <n v="191"/>
    <d v="2024-01-06T09:37:04"/>
    <b v="0"/>
    <n v="1"/>
  </r>
  <r>
    <s v="TK60504"/>
    <d v="2024-01-06T04:22:00"/>
    <s v="chat"/>
    <x v="1"/>
    <x v="0"/>
    <s v="Issue with a duplicate charge"/>
    <n v="4"/>
    <d v="2024-01-08T14:36:43"/>
    <b v="0"/>
    <n v="4"/>
  </r>
  <r>
    <s v="TK61222"/>
    <d v="2024-01-06T05:02:00"/>
    <s v="phone"/>
    <x v="2"/>
    <x v="3"/>
    <s v="Error when a duplicate charge"/>
    <n v="37"/>
    <d v="2024-01-15T06:22:49"/>
    <b v="0"/>
    <m/>
  </r>
  <r>
    <s v="TK62390"/>
    <d v="2024-01-06T06:57:00"/>
    <s v="chat"/>
    <x v="0"/>
    <x v="3"/>
    <s v="Unable to a refund for an annual plan"/>
    <n v="638"/>
    <d v="2024-01-13T14:00:16"/>
    <b v="0"/>
    <m/>
  </r>
  <r>
    <s v="TK62263"/>
    <d v="2024-01-06T07:30:00"/>
    <s v="email"/>
    <x v="1"/>
    <x v="1"/>
    <s v="Cannot log in after password reset"/>
    <n v="76"/>
    <d v="2024-01-07T15:47:37"/>
    <b v="0"/>
    <m/>
  </r>
  <r>
    <s v="TK60284"/>
    <d v="2024-01-06T07:57:00"/>
    <s v="chat"/>
    <x v="2"/>
    <x v="1"/>
    <s v="Request to a duplicate charge"/>
    <n v="11"/>
    <d v="2024-01-07T06:25:23"/>
    <b v="0"/>
    <n v="4"/>
  </r>
  <r>
    <s v="TK62788"/>
    <d v="2024-01-06T09:10:00"/>
    <s v="in-app"/>
    <x v="0"/>
    <x v="1"/>
    <s v="Request to add a teammate"/>
    <n v="379"/>
    <d v="2024-01-07T12:36:09"/>
    <b v="0"/>
    <m/>
  </r>
  <r>
    <s v="TK60293"/>
    <d v="2024-01-06T11:04:00"/>
    <s v="email"/>
    <x v="1"/>
    <x v="3"/>
    <s v="How do I webhook deliveries failing"/>
    <n v="89"/>
    <d v="2024-01-06T21:28:45"/>
    <b v="0"/>
    <n v="5"/>
  </r>
  <r>
    <s v="TK60421"/>
    <d v="2024-01-06T13:00:00"/>
    <s v="email"/>
    <x v="1"/>
    <x v="0"/>
    <s v="Error when log in after password reset"/>
    <n v="57"/>
    <m/>
    <b v="0"/>
    <m/>
  </r>
  <r>
    <s v="TK62018"/>
    <d v="2024-01-06T15:26:00"/>
    <s v="in-app"/>
    <x v="2"/>
    <x v="2"/>
    <s v="How do I the API rate limit"/>
    <n v="15"/>
    <d v="2024-01-06T17:57:56"/>
    <b v="0"/>
    <m/>
  </r>
  <r>
    <s v="TK61337"/>
    <d v="2024-01-06T18:30:00"/>
    <s v="in-app"/>
    <x v="1"/>
    <x v="2"/>
    <s v="How do I the invoice for last month"/>
    <n v="11"/>
    <d v="2024-01-07T09:14:50"/>
    <b v="0"/>
    <m/>
  </r>
  <r>
    <s v="TK62089"/>
    <d v="2024-01-06T22:08:00"/>
    <s v="chat"/>
    <x v="3"/>
    <x v="0"/>
    <s v="Question about add a teammate"/>
    <n v="40"/>
    <d v="2024-01-07T20:16:27"/>
    <b v="0"/>
    <m/>
  </r>
  <r>
    <s v="TK63067"/>
    <d v="2024-01-06T22:13:00"/>
    <s v="chat"/>
    <x v="2"/>
    <x v="3"/>
    <s v="Error when log in after password reset"/>
    <n v="94"/>
    <d v="2024-01-11T14:05:21"/>
    <b v="0"/>
    <m/>
  </r>
  <r>
    <s v="TK62370"/>
    <d v="2024-01-07T00:23:00"/>
    <s v="in-app"/>
    <x v="3"/>
    <x v="0"/>
    <s v="Error when export my data"/>
    <n v="103"/>
    <d v="2024-01-08T10:03:59"/>
    <b v="0"/>
    <m/>
  </r>
  <r>
    <s v="TK62266"/>
    <d v="2024-01-07T01:26:00"/>
    <s v="in-app"/>
    <x v="4"/>
    <x v="3"/>
    <s v="How do I downgrade my plan"/>
    <n v="1412"/>
    <d v="2024-01-07T20:40:03"/>
    <b v="0"/>
    <m/>
  </r>
  <r>
    <s v="TK62590"/>
    <d v="2024-01-07T06:09:00"/>
    <s v="email"/>
    <x v="1"/>
    <x v="1"/>
    <s v="Request to downgrade my plan"/>
    <n v="77"/>
    <d v="2024-01-10T20:34:32"/>
    <b v="0"/>
    <m/>
  </r>
  <r>
    <s v="TK60152"/>
    <d v="2024-01-07T09:42:00"/>
    <s v="email"/>
    <x v="4"/>
    <x v="1"/>
    <s v="Question about log in after password reset"/>
    <n v="97"/>
    <d v="2024-01-09T06:45:35"/>
    <b v="0"/>
    <m/>
  </r>
  <r>
    <s v="TK63031"/>
    <d v="2024-01-07T14:08:00"/>
    <s v="in-app"/>
    <x v="2"/>
    <x v="0"/>
    <s v="Request to the dashboard loading slowly"/>
    <n v="65"/>
    <m/>
    <b v="0"/>
    <m/>
  </r>
  <r>
    <s v="TK61950"/>
    <d v="2024-01-07T17:12:00"/>
    <s v="in-app"/>
    <x v="1"/>
    <x v="3"/>
    <s v="Error when two-factor authentication"/>
    <n v="293"/>
    <d v="2024-01-08T09:26:38"/>
    <b v="0"/>
    <n v="2"/>
  </r>
  <r>
    <s v="TK63469"/>
    <d v="2024-01-07T17:18:00"/>
    <s v="email"/>
    <x v="1"/>
    <x v="1"/>
    <s v="Error when log in after password reset"/>
    <n v="118"/>
    <d v="2024-01-08T16:04:32"/>
    <b v="0"/>
    <m/>
  </r>
  <r>
    <s v="TK63502"/>
    <d v="2024-01-07T19:37:00"/>
    <s v="in-app"/>
    <x v="1"/>
    <x v="0"/>
    <s v="Unable to downgrade my plan"/>
    <n v="45"/>
    <d v="2024-01-10T10:49:53"/>
    <b v="0"/>
    <n v="3"/>
  </r>
  <r>
    <s v="TK60070"/>
    <d v="2024-01-07T20:17:00"/>
    <s v="in-app"/>
    <x v="3"/>
    <x v="1"/>
    <s v="Request to webhook deliveries failing"/>
    <n v="95"/>
    <d v="2024-01-12T04:16:30"/>
    <b v="0"/>
    <n v="5"/>
  </r>
  <r>
    <s v="TK61897"/>
    <d v="2024-01-07T20:19:00"/>
    <s v="chat"/>
    <x v="4"/>
    <x v="1"/>
    <s v="Issue with webhook deliveries failing"/>
    <n v="39"/>
    <d v="2024-01-08T00:03:19"/>
    <b v="1"/>
    <m/>
  </r>
  <r>
    <s v="TK63382"/>
    <d v="2024-01-07T20:33:00"/>
    <s v="in-app"/>
    <x v="2"/>
    <x v="1"/>
    <s v="Unable to add a teammate"/>
    <n v="749"/>
    <d v="2024-01-08T08:05:07"/>
    <b v="1"/>
    <m/>
  </r>
  <r>
    <s v="TK63593"/>
    <d v="2024-01-07T21:01:00"/>
    <s v="chat"/>
    <x v="0"/>
    <x v="0"/>
    <s v="Unable to the invoice for last month"/>
    <n v="62"/>
    <d v="2024-01-08T14:52:45"/>
    <b v="0"/>
    <m/>
  </r>
  <r>
    <s v="TK62411"/>
    <d v="2024-01-07T23:24:00"/>
    <s v="in-app"/>
    <x v="1"/>
    <x v="0"/>
    <s v="Cannot add a teammate"/>
    <n v="35"/>
    <d v="2024-01-10T16:41:23"/>
    <b v="0"/>
    <m/>
  </r>
  <r>
    <s v="TK63272"/>
    <d v="2024-01-08T00:34:00"/>
    <s v="email"/>
    <x v="2"/>
    <x v="0"/>
    <s v="How do I export my data"/>
    <n v="41"/>
    <d v="2024-01-08T07:03:05"/>
    <b v="0"/>
    <m/>
  </r>
  <r>
    <s v="TK62476"/>
    <d v="2024-01-08T01:18:00"/>
    <s v="email"/>
    <x v="2"/>
    <x v="2"/>
    <s v="Error when two-factor authentication"/>
    <n v="3"/>
    <m/>
    <b v="0"/>
    <m/>
  </r>
  <r>
    <s v="TK61899"/>
    <d v="2024-01-08T04:24:00"/>
    <s v="chat"/>
    <x v="0"/>
    <x v="1"/>
    <s v="Question about the invoice for last month"/>
    <n v="39"/>
    <d v="2024-01-08T18:41:19"/>
    <b v="0"/>
    <m/>
  </r>
  <r>
    <s v="TK63709"/>
    <d v="2024-01-08T04:46:00"/>
    <s v="phone"/>
    <x v="2"/>
    <x v="1"/>
    <s v="Unable to add a teammate"/>
    <n v="88"/>
    <d v="2024-01-08T13:39:47"/>
    <b v="1"/>
    <m/>
  </r>
  <r>
    <s v="TK61734"/>
    <d v="2024-01-08T06:15:00"/>
    <s v="chat"/>
    <x v="3"/>
    <x v="1"/>
    <s v="Request to a duplicate charge"/>
    <n v="181"/>
    <d v="2024-01-11T23:02:30"/>
    <b v="1"/>
    <n v="5"/>
  </r>
  <r>
    <s v="TK60370"/>
    <d v="2024-01-08T06:41:00"/>
    <s v="email"/>
    <x v="2"/>
    <x v="3"/>
    <s v="Error when webhook deliveries failing"/>
    <n v="323"/>
    <d v="2024-01-10T05:16:52"/>
    <b v="1"/>
    <m/>
  </r>
  <r>
    <s v="TK60367"/>
    <d v="2024-01-08T13:01:00"/>
    <s v="in-app"/>
    <x v="4"/>
    <x v="1"/>
    <s v="Issue with the dashboard loading slowly"/>
    <n v="93"/>
    <d v="2024-01-08T19:03:13"/>
    <b v="0"/>
    <n v="3"/>
  </r>
  <r>
    <s v="TK62968"/>
    <d v="2024-01-08T14:01:00"/>
    <s v="email"/>
    <x v="0"/>
    <x v="1"/>
    <s v="Request to webhook deliveries failing"/>
    <n v="252"/>
    <d v="2024-01-09T21:25:21"/>
    <b v="0"/>
    <m/>
  </r>
  <r>
    <s v="TK61675"/>
    <d v="2024-01-08T16:05:00"/>
    <s v="phone"/>
    <x v="1"/>
    <x v="1"/>
    <s v="Request to a duplicate charge"/>
    <n v="50"/>
    <m/>
    <b v="0"/>
    <m/>
  </r>
  <r>
    <s v="TK62716"/>
    <d v="2024-01-08T17:09:00"/>
    <s v="email"/>
    <x v="3"/>
    <x v="1"/>
    <s v="Issue with log in after password reset"/>
    <m/>
    <d v="2024-01-09T05:25:45"/>
    <b v="0"/>
    <m/>
  </r>
  <r>
    <s v="TK62307"/>
    <d v="2024-01-08T17:49:00"/>
    <s v="in-app"/>
    <x v="4"/>
    <x v="3"/>
    <s v="Question about the API rate limit"/>
    <n v="83"/>
    <d v="2024-01-10T22:56:22"/>
    <b v="0"/>
    <n v="4"/>
  </r>
  <r>
    <s v="TK62763"/>
    <d v="2024-01-08T18:10:00"/>
    <s v="in-app"/>
    <x v="4"/>
    <x v="1"/>
    <s v="Request to the API rate limit"/>
    <n v="46"/>
    <m/>
    <b v="0"/>
    <m/>
  </r>
  <r>
    <s v="TK63550"/>
    <d v="2024-01-08T18:57:00"/>
    <s v="email"/>
    <x v="1"/>
    <x v="0"/>
    <s v="How do I webhook deliveries failing"/>
    <n v="41"/>
    <d v="2024-01-08T22:06:45"/>
    <b v="0"/>
    <m/>
  </r>
  <r>
    <s v="TK62693"/>
    <d v="2024-01-08T23:44:00"/>
    <s v="email"/>
    <x v="2"/>
    <x v="1"/>
    <s v="Request to downgrade my plan"/>
    <n v="107"/>
    <d v="2024-01-09T06:42:40"/>
    <b v="0"/>
    <m/>
  </r>
  <r>
    <s v="TK61289"/>
    <d v="2024-01-09T00:13:00"/>
    <s v="phone"/>
    <x v="4"/>
    <x v="1"/>
    <s v="Unable to the API rate limit"/>
    <n v="110"/>
    <d v="2024-01-09T17:50:37"/>
    <b v="0"/>
    <n v="4"/>
  </r>
  <r>
    <s v="TK60945"/>
    <d v="2024-01-09T00:55:00"/>
    <s v="in-app"/>
    <x v="0"/>
    <x v="1"/>
    <s v="Question about two-factor authentication"/>
    <n v="133"/>
    <d v="2024-01-09T16:07:57"/>
    <b v="0"/>
    <m/>
  </r>
  <r>
    <s v="TK63299"/>
    <d v="2024-01-09T05:06:00"/>
    <s v="in-app"/>
    <x v="3"/>
    <x v="1"/>
    <s v="Cannot downgrade my plan"/>
    <n v="79"/>
    <d v="2024-01-09T20:21:58"/>
    <b v="0"/>
    <n v="5"/>
  </r>
  <r>
    <s v="TK62691"/>
    <d v="2024-01-09T10:54:00"/>
    <s v="in-app"/>
    <x v="3"/>
    <x v="1"/>
    <s v="Issue with the API rate limit"/>
    <n v="169"/>
    <d v="2024-01-21T00:03:25"/>
    <b v="0"/>
    <n v="5"/>
  </r>
  <r>
    <s v="TK63628"/>
    <d v="2024-01-09T10:58:00"/>
    <s v="phone"/>
    <x v="1"/>
    <x v="3"/>
    <s v="Unable to the invoice for last month"/>
    <n v="76"/>
    <d v="2024-01-14T19:48:33"/>
    <b v="0"/>
    <m/>
  </r>
  <r>
    <s v="TK61218"/>
    <d v="2024-01-09T16:52:00"/>
    <s v="chat"/>
    <x v="2"/>
    <x v="1"/>
    <s v="Cannot the API rate limit"/>
    <n v="112"/>
    <m/>
    <b v="0"/>
    <m/>
  </r>
  <r>
    <s v="TK63207"/>
    <d v="2024-01-09T21:05:00"/>
    <s v="email"/>
    <x v="4"/>
    <x v="3"/>
    <s v="How do I a refund for an annual plan"/>
    <n v="52"/>
    <d v="2024-01-10T16:40:14"/>
    <b v="0"/>
    <m/>
  </r>
  <r>
    <s v="TK63907"/>
    <d v="2024-01-10T04:38:00"/>
    <s v="in-app"/>
    <x v="2"/>
    <x v="3"/>
    <s v="Request to log in after password reset"/>
    <n v="125"/>
    <m/>
    <b v="0"/>
    <m/>
  </r>
  <r>
    <s v="TK60819"/>
    <d v="2024-01-10T05:53:00"/>
    <s v="in-app"/>
    <x v="4"/>
    <x v="0"/>
    <s v="Unable to connecting the Snowflake sync"/>
    <n v="101"/>
    <d v="2024-01-10T09:06:20"/>
    <b v="0"/>
    <n v="5"/>
  </r>
  <r>
    <s v="TK60628"/>
    <d v="2024-01-10T09:18:00"/>
    <s v="chat"/>
    <x v="2"/>
    <x v="0"/>
    <s v="Unable to two-factor authentication"/>
    <n v="364"/>
    <d v="2024-01-10T12:17:09"/>
    <b v="1"/>
    <m/>
  </r>
  <r>
    <s v="TK62200"/>
    <d v="2024-01-10T12:05:00"/>
    <s v="email"/>
    <x v="0"/>
    <x v="1"/>
    <s v="Request to downgrade my plan"/>
    <n v="102"/>
    <d v="2024-01-10T16:28:23"/>
    <b v="0"/>
    <m/>
  </r>
  <r>
    <s v="TK63970"/>
    <d v="2024-01-10T13:41:00"/>
    <s v="chat"/>
    <x v="3"/>
    <x v="1"/>
    <s v="Question about the invoice for last month"/>
    <n v="639"/>
    <m/>
    <b v="0"/>
    <m/>
  </r>
  <r>
    <s v="TK61871"/>
    <d v="2024-01-10T21:48:00"/>
    <s v="chat"/>
    <x v="1"/>
    <x v="3"/>
    <s v="Unable to webhook deliveries failing"/>
    <m/>
    <d v="2024-01-13T05:41:06"/>
    <b v="0"/>
    <m/>
  </r>
  <r>
    <s v="TK61691"/>
    <d v="2024-01-10T22:29:00"/>
    <s v="email"/>
    <x v="0"/>
    <x v="0"/>
    <s v="Request to the dashboard loading slowly"/>
    <n v="2"/>
    <d v="2024-01-11T04:19:39"/>
    <b v="1"/>
    <m/>
  </r>
  <r>
    <s v="TK60181"/>
    <d v="2024-01-10T23:49:00"/>
    <s v="email"/>
    <x v="4"/>
    <x v="1"/>
    <s v="How do I downgrade my plan"/>
    <n v="353"/>
    <d v="2024-01-11T05:29:58"/>
    <b v="0"/>
    <m/>
  </r>
  <r>
    <s v="TK63040"/>
    <d v="2024-01-11T02:30:00"/>
    <s v="email"/>
    <x v="2"/>
    <x v="0"/>
    <s v="Error when a duplicate charge"/>
    <n v="46"/>
    <d v="2024-01-11T13:50:02"/>
    <b v="0"/>
    <m/>
  </r>
  <r>
    <s v="TK61628"/>
    <d v="2024-01-11T02:37:00"/>
    <s v="in-app"/>
    <x v="1"/>
    <x v="3"/>
    <s v="Error when export my data"/>
    <n v="152"/>
    <d v="2024-01-18T07:42:11"/>
    <b v="0"/>
    <m/>
  </r>
  <r>
    <s v="TK61928"/>
    <d v="2024-01-11T03:09:00"/>
    <s v="email"/>
    <x v="3"/>
    <x v="1"/>
    <s v="Question about log in after password reset"/>
    <n v="226"/>
    <d v="2024-01-12T17:55:15"/>
    <b v="1"/>
    <m/>
  </r>
  <r>
    <s v="TK62011"/>
    <d v="2024-01-11T04:56:00"/>
    <s v="email"/>
    <x v="1"/>
    <x v="3"/>
    <s v="Unable to the dashboard loading slowly"/>
    <n v="23"/>
    <d v="2024-01-12T07:48:04"/>
    <b v="1"/>
    <m/>
  </r>
  <r>
    <s v="TK62782"/>
    <d v="2024-01-11T07:36:00"/>
    <s v="phone"/>
    <x v="1"/>
    <x v="3"/>
    <s v="Question about the API rate limit"/>
    <n v="90"/>
    <d v="2024-01-13T21:17:12"/>
    <b v="0"/>
    <m/>
  </r>
  <r>
    <s v="TK60908"/>
    <d v="2024-01-11T09:03:00"/>
    <s v="chat"/>
    <x v="0"/>
    <x v="3"/>
    <s v="How do I the dashboard loading slowly"/>
    <n v="547"/>
    <d v="2024-01-12T09:00:55"/>
    <b v="0"/>
    <m/>
  </r>
  <r>
    <s v="TK62289"/>
    <d v="2024-01-11T09:12:00"/>
    <s v="email"/>
    <x v="1"/>
    <x v="1"/>
    <s v="Unable to export my data"/>
    <n v="55"/>
    <d v="2024-01-15T14:32:15"/>
    <b v="0"/>
    <m/>
  </r>
  <r>
    <s v="TK61749"/>
    <d v="2024-01-11T13:25:00"/>
    <s v="in-app"/>
    <x v="4"/>
    <x v="3"/>
    <s v="Issue with the invoice for last month"/>
    <n v="66"/>
    <d v="2024-01-14T13:56:53"/>
    <b v="0"/>
    <m/>
  </r>
  <r>
    <s v="TK60525"/>
    <d v="2024-01-11T18:37:00"/>
    <s v="in-app"/>
    <x v="3"/>
    <x v="3"/>
    <s v="How do I log in after password reset"/>
    <n v="123"/>
    <d v="2024-01-12T19:37:13"/>
    <b v="1"/>
    <n v="4"/>
  </r>
  <r>
    <s v="TK61385"/>
    <d v="2024-01-11T19:10:00"/>
    <s v="email"/>
    <x v="1"/>
    <x v="2"/>
    <s v="Unable to connecting the Snowflake sync"/>
    <n v="10"/>
    <d v="2024-01-12T20:16:57"/>
    <b v="1"/>
    <n v="3"/>
  </r>
  <r>
    <s v="TK60751"/>
    <d v="2024-01-11T20:08:00"/>
    <s v="in-app"/>
    <x v="0"/>
    <x v="1"/>
    <s v="Error when log in after password reset"/>
    <n v="104"/>
    <d v="2024-01-12T10:11:25"/>
    <b v="0"/>
    <n v="4"/>
  </r>
  <r>
    <s v="TK60401"/>
    <d v="2024-01-11T21:25:00"/>
    <s v="email"/>
    <x v="3"/>
    <x v="3"/>
    <s v="How do I the invoice for last month"/>
    <n v="28"/>
    <d v="2024-01-14T10:56:48"/>
    <b v="0"/>
    <m/>
  </r>
  <r>
    <s v="TK63847"/>
    <d v="2024-01-12T04:34:00"/>
    <s v="email"/>
    <x v="4"/>
    <x v="3"/>
    <s v="Request to add a teammate"/>
    <n v="762"/>
    <d v="2024-01-12T07:06:16"/>
    <b v="0"/>
    <m/>
  </r>
  <r>
    <s v="TK62809"/>
    <d v="2024-01-12T04:53:00"/>
    <s v="chat"/>
    <x v="3"/>
    <x v="1"/>
    <s v="Cannot log in after password reset"/>
    <n v="30"/>
    <d v="2024-01-13T23:33:23"/>
    <b v="0"/>
    <m/>
  </r>
  <r>
    <s v="TK61775"/>
    <d v="2024-01-12T06:48:00"/>
    <s v="phone"/>
    <x v="3"/>
    <x v="3"/>
    <s v="Question about two-factor authentication"/>
    <n v="138"/>
    <d v="2024-01-15T00:42:13"/>
    <b v="0"/>
    <n v="5"/>
  </r>
  <r>
    <s v="TK61576"/>
    <d v="2024-01-12T21:18:00"/>
    <s v="phone"/>
    <x v="0"/>
    <x v="1"/>
    <s v="Request to the invoice for last month"/>
    <n v="55"/>
    <d v="2024-01-13T13:22:57"/>
    <b v="0"/>
    <m/>
  </r>
  <r>
    <s v="TK61564"/>
    <d v="2024-01-12T23:39:00"/>
    <s v="in-app"/>
    <x v="1"/>
    <x v="1"/>
    <s v="How do I log in after password reset"/>
    <n v="140"/>
    <d v="2024-01-15T03:15:04"/>
    <b v="0"/>
    <n v="5"/>
  </r>
  <r>
    <s v="TK61139"/>
    <d v="2024-01-13T03:37:00"/>
    <s v="in-app"/>
    <x v="3"/>
    <x v="1"/>
    <s v="Request to downgrade my plan"/>
    <n v="204"/>
    <d v="2024-01-14T04:59:51"/>
    <b v="0"/>
    <n v="5"/>
  </r>
  <r>
    <s v="TK61760"/>
    <d v="2024-01-13T04:53:00"/>
    <s v="in-app"/>
    <x v="2"/>
    <x v="0"/>
    <s v="Request to webhook deliveries failing"/>
    <n v="19"/>
    <d v="2024-01-16T06:53:48"/>
    <b v="0"/>
    <n v="5"/>
  </r>
  <r>
    <s v="TK60174"/>
    <d v="2024-01-13T06:45:00"/>
    <s v="phone"/>
    <x v="1"/>
    <x v="0"/>
    <s v="Issue with a duplicate charge"/>
    <n v="150"/>
    <d v="2024-01-13T08:55:56"/>
    <b v="0"/>
    <m/>
  </r>
  <r>
    <s v="TK62747"/>
    <d v="2024-01-13T06:57:00"/>
    <s v="email"/>
    <x v="2"/>
    <x v="0"/>
    <s v="How do I export my data"/>
    <n v="26"/>
    <d v="2024-01-14T04:32:02"/>
    <b v="0"/>
    <m/>
  </r>
  <r>
    <s v="TK62815"/>
    <d v="2024-01-13T08:31:00"/>
    <s v="in-app"/>
    <x v="1"/>
    <x v="3"/>
    <s v="Question about add a teammate"/>
    <n v="121"/>
    <d v="2024-01-15T15:07:04"/>
    <b v="0"/>
    <n v="4"/>
  </r>
  <r>
    <s v="TK63897"/>
    <d v="2024-01-13T16:05:00"/>
    <s v="phone"/>
    <x v="1"/>
    <x v="3"/>
    <s v="Cannot the invoice for last month"/>
    <n v="203"/>
    <d v="2024-01-14T19:15:30"/>
    <b v="0"/>
    <m/>
  </r>
  <r>
    <s v="TK63479"/>
    <d v="2024-01-13T20:09:00"/>
    <s v="email"/>
    <x v="2"/>
    <x v="3"/>
    <s v="Question about the invoice for last month"/>
    <n v="274"/>
    <d v="2024-01-16T06:09:52"/>
    <b v="0"/>
    <m/>
  </r>
  <r>
    <s v="TK63388"/>
    <d v="2024-01-13T22:43:00"/>
    <s v="email"/>
    <x v="1"/>
    <x v="1"/>
    <s v="Cannot add a teammate"/>
    <n v="71"/>
    <d v="2024-01-25T08:54:41"/>
    <b v="0"/>
    <m/>
  </r>
  <r>
    <s v="TK62685"/>
    <d v="2024-01-13T23:49:00"/>
    <s v="email"/>
    <x v="0"/>
    <x v="0"/>
    <s v="Error when the API rate limit"/>
    <n v="85"/>
    <d v="2024-01-17T23:01:41"/>
    <b v="0"/>
    <n v="3"/>
  </r>
  <r>
    <s v="TK63932"/>
    <d v="2024-01-13T23:55:00"/>
    <s v="email"/>
    <x v="3"/>
    <x v="3"/>
    <s v="Issue with connecting the Snowflake sync"/>
    <n v="217"/>
    <d v="2024-01-21T11:55:50"/>
    <b v="0"/>
    <n v="5"/>
  </r>
  <r>
    <s v="TK60312"/>
    <d v="2024-01-14T00:07:00"/>
    <s v="in-app"/>
    <x v="1"/>
    <x v="1"/>
    <s v="Unable to downgrade my plan"/>
    <n v="288"/>
    <d v="2024-01-20T07:08:55"/>
    <b v="0"/>
    <n v="5"/>
  </r>
  <r>
    <s v="TK61284"/>
    <d v="2024-01-14T00:50:00"/>
    <s v="chat"/>
    <x v="2"/>
    <x v="1"/>
    <s v="Cannot the invoice for last month"/>
    <n v="33"/>
    <d v="2024-01-15T13:00:42"/>
    <b v="0"/>
    <n v="5"/>
  </r>
  <r>
    <s v="TK63009"/>
    <d v="2024-01-14T01:12:00"/>
    <s v="in-app"/>
    <x v="0"/>
    <x v="2"/>
    <s v="Question about log in after password reset"/>
    <n v="15"/>
    <d v="2024-01-14T03:36:55"/>
    <b v="1"/>
    <m/>
  </r>
  <r>
    <s v="TK61954"/>
    <d v="2024-01-14T01:38:00"/>
    <s v="chat"/>
    <x v="1"/>
    <x v="0"/>
    <s v="Cannot a refund for an annual plan"/>
    <n v="13"/>
    <d v="2024-01-16T23:56:12"/>
    <b v="0"/>
    <n v="5"/>
  </r>
  <r>
    <s v="TK62891"/>
    <d v="2024-01-14T04:02:00"/>
    <s v="email"/>
    <x v="4"/>
    <x v="1"/>
    <s v="Request to the API rate limit"/>
    <n v="368"/>
    <d v="2024-01-14T20:55:46"/>
    <b v="0"/>
    <m/>
  </r>
  <r>
    <s v="TK61068"/>
    <d v="2024-01-14T05:38:00"/>
    <s v="chat"/>
    <x v="1"/>
    <x v="1"/>
    <s v="Error when add a teammate"/>
    <n v="101"/>
    <d v="2024-01-14T18:26:29"/>
    <b v="0"/>
    <n v="3"/>
  </r>
  <r>
    <s v="TK60304"/>
    <d v="2024-01-14T11:18:00"/>
    <s v="email"/>
    <x v="1"/>
    <x v="1"/>
    <s v="Unable to the invoice for last month"/>
    <n v="39"/>
    <d v="2024-01-15T04:14:44"/>
    <b v="0"/>
    <m/>
  </r>
  <r>
    <s v="TK60633"/>
    <d v="2024-01-14T12:46:00"/>
    <s v="in-app"/>
    <x v="4"/>
    <x v="0"/>
    <s v="How do I webhook deliveries failing"/>
    <n v="136"/>
    <d v="2024-01-14T14:13:10"/>
    <b v="0"/>
    <n v="4"/>
  </r>
  <r>
    <s v="TK61739"/>
    <d v="2024-01-14T15:02:00"/>
    <s v="email"/>
    <x v="2"/>
    <x v="1"/>
    <s v="Request to the dashboard loading slowly"/>
    <n v="13"/>
    <d v="2024-01-18T06:03:37"/>
    <b v="0"/>
    <m/>
  </r>
  <r>
    <s v="TK60579"/>
    <d v="2024-01-14T15:13:00"/>
    <s v="email"/>
    <x v="0"/>
    <x v="1"/>
    <s v="Error when a duplicate charge"/>
    <n v="431"/>
    <d v="2024-01-15T14:33:48"/>
    <b v="0"/>
    <m/>
  </r>
  <r>
    <s v="TK63977"/>
    <d v="2024-01-14T17:42:00"/>
    <s v="phone"/>
    <x v="4"/>
    <x v="0"/>
    <s v="Unable to log in after password reset"/>
    <n v="139"/>
    <d v="2024-01-16T14:16:27"/>
    <b v="0"/>
    <m/>
  </r>
  <r>
    <s v="TK61349"/>
    <d v="2024-01-14T19:17:00"/>
    <s v="in-app"/>
    <x v="1"/>
    <x v="0"/>
    <s v="Issue with downgrade my plan"/>
    <n v="18"/>
    <d v="2024-01-15T01:27:16"/>
    <b v="0"/>
    <m/>
  </r>
  <r>
    <s v="TK61878"/>
    <d v="2024-01-14T21:52:00"/>
    <s v="email"/>
    <x v="2"/>
    <x v="3"/>
    <s v="Question about connecting the Snowflake sync"/>
    <n v="330"/>
    <d v="2024-01-15T11:56:50"/>
    <b v="0"/>
    <m/>
  </r>
  <r>
    <s v="TK63629"/>
    <d v="2024-01-14T22:48:00"/>
    <s v="email"/>
    <x v="1"/>
    <x v="2"/>
    <s v="Cannot a duplicate charge"/>
    <n v="27"/>
    <d v="2024-01-15T01:56:44"/>
    <b v="0"/>
    <m/>
  </r>
  <r>
    <s v="TK63979"/>
    <d v="2024-01-14T23:17:00"/>
    <s v="email"/>
    <x v="1"/>
    <x v="0"/>
    <s v="Issue with downgrade my plan"/>
    <n v="21"/>
    <m/>
    <b v="0"/>
    <m/>
  </r>
  <r>
    <s v="TK63576"/>
    <d v="2024-01-15T04:45:00"/>
    <s v="email"/>
    <x v="1"/>
    <x v="1"/>
    <s v="Request to a duplicate charge"/>
    <n v="77"/>
    <d v="2024-01-18T22:29:39"/>
    <b v="0"/>
    <n v="3"/>
  </r>
  <r>
    <s v="TK62649"/>
    <d v="2024-01-15T05:38:00"/>
    <s v="in-app"/>
    <x v="0"/>
    <x v="2"/>
    <s v="Error when two-factor authentication"/>
    <n v="5"/>
    <d v="2024-01-15T19:50:30"/>
    <b v="0"/>
    <m/>
  </r>
  <r>
    <s v="TK60015"/>
    <d v="2024-01-15T08:35:00"/>
    <s v="email"/>
    <x v="1"/>
    <x v="1"/>
    <s v="How do I a refund for an annual plan"/>
    <n v="124"/>
    <d v="2024-01-15T22:30:23"/>
    <b v="0"/>
    <m/>
  </r>
  <r>
    <s v="TK60224"/>
    <d v="2024-01-15T09:37:00"/>
    <s v="email"/>
    <x v="1"/>
    <x v="1"/>
    <s v="Cannot export my data"/>
    <n v="239"/>
    <d v="2024-01-15T23:23:22"/>
    <b v="0"/>
    <n v="3"/>
  </r>
  <r>
    <s v="TK62556"/>
    <d v="2024-01-15T13:01:00"/>
    <s v="in-app"/>
    <x v="4"/>
    <x v="1"/>
    <s v="Request to export my data"/>
    <n v="133"/>
    <d v="2024-01-16T01:48:16"/>
    <b v="0"/>
    <m/>
  </r>
  <r>
    <s v="TK61942"/>
    <d v="2024-01-15T14:10:00"/>
    <s v="email"/>
    <x v="3"/>
    <x v="3"/>
    <s v="Unable to the dashboard loading slowly"/>
    <n v="85"/>
    <d v="2024-01-16T17:50:35"/>
    <b v="0"/>
    <m/>
  </r>
  <r>
    <s v="TK61713"/>
    <d v="2024-01-15T14:24:00"/>
    <s v="email"/>
    <x v="0"/>
    <x v="3"/>
    <s v="How do I log in after password reset"/>
    <n v="122"/>
    <d v="2024-01-16T19:27:24"/>
    <b v="0"/>
    <m/>
  </r>
  <r>
    <s v="TK62830"/>
    <d v="2024-01-15T17:42:00"/>
    <s v="phone"/>
    <x v="2"/>
    <x v="1"/>
    <s v="Question about add a teammate"/>
    <n v="86"/>
    <d v="2024-01-15T21:19:36"/>
    <b v="0"/>
    <m/>
  </r>
  <r>
    <s v="TK63491"/>
    <d v="2024-01-15T20:19:00"/>
    <s v="phone"/>
    <x v="4"/>
    <x v="0"/>
    <s v="Cannot the dashboard loading slowly"/>
    <n v="189"/>
    <d v="2024-01-16T08:30:08"/>
    <b v="0"/>
    <n v="3"/>
  </r>
  <r>
    <s v="TK62345"/>
    <d v="2024-01-15T23:20:00"/>
    <s v="email"/>
    <x v="0"/>
    <x v="0"/>
    <s v="Unable to connecting the Snowflake sync"/>
    <n v="68"/>
    <d v="2024-01-16T11:34:55"/>
    <b v="0"/>
    <m/>
  </r>
  <r>
    <s v="TK63922"/>
    <d v="2024-01-16T00:23:00"/>
    <s v="phone"/>
    <x v="0"/>
    <x v="1"/>
    <s v="How do I export my data"/>
    <n v="138"/>
    <d v="2024-01-16T03:13:14"/>
    <b v="0"/>
    <m/>
  </r>
  <r>
    <s v="TK61402"/>
    <d v="2024-01-16T01:17:00"/>
    <s v="in-app"/>
    <x v="4"/>
    <x v="3"/>
    <s v="Error when add a teammate"/>
    <n v="396"/>
    <d v="2024-01-16T03:53:52"/>
    <b v="0"/>
    <m/>
  </r>
  <r>
    <s v="TK61024"/>
    <d v="2024-01-16T05:26:00"/>
    <s v="in-app"/>
    <x v="2"/>
    <x v="1"/>
    <s v="How do I a duplicate charge"/>
    <n v="70"/>
    <d v="2024-01-16T15:29:41"/>
    <b v="0"/>
    <m/>
  </r>
  <r>
    <s v="TK61326"/>
    <d v="2024-01-16T10:24:00"/>
    <s v="chat"/>
    <x v="0"/>
    <x v="0"/>
    <s v="Unable to the invoice for last month"/>
    <n v="52"/>
    <d v="2024-01-16T14:51:32"/>
    <b v="0"/>
    <m/>
  </r>
  <r>
    <s v="TK60737"/>
    <d v="2024-01-16T12:55:00"/>
    <s v="phone"/>
    <x v="3"/>
    <x v="1"/>
    <s v="Issue with add a teammate"/>
    <n v="65"/>
    <m/>
    <b v="0"/>
    <m/>
  </r>
  <r>
    <s v="TK60197"/>
    <d v="2024-01-16T13:35:00"/>
    <s v="in-app"/>
    <x v="0"/>
    <x v="0"/>
    <s v="Question about the dashboard loading slowly"/>
    <n v="25"/>
    <d v="2024-01-16T18:07:28"/>
    <b v="0"/>
    <m/>
  </r>
  <r>
    <s v="TK62271"/>
    <d v="2024-01-16T18:34:00"/>
    <s v="phone"/>
    <x v="3"/>
    <x v="1"/>
    <s v="Question about a duplicate charge"/>
    <n v="179"/>
    <d v="2024-01-26T01:22:35"/>
    <b v="0"/>
    <m/>
  </r>
  <r>
    <s v="TK60440"/>
    <d v="2024-01-16T23:44:00"/>
    <s v="chat"/>
    <x v="2"/>
    <x v="2"/>
    <s v="Unable to a refund for an annual plan"/>
    <n v="25"/>
    <d v="2024-01-17T05:28:29"/>
    <b v="0"/>
    <m/>
  </r>
  <r>
    <s v="TK63385"/>
    <d v="2024-01-17T03:47:00"/>
    <s v="phone"/>
    <x v="1"/>
    <x v="3"/>
    <s v="Question about webhook deliveries failing"/>
    <m/>
    <d v="2024-01-17T23:25:53"/>
    <b v="1"/>
    <m/>
  </r>
  <r>
    <s v="TK60124"/>
    <d v="2024-01-17T04:39:00"/>
    <s v="email"/>
    <x v="2"/>
    <x v="1"/>
    <s v="How do I webhook deliveries failing"/>
    <n v="117"/>
    <d v="2024-01-19T16:39:21"/>
    <b v="0"/>
    <m/>
  </r>
  <r>
    <s v="TK60045"/>
    <d v="2024-01-17T05:47:00"/>
    <s v="in-app"/>
    <x v="1"/>
    <x v="1"/>
    <s v="How do I downgrade my plan"/>
    <n v="152"/>
    <d v="2024-01-19T14:11:38"/>
    <b v="0"/>
    <m/>
  </r>
  <r>
    <s v="TK61089"/>
    <d v="2024-01-17T06:41:00"/>
    <s v="phone"/>
    <x v="1"/>
    <x v="1"/>
    <s v="Unable to the invoice for last month"/>
    <n v="96"/>
    <d v="2024-01-19T01:27:05"/>
    <b v="0"/>
    <m/>
  </r>
  <r>
    <s v="TK60572"/>
    <d v="2024-01-17T07:57:00"/>
    <s v="chat"/>
    <x v="1"/>
    <x v="3"/>
    <s v="How do I downgrade my plan"/>
    <n v="227"/>
    <d v="2024-01-21T05:04:12"/>
    <b v="0"/>
    <m/>
  </r>
  <r>
    <s v="TK61403"/>
    <d v="2024-01-17T08:21:00"/>
    <s v="in-app"/>
    <x v="1"/>
    <x v="1"/>
    <s v="Issue with a refund for an annual plan"/>
    <n v="41"/>
    <d v="2024-01-18T21:44:16"/>
    <b v="0"/>
    <n v="4"/>
  </r>
  <r>
    <s v="TK60705"/>
    <d v="2024-01-17T13:50:00"/>
    <s v="email"/>
    <x v="3"/>
    <x v="1"/>
    <s v="Error when log in after password reset"/>
    <n v="320"/>
    <d v="2024-01-20T23:16:21"/>
    <b v="0"/>
    <m/>
  </r>
  <r>
    <s v="TK63998"/>
    <d v="2024-01-17T18:28:00"/>
    <s v="email"/>
    <x v="0"/>
    <x v="1"/>
    <s v="Cannot webhook deliveries failing"/>
    <n v="270"/>
    <d v="2024-01-18T18:45:09"/>
    <b v="0"/>
    <n v="4"/>
  </r>
  <r>
    <s v="TK62270"/>
    <d v="2024-01-17T18:30:00"/>
    <s v="email"/>
    <x v="1"/>
    <x v="0"/>
    <s v="Request to a duplicate charge"/>
    <n v="59"/>
    <d v="2024-01-21T01:07:42"/>
    <b v="0"/>
    <n v="3"/>
  </r>
  <r>
    <s v="TK62827"/>
    <d v="2024-01-17T20:06:00"/>
    <s v="phone"/>
    <x v="3"/>
    <x v="3"/>
    <s v="Request to two-factor authentication"/>
    <n v="20"/>
    <d v="2024-01-18T14:44:26"/>
    <b v="0"/>
    <n v="4"/>
  </r>
  <r>
    <s v="TK62954"/>
    <d v="2024-01-17T21:39:00"/>
    <s v="email"/>
    <x v="2"/>
    <x v="0"/>
    <s v="Unable to a duplicate charge"/>
    <n v="99"/>
    <d v="2024-01-17T22:43:12"/>
    <b v="0"/>
    <m/>
  </r>
  <r>
    <s v="TK60138"/>
    <d v="2024-01-18T02:19:00"/>
    <s v="in-app"/>
    <x v="3"/>
    <x v="1"/>
    <s v="Cannot export my data"/>
    <n v="85"/>
    <d v="2024-01-21T21:55:58"/>
    <b v="0"/>
    <n v="5"/>
  </r>
  <r>
    <s v="TK62789"/>
    <d v="2024-01-18T02:56:00"/>
    <s v="chat"/>
    <x v="1"/>
    <x v="0"/>
    <s v="Unable to export my data"/>
    <n v="48"/>
    <d v="2024-01-18T20:32:13"/>
    <b v="0"/>
    <m/>
  </r>
  <r>
    <s v="TK60995"/>
    <d v="2024-01-18T03:39:00"/>
    <s v="phone"/>
    <x v="2"/>
    <x v="0"/>
    <s v="Unable to the invoice for last month"/>
    <n v="46"/>
    <d v="2024-01-19T03:08:34"/>
    <b v="0"/>
    <n v="3"/>
  </r>
  <r>
    <s v="TK62966"/>
    <d v="2024-01-18T06:18:00"/>
    <s v="phone"/>
    <x v="1"/>
    <x v="1"/>
    <s v="Error when a duplicate charge"/>
    <n v="206"/>
    <d v="2024-01-23T11:15:10"/>
    <b v="0"/>
    <n v="4"/>
  </r>
  <r>
    <s v="TK63755"/>
    <d v="2024-01-18T07:38:00"/>
    <s v="email"/>
    <x v="0"/>
    <x v="1"/>
    <s v="Cannot the invoice for last month"/>
    <n v="115"/>
    <d v="2024-01-18T18:14:15"/>
    <b v="0"/>
    <n v="5"/>
  </r>
  <r>
    <s v="TK63982"/>
    <d v="2024-01-18T08:49:00"/>
    <s v="phone"/>
    <x v="1"/>
    <x v="3"/>
    <s v="Request to the API rate limit"/>
    <n v="932"/>
    <d v="2024-01-21T21:11:47"/>
    <b v="0"/>
    <m/>
  </r>
  <r>
    <s v="TK62449"/>
    <d v="2024-01-18T12:56:00"/>
    <s v="in-app"/>
    <x v="0"/>
    <x v="1"/>
    <s v="Request to add a teammate"/>
    <n v="281"/>
    <d v="2024-01-21T14:56:54"/>
    <b v="0"/>
    <m/>
  </r>
  <r>
    <s v="TK60150"/>
    <d v="2024-01-18T14:49:00"/>
    <s v="email"/>
    <x v="1"/>
    <x v="0"/>
    <s v="Error when export my data"/>
    <n v="18"/>
    <d v="2024-01-19T18:40:36"/>
    <b v="0"/>
    <m/>
  </r>
  <r>
    <s v="TK63356"/>
    <d v="2024-01-18T22:55:00"/>
    <s v="email"/>
    <x v="0"/>
    <x v="1"/>
    <s v="Unable to webhook deliveries failing"/>
    <n v="66"/>
    <d v="2024-01-28T20:37:18"/>
    <b v="0"/>
    <m/>
  </r>
  <r>
    <s v="TK61103"/>
    <d v="2024-01-18T23:30:00"/>
    <s v="email"/>
    <x v="0"/>
    <x v="1"/>
    <s v="Request to a refund for an annual plan"/>
    <n v="74"/>
    <d v="2024-01-19T21:23:25"/>
    <b v="0"/>
    <m/>
  </r>
  <r>
    <s v="TK63910"/>
    <d v="2024-01-19T00:19:00"/>
    <s v="in-app"/>
    <x v="0"/>
    <x v="2"/>
    <s v="How do I the dashboard loading slowly"/>
    <n v="21"/>
    <d v="2024-01-19T02:54:08"/>
    <b v="0"/>
    <m/>
  </r>
  <r>
    <s v="TK61550"/>
    <d v="2024-01-19T01:14:00"/>
    <s v="in-app"/>
    <x v="2"/>
    <x v="0"/>
    <s v="Question about a refund for an annual plan"/>
    <n v="34"/>
    <d v="2024-01-20T00:17:49"/>
    <b v="0"/>
    <m/>
  </r>
  <r>
    <s v="TK63667"/>
    <d v="2024-01-19T03:20:00"/>
    <s v="chat"/>
    <x v="2"/>
    <x v="0"/>
    <s v="How do I the API rate limit"/>
    <n v="18"/>
    <d v="2024-01-19T08:28:43"/>
    <b v="0"/>
    <n v="2"/>
  </r>
  <r>
    <s v="TK60037"/>
    <d v="2024-01-19T03:33:00"/>
    <s v="phone"/>
    <x v="3"/>
    <x v="0"/>
    <s v="Cannot export my data"/>
    <n v="86"/>
    <d v="2024-01-19T08:26:31"/>
    <b v="0"/>
    <m/>
  </r>
  <r>
    <s v="TK60791"/>
    <d v="2024-01-19T08:37:00"/>
    <s v="email"/>
    <x v="3"/>
    <x v="1"/>
    <s v="Error when the API rate limit"/>
    <n v="163"/>
    <d v="2024-01-20T04:47:21"/>
    <b v="0"/>
    <m/>
  </r>
  <r>
    <s v="TK63085"/>
    <d v="2024-01-19T08:57:00"/>
    <s v="email"/>
    <x v="4"/>
    <x v="3"/>
    <s v="How do I downgrade my plan"/>
    <n v="379"/>
    <d v="2024-01-21T13:54:33"/>
    <b v="0"/>
    <m/>
  </r>
  <r>
    <s v="TK63911"/>
    <d v="2024-01-19T09:40:00"/>
    <s v="chat"/>
    <x v="3"/>
    <x v="3"/>
    <s v="Cannot webhook deliveries failing"/>
    <n v="152"/>
    <d v="2024-01-22T18:50:39"/>
    <b v="0"/>
    <m/>
  </r>
  <r>
    <s v="TK61787"/>
    <d v="2024-01-19T13:48:00"/>
    <s v="chat"/>
    <x v="3"/>
    <x v="0"/>
    <s v="Error when two-factor authentication"/>
    <n v="63"/>
    <d v="2024-01-21T14:46:05"/>
    <b v="0"/>
    <m/>
  </r>
  <r>
    <s v="TK61969"/>
    <d v="2024-01-19T14:41:00"/>
    <s v="email"/>
    <x v="0"/>
    <x v="3"/>
    <s v="Unable to a duplicate charge"/>
    <n v="414"/>
    <d v="2024-01-21T03:26:36"/>
    <b v="0"/>
    <n v="3"/>
  </r>
  <r>
    <s v="TK63750"/>
    <d v="2024-01-19T16:58:00"/>
    <s v="email"/>
    <x v="0"/>
    <x v="1"/>
    <s v="Cannot export my data"/>
    <n v="34"/>
    <d v="2024-01-20T06:47:26"/>
    <b v="0"/>
    <m/>
  </r>
  <r>
    <s v="TK61935"/>
    <d v="2024-01-19T18:19:00"/>
    <s v="in-app"/>
    <x v="1"/>
    <x v="0"/>
    <s v="How do I a refund for an annual plan"/>
    <n v="114"/>
    <d v="2024-01-20T08:30:58"/>
    <b v="0"/>
    <m/>
  </r>
  <r>
    <s v="TK62865"/>
    <d v="2024-01-19T18:39:00"/>
    <s v="email"/>
    <x v="1"/>
    <x v="3"/>
    <s v="Cannot the dashboard loading slowly"/>
    <n v="160"/>
    <d v="2024-01-26T19:22:31"/>
    <b v="0"/>
    <n v="5"/>
  </r>
  <r>
    <s v="TK62151"/>
    <d v="2024-01-19T20:44:00"/>
    <s v="phone"/>
    <x v="1"/>
    <x v="3"/>
    <s v="Question about connecting the Snowflake sync"/>
    <n v="322"/>
    <d v="2024-01-21T11:32:59"/>
    <b v="0"/>
    <m/>
  </r>
  <r>
    <s v="TK63791"/>
    <d v="2024-01-19T20:53:00"/>
    <s v="in-app"/>
    <x v="4"/>
    <x v="1"/>
    <s v="Unable to add a teammate"/>
    <n v="13"/>
    <d v="2024-01-20T20:08:23"/>
    <b v="0"/>
    <m/>
  </r>
  <r>
    <s v="TK62332"/>
    <d v="2024-01-19T22:25:00"/>
    <s v="in-app"/>
    <x v="2"/>
    <x v="3"/>
    <s v="Cannot a duplicate charge"/>
    <n v="1732"/>
    <d v="2024-01-21T01:14:24"/>
    <b v="0"/>
    <m/>
  </r>
  <r>
    <s v="TK63587"/>
    <d v="2024-01-20T03:24:00"/>
    <s v="in-app"/>
    <x v="1"/>
    <x v="3"/>
    <s v="Cannot downgrade my plan"/>
    <m/>
    <d v="2024-01-23T02:31:16"/>
    <b v="0"/>
    <m/>
  </r>
  <r>
    <s v="TK63177"/>
    <d v="2024-01-20T04:42:00"/>
    <s v="email"/>
    <x v="1"/>
    <x v="1"/>
    <s v="How do I the invoice for last month"/>
    <n v="47"/>
    <d v="2024-01-25T02:16:35"/>
    <b v="0"/>
    <m/>
  </r>
  <r>
    <s v="TK61837"/>
    <d v="2024-01-20T05:29:00"/>
    <s v="in-app"/>
    <x v="4"/>
    <x v="1"/>
    <s v="Cannot a refund for an annual plan"/>
    <n v="67"/>
    <d v="2024-01-22T10:33:44"/>
    <b v="0"/>
    <m/>
  </r>
  <r>
    <s v="TK63993"/>
    <d v="2024-01-20T05:38:00"/>
    <s v="in-app"/>
    <x v="0"/>
    <x v="0"/>
    <s v="Unable to the invoice for last month"/>
    <n v="23"/>
    <d v="2024-01-20T08:56:54"/>
    <b v="0"/>
    <m/>
  </r>
  <r>
    <s v="TK62850"/>
    <d v="2024-01-20T06:07:00"/>
    <s v="email"/>
    <x v="4"/>
    <x v="2"/>
    <s v="Issue with the API rate limit"/>
    <n v="19"/>
    <d v="2024-01-20T08:58:38"/>
    <b v="0"/>
    <m/>
  </r>
  <r>
    <s v="TK62380"/>
    <d v="2024-01-20T07:15:00"/>
    <s v="in-app"/>
    <x v="1"/>
    <x v="1"/>
    <s v="How do I export my data"/>
    <n v="14"/>
    <d v="2024-01-22T09:45:47"/>
    <b v="0"/>
    <n v="4"/>
  </r>
  <r>
    <s v="TK60779"/>
    <d v="2024-01-20T10:23:00"/>
    <s v="in-app"/>
    <x v="1"/>
    <x v="2"/>
    <s v="Request to the API rate limit"/>
    <n v="9"/>
    <d v="2024-01-22T20:54:44"/>
    <b v="0"/>
    <m/>
  </r>
  <r>
    <s v="TK60951"/>
    <d v="2024-01-20T13:40:00"/>
    <s v="email"/>
    <x v="3"/>
    <x v="1"/>
    <s v="Error when webhook deliveries failing"/>
    <n v="265"/>
    <d v="2024-01-20T21:17:01"/>
    <b v="0"/>
    <n v="5"/>
  </r>
  <r>
    <s v="TK60532"/>
    <d v="2024-01-20T14:29:00"/>
    <s v="in-app"/>
    <x v="1"/>
    <x v="1"/>
    <s v="Issue with webhook deliveries failing"/>
    <n v="90"/>
    <d v="2024-01-22T14:14:02"/>
    <b v="0"/>
    <m/>
  </r>
  <r>
    <s v="TK61845"/>
    <d v="2024-01-20T14:36:00"/>
    <s v="email"/>
    <x v="4"/>
    <x v="3"/>
    <s v="Unable to a duplicate charge"/>
    <n v="46"/>
    <d v="2024-01-20T16:08:38"/>
    <b v="0"/>
    <m/>
  </r>
  <r>
    <s v="TK63934"/>
    <d v="2024-01-20T15:42:00"/>
    <s v="chat"/>
    <x v="4"/>
    <x v="3"/>
    <s v="Request to export my data"/>
    <n v="125"/>
    <d v="2024-01-28T03:50:11"/>
    <b v="0"/>
    <m/>
  </r>
  <r>
    <s v="TK63039"/>
    <d v="2024-01-20T16:00:00"/>
    <s v="email"/>
    <x v="2"/>
    <x v="0"/>
    <s v="Cannot add a teammate"/>
    <n v="18"/>
    <d v="2024-01-23T11:50:40"/>
    <b v="0"/>
    <n v="5"/>
  </r>
  <r>
    <s v="TK60295"/>
    <d v="2024-01-20T19:23:00"/>
    <s v="phone"/>
    <x v="1"/>
    <x v="1"/>
    <s v="Error when a refund for an annual plan"/>
    <n v="119"/>
    <m/>
    <b v="0"/>
    <m/>
  </r>
  <r>
    <s v="TK60769"/>
    <d v="2024-01-20T21:57:00"/>
    <s v="chat"/>
    <x v="4"/>
    <x v="1"/>
    <s v="Issue with export my data"/>
    <n v="167"/>
    <d v="2024-01-21T07:55:11"/>
    <b v="0"/>
    <m/>
  </r>
  <r>
    <s v="TK63349"/>
    <d v="2024-01-20T22:12:00"/>
    <s v="in-app"/>
    <x v="1"/>
    <x v="1"/>
    <s v="Error when two-factor authentication"/>
    <n v="35"/>
    <d v="2024-01-22T05:48:55"/>
    <b v="0"/>
    <n v="4"/>
  </r>
  <r>
    <s v="TK60550"/>
    <d v="2024-01-21T00:13:00"/>
    <s v="in-app"/>
    <x v="1"/>
    <x v="0"/>
    <s v="Request to export my data"/>
    <n v="47"/>
    <d v="2024-01-21T14:50:37"/>
    <b v="0"/>
    <n v="1"/>
  </r>
  <r>
    <s v="TK60853"/>
    <d v="2024-01-21T01:26:00"/>
    <s v="chat"/>
    <x v="1"/>
    <x v="0"/>
    <s v="Issue with the invoice for last month"/>
    <n v="102"/>
    <m/>
    <b v="0"/>
    <m/>
  </r>
  <r>
    <s v="TK63026"/>
    <d v="2024-01-21T03:28:00"/>
    <s v="chat"/>
    <x v="4"/>
    <x v="3"/>
    <s v="Error when the API rate limit"/>
    <n v="580"/>
    <d v="2024-01-21T09:28:12"/>
    <b v="1"/>
    <m/>
  </r>
  <r>
    <s v="TK61460"/>
    <d v="2024-01-21T04:58:00"/>
    <s v="email"/>
    <x v="0"/>
    <x v="1"/>
    <s v="Unable to add a teammate"/>
    <n v="62"/>
    <d v="2024-01-21T12:09:32"/>
    <b v="0"/>
    <n v="4"/>
  </r>
  <r>
    <s v="TK61347"/>
    <d v="2024-01-21T05:03:00"/>
    <s v="email"/>
    <x v="2"/>
    <x v="1"/>
    <s v="How do I log in after password reset"/>
    <n v="110"/>
    <d v="2024-01-21T23:42:23"/>
    <b v="0"/>
    <m/>
  </r>
  <r>
    <s v="TK63899"/>
    <d v="2024-01-21T05:06:00"/>
    <s v="email"/>
    <x v="3"/>
    <x v="2"/>
    <s v="Request to downgrade my plan"/>
    <n v="59"/>
    <d v="2024-01-21T10:42:37"/>
    <b v="0"/>
    <n v="5"/>
  </r>
  <r>
    <s v="TK62681"/>
    <d v="2024-01-21T07:57:00"/>
    <s v="chat"/>
    <x v="4"/>
    <x v="1"/>
    <s v="Error when the API rate limit"/>
    <n v="125"/>
    <d v="2024-01-21T16:03:09"/>
    <b v="0"/>
    <n v="2"/>
  </r>
  <r>
    <s v="TK61003"/>
    <d v="2024-01-21T08:42:00"/>
    <s v="email"/>
    <x v="4"/>
    <x v="1"/>
    <s v="Request to the dashboard loading slowly"/>
    <n v="123"/>
    <d v="2024-01-27T10:12:50"/>
    <b v="0"/>
    <n v="5"/>
  </r>
  <r>
    <s v="TK62636"/>
    <d v="2024-01-21T12:13:00"/>
    <s v="chat"/>
    <x v="4"/>
    <x v="0"/>
    <s v="Error when two-factor authentication"/>
    <n v="93"/>
    <d v="2024-01-21T23:49:17"/>
    <b v="0"/>
    <n v="5"/>
  </r>
  <r>
    <s v="TK60852"/>
    <d v="2024-01-21T14:10:00"/>
    <s v="email"/>
    <x v="1"/>
    <x v="3"/>
    <s v="Error when the dashboard loading slowly"/>
    <n v="1211"/>
    <d v="2024-01-22T08:56:26"/>
    <b v="0"/>
    <n v="2"/>
  </r>
  <r>
    <s v="TK60020"/>
    <d v="2024-01-21T16:30:00"/>
    <s v="chat"/>
    <x v="4"/>
    <x v="1"/>
    <s v="Unable to webhook deliveries failing"/>
    <n v="52"/>
    <d v="2024-01-23T13:10:59"/>
    <b v="0"/>
    <m/>
  </r>
  <r>
    <s v="TK61972"/>
    <d v="2024-01-21T17:32:00"/>
    <s v="email"/>
    <x v="3"/>
    <x v="0"/>
    <s v="Cannot export my data"/>
    <n v="20"/>
    <d v="2024-01-22T11:33:48"/>
    <b v="0"/>
    <m/>
  </r>
  <r>
    <s v="TK61702"/>
    <d v="2024-01-21T21:31:00"/>
    <s v="in-app"/>
    <x v="4"/>
    <x v="0"/>
    <s v="Unable to two-factor authentication"/>
    <n v="34"/>
    <d v="2024-01-22T06:03:07"/>
    <b v="0"/>
    <m/>
  </r>
  <r>
    <s v="TK63304"/>
    <d v="2024-01-21T22:33:00"/>
    <s v="chat"/>
    <x v="4"/>
    <x v="0"/>
    <s v="Unable to downgrade my plan"/>
    <n v="173"/>
    <d v="2024-01-22T02:55:46"/>
    <b v="0"/>
    <m/>
  </r>
  <r>
    <s v="TK63361"/>
    <d v="2024-01-22T01:07:00"/>
    <s v="email"/>
    <x v="1"/>
    <x v="1"/>
    <s v="Request to the invoice for last month"/>
    <n v="55"/>
    <d v="2024-01-24T12:06:27"/>
    <b v="0"/>
    <m/>
  </r>
  <r>
    <s v="TK63519"/>
    <d v="2024-01-22T02:58:00"/>
    <s v="chat"/>
    <x v="4"/>
    <x v="1"/>
    <s v="Question about webhook deliveries failing"/>
    <n v="66"/>
    <d v="2024-01-22T04:08:17"/>
    <b v="0"/>
    <m/>
  </r>
  <r>
    <s v="TK60186"/>
    <d v="2024-01-22T04:12:00"/>
    <s v="in-app"/>
    <x v="0"/>
    <x v="3"/>
    <s v="Unable to a duplicate charge"/>
    <n v="1296"/>
    <d v="2024-01-22T19:31:09"/>
    <b v="0"/>
    <m/>
  </r>
  <r>
    <s v="TK62564"/>
    <d v="2024-01-22T06:27:00"/>
    <s v="in-app"/>
    <x v="1"/>
    <x v="3"/>
    <s v="Request to connecting the Snowflake sync"/>
    <n v="17"/>
    <d v="2024-01-29T12:04:48"/>
    <b v="0"/>
    <m/>
  </r>
  <r>
    <s v="TK63030"/>
    <d v="2024-01-22T06:39:00"/>
    <s v="chat"/>
    <x v="4"/>
    <x v="0"/>
    <s v="Cannot a refund for an annual plan"/>
    <n v="89"/>
    <d v="2024-01-22T10:57:46"/>
    <b v="0"/>
    <n v="5"/>
  </r>
  <r>
    <s v="TK61474"/>
    <d v="2024-01-22T08:43:00"/>
    <s v="email"/>
    <x v="3"/>
    <x v="0"/>
    <s v="Question about two-factor authentication"/>
    <n v="180"/>
    <m/>
    <b v="0"/>
    <m/>
  </r>
  <r>
    <s v="TK62351"/>
    <d v="2024-01-22T09:30:00"/>
    <s v="chat"/>
    <x v="4"/>
    <x v="3"/>
    <s v="Unable to add a teammate"/>
    <n v="61"/>
    <d v="2024-01-22T18:11:59"/>
    <b v="0"/>
    <m/>
  </r>
  <r>
    <s v="TK63362"/>
    <d v="2024-01-22T09:37:00"/>
    <s v="chat"/>
    <x v="0"/>
    <x v="0"/>
    <s v="Request to a duplicate charge"/>
    <n v="114"/>
    <d v="2024-01-22T11:27:01"/>
    <b v="0"/>
    <m/>
  </r>
  <r>
    <s v="TK60478"/>
    <d v="2024-01-22T12:06:00"/>
    <s v="chat"/>
    <x v="3"/>
    <x v="0"/>
    <s v="How do I connecting the Snowflake sync"/>
    <n v="209"/>
    <m/>
    <b v="0"/>
    <m/>
  </r>
  <r>
    <s v="TK60941"/>
    <d v="2024-01-22T13:02:00"/>
    <s v="in-app"/>
    <x v="2"/>
    <x v="3"/>
    <s v="Question about add a teammate"/>
    <n v="43"/>
    <d v="2024-01-27T03:38:32"/>
    <b v="0"/>
    <m/>
  </r>
  <r>
    <s v="TK63612"/>
    <d v="2024-01-22T16:16:00"/>
    <s v="in-app"/>
    <x v="3"/>
    <x v="1"/>
    <s v="Question about webhook deliveries failing"/>
    <n v="251"/>
    <d v="2024-01-22T23:08:45"/>
    <b v="0"/>
    <n v="4"/>
  </r>
  <r>
    <s v="TK62520"/>
    <d v="2024-01-22T17:00:00"/>
    <s v="chat"/>
    <x v="1"/>
    <x v="3"/>
    <s v="Error when downgrade my plan"/>
    <n v="44"/>
    <d v="2024-01-23T16:09:02"/>
    <b v="0"/>
    <n v="1"/>
  </r>
  <r>
    <s v="TK62065"/>
    <d v="2024-01-22T19:40:00"/>
    <s v="email"/>
    <x v="1"/>
    <x v="1"/>
    <s v="Issue with log in after password reset"/>
    <n v="513"/>
    <d v="2024-01-23T11:19:59"/>
    <b v="1"/>
    <n v="4"/>
  </r>
  <r>
    <s v="TK61223"/>
    <d v="2024-01-22T21:02:00"/>
    <s v="chat"/>
    <x v="1"/>
    <x v="1"/>
    <s v="Cannot the dashboard loading slowly"/>
    <n v="161"/>
    <d v="2024-01-23T05:39:06"/>
    <b v="0"/>
    <n v="3"/>
  </r>
  <r>
    <s v="TK63537"/>
    <d v="2024-01-22T21:25:00"/>
    <s v="chat"/>
    <x v="2"/>
    <x v="2"/>
    <s v="Error when the dashboard loading slowly"/>
    <n v="19"/>
    <d v="2024-01-22T23:12:51"/>
    <b v="0"/>
    <m/>
  </r>
  <r>
    <s v="TK63459"/>
    <d v="2024-01-22T21:54:00"/>
    <s v="chat"/>
    <x v="0"/>
    <x v="2"/>
    <s v="Error when the invoice for last month"/>
    <n v="14"/>
    <d v="2024-01-23T01:47:07"/>
    <b v="0"/>
    <m/>
  </r>
  <r>
    <s v="TK60547"/>
    <d v="2024-01-23T00:32:00"/>
    <s v="chat"/>
    <x v="2"/>
    <x v="1"/>
    <s v="Request to log in after password reset"/>
    <n v="301"/>
    <d v="2024-01-23T10:42:04"/>
    <b v="1"/>
    <m/>
  </r>
  <r>
    <s v="TK63846"/>
    <d v="2024-01-23T01:04:00"/>
    <s v="in-app"/>
    <x v="4"/>
    <x v="0"/>
    <s v="How do I connecting the Snowflake sync"/>
    <n v="21"/>
    <d v="2024-01-24T05:22:46"/>
    <b v="0"/>
    <m/>
  </r>
  <r>
    <s v="TK62497"/>
    <d v="2024-01-23T03:44:00"/>
    <s v="chat"/>
    <x v="2"/>
    <x v="0"/>
    <s v="Cannot a refund for an annual plan"/>
    <n v="30"/>
    <d v="2024-01-23T14:22:01"/>
    <b v="0"/>
    <m/>
  </r>
  <r>
    <s v="TK61604"/>
    <d v="2024-01-23T04:23:00"/>
    <s v="in-app"/>
    <x v="1"/>
    <x v="3"/>
    <s v="Issue with the dashboard loading slowly"/>
    <n v="791"/>
    <d v="2024-01-24T00:14:12"/>
    <b v="0"/>
    <n v="4"/>
  </r>
  <r>
    <s v="TK60721"/>
    <d v="2024-01-23T05:23:00"/>
    <s v="email"/>
    <x v="1"/>
    <x v="1"/>
    <s v="Error when downgrade my plan"/>
    <n v="425"/>
    <d v="2024-01-31T17:28:39"/>
    <b v="0"/>
    <n v="4"/>
  </r>
  <r>
    <s v="TK60170"/>
    <d v="2024-01-23T06:24:00"/>
    <s v="chat"/>
    <x v="3"/>
    <x v="3"/>
    <s v="How do I a duplicate charge"/>
    <n v="387"/>
    <m/>
    <b v="0"/>
    <m/>
  </r>
  <r>
    <s v="TK61467"/>
    <d v="2024-01-23T06:52:00"/>
    <s v="phone"/>
    <x v="1"/>
    <x v="1"/>
    <s v="Unable to webhook deliveries failing"/>
    <n v="34"/>
    <d v="2024-01-24T11:07:58"/>
    <b v="0"/>
    <n v="5"/>
  </r>
  <r>
    <s v="TK63526"/>
    <d v="2024-01-23T15:37:00"/>
    <s v="email"/>
    <x v="0"/>
    <x v="3"/>
    <s v="Issue with the API rate limit"/>
    <n v="148"/>
    <m/>
    <b v="0"/>
    <m/>
  </r>
  <r>
    <s v="TK62845"/>
    <d v="2024-01-23T18:27:00"/>
    <s v="in-app"/>
    <x v="2"/>
    <x v="1"/>
    <s v="Cannot export my data"/>
    <n v="89"/>
    <d v="2024-01-23T23:45:52"/>
    <b v="0"/>
    <m/>
  </r>
  <r>
    <s v="TK62218"/>
    <d v="2024-01-23T20:11:00"/>
    <s v="in-app"/>
    <x v="3"/>
    <x v="1"/>
    <s v="Issue with the invoice for last month"/>
    <n v="27"/>
    <d v="2024-01-25T23:40:21"/>
    <b v="0"/>
    <m/>
  </r>
  <r>
    <s v="TK62409"/>
    <d v="2024-01-23T22:49:00"/>
    <s v="email"/>
    <x v="2"/>
    <x v="1"/>
    <s v="How do I the invoice for last month"/>
    <n v="24"/>
    <d v="2024-01-24T23:23:02"/>
    <b v="1"/>
    <m/>
  </r>
  <r>
    <s v="TK61092"/>
    <d v="2024-01-23T23:46:00"/>
    <s v="phone"/>
    <x v="1"/>
    <x v="3"/>
    <s v="Issue with downgrade my plan"/>
    <n v="386"/>
    <d v="2024-02-01T06:18:06"/>
    <b v="0"/>
    <m/>
  </r>
  <r>
    <s v="TK62350"/>
    <d v="2024-01-24T02:10:00"/>
    <s v="chat"/>
    <x v="4"/>
    <x v="3"/>
    <s v="Error when connecting the Snowflake sync"/>
    <n v="711"/>
    <d v="2024-01-26T01:42:19"/>
    <b v="0"/>
    <m/>
  </r>
  <r>
    <s v="TK62319"/>
    <d v="2024-01-24T07:01:00"/>
    <s v="in-app"/>
    <x v="0"/>
    <x v="2"/>
    <s v="Error when a refund for an annual plan"/>
    <n v="20"/>
    <d v="2024-01-24T08:13:01"/>
    <b v="0"/>
    <m/>
  </r>
  <r>
    <s v="TK62739"/>
    <d v="2024-01-24T08:57:00"/>
    <s v="email"/>
    <x v="4"/>
    <x v="1"/>
    <s v="Request to connecting the Snowflake sync"/>
    <n v="213"/>
    <d v="2024-01-27T12:43:49"/>
    <b v="0"/>
    <m/>
  </r>
  <r>
    <s v="TK62617"/>
    <d v="2024-01-24T09:42:00"/>
    <s v="in-app"/>
    <x v="1"/>
    <x v="3"/>
    <s v="Unable to downgrade my plan"/>
    <n v="480"/>
    <d v="2024-01-25T20:12:09"/>
    <b v="0"/>
    <n v="2"/>
  </r>
  <r>
    <s v="TK60683"/>
    <d v="2024-01-24T10:06:00"/>
    <s v="in-app"/>
    <x v="3"/>
    <x v="0"/>
    <s v="Issue with the invoice for last month"/>
    <n v="118"/>
    <d v="2024-01-25T00:22:32"/>
    <b v="0"/>
    <n v="5"/>
  </r>
  <r>
    <s v="TK60063"/>
    <d v="2024-01-24T10:17:00"/>
    <s v="email"/>
    <x v="0"/>
    <x v="0"/>
    <s v="How do I a refund for an annual plan"/>
    <n v="66"/>
    <d v="2024-01-24T22:46:52"/>
    <b v="0"/>
    <m/>
  </r>
  <r>
    <s v="TK61473"/>
    <d v="2024-01-24T13:43:00"/>
    <s v="email"/>
    <x v="1"/>
    <x v="0"/>
    <s v="Question about two-factor authentication"/>
    <n v="100"/>
    <d v="2024-01-25T15:29:29"/>
    <b v="0"/>
    <m/>
  </r>
  <r>
    <s v="TK63042"/>
    <d v="2024-01-24T14:49:00"/>
    <s v="email"/>
    <x v="2"/>
    <x v="1"/>
    <s v="Question about downgrade my plan"/>
    <n v="86"/>
    <d v="2024-01-25T01:39:09"/>
    <b v="0"/>
    <n v="5"/>
  </r>
  <r>
    <s v="TK62998"/>
    <d v="2024-01-24T15:35:00"/>
    <s v="email"/>
    <x v="1"/>
    <x v="1"/>
    <s v="How do I the API rate limit"/>
    <n v="51"/>
    <d v="2024-01-26T04:52:55"/>
    <b v="0"/>
    <n v="5"/>
  </r>
  <r>
    <s v="TK63830"/>
    <d v="2024-01-24T16:03:00"/>
    <s v="email"/>
    <x v="0"/>
    <x v="1"/>
    <s v="Unable to log in after password reset"/>
    <n v="25"/>
    <m/>
    <b v="0"/>
    <m/>
  </r>
  <r>
    <s v="TK62794"/>
    <d v="2024-01-25T05:10:00"/>
    <s v="phone"/>
    <x v="2"/>
    <x v="1"/>
    <s v="How do I the invoice for last month"/>
    <n v="209"/>
    <d v="2024-01-26T03:56:19"/>
    <b v="0"/>
    <m/>
  </r>
  <r>
    <s v="TK62804"/>
    <d v="2024-01-25T05:28:00"/>
    <s v="in-app"/>
    <x v="1"/>
    <x v="0"/>
    <s v="Question about the invoice for last month"/>
    <n v="7"/>
    <d v="2024-01-25T15:26:17"/>
    <b v="0"/>
    <n v="5"/>
  </r>
  <r>
    <s v="TK60113"/>
    <d v="2024-01-25T06:19:00"/>
    <s v="chat"/>
    <x v="3"/>
    <x v="1"/>
    <s v="How do I the invoice for last month"/>
    <n v="99"/>
    <d v="2024-01-26T19:13:20"/>
    <b v="0"/>
    <m/>
  </r>
  <r>
    <s v="TK61423"/>
    <d v="2024-01-25T06:24:00"/>
    <s v="in-app"/>
    <x v="2"/>
    <x v="0"/>
    <s v="Question about log in after password reset"/>
    <m/>
    <d v="2024-01-25T16:37:36"/>
    <b v="0"/>
    <m/>
  </r>
  <r>
    <s v="TK62611"/>
    <d v="2024-01-25T12:25:00"/>
    <s v="phone"/>
    <x v="2"/>
    <x v="3"/>
    <s v="Cannot downgrade my plan"/>
    <n v="123"/>
    <d v="2024-01-26T07:43:35"/>
    <b v="0"/>
    <n v="3"/>
  </r>
  <r>
    <s v="TK60321"/>
    <d v="2024-01-25T12:32:00"/>
    <s v="email"/>
    <x v="1"/>
    <x v="3"/>
    <s v="Question about add a teammate"/>
    <n v="42"/>
    <d v="2024-01-30T23:35:30"/>
    <b v="0"/>
    <m/>
  </r>
  <r>
    <s v="TK63106"/>
    <d v="2024-01-25T13:25:00"/>
    <s v="phone"/>
    <x v="1"/>
    <x v="0"/>
    <s v="Unable to the invoice for last month"/>
    <n v="25"/>
    <d v="2024-01-25T16:01:59"/>
    <b v="0"/>
    <m/>
  </r>
  <r>
    <s v="TK62772"/>
    <d v="2024-01-25T15:21:00"/>
    <s v="email"/>
    <x v="4"/>
    <x v="1"/>
    <s v="Question about downgrade my plan"/>
    <n v="110"/>
    <d v="2024-01-25T21:32:40"/>
    <b v="0"/>
    <m/>
  </r>
  <r>
    <s v="TK60638"/>
    <d v="2024-01-25T16:20:00"/>
    <s v="email"/>
    <x v="2"/>
    <x v="3"/>
    <s v="Question about a duplicate charge"/>
    <n v="59"/>
    <d v="2024-01-27T06:44:46"/>
    <b v="0"/>
    <n v="1"/>
  </r>
  <r>
    <s v="TK61268"/>
    <d v="2024-01-25T20:05:00"/>
    <s v="email"/>
    <x v="1"/>
    <x v="3"/>
    <s v="Request to the invoice for last month"/>
    <n v="129"/>
    <d v="2024-01-26T13:26:56"/>
    <b v="0"/>
    <m/>
  </r>
  <r>
    <s v="TK60770"/>
    <d v="2024-01-25T20:38:00"/>
    <s v="email"/>
    <x v="0"/>
    <x v="3"/>
    <s v="Question about the dashboard loading slowly"/>
    <n v="308"/>
    <d v="2024-01-26T15:58:29"/>
    <b v="0"/>
    <n v="3"/>
  </r>
  <r>
    <s v="TK61040"/>
    <d v="2024-01-25T21:02:00"/>
    <s v="email"/>
    <x v="2"/>
    <x v="1"/>
    <s v="Request to add a teammate"/>
    <n v="34"/>
    <d v="2024-01-26T10:32:19"/>
    <b v="0"/>
    <m/>
  </r>
  <r>
    <s v="TK63087"/>
    <d v="2024-01-25T22:47:00"/>
    <s v="in-app"/>
    <x v="3"/>
    <x v="1"/>
    <s v="How do I a duplicate charge"/>
    <n v="120"/>
    <m/>
    <b v="0"/>
    <m/>
  </r>
  <r>
    <s v="TK62679"/>
    <d v="2024-01-26T01:15:00"/>
    <s v="email"/>
    <x v="2"/>
    <x v="3"/>
    <s v="How do I add a teammate"/>
    <n v="683"/>
    <d v="2024-01-27T04:59:05"/>
    <b v="0"/>
    <m/>
  </r>
  <r>
    <s v="TK62861"/>
    <d v="2024-01-26T02:38:00"/>
    <s v="chat"/>
    <x v="4"/>
    <x v="1"/>
    <s v="Cannot downgrade my plan"/>
    <n v="155"/>
    <d v="2024-01-26T15:11:33"/>
    <b v="0"/>
    <m/>
  </r>
  <r>
    <s v="TK61840"/>
    <d v="2024-01-26T04:21:00"/>
    <s v="in-app"/>
    <x v="0"/>
    <x v="0"/>
    <s v="How do I the invoice for last month"/>
    <n v="53"/>
    <d v="2024-01-27T02:26:19"/>
    <b v="0"/>
    <n v="5"/>
  </r>
  <r>
    <s v="TK63916"/>
    <d v="2024-01-26T10:13:00"/>
    <s v="email"/>
    <x v="4"/>
    <x v="1"/>
    <s v="Issue with a duplicate charge"/>
    <n v="113"/>
    <d v="2024-01-26T17:17:15"/>
    <b v="0"/>
    <n v="5"/>
  </r>
  <r>
    <s v="TK61599"/>
    <d v="2024-01-26T10:56:00"/>
    <s v="email"/>
    <x v="0"/>
    <x v="0"/>
    <s v="Issue with the dashboard loading slowly"/>
    <n v="29"/>
    <d v="2024-01-26T12:56:35"/>
    <b v="0"/>
    <n v="1"/>
  </r>
  <r>
    <s v="TK60891"/>
    <d v="2024-01-26T19:51:00"/>
    <s v="email"/>
    <x v="2"/>
    <x v="1"/>
    <s v="How do I the invoice for last month"/>
    <n v="87"/>
    <d v="2024-01-28T11:17:35"/>
    <b v="0"/>
    <m/>
  </r>
  <r>
    <s v="TK63408"/>
    <d v="2024-01-26T20:53:00"/>
    <s v="chat"/>
    <x v="4"/>
    <x v="1"/>
    <s v="Request to add a teammate"/>
    <n v="287"/>
    <d v="2024-01-28T01:11:55"/>
    <b v="1"/>
    <m/>
  </r>
  <r>
    <s v="TK60448"/>
    <d v="2024-01-26T21:54:00"/>
    <s v="email"/>
    <x v="1"/>
    <x v="3"/>
    <s v="Question about the dashboard loading slowly"/>
    <n v="393"/>
    <d v="2024-01-29T23:58:17"/>
    <b v="0"/>
    <m/>
  </r>
  <r>
    <s v="TK61869"/>
    <d v="2024-01-27T00:36:00"/>
    <s v="email"/>
    <x v="2"/>
    <x v="1"/>
    <s v="Error when the dashboard loading slowly"/>
    <n v="53"/>
    <d v="2024-01-29T07:28:55"/>
    <b v="0"/>
    <m/>
  </r>
  <r>
    <s v="TK63189"/>
    <d v="2024-01-27T06:58:00"/>
    <s v="email"/>
    <x v="3"/>
    <x v="0"/>
    <s v="Error when export my data"/>
    <n v="217"/>
    <d v="2024-01-28T05:30:19"/>
    <b v="0"/>
    <m/>
  </r>
  <r>
    <s v="TK62154"/>
    <d v="2024-01-27T11:03:00"/>
    <s v="chat"/>
    <x v="2"/>
    <x v="0"/>
    <s v="How do I a duplicate charge"/>
    <n v="44"/>
    <d v="2024-01-28T02:35:28"/>
    <b v="0"/>
    <m/>
  </r>
  <r>
    <s v="TK60095"/>
    <d v="2024-01-27T11:10:00"/>
    <s v="email"/>
    <x v="4"/>
    <x v="1"/>
    <s v="Error when webhook deliveries failing"/>
    <n v="27"/>
    <m/>
    <b v="0"/>
    <m/>
  </r>
  <r>
    <s v="TK62178"/>
    <d v="2024-01-27T17:36:00"/>
    <s v="in-app"/>
    <x v="2"/>
    <x v="3"/>
    <s v="Error when webhook deliveries failing"/>
    <n v="44"/>
    <m/>
    <b v="0"/>
    <m/>
  </r>
  <r>
    <s v="TK61167"/>
    <d v="2024-01-27T18:39:00"/>
    <s v="email"/>
    <x v="4"/>
    <x v="3"/>
    <s v="Issue with downgrade my plan"/>
    <n v="28"/>
    <d v="2024-01-28T04:44:34"/>
    <b v="0"/>
    <n v="5"/>
  </r>
  <r>
    <s v="TK61130"/>
    <d v="2024-01-27T19:28:00"/>
    <s v="phone"/>
    <x v="4"/>
    <x v="3"/>
    <s v="Request to two-factor authentication"/>
    <n v="390"/>
    <d v="2024-01-28T01:47:13"/>
    <b v="0"/>
    <n v="1"/>
  </r>
  <r>
    <s v="TK60653"/>
    <d v="2024-01-27T21:51:00"/>
    <s v="chat"/>
    <x v="1"/>
    <x v="1"/>
    <s v="Error when the invoice for last month"/>
    <n v="33"/>
    <d v="2024-01-29T06:59:17"/>
    <b v="0"/>
    <m/>
  </r>
  <r>
    <s v="TK61175"/>
    <d v="2024-01-28T00:09:00"/>
    <s v="email"/>
    <x v="2"/>
    <x v="0"/>
    <s v="Issue with export my data"/>
    <n v="49"/>
    <d v="2024-01-28T11:18:09"/>
    <b v="0"/>
    <n v="5"/>
  </r>
  <r>
    <s v="TK62585"/>
    <d v="2024-01-28T02:04:00"/>
    <s v="phone"/>
    <x v="4"/>
    <x v="0"/>
    <s v="Cannot add a teammate"/>
    <n v="36"/>
    <d v="2024-01-28T07:42:24"/>
    <b v="0"/>
    <m/>
  </r>
  <r>
    <s v="TK60313"/>
    <d v="2024-01-28T04:58:00"/>
    <s v="chat"/>
    <x v="3"/>
    <x v="3"/>
    <s v="Unable to the dashboard loading slowly"/>
    <n v="111"/>
    <d v="2024-02-01T05:49:36"/>
    <b v="0"/>
    <n v="5"/>
  </r>
  <r>
    <s v="TK61726"/>
    <d v="2024-01-28T05:15:00"/>
    <s v="in-app"/>
    <x v="3"/>
    <x v="0"/>
    <s v="Cannot export my data"/>
    <n v="14"/>
    <d v="2024-02-01T23:03:23"/>
    <b v="0"/>
    <m/>
  </r>
  <r>
    <s v="TK61990"/>
    <d v="2024-01-28T10:59:00"/>
    <s v="chat"/>
    <x v="1"/>
    <x v="1"/>
    <s v="Cannot the invoice for last month"/>
    <m/>
    <d v="2024-01-28T14:30:09"/>
    <b v="0"/>
    <m/>
  </r>
  <r>
    <s v="TK63671"/>
    <d v="2024-01-28T11:15:00"/>
    <s v="chat"/>
    <x v="2"/>
    <x v="1"/>
    <s v="Request to a refund for an annual plan"/>
    <n v="41"/>
    <d v="2024-02-01T07:09:32"/>
    <b v="0"/>
    <n v="5"/>
  </r>
  <r>
    <s v="TK60080"/>
    <d v="2024-01-28T11:29:00"/>
    <s v="email"/>
    <x v="1"/>
    <x v="1"/>
    <s v="Cannot the dashboard loading slowly"/>
    <n v="35"/>
    <d v="2024-02-01T06:21:10"/>
    <b v="0"/>
    <m/>
  </r>
  <r>
    <s v="TK63452"/>
    <d v="2024-01-28T13:08:00"/>
    <s v="email"/>
    <x v="3"/>
    <x v="1"/>
    <s v="How do I the invoice for last month"/>
    <n v="82"/>
    <d v="2024-02-03T17:38:33"/>
    <b v="0"/>
    <m/>
  </r>
  <r>
    <s v="TK63188"/>
    <d v="2024-01-28T13:20:00"/>
    <s v="chat"/>
    <x v="1"/>
    <x v="0"/>
    <s v="Error when the invoice for last month"/>
    <n v="14"/>
    <d v="2024-01-29T05:00:21"/>
    <b v="0"/>
    <n v="5"/>
  </r>
  <r>
    <s v="TK60077"/>
    <d v="2024-01-28T13:22:00"/>
    <s v="chat"/>
    <x v="0"/>
    <x v="3"/>
    <s v="Request to a duplicate charge"/>
    <n v="254"/>
    <m/>
    <b v="0"/>
    <m/>
  </r>
  <r>
    <s v="TK60340"/>
    <d v="2024-01-28T17:57:00"/>
    <s v="email"/>
    <x v="4"/>
    <x v="1"/>
    <s v="Unable to a duplicate charge"/>
    <n v="174"/>
    <d v="2024-02-02T00:39:22"/>
    <b v="0"/>
    <m/>
  </r>
  <r>
    <s v="TK63499"/>
    <d v="2024-01-29T00:54:00"/>
    <s v="in-app"/>
    <x v="1"/>
    <x v="0"/>
    <s v="Issue with connecting the Snowflake sync"/>
    <n v="17"/>
    <d v="2024-01-29T08:56:58"/>
    <b v="0"/>
    <m/>
  </r>
  <r>
    <s v="TK62110"/>
    <d v="2024-01-29T03:20:00"/>
    <s v="chat"/>
    <x v="3"/>
    <x v="3"/>
    <s v="Error when two-factor authentication"/>
    <n v="88"/>
    <m/>
    <b v="0"/>
    <m/>
  </r>
  <r>
    <s v="TK60307"/>
    <d v="2024-01-29T03:49:00"/>
    <s v="in-app"/>
    <x v="2"/>
    <x v="1"/>
    <s v="Issue with the API rate limit"/>
    <n v="20"/>
    <d v="2024-01-29T17:44:16"/>
    <b v="0"/>
    <n v="3"/>
  </r>
  <r>
    <s v="TK60117"/>
    <d v="2024-01-29T04:42:00"/>
    <s v="chat"/>
    <x v="4"/>
    <x v="1"/>
    <s v="Error when log in after password reset"/>
    <n v="99"/>
    <d v="2024-01-29T19:16:14"/>
    <b v="1"/>
    <m/>
  </r>
  <r>
    <s v="TK60624"/>
    <d v="2024-01-29T08:07:00"/>
    <s v="phone"/>
    <x v="2"/>
    <x v="1"/>
    <s v="Unable to export my data"/>
    <n v="219"/>
    <d v="2024-01-30T01:24:48"/>
    <b v="0"/>
    <m/>
  </r>
  <r>
    <s v="TK60196"/>
    <d v="2024-01-29T11:55:00"/>
    <s v="email"/>
    <x v="2"/>
    <x v="2"/>
    <s v="Unable to downgrade my plan"/>
    <n v="6"/>
    <d v="2024-01-29T13:15:47"/>
    <b v="0"/>
    <n v="5"/>
  </r>
  <r>
    <s v="TK63616"/>
    <d v="2024-01-29T15:48:00"/>
    <s v="email"/>
    <x v="2"/>
    <x v="3"/>
    <s v="Issue with a duplicate charge"/>
    <n v="844"/>
    <d v="2024-01-30T15:28:57"/>
    <b v="0"/>
    <m/>
  </r>
  <r>
    <s v="TK60352"/>
    <d v="2024-01-29T17:53:00"/>
    <s v="in-app"/>
    <x v="2"/>
    <x v="1"/>
    <s v="Request to a duplicate charge"/>
    <n v="234"/>
    <d v="2024-01-30T16:58:53"/>
    <b v="0"/>
    <m/>
  </r>
  <r>
    <s v="TK61578"/>
    <d v="2024-01-29T18:40:00"/>
    <s v="in-app"/>
    <x v="1"/>
    <x v="1"/>
    <s v="Question about export my data"/>
    <n v="84"/>
    <d v="2024-02-02T06:40:42"/>
    <b v="0"/>
    <n v="5"/>
  </r>
  <r>
    <s v="TK63952"/>
    <d v="2024-01-29T21:11:00"/>
    <s v="email"/>
    <x v="2"/>
    <x v="3"/>
    <s v="How do I a duplicate charge"/>
    <n v="63"/>
    <d v="2024-01-30T15:48:01"/>
    <b v="0"/>
    <n v="2"/>
  </r>
  <r>
    <s v="TK63898"/>
    <d v="2024-01-29T21:39:00"/>
    <s v="in-app"/>
    <x v="2"/>
    <x v="1"/>
    <s v="Cannot log in after password reset"/>
    <n v="148"/>
    <d v="2024-01-30T08:33:31"/>
    <b v="0"/>
    <n v="4"/>
  </r>
  <r>
    <s v="TK61770"/>
    <d v="2024-01-30T03:42:00"/>
    <s v="email"/>
    <x v="2"/>
    <x v="0"/>
    <s v="Request to downgrade my plan"/>
    <n v="253"/>
    <d v="2024-01-31T11:26:42"/>
    <b v="1"/>
    <n v="5"/>
  </r>
  <r>
    <s v="TK63762"/>
    <d v="2024-01-30T11:48:00"/>
    <s v="chat"/>
    <x v="0"/>
    <x v="0"/>
    <s v="Unable to a refund for an annual plan"/>
    <n v="24"/>
    <d v="2024-01-30T17:03:19"/>
    <b v="0"/>
    <m/>
  </r>
  <r>
    <s v="TK61081"/>
    <d v="2024-01-30T11:53:00"/>
    <s v="chat"/>
    <x v="3"/>
    <x v="2"/>
    <s v="Question about add a teammate"/>
    <n v="60"/>
    <d v="2024-01-31T14:15:09"/>
    <b v="0"/>
    <n v="1"/>
  </r>
  <r>
    <s v="TK61184"/>
    <d v="2024-01-30T12:34:00"/>
    <s v="chat"/>
    <x v="2"/>
    <x v="3"/>
    <s v="Unable to the invoice for last month"/>
    <n v="404"/>
    <d v="2024-01-30T19:15:14"/>
    <b v="0"/>
    <m/>
  </r>
  <r>
    <s v="TK63555"/>
    <d v="2024-01-30T14:25:00"/>
    <s v="in-app"/>
    <x v="1"/>
    <x v="0"/>
    <s v="Request to the dashboard loading slowly"/>
    <n v="26"/>
    <d v="2024-02-01T10:54:31"/>
    <b v="0"/>
    <n v="3"/>
  </r>
  <r>
    <s v="TK63833"/>
    <d v="2024-01-30T14:59:00"/>
    <s v="chat"/>
    <x v="1"/>
    <x v="1"/>
    <s v="Request to webhook deliveries failing"/>
    <n v="552"/>
    <d v="2024-01-30T17:59:21"/>
    <b v="0"/>
    <n v="5"/>
  </r>
  <r>
    <s v="TK60406"/>
    <d v="2024-01-30T19:24:00"/>
    <s v="email"/>
    <x v="0"/>
    <x v="1"/>
    <s v="Issue with the API rate limit"/>
    <n v="13"/>
    <d v="2024-02-01T21:00:36"/>
    <b v="0"/>
    <m/>
  </r>
  <r>
    <s v="TK63265"/>
    <d v="2024-01-30T20:28:00"/>
    <s v="email"/>
    <x v="1"/>
    <x v="1"/>
    <s v="Issue with downgrade my plan"/>
    <n v="195"/>
    <m/>
    <b v="0"/>
    <m/>
  </r>
  <r>
    <s v="TK62070"/>
    <d v="2024-01-31T00:04:00"/>
    <s v="chat"/>
    <x v="0"/>
    <x v="2"/>
    <s v="How do I a duplicate charge"/>
    <n v="5"/>
    <d v="2024-01-31T04:42:39"/>
    <b v="0"/>
    <m/>
  </r>
  <r>
    <s v="TK63820"/>
    <d v="2024-01-31T02:01:00"/>
    <s v="email"/>
    <x v="1"/>
    <x v="2"/>
    <s v="Question about a refund for an annual plan"/>
    <n v="48"/>
    <d v="2024-01-31T06:12:41"/>
    <b v="1"/>
    <m/>
  </r>
  <r>
    <s v="TK60169"/>
    <d v="2024-01-31T10:01:00"/>
    <s v="chat"/>
    <x v="2"/>
    <x v="3"/>
    <s v="Request to two-factor authentication"/>
    <n v="162"/>
    <d v="2024-02-01T03:21:58"/>
    <b v="0"/>
    <m/>
  </r>
  <r>
    <s v="TK63649"/>
    <d v="2024-01-31T15:05:00"/>
    <s v="email"/>
    <x v="1"/>
    <x v="1"/>
    <s v="Unable to the API rate limit"/>
    <n v="428"/>
    <d v="2024-02-03T16:27:37"/>
    <b v="0"/>
    <n v="2"/>
  </r>
  <r>
    <s v="TK62355"/>
    <d v="2024-01-31T15:39:00"/>
    <s v="chat"/>
    <x v="1"/>
    <x v="1"/>
    <s v="Cannot log in after password reset"/>
    <n v="137"/>
    <d v="2024-02-03T22:06:14"/>
    <b v="0"/>
    <m/>
  </r>
  <r>
    <s v="TK62309"/>
    <d v="2024-01-31T17:02:00"/>
    <s v="in-app"/>
    <x v="2"/>
    <x v="1"/>
    <s v="Request to connecting the Snowflake sync"/>
    <n v="265"/>
    <d v="2024-02-01T04:46:29"/>
    <b v="1"/>
    <m/>
  </r>
  <r>
    <s v="TK61841"/>
    <d v="2024-01-31T18:46:00"/>
    <s v="phone"/>
    <x v="2"/>
    <x v="1"/>
    <s v="Error when the invoice for last month"/>
    <n v="24"/>
    <d v="2024-02-01T05:04:56"/>
    <b v="0"/>
    <m/>
  </r>
  <r>
    <s v="TK61687"/>
    <d v="2024-01-31T20:27:00"/>
    <s v="email"/>
    <x v="0"/>
    <x v="1"/>
    <s v="Request to a refund for an annual plan"/>
    <n v="102"/>
    <d v="2024-02-01T00:04:40"/>
    <b v="0"/>
    <m/>
  </r>
  <r>
    <s v="TK63524"/>
    <d v="2024-01-31T22:42:00"/>
    <s v="in-app"/>
    <x v="2"/>
    <x v="1"/>
    <s v="Question about export my data"/>
    <n v="57"/>
    <d v="2024-02-04T19:37:49"/>
    <b v="1"/>
    <m/>
  </r>
  <r>
    <s v="TK60998"/>
    <d v="2024-02-01T00:11:00"/>
    <s v="chat"/>
    <x v="2"/>
    <x v="1"/>
    <s v="How do I the invoice for last month"/>
    <n v="28"/>
    <m/>
    <b v="0"/>
    <m/>
  </r>
  <r>
    <s v="TK61678"/>
    <d v="2024-02-01T01:37:00"/>
    <s v="email"/>
    <x v="3"/>
    <x v="1"/>
    <s v="Issue with add a teammate"/>
    <n v="85"/>
    <d v="2024-02-01T14:40:48"/>
    <b v="0"/>
    <m/>
  </r>
  <r>
    <s v="TK63807"/>
    <d v="2024-02-01T07:05:00"/>
    <s v="phone"/>
    <x v="2"/>
    <x v="1"/>
    <s v="Error when export my data"/>
    <n v="27"/>
    <d v="2024-02-01T23:19:22"/>
    <b v="0"/>
    <m/>
  </r>
  <r>
    <s v="TK63345"/>
    <d v="2024-02-01T08:34:00"/>
    <s v="in-app"/>
    <x v="4"/>
    <x v="3"/>
    <s v="Request to a refund for an annual plan"/>
    <n v="43"/>
    <d v="2024-02-02T07:14:52"/>
    <b v="0"/>
    <m/>
  </r>
  <r>
    <s v="TK63082"/>
    <d v="2024-02-01T09:36:00"/>
    <s v="chat"/>
    <x v="4"/>
    <x v="0"/>
    <s v="How do I the API rate limit"/>
    <n v="148"/>
    <d v="2024-02-01T11:45:08"/>
    <b v="0"/>
    <m/>
  </r>
  <r>
    <s v="TK63053"/>
    <d v="2024-02-01T16:03:00"/>
    <s v="chat"/>
    <x v="3"/>
    <x v="1"/>
    <s v="How do I downgrade my plan"/>
    <n v="303"/>
    <d v="2024-02-04T11:46:32"/>
    <b v="0"/>
    <m/>
  </r>
  <r>
    <s v="TK60578"/>
    <d v="2024-02-01T20:07:00"/>
    <s v="chat"/>
    <x v="2"/>
    <x v="1"/>
    <s v="Error when a refund for an annual plan"/>
    <n v="71"/>
    <d v="2024-02-02T11:07:31"/>
    <b v="0"/>
    <n v="4"/>
  </r>
  <r>
    <s v="TK61975"/>
    <d v="2024-02-01T22:40:00"/>
    <s v="in-app"/>
    <x v="2"/>
    <x v="3"/>
    <s v="How do I log in after password reset"/>
    <n v="121"/>
    <d v="2024-02-02T19:00:18"/>
    <b v="0"/>
    <m/>
  </r>
  <r>
    <s v="TK63117"/>
    <d v="2024-02-02T02:24:00"/>
    <s v="in-app"/>
    <x v="2"/>
    <x v="0"/>
    <s v="Unable to connecting the Snowflake sync"/>
    <n v="190"/>
    <d v="2024-02-02T05:20:03"/>
    <b v="0"/>
    <n v="5"/>
  </r>
  <r>
    <s v="TK62490"/>
    <d v="2024-02-02T04:51:00"/>
    <s v="in-app"/>
    <x v="3"/>
    <x v="0"/>
    <s v="How do I downgrade my plan"/>
    <n v="23"/>
    <d v="2024-02-04T00:57:35"/>
    <b v="0"/>
    <m/>
  </r>
  <r>
    <s v="TK62541"/>
    <d v="2024-02-02T05:19:00"/>
    <m/>
    <x v="4"/>
    <x v="1"/>
    <s v="Error when the dashboard loading slowly"/>
    <n v="59"/>
    <d v="2024-02-02T07:06:19"/>
    <b v="0"/>
    <m/>
  </r>
  <r>
    <s v="TK61585"/>
    <d v="2024-02-02T09:24:00"/>
    <s v="email"/>
    <x v="3"/>
    <x v="1"/>
    <s v="Request to downgrade my plan"/>
    <n v="103"/>
    <d v="2024-02-02T19:38:29"/>
    <b v="0"/>
    <m/>
  </r>
  <r>
    <s v="TK63973"/>
    <d v="2024-02-02T12:36:00"/>
    <s v="chat"/>
    <x v="3"/>
    <x v="1"/>
    <s v="Request to log in after password reset"/>
    <n v="288"/>
    <m/>
    <b v="0"/>
    <m/>
  </r>
  <r>
    <s v="TK61533"/>
    <d v="2024-02-02T13:33:00"/>
    <s v="in-app"/>
    <x v="0"/>
    <x v="0"/>
    <s v="Request to add a teammate"/>
    <n v="12"/>
    <d v="2024-02-02T21:53:22"/>
    <b v="0"/>
    <m/>
  </r>
  <r>
    <s v="TK60990"/>
    <d v="2024-02-02T20:05:00"/>
    <s v="in-app"/>
    <x v="2"/>
    <x v="1"/>
    <s v="How do I two-factor authentication"/>
    <n v="339"/>
    <d v="2024-02-03T01:57:10"/>
    <b v="0"/>
    <n v="4"/>
  </r>
  <r>
    <s v="TK63655"/>
    <d v="2024-02-02T23:25:00"/>
    <s v="chat"/>
    <x v="2"/>
    <x v="0"/>
    <s v="Question about webhook deliveries failing"/>
    <n v="29"/>
    <d v="2024-02-03T02:16:07"/>
    <b v="0"/>
    <m/>
  </r>
  <r>
    <s v="TK60292"/>
    <d v="2024-02-02T23:45:00"/>
    <s v="chat"/>
    <x v="4"/>
    <x v="1"/>
    <s v="Request to a refund for an annual plan"/>
    <m/>
    <d v="2024-02-03T02:09:40"/>
    <b v="0"/>
    <n v="5"/>
  </r>
  <r>
    <s v="TK60750"/>
    <d v="2024-02-03T00:52:00"/>
    <s v="email"/>
    <x v="3"/>
    <x v="1"/>
    <s v="Issue with add a teammate"/>
    <n v="221"/>
    <d v="2024-02-04T04:21:14"/>
    <b v="0"/>
    <m/>
  </r>
  <r>
    <s v="TK62844"/>
    <d v="2024-02-03T01:18:00"/>
    <s v="in-app"/>
    <x v="2"/>
    <x v="1"/>
    <s v="Unable to log in after password reset"/>
    <n v="59"/>
    <d v="2024-02-03T13:55:06"/>
    <b v="0"/>
    <n v="5"/>
  </r>
  <r>
    <s v="TK60930"/>
    <d v="2024-02-03T02:30:00"/>
    <s v="in-app"/>
    <x v="4"/>
    <x v="1"/>
    <s v="Issue with connecting the Snowflake sync"/>
    <n v="103"/>
    <m/>
    <b v="0"/>
    <m/>
  </r>
  <r>
    <s v="TK63855"/>
    <d v="2024-02-03T03:47:00"/>
    <s v="in-app"/>
    <x v="0"/>
    <x v="3"/>
    <s v="Cannot a refund for an annual plan"/>
    <n v="14"/>
    <d v="2024-02-03T07:30:32"/>
    <b v="0"/>
    <m/>
  </r>
  <r>
    <s v="TK63781"/>
    <d v="2024-02-03T03:55:00"/>
    <s v="phone"/>
    <x v="2"/>
    <x v="2"/>
    <s v="Error when export my data"/>
    <n v="22"/>
    <d v="2024-02-04T03:18:01"/>
    <b v="0"/>
    <m/>
  </r>
  <r>
    <s v="TK61481"/>
    <d v="2024-02-03T08:50:00"/>
    <s v="chat"/>
    <x v="2"/>
    <x v="0"/>
    <s v="How do I export my data"/>
    <n v="18"/>
    <d v="2024-02-03T18:29:38"/>
    <b v="0"/>
    <m/>
  </r>
  <r>
    <s v="TK62709"/>
    <d v="2024-02-03T13:38:00"/>
    <s v="chat"/>
    <x v="2"/>
    <x v="1"/>
    <s v="Cannot two-factor authentication"/>
    <n v="880"/>
    <d v="2024-02-03T18:38:32"/>
    <b v="0"/>
    <n v="5"/>
  </r>
  <r>
    <s v="TK62111"/>
    <d v="2024-02-03T14:53:00"/>
    <s v="email"/>
    <x v="0"/>
    <x v="1"/>
    <s v="Unable to add a teammate"/>
    <n v="44"/>
    <m/>
    <b v="0"/>
    <m/>
  </r>
  <r>
    <s v="TK62970"/>
    <d v="2024-02-03T15:04:00"/>
    <s v="chat"/>
    <x v="0"/>
    <x v="1"/>
    <s v="Cannot two-factor authentication"/>
    <n v="339"/>
    <d v="2024-02-04T05:24:58"/>
    <b v="0"/>
    <n v="4"/>
  </r>
  <r>
    <s v="TK63937"/>
    <d v="2024-02-03T16:25:00"/>
    <s v="in-app"/>
    <x v="4"/>
    <x v="0"/>
    <s v="How do I a duplicate charge"/>
    <n v="32"/>
    <d v="2024-02-03T20:35:31"/>
    <b v="0"/>
    <m/>
  </r>
  <r>
    <s v="TK61978"/>
    <d v="2024-02-03T18:01:00"/>
    <s v="in-app"/>
    <x v="1"/>
    <x v="3"/>
    <s v="Question about export my data"/>
    <n v="4444"/>
    <m/>
    <b v="0"/>
    <m/>
  </r>
  <r>
    <s v="TK63278"/>
    <d v="2024-02-04T00:09:00"/>
    <s v="email"/>
    <x v="1"/>
    <x v="0"/>
    <s v="Unable to downgrade my plan"/>
    <n v="21"/>
    <m/>
    <b v="0"/>
    <m/>
  </r>
  <r>
    <s v="TK60817"/>
    <d v="2024-02-04T01:29:00"/>
    <s v="chat"/>
    <x v="1"/>
    <x v="1"/>
    <s v="Cannot the invoice for last month"/>
    <n v="232"/>
    <m/>
    <b v="0"/>
    <m/>
  </r>
  <r>
    <s v="TK60571"/>
    <d v="2024-02-04T02:03:00"/>
    <s v="in-app"/>
    <x v="1"/>
    <x v="0"/>
    <s v="Request to connecting the Snowflake sync"/>
    <n v="17"/>
    <m/>
    <b v="0"/>
    <m/>
  </r>
  <r>
    <s v="TK60450"/>
    <d v="2024-02-04T02:12:00"/>
    <s v="in-app"/>
    <x v="2"/>
    <x v="1"/>
    <s v="How do I a duplicate charge"/>
    <n v="1774"/>
    <d v="2024-02-04T04:17:14"/>
    <b v="0"/>
    <m/>
  </r>
  <r>
    <s v="TK60449"/>
    <d v="2024-02-04T05:14:00"/>
    <s v="email"/>
    <x v="2"/>
    <x v="2"/>
    <s v="How do I downgrade my plan"/>
    <n v="15"/>
    <d v="2024-02-04T05:59:27"/>
    <b v="0"/>
    <n v="4"/>
  </r>
  <r>
    <s v="TK63049"/>
    <d v="2024-02-04T10:02:00"/>
    <s v="email"/>
    <x v="0"/>
    <x v="2"/>
    <s v="Unable to the dashboard loading slowly"/>
    <n v="17"/>
    <d v="2024-02-04T10:23:04"/>
    <b v="0"/>
    <m/>
  </r>
  <r>
    <s v="TK62561"/>
    <d v="2024-02-04T10:22:00"/>
    <s v="in-app"/>
    <x v="0"/>
    <x v="1"/>
    <s v="Request to a refund for an annual plan"/>
    <n v="410"/>
    <d v="2024-02-04T22:44:31"/>
    <b v="0"/>
    <m/>
  </r>
  <r>
    <s v="TK62846"/>
    <d v="2024-02-04T10:47:00"/>
    <s v="email"/>
    <x v="2"/>
    <x v="1"/>
    <s v="Error when connecting the Snowflake sync"/>
    <n v="271"/>
    <m/>
    <b v="0"/>
    <m/>
  </r>
  <r>
    <s v="TK61094"/>
    <d v="2024-02-04T10:48:00"/>
    <s v="phone"/>
    <x v="3"/>
    <x v="1"/>
    <s v="Error when downgrade my plan"/>
    <n v="30"/>
    <m/>
    <b v="0"/>
    <m/>
  </r>
  <r>
    <s v="TK62126"/>
    <d v="2024-02-04T12:57:00"/>
    <s v="in-app"/>
    <x v="1"/>
    <x v="0"/>
    <s v="Question about a duplicate charge"/>
    <n v="57"/>
    <m/>
    <b v="0"/>
    <m/>
  </r>
  <r>
    <s v="TK62764"/>
    <d v="2024-02-04T13:14:00"/>
    <s v="email"/>
    <x v="2"/>
    <x v="1"/>
    <s v="Cannot the dashboard loading slowly"/>
    <n v="44"/>
    <m/>
    <b v="0"/>
    <m/>
  </r>
  <r>
    <s v="TK60803"/>
    <d v="2024-02-04T15:09:00"/>
    <s v="email"/>
    <x v="1"/>
    <x v="3"/>
    <s v="Unable to two-factor authentication"/>
    <n v="158"/>
    <m/>
    <b v="0"/>
    <m/>
  </r>
  <r>
    <s v="TK62359"/>
    <d v="2024-02-04T17:27:00"/>
    <s v="in-app"/>
    <x v="2"/>
    <x v="1"/>
    <s v="Cannot add a teammate"/>
    <n v="71"/>
    <m/>
    <b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430EC8-D275-4336-AB06-9968CD38C78F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10" firstHeaderRow="1" firstDataRow="2" firstDataCol="1"/>
  <pivotFields count="10">
    <pivotField dataField="1" showAll="0"/>
    <pivotField numFmtId="22" showAll="0"/>
    <pivotField showAll="0"/>
    <pivotField axis="axisRow" showAll="0">
      <items count="6">
        <item x="4"/>
        <item x="2"/>
        <item x="3"/>
        <item x="0"/>
        <item x="1"/>
        <item t="default"/>
      </items>
    </pivotField>
    <pivotField axis="axisCol" showAll="0">
      <items count="5">
        <item x="0"/>
        <item x="3"/>
        <item x="1"/>
        <item x="2"/>
        <item t="default"/>
      </items>
    </pivotField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Count of ticket_id" fld="0" subtotal="count" showDataAs="percentOfRow" baseField="0" baseItem="0" numFmtId="10"/>
  </dataFields>
  <formats count="11">
    <format dxfId="32">
      <pivotArea type="all" dataOnly="0" outline="0" fieldPosition="0"/>
    </format>
    <format dxfId="31">
      <pivotArea outline="0" collapsedLevelsAreSubtotals="1" fieldPosition="0"/>
    </format>
    <format dxfId="30">
      <pivotArea type="origin" dataOnly="0" labelOnly="1" outline="0" fieldPosition="0"/>
    </format>
    <format dxfId="29">
      <pivotArea field="4" type="button" dataOnly="0" labelOnly="1" outline="0" axis="axisCol" fieldPosition="0"/>
    </format>
    <format dxfId="28">
      <pivotArea type="topRight" dataOnly="0" labelOnly="1" outline="0" fieldPosition="0"/>
    </format>
    <format dxfId="27">
      <pivotArea field="3" type="button" dataOnly="0" labelOnly="1" outline="0" axis="axisRow" fieldPosition="0"/>
    </format>
    <format dxfId="26">
      <pivotArea dataOnly="0" labelOnly="1" fieldPosition="0">
        <references count="1">
          <reference field="3" count="0"/>
        </references>
      </pivotArea>
    </format>
    <format dxfId="25">
      <pivotArea dataOnly="0" labelOnly="1" grandRow="1" outline="0" fieldPosition="0"/>
    </format>
    <format dxfId="24">
      <pivotArea dataOnly="0" labelOnly="1" fieldPosition="0">
        <references count="1">
          <reference field="4" count="0"/>
        </references>
      </pivotArea>
    </format>
    <format dxfId="23">
      <pivotArea dataOnly="0" labelOnly="1" grandCol="1" outline="0" fieldPosition="0"/>
    </format>
    <format dxfId="22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244508-7C98-488C-A370-738A0C5DF6C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C9" firstHeaderRow="0" firstDataRow="1" firstDataCol="1"/>
  <pivotFields count="10">
    <pivotField dataField="1" showAll="0"/>
    <pivotField numFmtId="22" showAll="0"/>
    <pivotField showAll="0"/>
    <pivotField axis="axisRow" showAll="0" sortType="descending">
      <items count="6">
        <item x="4"/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 v="4"/>
    </i>
    <i>
      <x v="1"/>
    </i>
    <i>
      <x/>
    </i>
    <i>
      <x v="3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ticket_id" fld="0" subtotal="count" baseField="0" baseItem="0"/>
    <dataField name="Count of ticket_id2" fld="0" subtotal="count" showDataAs="percentOfTotal" baseField="3" baseItem="4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5A3F504-6397-4D2F-B287-8E48CD828F60}" name="Table5" displayName="Table5" ref="A1:C11" totalsRowShown="0" headerRowDxfId="21" dataDxfId="20">
  <autoFilter ref="A1:C11" xr:uid="{C5A3F504-6397-4D2F-B287-8E48CD828F60}"/>
  <tableColumns count="3">
    <tableColumn id="1" xr3:uid="{EA7FA819-388A-4E81-915A-F7F12938F56A}" name="Check" dataDxfId="19"/>
    <tableColumn id="2" xr3:uid="{58E36EBA-3233-4AAB-B66B-CC2950BF9E5F}" name="Record count" dataDxfId="18"/>
    <tableColumn id="3" xr3:uid="{5184E75D-5CBD-4895-A942-001A709C990E}" name="Missing %" dataDxfId="1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B907A6-979A-4975-825B-997D3BAD03EE}" name="SupportTickets" displayName="SupportTickets" ref="A1:O4001" totalsRowShown="0" headerRowDxfId="3" dataDxfId="2">
  <autoFilter ref="A1:O4001" xr:uid="{13B907A6-979A-4975-825B-997D3BAD03EE}"/>
  <tableColumns count="15">
    <tableColumn id="1" xr3:uid="{7B9B0CEE-C681-451B-B55D-A77C73D0EAC4}" name="ticket_id" dataDxfId="16"/>
    <tableColumn id="2" xr3:uid="{F29E3469-9A04-4AFE-B6AE-589911BAA529}" name="opened_at" dataDxfId="1"/>
    <tableColumn id="3" xr3:uid="{A2DFA0C3-D8E2-41CF-99C0-0B56015BFE8C}" name="channel" dataDxfId="15"/>
    <tableColumn id="4" xr3:uid="{29838AD1-F1E2-4298-BAC1-4F0D0C4CFA6C}" name="queue" dataDxfId="14"/>
    <tableColumn id="5" xr3:uid="{CE03227A-746C-4CD0-98CA-75AA9F8F88E7}" name="priority" dataDxfId="13"/>
    <tableColumn id="6" xr3:uid="{BD325C1B-4EA8-41F2-B636-EE3633953A31}" name="subject" dataDxfId="12"/>
    <tableColumn id="7" xr3:uid="{74BE318C-3D61-45DC-A2E2-0F17BCC35A32}" name="first_response_min" dataDxfId="11"/>
    <tableColumn id="8" xr3:uid="{A1A3E98E-0B2A-41B4-84DB-C9D8AB69B3B4}" name="resolved_at" dataDxfId="0"/>
    <tableColumn id="9" xr3:uid="{67B2A989-4C1B-4F71-913F-203D3961F87A}" name="reopened" dataDxfId="10"/>
    <tableColumn id="10" xr3:uid="{514DD08B-25D9-41AD-AB0A-B85E8457A483}" name="csat" dataDxfId="9"/>
    <tableColumn id="11" xr3:uid="{46A7FB5E-178A-468C-B89B-1A20848700F4}" name="resolution_hours" dataDxfId="8">
      <calculatedColumnFormula>IF(H2="","",(H2-B2)*24)</calculatedColumnFormula>
    </tableColumn>
    <tableColumn id="12" xr3:uid="{83C7AE31-0A33-4A7F-880E-D7F3B1F9AE82}" name="timing_check" dataDxfId="7">
      <calculatedColumnFormula>IF(OR(G2="",K2=""),"Cannot check",IF(G2&gt;K2*60,"Review","OK"))</calculatedColumnFormula>
    </tableColumn>
    <tableColumn id="13" xr3:uid="{01966654-D4AF-4196-A8DD-46E4A2F703ED}" name="id_count" dataDxfId="6">
      <calculatedColumnFormula>COUNTIF($A$2:$A$4001,A2)</calculatedColumnFormula>
    </tableColumn>
    <tableColumn id="14" xr3:uid="{A3FA6ED5-A14D-4FBE-8C32-13B2CA51C9C3}" name="analysis_first_response_min" dataDxfId="5">
      <calculatedColumnFormula>IF(OR(L2="Review",G2=""),"",G2)</calculatedColumnFormula>
    </tableColumn>
    <tableColumn id="15" xr3:uid="{81BD2886-D801-4E96-8D8B-4F4CC5EC0A1F}" name="analysis_resolution_hours" dataDxfId="4">
      <calculatedColumnFormula>IF(OR(L2="Review",K2=""),"",K2)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E955DEE-52E7-48C5-B6BA-F1BC3B0472E7}" name="Table3" displayName="Table3" ref="A7:B12" totalsRowShown="0" headerRowDxfId="40" dataDxfId="39">
  <autoFilter ref="A7:B12" xr:uid="{1E955DEE-52E7-48C5-B6BA-F1BC3B0472E7}"/>
  <tableColumns count="2">
    <tableColumn id="1" xr3:uid="{49539E63-321A-4A41-BF41-B8AF6014F625}" name="Cell" dataDxfId="38"/>
    <tableColumn id="2" xr3:uid="{698AC1AF-2EB6-4329-A1E5-27F2433DDE98}" name="Enter" dataDxfId="3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6FE3C8F-1F05-4DBD-9C94-8DB7A10401C3}" name="Table4" displayName="Table4" ref="A1:B5" totalsRowShown="0" headerRowDxfId="36" dataDxfId="35">
  <autoFilter ref="A1:B5" xr:uid="{E6FE3C8F-1F05-4DBD-9C94-8DB7A10401C3}"/>
  <tableColumns count="2">
    <tableColumn id="1" xr3:uid="{6C0A98BA-D531-4866-9656-5433AE8FA2D5}" name="Issue" dataDxfId="34"/>
    <tableColumn id="2" xr3:uid="{B605610C-1F20-4998-BA5B-EF6812B4BB81}" name="Decision" dataDxfId="33"/>
  </tableColumns>
  <tableStyleInfo name="TableStyleLight1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2468B3D-0A35-45E3-9D5D-9A9DEBD1E135}" name="Table6" displayName="Table6" ref="A1:B6" totalsRowShown="0">
  <autoFilter ref="A1:B6" xr:uid="{72468B3D-0A35-45E3-9D5D-9A9DEBD1E135}"/>
  <tableColumns count="2">
    <tableColumn id="1" xr3:uid="{5563AADB-0038-4646-8A17-D31AE84FBF88}" name="Queue"/>
    <tableColumn id="2" xr3:uid="{FA1DA602-6A5D-4778-A025-CF26E0257EDC}" name="Ticket 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E6DB651-9BE5-4727-A74E-E260609278DC}">
  <we:reference id="wa200001584" version="3.0.5.6" store="en-IN" storeType="OMEX"/>
  <we:alternateReferences>
    <we:reference id="WA200001584" version="3.0.5.6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B24F6-2DDE-4712-B4C3-11FD2B857842}">
  <dimension ref="A3:F10"/>
  <sheetViews>
    <sheetView workbookViewId="0">
      <selection activeCell="F8" sqref="F8"/>
    </sheetView>
  </sheetViews>
  <sheetFormatPr defaultRowHeight="14.4"/>
  <cols>
    <col min="1" max="1" width="15.5546875" bestFit="1" customWidth="1"/>
    <col min="2" max="2" width="17.77734375" bestFit="1" customWidth="1"/>
    <col min="3" max="4" width="7.109375" bestFit="1" customWidth="1"/>
    <col min="5" max="5" width="6.21875" bestFit="1" customWidth="1"/>
    <col min="6" max="6" width="10.5546875" bestFit="1" customWidth="1"/>
  </cols>
  <sheetData>
    <row r="3" spans="1:6">
      <c r="A3" s="5" t="s">
        <v>4109</v>
      </c>
      <c r="B3" s="5" t="s">
        <v>4111</v>
      </c>
      <c r="C3" s="1"/>
      <c r="D3" s="1"/>
      <c r="E3" s="1"/>
      <c r="F3" s="1"/>
    </row>
    <row r="4" spans="1:6">
      <c r="A4" s="5" t="s">
        <v>4107</v>
      </c>
      <c r="B4" s="1" t="s">
        <v>13</v>
      </c>
      <c r="C4" s="1" t="s">
        <v>33</v>
      </c>
      <c r="D4" s="1" t="s">
        <v>18</v>
      </c>
      <c r="E4" s="1" t="s">
        <v>22</v>
      </c>
      <c r="F4" s="1" t="s">
        <v>4108</v>
      </c>
    </row>
    <row r="5" spans="1:6">
      <c r="A5" s="1" t="s">
        <v>59</v>
      </c>
      <c r="B5" s="6">
        <v>0.23802163833075735</v>
      </c>
      <c r="C5" s="6">
        <v>0.22411128284389489</v>
      </c>
      <c r="D5" s="6">
        <v>0.47913446676970634</v>
      </c>
      <c r="E5" s="6">
        <v>5.8732612055641419E-2</v>
      </c>
      <c r="F5" s="6">
        <v>1</v>
      </c>
    </row>
    <row r="6" spans="1:6">
      <c r="A6" s="1" t="s">
        <v>21</v>
      </c>
      <c r="B6" s="6">
        <v>0.22395833333333334</v>
      </c>
      <c r="C6" s="6">
        <v>0.20937500000000001</v>
      </c>
      <c r="D6" s="6">
        <v>0.47916666666666669</v>
      </c>
      <c r="E6" s="6">
        <v>8.7499999999999994E-2</v>
      </c>
      <c r="F6" s="6">
        <v>1</v>
      </c>
    </row>
    <row r="7" spans="1:6">
      <c r="A7" s="1" t="s">
        <v>26</v>
      </c>
      <c r="B7" s="6">
        <v>0.19619047619047619</v>
      </c>
      <c r="C7" s="6">
        <v>0.20952380952380953</v>
      </c>
      <c r="D7" s="6">
        <v>0.52952380952380951</v>
      </c>
      <c r="E7" s="6">
        <v>6.4761904761904757E-2</v>
      </c>
      <c r="F7" s="6">
        <v>1</v>
      </c>
    </row>
    <row r="8" spans="1:6">
      <c r="A8" s="1" t="s">
        <v>12</v>
      </c>
      <c r="B8" s="6">
        <v>0.23037542662116042</v>
      </c>
      <c r="C8" s="6">
        <v>0.20648464163822525</v>
      </c>
      <c r="D8" s="6">
        <v>0.47269624573378838</v>
      </c>
      <c r="E8" s="6">
        <v>9.0443686006825938E-2</v>
      </c>
      <c r="F8" s="6">
        <v>1</v>
      </c>
    </row>
    <row r="9" spans="1:6">
      <c r="A9" s="1" t="s">
        <v>17</v>
      </c>
      <c r="B9" s="6">
        <v>0.23088923556942278</v>
      </c>
      <c r="C9" s="6">
        <v>0.22386895475819032</v>
      </c>
      <c r="D9" s="6">
        <v>0.47581903276131043</v>
      </c>
      <c r="E9" s="6">
        <v>6.9422776911076442E-2</v>
      </c>
      <c r="F9" s="6">
        <v>1</v>
      </c>
    </row>
    <row r="10" spans="1:6">
      <c r="A10" s="1" t="s">
        <v>4108</v>
      </c>
      <c r="B10" s="6">
        <v>0.22575000000000001</v>
      </c>
      <c r="C10" s="6">
        <v>0.216</v>
      </c>
      <c r="D10" s="6">
        <v>0.48375000000000001</v>
      </c>
      <c r="E10" s="6">
        <v>7.4499999999999997E-2</v>
      </c>
      <c r="F10" s="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31BA8-3E22-481A-948E-49A903008E85}">
  <dimension ref="A1:D21"/>
  <sheetViews>
    <sheetView workbookViewId="0">
      <selection activeCell="A7" sqref="A7"/>
    </sheetView>
  </sheetViews>
  <sheetFormatPr defaultRowHeight="14.4"/>
  <cols>
    <col min="1" max="1" width="26.5546875" style="1" bestFit="1" customWidth="1"/>
    <col min="2" max="2" width="16.33203125" style="1" bestFit="1" customWidth="1"/>
    <col min="3" max="3" width="13.5546875" style="1" bestFit="1" customWidth="1"/>
    <col min="4" max="4" width="8" style="1" bestFit="1" customWidth="1"/>
    <col min="5" max="16384" width="8.88671875" style="1"/>
  </cols>
  <sheetData>
    <row r="1" spans="1:4">
      <c r="A1" s="8" t="s">
        <v>4112</v>
      </c>
      <c r="B1" s="8" t="s">
        <v>4148</v>
      </c>
      <c r="C1" s="8" t="s">
        <v>4116</v>
      </c>
    </row>
    <row r="2" spans="1:4">
      <c r="A2" s="7" t="s">
        <v>4113</v>
      </c>
      <c r="B2" s="7">
        <v>149</v>
      </c>
      <c r="C2" s="9">
        <v>3.73E-2</v>
      </c>
      <c r="D2" s="6"/>
    </row>
    <row r="3" spans="1:4">
      <c r="A3" s="7" t="s">
        <v>4114</v>
      </c>
      <c r="B3" s="7">
        <v>225</v>
      </c>
      <c r="C3" s="9">
        <v>5.6300000000000003E-2</v>
      </c>
      <c r="D3" s="6"/>
    </row>
    <row r="4" spans="1:4">
      <c r="A4" s="7" t="s">
        <v>4115</v>
      </c>
      <c r="B4" s="7">
        <v>2774</v>
      </c>
      <c r="C4" s="9">
        <v>0.69350000000000001</v>
      </c>
      <c r="D4" s="6"/>
    </row>
    <row r="5" spans="1:4">
      <c r="A5" s="1" t="s">
        <v>4117</v>
      </c>
      <c r="B5" s="1">
        <f>COUNT(SupportTickets[opened_at])</f>
        <v>4000</v>
      </c>
    </row>
    <row r="6" spans="1:4">
      <c r="A6" s="1" t="s">
        <v>4118</v>
      </c>
      <c r="B6" s="1">
        <f>COUNT(SupportTickets[resolved_at])</f>
        <v>3775</v>
      </c>
    </row>
    <row r="7" spans="1:4">
      <c r="A7" s="13" t="s">
        <v>4121</v>
      </c>
      <c r="B7" s="1">
        <f>COUNTIF('support-tickets'!L2:L4001,"Review")</f>
        <v>143</v>
      </c>
    </row>
    <row r="8" spans="1:4">
      <c r="A8" s="1" t="s">
        <v>4123</v>
      </c>
      <c r="B8" s="1">
        <f>COUNTIF('support-tickets'!M2:M4001,"&gt;1")</f>
        <v>0</v>
      </c>
      <c r="C8" s="7"/>
    </row>
    <row r="9" spans="1:4">
      <c r="A9" s="1" t="s">
        <v>4124</v>
      </c>
      <c r="B9" s="1">
        <f>COUNTIF('support-tickets'!G2:G4001,"&lt;0")</f>
        <v>0</v>
      </c>
    </row>
    <row r="10" spans="1:4">
      <c r="A10" s="13" t="s">
        <v>4125</v>
      </c>
      <c r="B10" s="1">
        <f>COUNTIF('support-tickets'!K2:K4001,"&lt;0")</f>
        <v>0</v>
      </c>
    </row>
    <row r="11" spans="1:4" ht="18" customHeight="1">
      <c r="A11" s="1" t="s">
        <v>4126</v>
      </c>
      <c r="B11" s="1">
        <f>COUNTIF(SupportTickets[csat],"&lt;1")+COUNTIF(SupportTickets[csat],"&gt;5")</f>
        <v>0</v>
      </c>
    </row>
    <row r="12" spans="1:4" ht="18" customHeight="1"/>
    <row r="14" spans="1:4">
      <c r="A14" s="14" t="s">
        <v>4112</v>
      </c>
      <c r="B14" s="15" t="s">
        <v>4153</v>
      </c>
      <c r="C14" s="16" t="s">
        <v>4154</v>
      </c>
    </row>
    <row r="15" spans="1:4">
      <c r="A15" s="17" t="s">
        <v>4155</v>
      </c>
      <c r="B15" s="18">
        <f>COUNT('support-tickets'!N2:N4001)</f>
        <v>3708</v>
      </c>
      <c r="C15" s="19">
        <v>3708</v>
      </c>
    </row>
    <row r="16" spans="1:4">
      <c r="A16" s="20" t="s">
        <v>4156</v>
      </c>
      <c r="B16" s="21">
        <f>COUNT('support-tickets'!O2:O4001)</f>
        <v>3632</v>
      </c>
      <c r="C16" s="22">
        <v>3632</v>
      </c>
    </row>
    <row r="21" spans="1:1">
      <c r="A21" s="1" t="s">
        <v>4157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FB771-9A42-4029-94F6-9E3633E1EB54}">
  <dimension ref="A1:O4001"/>
  <sheetViews>
    <sheetView tabSelected="1" topLeftCell="E1" zoomScale="91" workbookViewId="0">
      <selection activeCell="I18" sqref="I18"/>
    </sheetView>
  </sheetViews>
  <sheetFormatPr defaultRowHeight="14.4"/>
  <cols>
    <col min="1" max="1" width="15.109375" style="1" bestFit="1" customWidth="1"/>
    <col min="2" max="2" width="19.33203125" style="23" bestFit="1" customWidth="1"/>
    <col min="3" max="3" width="14.44140625" style="1" bestFit="1" customWidth="1"/>
    <col min="4" max="4" width="12.88671875" style="1" bestFit="1" customWidth="1"/>
    <col min="5" max="5" width="13.77734375" style="1" bestFit="1" customWidth="1"/>
    <col min="6" max="6" width="39.88671875" style="1" bestFit="1" customWidth="1"/>
    <col min="7" max="7" width="24.33203125" style="1" bestFit="1" customWidth="1"/>
    <col min="8" max="8" width="19.33203125" style="23" bestFit="1" customWidth="1"/>
    <col min="9" max="9" width="15.5546875" style="1" bestFit="1" customWidth="1"/>
    <col min="10" max="10" width="11.5546875" style="1" bestFit="1" customWidth="1"/>
    <col min="11" max="11" width="22" style="10" bestFit="1" customWidth="1"/>
    <col min="12" max="12" width="19.109375" style="1" bestFit="1" customWidth="1"/>
    <col min="13" max="13" width="14.88671875" style="1" bestFit="1" customWidth="1"/>
    <col min="14" max="14" width="32.21875" style="1" bestFit="1" customWidth="1"/>
    <col min="15" max="15" width="30.109375" style="10" bestFit="1" customWidth="1"/>
    <col min="16" max="16384" width="8.88671875" style="1"/>
  </cols>
  <sheetData>
    <row r="1" spans="1:15">
      <c r="A1" s="1" t="s">
        <v>0</v>
      </c>
      <c r="B1" s="2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3" t="s">
        <v>7</v>
      </c>
      <c r="I1" s="1" t="s">
        <v>8</v>
      </c>
      <c r="J1" s="1" t="s">
        <v>9</v>
      </c>
      <c r="K1" s="10" t="s">
        <v>4119</v>
      </c>
      <c r="L1" s="1" t="s">
        <v>4120</v>
      </c>
      <c r="M1" s="1" t="s">
        <v>4122</v>
      </c>
      <c r="N1" s="1" t="s">
        <v>4151</v>
      </c>
      <c r="O1" s="10" t="s">
        <v>4152</v>
      </c>
    </row>
    <row r="2" spans="1:15">
      <c r="A2" s="1" t="s">
        <v>10</v>
      </c>
      <c r="B2" s="23">
        <v>44927.09375</v>
      </c>
      <c r="C2" s="1" t="s">
        <v>11</v>
      </c>
      <c r="D2" s="1" t="s">
        <v>12</v>
      </c>
      <c r="E2" s="1" t="s">
        <v>13</v>
      </c>
      <c r="F2" s="1" t="s">
        <v>14</v>
      </c>
      <c r="G2" s="1">
        <v>63</v>
      </c>
      <c r="H2" s="23">
        <v>44927.324016203704</v>
      </c>
      <c r="I2" s="1" t="b">
        <v>1</v>
      </c>
      <c r="K2" s="10">
        <f>IF(H2="","",(H2-B2)*24)</f>
        <v>5.5263888888875954</v>
      </c>
      <c r="L2" s="1" t="str">
        <f>IF(OR(G2="",K2=""),"Cannot check",IF(G2&gt;K2*60,"Review","OK"))</f>
        <v>OK</v>
      </c>
      <c r="M2" s="1">
        <f t="shared" ref="M2:M65" si="0">COUNTIF($A$2:$A$4001,A2)</f>
        <v>1</v>
      </c>
      <c r="N2" s="1">
        <f t="shared" ref="N2:N65" si="1">IF(OR(L2="Review",G2=""),"",G2)</f>
        <v>63</v>
      </c>
      <c r="O2" s="10">
        <f>IF(OR(L2="Review",K2=""),"",K2)</f>
        <v>5.5263888888875954</v>
      </c>
    </row>
    <row r="3" spans="1:15">
      <c r="A3" s="1" t="s">
        <v>15</v>
      </c>
      <c r="B3" s="23">
        <v>44927.236805555556</v>
      </c>
      <c r="C3" s="1" t="s">
        <v>16</v>
      </c>
      <c r="D3" s="1" t="s">
        <v>17</v>
      </c>
      <c r="E3" s="1" t="s">
        <v>18</v>
      </c>
      <c r="F3" s="1" t="s">
        <v>19</v>
      </c>
      <c r="G3" s="1">
        <v>7</v>
      </c>
      <c r="H3" s="23">
        <v>44927.380532407406</v>
      </c>
      <c r="I3" s="1" t="b">
        <v>0</v>
      </c>
      <c r="K3" s="10">
        <f t="shared" ref="K3:K66" si="2">IF(H3="","",(H3-B3)*24)</f>
        <v>3.4494444443844259</v>
      </c>
      <c r="L3" s="1" t="str">
        <f t="shared" ref="L3:L66" si="3">IF(OR(G3="",K3=""),"Cannot check",IF(G3&gt;K3*60,"Review","OK"))</f>
        <v>OK</v>
      </c>
      <c r="M3" s="1">
        <f t="shared" si="0"/>
        <v>1</v>
      </c>
      <c r="N3" s="1">
        <f t="shared" si="1"/>
        <v>7</v>
      </c>
      <c r="O3" s="10">
        <f t="shared" ref="O3:O66" si="4">IF(OR(L3="Review",K3=""),"",K3)</f>
        <v>3.4494444443844259</v>
      </c>
    </row>
    <row r="4" spans="1:15">
      <c r="A4" s="1" t="s">
        <v>20</v>
      </c>
      <c r="B4" s="23">
        <v>44927.253472222219</v>
      </c>
      <c r="C4" s="1" t="s">
        <v>11</v>
      </c>
      <c r="D4" s="1" t="s">
        <v>21</v>
      </c>
      <c r="E4" s="1" t="s">
        <v>22</v>
      </c>
      <c r="F4" s="1" t="s">
        <v>23</v>
      </c>
      <c r="G4" s="1">
        <v>44</v>
      </c>
      <c r="H4" s="23">
        <v>44927.343333333331</v>
      </c>
      <c r="I4" s="1" t="b">
        <v>0</v>
      </c>
      <c r="K4" s="10">
        <f t="shared" si="2"/>
        <v>2.156666666676756</v>
      </c>
      <c r="L4" s="1" t="str">
        <f t="shared" si="3"/>
        <v>OK</v>
      </c>
      <c r="M4" s="1">
        <f t="shared" si="0"/>
        <v>1</v>
      </c>
      <c r="N4" s="1">
        <f t="shared" si="1"/>
        <v>44</v>
      </c>
      <c r="O4" s="10">
        <f t="shared" si="4"/>
        <v>2.156666666676756</v>
      </c>
    </row>
    <row r="5" spans="1:15">
      <c r="A5" s="1" t="s">
        <v>24</v>
      </c>
      <c r="B5" s="23">
        <v>44927.272222222222</v>
      </c>
      <c r="C5" s="1" t="s">
        <v>25</v>
      </c>
      <c r="D5" s="1" t="s">
        <v>26</v>
      </c>
      <c r="E5" s="1" t="s">
        <v>18</v>
      </c>
      <c r="F5" s="1" t="s">
        <v>27</v>
      </c>
      <c r="G5" s="1">
        <v>98</v>
      </c>
      <c r="I5" s="1" t="b">
        <v>0</v>
      </c>
      <c r="K5" s="10" t="str">
        <f t="shared" si="2"/>
        <v/>
      </c>
      <c r="L5" s="1" t="str">
        <f t="shared" si="3"/>
        <v>Cannot check</v>
      </c>
      <c r="M5" s="1">
        <f t="shared" si="0"/>
        <v>1</v>
      </c>
      <c r="N5" s="1">
        <f t="shared" si="1"/>
        <v>98</v>
      </c>
      <c r="O5" s="10" t="str">
        <f t="shared" si="4"/>
        <v/>
      </c>
    </row>
    <row r="6" spans="1:15">
      <c r="A6" s="1" t="s">
        <v>28</v>
      </c>
      <c r="B6" s="23">
        <v>44927.337500000001</v>
      </c>
      <c r="C6" s="1" t="s">
        <v>25</v>
      </c>
      <c r="D6" s="1" t="s">
        <v>12</v>
      </c>
      <c r="E6" s="1" t="s">
        <v>13</v>
      </c>
      <c r="F6" s="1" t="s">
        <v>29</v>
      </c>
      <c r="G6" s="1">
        <v>14</v>
      </c>
      <c r="H6" s="23">
        <v>44927.393854166665</v>
      </c>
      <c r="I6" s="1" t="b">
        <v>0</v>
      </c>
      <c r="J6" s="1">
        <v>5</v>
      </c>
      <c r="K6" s="10">
        <f t="shared" si="2"/>
        <v>1.3524999999208376</v>
      </c>
      <c r="L6" s="1" t="str">
        <f t="shared" si="3"/>
        <v>OK</v>
      </c>
      <c r="M6" s="1">
        <f t="shared" si="0"/>
        <v>1</v>
      </c>
      <c r="N6" s="1">
        <f t="shared" si="1"/>
        <v>14</v>
      </c>
      <c r="O6" s="10">
        <f t="shared" si="4"/>
        <v>1.3524999999208376</v>
      </c>
    </row>
    <row r="7" spans="1:15">
      <c r="A7" s="1" t="s">
        <v>30</v>
      </c>
      <c r="B7" s="23">
        <v>44927.352777777778</v>
      </c>
      <c r="C7" s="1" t="s">
        <v>11</v>
      </c>
      <c r="D7" s="1" t="s">
        <v>21</v>
      </c>
      <c r="E7" s="1" t="s">
        <v>18</v>
      </c>
      <c r="F7" s="1" t="s">
        <v>31</v>
      </c>
      <c r="G7" s="1">
        <v>416</v>
      </c>
      <c r="H7" s="23">
        <v>44928.097141203703</v>
      </c>
      <c r="I7" s="1" t="b">
        <v>0</v>
      </c>
      <c r="J7" s="1">
        <v>3</v>
      </c>
      <c r="K7" s="10">
        <f t="shared" si="2"/>
        <v>17.864722222206183</v>
      </c>
      <c r="L7" s="1" t="str">
        <f t="shared" si="3"/>
        <v>OK</v>
      </c>
      <c r="M7" s="1">
        <f t="shared" si="0"/>
        <v>1</v>
      </c>
      <c r="N7" s="1">
        <f t="shared" si="1"/>
        <v>416</v>
      </c>
      <c r="O7" s="10">
        <f t="shared" si="4"/>
        <v>17.864722222206183</v>
      </c>
    </row>
    <row r="8" spans="1:15">
      <c r="A8" s="1" t="s">
        <v>32</v>
      </c>
      <c r="B8" s="23">
        <v>44927.605555555558</v>
      </c>
      <c r="C8" s="1" t="s">
        <v>11</v>
      </c>
      <c r="D8" s="1" t="s">
        <v>12</v>
      </c>
      <c r="E8" s="1" t="s">
        <v>33</v>
      </c>
      <c r="F8" s="1" t="s">
        <v>31</v>
      </c>
      <c r="G8" s="1">
        <v>361</v>
      </c>
      <c r="H8" s="23">
        <v>44927.779282407406</v>
      </c>
      <c r="I8" s="1" t="b">
        <v>0</v>
      </c>
      <c r="K8" s="10">
        <f>IF(H8="","",(H8-B8)*24)</f>
        <v>4.1694444443564862</v>
      </c>
      <c r="L8" s="1" t="str">
        <f t="shared" si="3"/>
        <v>Review</v>
      </c>
      <c r="M8" s="1">
        <f t="shared" si="0"/>
        <v>1</v>
      </c>
      <c r="N8" s="1" t="str">
        <f t="shared" si="1"/>
        <v/>
      </c>
      <c r="O8" s="10" t="str">
        <f t="shared" si="4"/>
        <v/>
      </c>
    </row>
    <row r="9" spans="1:15">
      <c r="A9" s="1" t="s">
        <v>34</v>
      </c>
      <c r="B9" s="23">
        <v>44927.680555555555</v>
      </c>
      <c r="C9" s="1" t="s">
        <v>16</v>
      </c>
      <c r="D9" s="1" t="s">
        <v>21</v>
      </c>
      <c r="E9" s="1" t="s">
        <v>13</v>
      </c>
      <c r="F9" s="1" t="s">
        <v>35</v>
      </c>
      <c r="G9" s="1">
        <v>52</v>
      </c>
      <c r="H9" s="23">
        <v>44927.86478009259</v>
      </c>
      <c r="I9" s="1" t="b">
        <v>0</v>
      </c>
      <c r="K9" s="10">
        <f t="shared" si="2"/>
        <v>4.4213888888480142</v>
      </c>
      <c r="L9" s="1" t="str">
        <f t="shared" si="3"/>
        <v>OK</v>
      </c>
      <c r="M9" s="1">
        <f t="shared" si="0"/>
        <v>1</v>
      </c>
      <c r="N9" s="1">
        <f t="shared" si="1"/>
        <v>52</v>
      </c>
      <c r="O9" s="10">
        <f t="shared" si="4"/>
        <v>4.4213888888480142</v>
      </c>
    </row>
    <row r="10" spans="1:15">
      <c r="A10" s="1" t="s">
        <v>36</v>
      </c>
      <c r="B10" s="23">
        <v>44927.837500000001</v>
      </c>
      <c r="C10" s="1" t="s">
        <v>25</v>
      </c>
      <c r="D10" s="1" t="s">
        <v>17</v>
      </c>
      <c r="E10" s="1" t="s">
        <v>22</v>
      </c>
      <c r="F10" s="1" t="s">
        <v>37</v>
      </c>
      <c r="G10" s="1">
        <v>28</v>
      </c>
      <c r="H10" s="23">
        <v>44932.025104166663</v>
      </c>
      <c r="I10" s="1" t="b">
        <v>0</v>
      </c>
      <c r="K10" s="10">
        <f t="shared" si="2"/>
        <v>100.50249999988591</v>
      </c>
      <c r="L10" s="1" t="str">
        <f t="shared" si="3"/>
        <v>OK</v>
      </c>
      <c r="M10" s="1">
        <f t="shared" si="0"/>
        <v>1</v>
      </c>
      <c r="N10" s="1">
        <f t="shared" si="1"/>
        <v>28</v>
      </c>
      <c r="O10" s="10">
        <f t="shared" si="4"/>
        <v>100.50249999988591</v>
      </c>
    </row>
    <row r="11" spans="1:15">
      <c r="A11" s="1" t="s">
        <v>38</v>
      </c>
      <c r="B11" s="23">
        <v>44927.907638888886</v>
      </c>
      <c r="C11" s="1" t="s">
        <v>11</v>
      </c>
      <c r="D11" s="1" t="s">
        <v>21</v>
      </c>
      <c r="E11" s="1" t="s">
        <v>22</v>
      </c>
      <c r="F11" s="1" t="s">
        <v>39</v>
      </c>
      <c r="H11" s="23">
        <v>44928.092592592591</v>
      </c>
      <c r="I11" s="1" t="b">
        <v>0</v>
      </c>
      <c r="K11" s="10">
        <f t="shared" si="2"/>
        <v>4.43888888892252</v>
      </c>
      <c r="L11" s="1" t="str">
        <f t="shared" si="3"/>
        <v>Cannot check</v>
      </c>
      <c r="M11" s="1">
        <f t="shared" si="0"/>
        <v>1</v>
      </c>
      <c r="N11" s="1" t="str">
        <f t="shared" si="1"/>
        <v/>
      </c>
      <c r="O11" s="10">
        <f t="shared" si="4"/>
        <v>4.43888888892252</v>
      </c>
    </row>
    <row r="12" spans="1:15">
      <c r="A12" s="1" t="s">
        <v>40</v>
      </c>
      <c r="B12" s="23">
        <v>44927.92291666667</v>
      </c>
      <c r="C12" s="1" t="s">
        <v>11</v>
      </c>
      <c r="D12" s="1" t="s">
        <v>26</v>
      </c>
      <c r="E12" s="1" t="s">
        <v>33</v>
      </c>
      <c r="F12" s="1" t="s">
        <v>41</v>
      </c>
      <c r="G12" s="1">
        <v>243</v>
      </c>
      <c r="H12" s="23">
        <v>44943.551678240743</v>
      </c>
      <c r="I12" s="1" t="b">
        <v>0</v>
      </c>
      <c r="K12" s="10">
        <f t="shared" si="2"/>
        <v>375.09027777775191</v>
      </c>
      <c r="L12" s="1" t="str">
        <f t="shared" si="3"/>
        <v>OK</v>
      </c>
      <c r="M12" s="1">
        <f t="shared" si="0"/>
        <v>1</v>
      </c>
      <c r="N12" s="1">
        <f t="shared" si="1"/>
        <v>243</v>
      </c>
      <c r="O12" s="10">
        <f t="shared" si="4"/>
        <v>375.09027777775191</v>
      </c>
    </row>
    <row r="13" spans="1:15">
      <c r="A13" s="1" t="s">
        <v>42</v>
      </c>
      <c r="B13" s="23">
        <v>44927.948611111111</v>
      </c>
      <c r="C13" s="1" t="s">
        <v>43</v>
      </c>
      <c r="D13" s="1" t="s">
        <v>26</v>
      </c>
      <c r="E13" s="1" t="s">
        <v>13</v>
      </c>
      <c r="F13" s="1" t="s">
        <v>44</v>
      </c>
      <c r="G13" s="1">
        <v>19</v>
      </c>
      <c r="H13" s="23">
        <v>44928.918541666666</v>
      </c>
      <c r="I13" s="1" t="b">
        <v>1</v>
      </c>
      <c r="J13" s="1">
        <v>4</v>
      </c>
      <c r="K13" s="10">
        <f t="shared" si="2"/>
        <v>23.278333333320916</v>
      </c>
      <c r="L13" s="1" t="str">
        <f t="shared" si="3"/>
        <v>OK</v>
      </c>
      <c r="M13" s="1">
        <f t="shared" si="0"/>
        <v>1</v>
      </c>
      <c r="N13" s="1">
        <f t="shared" si="1"/>
        <v>19</v>
      </c>
      <c r="O13" s="10">
        <f t="shared" si="4"/>
        <v>23.278333333320916</v>
      </c>
    </row>
    <row r="14" spans="1:15">
      <c r="A14" s="1" t="s">
        <v>45</v>
      </c>
      <c r="B14" s="23">
        <v>44927.963194444441</v>
      </c>
      <c r="C14" s="1" t="s">
        <v>25</v>
      </c>
      <c r="D14" s="1" t="s">
        <v>12</v>
      </c>
      <c r="E14" s="1" t="s">
        <v>18</v>
      </c>
      <c r="F14" s="1" t="s">
        <v>46</v>
      </c>
      <c r="G14" s="1">
        <v>109</v>
      </c>
      <c r="H14" s="23">
        <v>44928.571087962962</v>
      </c>
      <c r="I14" s="1" t="b">
        <v>0</v>
      </c>
      <c r="K14" s="10">
        <f t="shared" si="2"/>
        <v>14.589444444514811</v>
      </c>
      <c r="L14" s="1" t="str">
        <f t="shared" si="3"/>
        <v>OK</v>
      </c>
      <c r="M14" s="1">
        <f t="shared" si="0"/>
        <v>1</v>
      </c>
      <c r="N14" s="1">
        <f t="shared" si="1"/>
        <v>109</v>
      </c>
      <c r="O14" s="10">
        <f t="shared" si="4"/>
        <v>14.589444444514811</v>
      </c>
    </row>
    <row r="15" spans="1:15">
      <c r="A15" s="1" t="s">
        <v>47</v>
      </c>
      <c r="B15" s="23">
        <v>44928.020833333336</v>
      </c>
      <c r="C15" s="1" t="s">
        <v>43</v>
      </c>
      <c r="D15" s="1" t="s">
        <v>17</v>
      </c>
      <c r="E15" s="1" t="s">
        <v>18</v>
      </c>
      <c r="F15" s="1" t="s">
        <v>48</v>
      </c>
      <c r="G15" s="1">
        <v>135</v>
      </c>
      <c r="H15" s="23">
        <v>44932.012789351851</v>
      </c>
      <c r="I15" s="1" t="b">
        <v>0</v>
      </c>
      <c r="J15" s="1">
        <v>4</v>
      </c>
      <c r="K15" s="10">
        <f t="shared" si="2"/>
        <v>95.806944444368128</v>
      </c>
      <c r="L15" s="1" t="str">
        <f t="shared" si="3"/>
        <v>OK</v>
      </c>
      <c r="M15" s="1">
        <f t="shared" si="0"/>
        <v>1</v>
      </c>
      <c r="N15" s="1">
        <f t="shared" si="1"/>
        <v>135</v>
      </c>
      <c r="O15" s="10">
        <f t="shared" si="4"/>
        <v>95.806944444368128</v>
      </c>
    </row>
    <row r="16" spans="1:15">
      <c r="A16" s="1" t="s">
        <v>49</v>
      </c>
      <c r="B16" s="23">
        <v>44928.022222222222</v>
      </c>
      <c r="C16" s="1" t="s">
        <v>11</v>
      </c>
      <c r="D16" s="1" t="s">
        <v>17</v>
      </c>
      <c r="E16" s="1" t="s">
        <v>33</v>
      </c>
      <c r="F16" s="1" t="s">
        <v>50</v>
      </c>
      <c r="G16" s="1">
        <v>34</v>
      </c>
      <c r="H16" s="23">
        <v>44935.485127314816</v>
      </c>
      <c r="I16" s="1" t="b">
        <v>1</v>
      </c>
      <c r="J16" s="1">
        <v>3</v>
      </c>
      <c r="K16" s="10">
        <f t="shared" si="2"/>
        <v>179.10972222225973</v>
      </c>
      <c r="L16" s="1" t="str">
        <f t="shared" si="3"/>
        <v>OK</v>
      </c>
      <c r="M16" s="1">
        <f t="shared" si="0"/>
        <v>1</v>
      </c>
      <c r="N16" s="1">
        <f t="shared" si="1"/>
        <v>34</v>
      </c>
      <c r="O16" s="10">
        <f t="shared" si="4"/>
        <v>179.10972222225973</v>
      </c>
    </row>
    <row r="17" spans="1:15">
      <c r="A17" s="1" t="s">
        <v>51</v>
      </c>
      <c r="B17" s="23">
        <v>44928.156944444447</v>
      </c>
      <c r="C17" s="1" t="s">
        <v>43</v>
      </c>
      <c r="D17" s="1" t="s">
        <v>21</v>
      </c>
      <c r="E17" s="1" t="s">
        <v>18</v>
      </c>
      <c r="F17" s="1" t="s">
        <v>52</v>
      </c>
      <c r="G17" s="1">
        <v>175</v>
      </c>
      <c r="H17" s="23">
        <v>44930.959745370368</v>
      </c>
      <c r="I17" s="1" t="b">
        <v>0</v>
      </c>
      <c r="K17" s="10">
        <f t="shared" si="2"/>
        <v>67.267222222115379</v>
      </c>
      <c r="L17" s="1" t="str">
        <f t="shared" si="3"/>
        <v>OK</v>
      </c>
      <c r="M17" s="1">
        <f t="shared" si="0"/>
        <v>1</v>
      </c>
      <c r="N17" s="1">
        <f t="shared" si="1"/>
        <v>175</v>
      </c>
      <c r="O17" s="10">
        <f t="shared" si="4"/>
        <v>67.267222222115379</v>
      </c>
    </row>
    <row r="18" spans="1:15">
      <c r="A18" s="1" t="s">
        <v>53</v>
      </c>
      <c r="B18" s="23">
        <v>44928.226388888892</v>
      </c>
      <c r="C18" s="1" t="s">
        <v>11</v>
      </c>
      <c r="D18" s="1" t="s">
        <v>21</v>
      </c>
      <c r="E18" s="1" t="s">
        <v>18</v>
      </c>
      <c r="F18" s="1" t="s">
        <v>54</v>
      </c>
      <c r="G18" s="1">
        <v>41</v>
      </c>
      <c r="H18" s="23">
        <v>44934.311435185184</v>
      </c>
      <c r="I18" s="1" t="b">
        <v>0</v>
      </c>
      <c r="K18" s="10">
        <f t="shared" si="2"/>
        <v>146.04111111100065</v>
      </c>
      <c r="L18" s="1" t="str">
        <f t="shared" si="3"/>
        <v>OK</v>
      </c>
      <c r="M18" s="1">
        <f t="shared" si="0"/>
        <v>1</v>
      </c>
      <c r="N18" s="1">
        <f t="shared" si="1"/>
        <v>41</v>
      </c>
      <c r="O18" s="10">
        <f t="shared" si="4"/>
        <v>146.04111111100065</v>
      </c>
    </row>
    <row r="19" spans="1:15">
      <c r="A19" s="1" t="s">
        <v>55</v>
      </c>
      <c r="B19" s="23">
        <v>44928.307638888888</v>
      </c>
      <c r="C19" s="1" t="s">
        <v>25</v>
      </c>
      <c r="D19" s="1" t="s">
        <v>26</v>
      </c>
      <c r="E19" s="1" t="s">
        <v>18</v>
      </c>
      <c r="F19" s="1" t="s">
        <v>31</v>
      </c>
      <c r="G19" s="1">
        <v>16</v>
      </c>
      <c r="H19" s="23">
        <v>44928.920902777776</v>
      </c>
      <c r="I19" s="1" t="b">
        <v>0</v>
      </c>
      <c r="K19" s="10">
        <f t="shared" si="2"/>
        <v>14.718333333323244</v>
      </c>
      <c r="L19" s="1" t="str">
        <f t="shared" si="3"/>
        <v>OK</v>
      </c>
      <c r="M19" s="1">
        <f t="shared" si="0"/>
        <v>1</v>
      </c>
      <c r="N19" s="1">
        <f t="shared" si="1"/>
        <v>16</v>
      </c>
      <c r="O19" s="10">
        <f t="shared" si="4"/>
        <v>14.718333333323244</v>
      </c>
    </row>
    <row r="20" spans="1:15">
      <c r="A20" s="1" t="s">
        <v>56</v>
      </c>
      <c r="B20" s="23">
        <v>44928.411805555559</v>
      </c>
      <c r="C20" s="1" t="s">
        <v>25</v>
      </c>
      <c r="D20" s="1" t="s">
        <v>12</v>
      </c>
      <c r="E20" s="1" t="s">
        <v>18</v>
      </c>
      <c r="F20" s="1" t="s">
        <v>57</v>
      </c>
      <c r="G20" s="1">
        <v>125</v>
      </c>
      <c r="H20" s="23">
        <v>44931.054097222222</v>
      </c>
      <c r="I20" s="1" t="b">
        <v>0</v>
      </c>
      <c r="J20" s="1">
        <v>5</v>
      </c>
      <c r="K20" s="10">
        <f t="shared" si="2"/>
        <v>63.414999999920838</v>
      </c>
      <c r="L20" s="1" t="str">
        <f t="shared" si="3"/>
        <v>OK</v>
      </c>
      <c r="M20" s="1">
        <f t="shared" si="0"/>
        <v>1</v>
      </c>
      <c r="N20" s="1">
        <f t="shared" si="1"/>
        <v>125</v>
      </c>
      <c r="O20" s="10">
        <f t="shared" si="4"/>
        <v>63.414999999920838</v>
      </c>
    </row>
    <row r="21" spans="1:15">
      <c r="A21" s="1" t="s">
        <v>58</v>
      </c>
      <c r="B21" s="23">
        <v>44928.859027777777</v>
      </c>
      <c r="C21" s="1" t="s">
        <v>16</v>
      </c>
      <c r="D21" s="1" t="s">
        <v>59</v>
      </c>
      <c r="E21" s="1" t="s">
        <v>33</v>
      </c>
      <c r="F21" s="1" t="s">
        <v>60</v>
      </c>
      <c r="G21" s="1">
        <v>127</v>
      </c>
      <c r="H21" s="23">
        <v>44930.399224537039</v>
      </c>
      <c r="I21" s="1" t="b">
        <v>0</v>
      </c>
      <c r="J21" s="1">
        <v>2</v>
      </c>
      <c r="K21" s="10">
        <f t="shared" si="2"/>
        <v>36.964722222299315</v>
      </c>
      <c r="L21" s="1" t="str">
        <f t="shared" si="3"/>
        <v>OK</v>
      </c>
      <c r="M21" s="1">
        <f t="shared" si="0"/>
        <v>1</v>
      </c>
      <c r="N21" s="1">
        <f t="shared" si="1"/>
        <v>127</v>
      </c>
      <c r="O21" s="10">
        <f t="shared" si="4"/>
        <v>36.964722222299315</v>
      </c>
    </row>
    <row r="22" spans="1:15">
      <c r="A22" s="1" t="s">
        <v>61</v>
      </c>
      <c r="B22" s="23">
        <v>44928.879861111112</v>
      </c>
      <c r="C22" s="1" t="s">
        <v>16</v>
      </c>
      <c r="D22" s="1" t="s">
        <v>59</v>
      </c>
      <c r="E22" s="1" t="s">
        <v>22</v>
      </c>
      <c r="F22" s="1" t="s">
        <v>62</v>
      </c>
      <c r="G22" s="1">
        <v>32</v>
      </c>
      <c r="H22" s="23">
        <v>44929.285636574074</v>
      </c>
      <c r="I22" s="1" t="b">
        <v>0</v>
      </c>
      <c r="J22" s="1">
        <v>3</v>
      </c>
      <c r="K22" s="10">
        <f t="shared" si="2"/>
        <v>9.7386111110681668</v>
      </c>
      <c r="L22" s="1" t="str">
        <f t="shared" si="3"/>
        <v>OK</v>
      </c>
      <c r="M22" s="1">
        <f t="shared" si="0"/>
        <v>1</v>
      </c>
      <c r="N22" s="1">
        <f t="shared" si="1"/>
        <v>32</v>
      </c>
      <c r="O22" s="10">
        <f t="shared" si="4"/>
        <v>9.7386111110681668</v>
      </c>
    </row>
    <row r="23" spans="1:15">
      <c r="A23" s="1" t="s">
        <v>63</v>
      </c>
      <c r="B23" s="23">
        <v>44928.894444444442</v>
      </c>
      <c r="C23" s="1" t="s">
        <v>11</v>
      </c>
      <c r="D23" s="1" t="s">
        <v>21</v>
      </c>
      <c r="E23" s="1" t="s">
        <v>22</v>
      </c>
      <c r="F23" s="1" t="s">
        <v>64</v>
      </c>
      <c r="G23" s="1">
        <v>9</v>
      </c>
      <c r="H23" s="23">
        <v>44929.539097222223</v>
      </c>
      <c r="I23" s="1" t="b">
        <v>0</v>
      </c>
      <c r="J23" s="1">
        <v>4</v>
      </c>
      <c r="K23" s="10">
        <f t="shared" si="2"/>
        <v>15.471666666737292</v>
      </c>
      <c r="L23" s="1" t="str">
        <f t="shared" si="3"/>
        <v>OK</v>
      </c>
      <c r="M23" s="1">
        <f t="shared" si="0"/>
        <v>1</v>
      </c>
      <c r="N23" s="1">
        <f t="shared" si="1"/>
        <v>9</v>
      </c>
      <c r="O23" s="10">
        <f t="shared" si="4"/>
        <v>15.471666666737292</v>
      </c>
    </row>
    <row r="24" spans="1:15">
      <c r="A24" s="1" t="s">
        <v>65</v>
      </c>
      <c r="B24" s="23">
        <v>44928.930555555555</v>
      </c>
      <c r="C24" s="1" t="s">
        <v>25</v>
      </c>
      <c r="D24" s="1" t="s">
        <v>12</v>
      </c>
      <c r="E24" s="1" t="s">
        <v>18</v>
      </c>
      <c r="F24" s="1" t="s">
        <v>66</v>
      </c>
      <c r="G24" s="1">
        <v>58</v>
      </c>
      <c r="H24" s="23">
        <v>44929.34642361111</v>
      </c>
      <c r="I24" s="1" t="b">
        <v>1</v>
      </c>
      <c r="K24" s="10">
        <f t="shared" si="2"/>
        <v>9.9808333333348855</v>
      </c>
      <c r="L24" s="1" t="str">
        <f t="shared" si="3"/>
        <v>OK</v>
      </c>
      <c r="M24" s="1">
        <f t="shared" si="0"/>
        <v>1</v>
      </c>
      <c r="N24" s="1">
        <f t="shared" si="1"/>
        <v>58</v>
      </c>
      <c r="O24" s="10">
        <f t="shared" si="4"/>
        <v>9.9808333333348855</v>
      </c>
    </row>
    <row r="25" spans="1:15">
      <c r="A25" s="1" t="s">
        <v>67</v>
      </c>
      <c r="B25" s="23">
        <v>44929.026388888888</v>
      </c>
      <c r="C25" s="1" t="s">
        <v>16</v>
      </c>
      <c r="D25" s="1" t="s">
        <v>17</v>
      </c>
      <c r="E25" s="1" t="s">
        <v>18</v>
      </c>
      <c r="F25" s="1" t="s">
        <v>68</v>
      </c>
      <c r="G25" s="1">
        <v>46</v>
      </c>
      <c r="H25" s="23">
        <v>44929.494039351855</v>
      </c>
      <c r="I25" s="1" t="b">
        <v>0</v>
      </c>
      <c r="K25" s="10">
        <f t="shared" si="2"/>
        <v>11.22361111122882</v>
      </c>
      <c r="L25" s="1" t="str">
        <f t="shared" si="3"/>
        <v>OK</v>
      </c>
      <c r="M25" s="1">
        <f t="shared" si="0"/>
        <v>1</v>
      </c>
      <c r="N25" s="1">
        <f t="shared" si="1"/>
        <v>46</v>
      </c>
      <c r="O25" s="10">
        <f t="shared" si="4"/>
        <v>11.22361111122882</v>
      </c>
    </row>
    <row r="26" spans="1:15">
      <c r="A26" s="1" t="s">
        <v>69</v>
      </c>
      <c r="B26" s="23">
        <v>44929.029861111114</v>
      </c>
      <c r="C26" s="1" t="s">
        <v>25</v>
      </c>
      <c r="D26" s="1" t="s">
        <v>59</v>
      </c>
      <c r="E26" s="1" t="s">
        <v>13</v>
      </c>
      <c r="F26" s="1" t="s">
        <v>70</v>
      </c>
      <c r="G26" s="1">
        <v>4</v>
      </c>
      <c r="H26" s="23">
        <v>44929.411678240744</v>
      </c>
      <c r="I26" s="1" t="b">
        <v>0</v>
      </c>
      <c r="K26" s="10">
        <f t="shared" si="2"/>
        <v>9.1636111111147329</v>
      </c>
      <c r="L26" s="1" t="str">
        <f t="shared" si="3"/>
        <v>OK</v>
      </c>
      <c r="M26" s="1">
        <f t="shared" si="0"/>
        <v>1</v>
      </c>
      <c r="N26" s="1">
        <f t="shared" si="1"/>
        <v>4</v>
      </c>
      <c r="O26" s="10">
        <f t="shared" si="4"/>
        <v>9.1636111111147329</v>
      </c>
    </row>
    <row r="27" spans="1:15">
      <c r="A27" s="1" t="s">
        <v>71</v>
      </c>
      <c r="B27" s="23">
        <v>44929.174305555556</v>
      </c>
      <c r="C27" s="1" t="s">
        <v>43</v>
      </c>
      <c r="D27" s="1" t="s">
        <v>59</v>
      </c>
      <c r="E27" s="1" t="s">
        <v>18</v>
      </c>
      <c r="F27" s="1" t="s">
        <v>72</v>
      </c>
      <c r="G27" s="1">
        <v>47</v>
      </c>
      <c r="I27" s="1" t="b">
        <v>0</v>
      </c>
      <c r="K27" s="10" t="str">
        <f t="shared" si="2"/>
        <v/>
      </c>
      <c r="L27" s="1" t="str">
        <f t="shared" si="3"/>
        <v>Cannot check</v>
      </c>
      <c r="M27" s="1">
        <f t="shared" si="0"/>
        <v>1</v>
      </c>
      <c r="N27" s="1">
        <f t="shared" si="1"/>
        <v>47</v>
      </c>
      <c r="O27" s="10" t="str">
        <f t="shared" si="4"/>
        <v/>
      </c>
    </row>
    <row r="28" spans="1:15">
      <c r="A28" s="1" t="s">
        <v>73</v>
      </c>
      <c r="B28" s="23">
        <v>44929.2</v>
      </c>
      <c r="C28" s="1" t="s">
        <v>25</v>
      </c>
      <c r="D28" s="1" t="s">
        <v>59</v>
      </c>
      <c r="E28" s="1" t="s">
        <v>18</v>
      </c>
      <c r="F28" s="1" t="s">
        <v>74</v>
      </c>
      <c r="G28" s="1">
        <v>78</v>
      </c>
      <c r="H28" s="23">
        <v>44930.416516203702</v>
      </c>
      <c r="I28" s="1" t="b">
        <v>0</v>
      </c>
      <c r="K28" s="10">
        <f t="shared" si="2"/>
        <v>29.196388888929505</v>
      </c>
      <c r="L28" s="1" t="str">
        <f t="shared" si="3"/>
        <v>OK</v>
      </c>
      <c r="M28" s="1">
        <f t="shared" si="0"/>
        <v>1</v>
      </c>
      <c r="N28" s="1">
        <f t="shared" si="1"/>
        <v>78</v>
      </c>
      <c r="O28" s="10">
        <f t="shared" si="4"/>
        <v>29.196388888929505</v>
      </c>
    </row>
    <row r="29" spans="1:15">
      <c r="A29" s="1" t="s">
        <v>75</v>
      </c>
      <c r="B29" s="23">
        <v>44929.37222222222</v>
      </c>
      <c r="C29" s="1" t="s">
        <v>11</v>
      </c>
      <c r="D29" s="1" t="s">
        <v>17</v>
      </c>
      <c r="E29" s="1" t="s">
        <v>18</v>
      </c>
      <c r="F29" s="1" t="s">
        <v>76</v>
      </c>
      <c r="G29" s="1">
        <v>285</v>
      </c>
      <c r="H29" s="23">
        <v>44930.516689814816</v>
      </c>
      <c r="I29" s="1" t="b">
        <v>1</v>
      </c>
      <c r="K29" s="10">
        <f t="shared" si="2"/>
        <v>27.467222222301643</v>
      </c>
      <c r="L29" s="1" t="str">
        <f t="shared" si="3"/>
        <v>OK</v>
      </c>
      <c r="M29" s="1">
        <f t="shared" si="0"/>
        <v>1</v>
      </c>
      <c r="N29" s="1">
        <f t="shared" si="1"/>
        <v>285</v>
      </c>
      <c r="O29" s="10">
        <f t="shared" si="4"/>
        <v>27.467222222301643</v>
      </c>
    </row>
    <row r="30" spans="1:15">
      <c r="A30" s="1" t="s">
        <v>77</v>
      </c>
      <c r="B30" s="23">
        <v>44929.424305555556</v>
      </c>
      <c r="C30" s="1" t="s">
        <v>25</v>
      </c>
      <c r="D30" s="1" t="s">
        <v>59</v>
      </c>
      <c r="E30" s="1" t="s">
        <v>13</v>
      </c>
      <c r="F30" s="1" t="s">
        <v>78</v>
      </c>
      <c r="G30" s="1">
        <v>19</v>
      </c>
      <c r="H30" s="23">
        <v>44929.758055555554</v>
      </c>
      <c r="I30" s="1" t="b">
        <v>0</v>
      </c>
      <c r="K30" s="10">
        <f t="shared" si="2"/>
        <v>8.0099999999511056</v>
      </c>
      <c r="L30" s="1" t="str">
        <f t="shared" si="3"/>
        <v>OK</v>
      </c>
      <c r="M30" s="1">
        <f t="shared" si="0"/>
        <v>1</v>
      </c>
      <c r="N30" s="1">
        <f t="shared" si="1"/>
        <v>19</v>
      </c>
      <c r="O30" s="10">
        <f t="shared" si="4"/>
        <v>8.0099999999511056</v>
      </c>
    </row>
    <row r="31" spans="1:15">
      <c r="A31" s="1" t="s">
        <v>79</v>
      </c>
      <c r="B31" s="23">
        <v>44929.434027777781</v>
      </c>
      <c r="C31" s="1" t="s">
        <v>25</v>
      </c>
      <c r="D31" s="1" t="s">
        <v>21</v>
      </c>
      <c r="E31" s="1" t="s">
        <v>13</v>
      </c>
      <c r="F31" s="1" t="s">
        <v>80</v>
      </c>
      <c r="G31" s="1">
        <v>32</v>
      </c>
      <c r="H31" s="23">
        <v>44929.509340277778</v>
      </c>
      <c r="I31" s="1" t="b">
        <v>0</v>
      </c>
      <c r="K31" s="10">
        <f t="shared" si="2"/>
        <v>1.8074999999371357</v>
      </c>
      <c r="L31" s="1" t="str">
        <f t="shared" si="3"/>
        <v>OK</v>
      </c>
      <c r="M31" s="1">
        <f t="shared" si="0"/>
        <v>1</v>
      </c>
      <c r="N31" s="1">
        <f t="shared" si="1"/>
        <v>32</v>
      </c>
      <c r="O31" s="10">
        <f t="shared" si="4"/>
        <v>1.8074999999371357</v>
      </c>
    </row>
    <row r="32" spans="1:15">
      <c r="A32" s="1" t="s">
        <v>81</v>
      </c>
      <c r="B32" s="23">
        <v>44929.45</v>
      </c>
      <c r="C32" s="1" t="s">
        <v>16</v>
      </c>
      <c r="D32" s="1" t="s">
        <v>21</v>
      </c>
      <c r="E32" s="1" t="s">
        <v>18</v>
      </c>
      <c r="F32" s="1" t="s">
        <v>78</v>
      </c>
      <c r="G32" s="1">
        <v>103</v>
      </c>
      <c r="H32" s="23">
        <v>44930.163483796299</v>
      </c>
      <c r="I32" s="1" t="b">
        <v>0</v>
      </c>
      <c r="K32" s="10">
        <f t="shared" si="2"/>
        <v>17.123611111252103</v>
      </c>
      <c r="L32" s="1" t="str">
        <f t="shared" si="3"/>
        <v>OK</v>
      </c>
      <c r="M32" s="1">
        <f t="shared" si="0"/>
        <v>1</v>
      </c>
      <c r="N32" s="1">
        <f t="shared" si="1"/>
        <v>103</v>
      </c>
      <c r="O32" s="10">
        <f t="shared" si="4"/>
        <v>17.123611111252103</v>
      </c>
    </row>
    <row r="33" spans="1:15">
      <c r="A33" s="1" t="s">
        <v>82</v>
      </c>
      <c r="B33" s="23">
        <v>44929.463888888888</v>
      </c>
      <c r="C33" s="1" t="s">
        <v>16</v>
      </c>
      <c r="D33" s="1" t="s">
        <v>21</v>
      </c>
      <c r="E33" s="1" t="s">
        <v>33</v>
      </c>
      <c r="F33" s="1" t="s">
        <v>80</v>
      </c>
      <c r="G33" s="1">
        <v>137</v>
      </c>
      <c r="H33" s="23">
        <v>44931.376493055555</v>
      </c>
      <c r="I33" s="1" t="b">
        <v>0</v>
      </c>
      <c r="J33" s="1">
        <v>5</v>
      </c>
      <c r="K33" s="10">
        <f t="shared" si="2"/>
        <v>45.902500000025611</v>
      </c>
      <c r="L33" s="1" t="str">
        <f t="shared" si="3"/>
        <v>OK</v>
      </c>
      <c r="M33" s="1">
        <f t="shared" si="0"/>
        <v>1</v>
      </c>
      <c r="N33" s="1">
        <f t="shared" si="1"/>
        <v>137</v>
      </c>
      <c r="O33" s="10">
        <f t="shared" si="4"/>
        <v>45.902500000025611</v>
      </c>
    </row>
    <row r="34" spans="1:15">
      <c r="A34" s="1" t="s">
        <v>83</v>
      </c>
      <c r="B34" s="23">
        <v>44929.539583333331</v>
      </c>
      <c r="C34" s="1" t="s">
        <v>25</v>
      </c>
      <c r="D34" s="1" t="s">
        <v>17</v>
      </c>
      <c r="E34" s="1" t="s">
        <v>13</v>
      </c>
      <c r="F34" s="1" t="s">
        <v>84</v>
      </c>
      <c r="G34" s="1">
        <v>19</v>
      </c>
      <c r="H34" s="23">
        <v>44930.432650462964</v>
      </c>
      <c r="I34" s="1" t="b">
        <v>0</v>
      </c>
      <c r="K34" s="10">
        <f t="shared" si="2"/>
        <v>21.433611111191567</v>
      </c>
      <c r="L34" s="1" t="str">
        <f t="shared" si="3"/>
        <v>OK</v>
      </c>
      <c r="M34" s="1">
        <f t="shared" si="0"/>
        <v>1</v>
      </c>
      <c r="N34" s="1">
        <f t="shared" si="1"/>
        <v>19</v>
      </c>
      <c r="O34" s="10">
        <f t="shared" si="4"/>
        <v>21.433611111191567</v>
      </c>
    </row>
    <row r="35" spans="1:15">
      <c r="A35" s="1" t="s">
        <v>85</v>
      </c>
      <c r="B35" s="23">
        <v>44929.544444444444</v>
      </c>
      <c r="C35" s="1" t="s">
        <v>11</v>
      </c>
      <c r="D35" s="1" t="s">
        <v>17</v>
      </c>
      <c r="E35" s="1" t="s">
        <v>18</v>
      </c>
      <c r="F35" s="1" t="s">
        <v>86</v>
      </c>
      <c r="G35" s="1">
        <v>368</v>
      </c>
      <c r="H35" s="23">
        <v>44929.829722222225</v>
      </c>
      <c r="I35" s="1" t="b">
        <v>0</v>
      </c>
      <c r="J35" s="1">
        <v>4</v>
      </c>
      <c r="K35" s="10">
        <f t="shared" si="2"/>
        <v>6.846666666737292</v>
      </c>
      <c r="L35" s="1" t="str">
        <f t="shared" si="3"/>
        <v>OK</v>
      </c>
      <c r="M35" s="1">
        <f t="shared" si="0"/>
        <v>1</v>
      </c>
      <c r="N35" s="1">
        <f t="shared" si="1"/>
        <v>368</v>
      </c>
      <c r="O35" s="10">
        <f t="shared" si="4"/>
        <v>6.846666666737292</v>
      </c>
    </row>
    <row r="36" spans="1:15">
      <c r="A36" s="1" t="s">
        <v>87</v>
      </c>
      <c r="B36" s="23">
        <v>44929.560416666667</v>
      </c>
      <c r="C36" s="1" t="s">
        <v>43</v>
      </c>
      <c r="D36" s="1" t="s">
        <v>17</v>
      </c>
      <c r="E36" s="1" t="s">
        <v>18</v>
      </c>
      <c r="F36" s="1" t="s">
        <v>88</v>
      </c>
      <c r="G36" s="1">
        <v>106</v>
      </c>
      <c r="H36" s="23">
        <v>44930.612743055557</v>
      </c>
      <c r="I36" s="1" t="b">
        <v>0</v>
      </c>
      <c r="J36" s="1">
        <v>4</v>
      </c>
      <c r="K36" s="10">
        <f t="shared" si="2"/>
        <v>25.255833333358169</v>
      </c>
      <c r="L36" s="1" t="str">
        <f t="shared" si="3"/>
        <v>OK</v>
      </c>
      <c r="M36" s="1">
        <f t="shared" si="0"/>
        <v>1</v>
      </c>
      <c r="N36" s="1">
        <f t="shared" si="1"/>
        <v>106</v>
      </c>
      <c r="O36" s="10">
        <f t="shared" si="4"/>
        <v>25.255833333358169</v>
      </c>
    </row>
    <row r="37" spans="1:15">
      <c r="A37" s="1" t="s">
        <v>89</v>
      </c>
      <c r="B37" s="23">
        <v>44929.575694444444</v>
      </c>
      <c r="C37" s="1" t="s">
        <v>16</v>
      </c>
      <c r="D37" s="1" t="s">
        <v>59</v>
      </c>
      <c r="E37" s="1" t="s">
        <v>33</v>
      </c>
      <c r="F37" s="1" t="s">
        <v>90</v>
      </c>
      <c r="G37" s="1">
        <v>98</v>
      </c>
      <c r="H37" s="23">
        <v>44932.825648148151</v>
      </c>
      <c r="I37" s="1" t="b">
        <v>0</v>
      </c>
      <c r="K37" s="10">
        <f t="shared" si="2"/>
        <v>77.998888888978399</v>
      </c>
      <c r="L37" s="1" t="str">
        <f t="shared" si="3"/>
        <v>OK</v>
      </c>
      <c r="M37" s="1">
        <f t="shared" si="0"/>
        <v>1</v>
      </c>
      <c r="N37" s="1">
        <f t="shared" si="1"/>
        <v>98</v>
      </c>
      <c r="O37" s="10">
        <f t="shared" si="4"/>
        <v>77.998888888978399</v>
      </c>
    </row>
    <row r="38" spans="1:15">
      <c r="A38" s="1" t="s">
        <v>91</v>
      </c>
      <c r="B38" s="23">
        <v>44929.718055555553</v>
      </c>
      <c r="C38" s="1" t="s">
        <v>16</v>
      </c>
      <c r="D38" s="1" t="s">
        <v>59</v>
      </c>
      <c r="E38" s="1" t="s">
        <v>33</v>
      </c>
      <c r="F38" s="1" t="s">
        <v>92</v>
      </c>
      <c r="G38" s="1">
        <v>221</v>
      </c>
      <c r="H38" s="23">
        <v>44930.891469907408</v>
      </c>
      <c r="I38" s="1" t="b">
        <v>0</v>
      </c>
      <c r="K38" s="10">
        <f t="shared" si="2"/>
        <v>28.161944444524124</v>
      </c>
      <c r="L38" s="1" t="str">
        <f t="shared" si="3"/>
        <v>OK</v>
      </c>
      <c r="M38" s="1">
        <f t="shared" si="0"/>
        <v>1</v>
      </c>
      <c r="N38" s="1">
        <f t="shared" si="1"/>
        <v>221</v>
      </c>
      <c r="O38" s="10">
        <f t="shared" si="4"/>
        <v>28.161944444524124</v>
      </c>
    </row>
    <row r="39" spans="1:15">
      <c r="A39" s="1" t="s">
        <v>93</v>
      </c>
      <c r="B39" s="23">
        <v>44929.729861111111</v>
      </c>
      <c r="C39" s="1" t="s">
        <v>25</v>
      </c>
      <c r="D39" s="1" t="s">
        <v>26</v>
      </c>
      <c r="E39" s="1" t="s">
        <v>18</v>
      </c>
      <c r="F39" s="1" t="s">
        <v>94</v>
      </c>
      <c r="G39" s="1">
        <v>30</v>
      </c>
      <c r="H39" s="23">
        <v>44930.794548611113</v>
      </c>
      <c r="I39" s="1" t="b">
        <v>0</v>
      </c>
      <c r="K39" s="10">
        <f t="shared" si="2"/>
        <v>25.552500000048894</v>
      </c>
      <c r="L39" s="1" t="str">
        <f t="shared" si="3"/>
        <v>OK</v>
      </c>
      <c r="M39" s="1">
        <f t="shared" si="0"/>
        <v>1</v>
      </c>
      <c r="N39" s="1">
        <f t="shared" si="1"/>
        <v>30</v>
      </c>
      <c r="O39" s="10">
        <f t="shared" si="4"/>
        <v>25.552500000048894</v>
      </c>
    </row>
    <row r="40" spans="1:15">
      <c r="A40" s="1" t="s">
        <v>95</v>
      </c>
      <c r="B40" s="23">
        <v>44929.737500000003</v>
      </c>
      <c r="C40" s="1" t="s">
        <v>16</v>
      </c>
      <c r="D40" s="1" t="s">
        <v>17</v>
      </c>
      <c r="E40" s="1" t="s">
        <v>18</v>
      </c>
      <c r="F40" s="1" t="s">
        <v>96</v>
      </c>
      <c r="G40" s="1">
        <v>204</v>
      </c>
      <c r="H40" s="23">
        <v>44938.743692129632</v>
      </c>
      <c r="I40" s="1" t="b">
        <v>0</v>
      </c>
      <c r="K40" s="10">
        <f t="shared" si="2"/>
        <v>216.14861111110076</v>
      </c>
      <c r="L40" s="1" t="str">
        <f t="shared" si="3"/>
        <v>OK</v>
      </c>
      <c r="M40" s="1">
        <f t="shared" si="0"/>
        <v>1</v>
      </c>
      <c r="N40" s="1">
        <f t="shared" si="1"/>
        <v>204</v>
      </c>
      <c r="O40" s="10">
        <f t="shared" si="4"/>
        <v>216.14861111110076</v>
      </c>
    </row>
    <row r="41" spans="1:15">
      <c r="A41" s="1" t="s">
        <v>97</v>
      </c>
      <c r="B41" s="23">
        <v>44929.784722222219</v>
      </c>
      <c r="C41" s="1" t="s">
        <v>11</v>
      </c>
      <c r="D41" s="1" t="s">
        <v>59</v>
      </c>
      <c r="E41" s="1" t="s">
        <v>13</v>
      </c>
      <c r="F41" s="1" t="s">
        <v>98</v>
      </c>
      <c r="G41" s="1">
        <v>31</v>
      </c>
      <c r="H41" s="23">
        <v>44929.952766203707</v>
      </c>
      <c r="I41" s="1" t="b">
        <v>0</v>
      </c>
      <c r="K41" s="10">
        <f t="shared" si="2"/>
        <v>4.0330555557156913</v>
      </c>
      <c r="L41" s="1" t="str">
        <f t="shared" si="3"/>
        <v>OK</v>
      </c>
      <c r="M41" s="1">
        <f t="shared" si="0"/>
        <v>1</v>
      </c>
      <c r="N41" s="1">
        <f t="shared" si="1"/>
        <v>31</v>
      </c>
      <c r="O41" s="10">
        <f t="shared" si="4"/>
        <v>4.0330555557156913</v>
      </c>
    </row>
    <row r="42" spans="1:15">
      <c r="A42" s="1" t="s">
        <v>99</v>
      </c>
      <c r="B42" s="23">
        <v>44929.787499999999</v>
      </c>
      <c r="C42" s="1" t="s">
        <v>25</v>
      </c>
      <c r="D42" s="1" t="s">
        <v>21</v>
      </c>
      <c r="E42" s="1" t="s">
        <v>18</v>
      </c>
      <c r="F42" s="1" t="s">
        <v>100</v>
      </c>
      <c r="G42" s="1">
        <v>215</v>
      </c>
      <c r="H42" s="23">
        <v>44931.032997685186</v>
      </c>
      <c r="I42" s="1" t="b">
        <v>0</v>
      </c>
      <c r="K42" s="10">
        <f t="shared" si="2"/>
        <v>29.891944444505498</v>
      </c>
      <c r="L42" s="1" t="str">
        <f t="shared" si="3"/>
        <v>OK</v>
      </c>
      <c r="M42" s="1">
        <f t="shared" si="0"/>
        <v>1</v>
      </c>
      <c r="N42" s="1">
        <f t="shared" si="1"/>
        <v>215</v>
      </c>
      <c r="O42" s="10">
        <f t="shared" si="4"/>
        <v>29.891944444505498</v>
      </c>
    </row>
    <row r="43" spans="1:15">
      <c r="A43" s="1" t="s">
        <v>101</v>
      </c>
      <c r="B43" s="23">
        <v>44929.804861111108</v>
      </c>
      <c r="C43" s="1" t="s">
        <v>11</v>
      </c>
      <c r="D43" s="1" t="s">
        <v>59</v>
      </c>
      <c r="E43" s="1" t="s">
        <v>13</v>
      </c>
      <c r="F43" s="1" t="s">
        <v>102</v>
      </c>
      <c r="G43" s="1">
        <v>96</v>
      </c>
      <c r="H43" s="23">
        <v>44930.197743055556</v>
      </c>
      <c r="I43" s="1" t="b">
        <v>0</v>
      </c>
      <c r="K43" s="10">
        <f t="shared" si="2"/>
        <v>9.4291666667559184</v>
      </c>
      <c r="L43" s="1" t="str">
        <f t="shared" si="3"/>
        <v>OK</v>
      </c>
      <c r="M43" s="1">
        <f t="shared" si="0"/>
        <v>1</v>
      </c>
      <c r="N43" s="1">
        <f t="shared" si="1"/>
        <v>96</v>
      </c>
      <c r="O43" s="10">
        <f t="shared" si="4"/>
        <v>9.4291666667559184</v>
      </c>
    </row>
    <row r="44" spans="1:15">
      <c r="A44" s="1" t="s">
        <v>103</v>
      </c>
      <c r="B44" s="23">
        <v>44929.804861111108</v>
      </c>
      <c r="C44" s="1" t="s">
        <v>11</v>
      </c>
      <c r="D44" s="1" t="s">
        <v>17</v>
      </c>
      <c r="E44" s="1" t="s">
        <v>18</v>
      </c>
      <c r="F44" s="1" t="s">
        <v>104</v>
      </c>
      <c r="G44" s="1">
        <v>36</v>
      </c>
      <c r="H44" s="23">
        <v>44937.011388888888</v>
      </c>
      <c r="I44" s="1" t="b">
        <v>0</v>
      </c>
      <c r="K44" s="10">
        <f t="shared" si="2"/>
        <v>172.95666666672332</v>
      </c>
      <c r="L44" s="1" t="str">
        <f t="shared" si="3"/>
        <v>OK</v>
      </c>
      <c r="M44" s="1">
        <f t="shared" si="0"/>
        <v>1</v>
      </c>
      <c r="N44" s="1">
        <f t="shared" si="1"/>
        <v>36</v>
      </c>
      <c r="O44" s="10">
        <f t="shared" si="4"/>
        <v>172.95666666672332</v>
      </c>
    </row>
    <row r="45" spans="1:15">
      <c r="A45" s="1" t="s">
        <v>105</v>
      </c>
      <c r="B45" s="23">
        <v>44929.80972222222</v>
      </c>
      <c r="C45" s="1" t="s">
        <v>43</v>
      </c>
      <c r="D45" s="1" t="s">
        <v>17</v>
      </c>
      <c r="E45" s="1" t="s">
        <v>18</v>
      </c>
      <c r="F45" s="1" t="s">
        <v>106</v>
      </c>
      <c r="G45" s="1">
        <v>145</v>
      </c>
      <c r="H45" s="23">
        <v>44932.746516203704</v>
      </c>
      <c r="I45" s="1" t="b">
        <v>0</v>
      </c>
      <c r="J45" s="1">
        <v>5</v>
      </c>
      <c r="K45" s="10">
        <f t="shared" si="2"/>
        <v>70.483055555610918</v>
      </c>
      <c r="L45" s="1" t="str">
        <f t="shared" si="3"/>
        <v>OK</v>
      </c>
      <c r="M45" s="1">
        <f t="shared" si="0"/>
        <v>1</v>
      </c>
      <c r="N45" s="1">
        <f t="shared" si="1"/>
        <v>145</v>
      </c>
      <c r="O45" s="10">
        <f t="shared" si="4"/>
        <v>70.483055555610918</v>
      </c>
    </row>
    <row r="46" spans="1:15">
      <c r="A46" s="1" t="s">
        <v>107</v>
      </c>
      <c r="B46" s="23">
        <v>44929.820138888892</v>
      </c>
      <c r="C46" s="1" t="s">
        <v>16</v>
      </c>
      <c r="D46" s="1" t="s">
        <v>59</v>
      </c>
      <c r="E46" s="1" t="s">
        <v>18</v>
      </c>
      <c r="F46" s="1" t="s">
        <v>108</v>
      </c>
      <c r="H46" s="23">
        <v>44931.067384259259</v>
      </c>
      <c r="I46" s="1" t="b">
        <v>0</v>
      </c>
      <c r="J46" s="1">
        <v>4</v>
      </c>
      <c r="K46" s="10">
        <f t="shared" si="2"/>
        <v>29.933888888801448</v>
      </c>
      <c r="L46" s="1" t="str">
        <f t="shared" si="3"/>
        <v>Cannot check</v>
      </c>
      <c r="M46" s="1">
        <f t="shared" si="0"/>
        <v>1</v>
      </c>
      <c r="N46" s="1" t="str">
        <f t="shared" si="1"/>
        <v/>
      </c>
      <c r="O46" s="10">
        <f t="shared" si="4"/>
        <v>29.933888888801448</v>
      </c>
    </row>
    <row r="47" spans="1:15">
      <c r="A47" s="1" t="s">
        <v>109</v>
      </c>
      <c r="B47" s="23">
        <v>44929.854861111111</v>
      </c>
      <c r="C47" s="1" t="s">
        <v>43</v>
      </c>
      <c r="D47" s="1" t="s">
        <v>12</v>
      </c>
      <c r="E47" s="1" t="s">
        <v>18</v>
      </c>
      <c r="F47" s="1" t="s">
        <v>110</v>
      </c>
      <c r="G47" s="1">
        <v>192</v>
      </c>
      <c r="H47" s="23">
        <v>44930.430798611109</v>
      </c>
      <c r="I47" s="1" t="b">
        <v>0</v>
      </c>
      <c r="K47" s="10">
        <f t="shared" si="2"/>
        <v>13.822499999951106</v>
      </c>
      <c r="L47" s="1" t="str">
        <f t="shared" si="3"/>
        <v>OK</v>
      </c>
      <c r="M47" s="1">
        <f t="shared" si="0"/>
        <v>1</v>
      </c>
      <c r="N47" s="1">
        <f t="shared" si="1"/>
        <v>192</v>
      </c>
      <c r="O47" s="10">
        <f t="shared" si="4"/>
        <v>13.822499999951106</v>
      </c>
    </row>
    <row r="48" spans="1:15">
      <c r="A48" s="1" t="s">
        <v>111</v>
      </c>
      <c r="B48" s="23">
        <v>44929.929861111108</v>
      </c>
      <c r="C48" s="1" t="s">
        <v>11</v>
      </c>
      <c r="D48" s="1" t="s">
        <v>21</v>
      </c>
      <c r="E48" s="1" t="s">
        <v>33</v>
      </c>
      <c r="F48" s="1" t="s">
        <v>112</v>
      </c>
      <c r="G48" s="1">
        <v>207</v>
      </c>
      <c r="H48" s="23">
        <v>44932.867407407408</v>
      </c>
      <c r="I48" s="1" t="b">
        <v>0</v>
      </c>
      <c r="K48" s="10">
        <f t="shared" si="2"/>
        <v>70.501111111196224</v>
      </c>
      <c r="L48" s="1" t="str">
        <f t="shared" si="3"/>
        <v>OK</v>
      </c>
      <c r="M48" s="1">
        <f t="shared" si="0"/>
        <v>1</v>
      </c>
      <c r="N48" s="1">
        <f t="shared" si="1"/>
        <v>207</v>
      </c>
      <c r="O48" s="10">
        <f t="shared" si="4"/>
        <v>70.501111111196224</v>
      </c>
    </row>
    <row r="49" spans="1:15">
      <c r="A49" s="1" t="s">
        <v>113</v>
      </c>
      <c r="B49" s="23">
        <v>44929.979166666664</v>
      </c>
      <c r="C49" s="1" t="s">
        <v>16</v>
      </c>
      <c r="D49" s="1" t="s">
        <v>12</v>
      </c>
      <c r="E49" s="1" t="s">
        <v>22</v>
      </c>
      <c r="F49" s="1" t="s">
        <v>114</v>
      </c>
      <c r="G49" s="1">
        <v>113</v>
      </c>
      <c r="H49" s="23">
        <v>44931.519386574073</v>
      </c>
      <c r="I49" s="1" t="b">
        <v>0</v>
      </c>
      <c r="J49" s="1">
        <v>4</v>
      </c>
      <c r="K49" s="10">
        <f t="shared" si="2"/>
        <v>36.965277777810115</v>
      </c>
      <c r="L49" s="1" t="str">
        <f t="shared" si="3"/>
        <v>OK</v>
      </c>
      <c r="M49" s="1">
        <f t="shared" si="0"/>
        <v>1</v>
      </c>
      <c r="N49" s="1">
        <f t="shared" si="1"/>
        <v>113</v>
      </c>
      <c r="O49" s="10">
        <f t="shared" si="4"/>
        <v>36.965277777810115</v>
      </c>
    </row>
    <row r="50" spans="1:15">
      <c r="A50" s="1" t="s">
        <v>115</v>
      </c>
      <c r="B50" s="23">
        <v>44929.999305555553</v>
      </c>
      <c r="C50" s="1" t="s">
        <v>25</v>
      </c>
      <c r="D50" s="1" t="s">
        <v>17</v>
      </c>
      <c r="E50" s="1" t="s">
        <v>33</v>
      </c>
      <c r="F50" s="1" t="s">
        <v>116</v>
      </c>
      <c r="G50" s="1">
        <v>470</v>
      </c>
      <c r="H50" s="23">
        <v>44931.901932870373</v>
      </c>
      <c r="I50" s="1" t="b">
        <v>0</v>
      </c>
      <c r="J50" s="1">
        <v>3</v>
      </c>
      <c r="K50" s="10">
        <f t="shared" si="2"/>
        <v>45.66305555566214</v>
      </c>
      <c r="L50" s="1" t="str">
        <f t="shared" si="3"/>
        <v>OK</v>
      </c>
      <c r="M50" s="1">
        <f t="shared" si="0"/>
        <v>1</v>
      </c>
      <c r="N50" s="1">
        <f t="shared" si="1"/>
        <v>470</v>
      </c>
      <c r="O50" s="10">
        <f t="shared" si="4"/>
        <v>45.66305555566214</v>
      </c>
    </row>
    <row r="51" spans="1:15">
      <c r="A51" s="1" t="s">
        <v>117</v>
      </c>
      <c r="B51" s="23">
        <v>44930.072916666664</v>
      </c>
      <c r="C51" s="1" t="s">
        <v>11</v>
      </c>
      <c r="D51" s="1" t="s">
        <v>17</v>
      </c>
      <c r="E51" s="1" t="s">
        <v>33</v>
      </c>
      <c r="F51" s="1" t="s">
        <v>118</v>
      </c>
      <c r="G51" s="1">
        <v>79</v>
      </c>
      <c r="H51" s="23">
        <v>44950.614016203705</v>
      </c>
      <c r="I51" s="1" t="b">
        <v>0</v>
      </c>
      <c r="J51" s="1">
        <v>4</v>
      </c>
      <c r="K51" s="10">
        <f t="shared" si="2"/>
        <v>492.98638888896676</v>
      </c>
      <c r="L51" s="1" t="str">
        <f t="shared" si="3"/>
        <v>OK</v>
      </c>
      <c r="M51" s="1">
        <f t="shared" si="0"/>
        <v>1</v>
      </c>
      <c r="N51" s="1">
        <f t="shared" si="1"/>
        <v>79</v>
      </c>
      <c r="O51" s="10">
        <f t="shared" si="4"/>
        <v>492.98638888896676</v>
      </c>
    </row>
    <row r="52" spans="1:15">
      <c r="A52" s="1" t="s">
        <v>119</v>
      </c>
      <c r="B52" s="23">
        <v>44930.090277777781</v>
      </c>
      <c r="C52" s="1" t="s">
        <v>25</v>
      </c>
      <c r="D52" s="1" t="s">
        <v>21</v>
      </c>
      <c r="E52" s="1" t="s">
        <v>33</v>
      </c>
      <c r="F52" s="1" t="s">
        <v>120</v>
      </c>
      <c r="G52" s="1">
        <v>151</v>
      </c>
      <c r="H52" s="23">
        <v>44932.102025462962</v>
      </c>
      <c r="I52" s="1" t="b">
        <v>0</v>
      </c>
      <c r="J52" s="1">
        <v>5</v>
      </c>
      <c r="K52" s="10">
        <f t="shared" si="2"/>
        <v>48.281944444344845</v>
      </c>
      <c r="L52" s="1" t="str">
        <f t="shared" si="3"/>
        <v>OK</v>
      </c>
      <c r="M52" s="1">
        <f t="shared" si="0"/>
        <v>1</v>
      </c>
      <c r="N52" s="1">
        <f t="shared" si="1"/>
        <v>151</v>
      </c>
      <c r="O52" s="10">
        <f t="shared" si="4"/>
        <v>48.281944444344845</v>
      </c>
    </row>
    <row r="53" spans="1:15">
      <c r="A53" s="1" t="s">
        <v>121</v>
      </c>
      <c r="B53" s="23">
        <v>44930.133333333331</v>
      </c>
      <c r="C53" s="1" t="s">
        <v>43</v>
      </c>
      <c r="D53" s="1" t="s">
        <v>12</v>
      </c>
      <c r="E53" s="1" t="s">
        <v>18</v>
      </c>
      <c r="F53" s="1" t="s">
        <v>27</v>
      </c>
      <c r="G53" s="1">
        <v>113</v>
      </c>
      <c r="H53" s="23">
        <v>44930.64738425926</v>
      </c>
      <c r="I53" s="1" t="b">
        <v>0</v>
      </c>
      <c r="K53" s="10">
        <f t="shared" si="2"/>
        <v>12.337222222296987</v>
      </c>
      <c r="L53" s="1" t="str">
        <f t="shared" si="3"/>
        <v>OK</v>
      </c>
      <c r="M53" s="1">
        <f t="shared" si="0"/>
        <v>1</v>
      </c>
      <c r="N53" s="1">
        <f t="shared" si="1"/>
        <v>113</v>
      </c>
      <c r="O53" s="10">
        <f t="shared" si="4"/>
        <v>12.337222222296987</v>
      </c>
    </row>
    <row r="54" spans="1:15">
      <c r="A54" s="1" t="s">
        <v>122</v>
      </c>
      <c r="B54" s="23">
        <v>44930.220833333333</v>
      </c>
      <c r="C54" s="1" t="s">
        <v>25</v>
      </c>
      <c r="D54" s="1" t="s">
        <v>26</v>
      </c>
      <c r="E54" s="1" t="s">
        <v>18</v>
      </c>
      <c r="F54" s="1" t="s">
        <v>102</v>
      </c>
      <c r="G54" s="1">
        <v>21</v>
      </c>
      <c r="H54" s="23">
        <v>44930.939189814817</v>
      </c>
      <c r="I54" s="1" t="b">
        <v>0</v>
      </c>
      <c r="K54" s="10">
        <f t="shared" si="2"/>
        <v>17.240555555617902</v>
      </c>
      <c r="L54" s="1" t="str">
        <f t="shared" si="3"/>
        <v>OK</v>
      </c>
      <c r="M54" s="1">
        <f t="shared" si="0"/>
        <v>1</v>
      </c>
      <c r="N54" s="1">
        <f t="shared" si="1"/>
        <v>21</v>
      </c>
      <c r="O54" s="10">
        <f t="shared" si="4"/>
        <v>17.240555555617902</v>
      </c>
    </row>
    <row r="55" spans="1:15">
      <c r="A55" s="1" t="s">
        <v>123</v>
      </c>
      <c r="B55" s="23">
        <v>44930.412499999999</v>
      </c>
      <c r="C55" s="1" t="s">
        <v>16</v>
      </c>
      <c r="D55" s="1" t="s">
        <v>59</v>
      </c>
      <c r="E55" s="1" t="s">
        <v>33</v>
      </c>
      <c r="F55" s="1" t="s">
        <v>116</v>
      </c>
      <c r="G55" s="1">
        <v>81</v>
      </c>
      <c r="H55" s="23">
        <v>44934.09002314815</v>
      </c>
      <c r="I55" s="1" t="b">
        <v>0</v>
      </c>
      <c r="K55" s="10">
        <f t="shared" si="2"/>
        <v>88.260555555636529</v>
      </c>
      <c r="L55" s="1" t="str">
        <f t="shared" si="3"/>
        <v>OK</v>
      </c>
      <c r="M55" s="1">
        <f t="shared" si="0"/>
        <v>1</v>
      </c>
      <c r="N55" s="1">
        <f t="shared" si="1"/>
        <v>81</v>
      </c>
      <c r="O55" s="10">
        <f t="shared" si="4"/>
        <v>88.260555555636529</v>
      </c>
    </row>
    <row r="56" spans="1:15">
      <c r="A56" s="1" t="s">
        <v>124</v>
      </c>
      <c r="B56" s="23">
        <v>44930.45</v>
      </c>
      <c r="C56" s="1" t="s">
        <v>16</v>
      </c>
      <c r="D56" s="1" t="s">
        <v>12</v>
      </c>
      <c r="E56" s="1" t="s">
        <v>13</v>
      </c>
      <c r="F56" s="1" t="s">
        <v>68</v>
      </c>
      <c r="G56" s="1">
        <v>31</v>
      </c>
      <c r="H56" s="23">
        <v>44930.60659722222</v>
      </c>
      <c r="I56" s="1" t="b">
        <v>0</v>
      </c>
      <c r="K56" s="10">
        <f t="shared" si="2"/>
        <v>3.7583333333604969</v>
      </c>
      <c r="L56" s="1" t="str">
        <f t="shared" si="3"/>
        <v>OK</v>
      </c>
      <c r="M56" s="1">
        <f t="shared" si="0"/>
        <v>1</v>
      </c>
      <c r="N56" s="1">
        <f t="shared" si="1"/>
        <v>31</v>
      </c>
      <c r="O56" s="10">
        <f t="shared" si="4"/>
        <v>3.7583333333604969</v>
      </c>
    </row>
    <row r="57" spans="1:15">
      <c r="A57" s="1" t="s">
        <v>125</v>
      </c>
      <c r="B57" s="23">
        <v>44930.527777777781</v>
      </c>
      <c r="C57" s="1" t="s">
        <v>16</v>
      </c>
      <c r="D57" s="1" t="s">
        <v>17</v>
      </c>
      <c r="E57" s="1" t="s">
        <v>33</v>
      </c>
      <c r="F57" s="1" t="s">
        <v>116</v>
      </c>
      <c r="G57" s="1">
        <v>44</v>
      </c>
      <c r="H57" s="23">
        <v>44931.877812500003</v>
      </c>
      <c r="I57" s="1" t="b">
        <v>0</v>
      </c>
      <c r="K57" s="10">
        <f t="shared" si="2"/>
        <v>32.400833333318587</v>
      </c>
      <c r="L57" s="1" t="str">
        <f t="shared" si="3"/>
        <v>OK</v>
      </c>
      <c r="M57" s="1">
        <f t="shared" si="0"/>
        <v>1</v>
      </c>
      <c r="N57" s="1">
        <f t="shared" si="1"/>
        <v>44</v>
      </c>
      <c r="O57" s="10">
        <f t="shared" si="4"/>
        <v>32.400833333318587</v>
      </c>
    </row>
    <row r="58" spans="1:15">
      <c r="A58" s="1" t="s">
        <v>126</v>
      </c>
      <c r="B58" s="23">
        <v>44930.549305555556</v>
      </c>
      <c r="C58" s="1" t="s">
        <v>16</v>
      </c>
      <c r="D58" s="1" t="s">
        <v>21</v>
      </c>
      <c r="E58" s="1" t="s">
        <v>22</v>
      </c>
      <c r="F58" s="1" t="s">
        <v>66</v>
      </c>
      <c r="G58" s="1">
        <v>6</v>
      </c>
      <c r="H58" s="23">
        <v>44930.596250000002</v>
      </c>
      <c r="I58" s="1" t="b">
        <v>0</v>
      </c>
      <c r="K58" s="10">
        <f t="shared" si="2"/>
        <v>1.126666666707024</v>
      </c>
      <c r="L58" s="1" t="str">
        <f t="shared" si="3"/>
        <v>OK</v>
      </c>
      <c r="M58" s="1">
        <f t="shared" si="0"/>
        <v>1</v>
      </c>
      <c r="N58" s="1">
        <f t="shared" si="1"/>
        <v>6</v>
      </c>
      <c r="O58" s="10">
        <f t="shared" si="4"/>
        <v>1.126666666707024</v>
      </c>
    </row>
    <row r="59" spans="1:15">
      <c r="A59" s="1" t="s">
        <v>127</v>
      </c>
      <c r="B59" s="23">
        <v>44930.648611111108</v>
      </c>
      <c r="C59" s="1" t="s">
        <v>16</v>
      </c>
      <c r="D59" s="1" t="s">
        <v>21</v>
      </c>
      <c r="E59" s="1" t="s">
        <v>18</v>
      </c>
      <c r="F59" s="1" t="s">
        <v>128</v>
      </c>
      <c r="G59" s="1">
        <v>31</v>
      </c>
      <c r="H59" s="23">
        <v>44931.707187499997</v>
      </c>
      <c r="I59" s="1" t="b">
        <v>0</v>
      </c>
      <c r="K59" s="10">
        <f t="shared" si="2"/>
        <v>25.405833333323244</v>
      </c>
      <c r="L59" s="1" t="str">
        <f t="shared" si="3"/>
        <v>OK</v>
      </c>
      <c r="M59" s="1">
        <f t="shared" si="0"/>
        <v>1</v>
      </c>
      <c r="N59" s="1">
        <f t="shared" si="1"/>
        <v>31</v>
      </c>
      <c r="O59" s="10">
        <f t="shared" si="4"/>
        <v>25.405833333323244</v>
      </c>
    </row>
    <row r="60" spans="1:15">
      <c r="A60" s="1" t="s">
        <v>129</v>
      </c>
      <c r="B60" s="23">
        <v>44930.697222222225</v>
      </c>
      <c r="C60" s="1" t="s">
        <v>11</v>
      </c>
      <c r="D60" s="1" t="s">
        <v>59</v>
      </c>
      <c r="E60" s="1" t="s">
        <v>33</v>
      </c>
      <c r="F60" s="1" t="s">
        <v>130</v>
      </c>
      <c r="G60" s="1">
        <v>169</v>
      </c>
      <c r="H60" s="23">
        <v>44930.875752314816</v>
      </c>
      <c r="I60" s="1" t="b">
        <v>1</v>
      </c>
      <c r="K60" s="10">
        <f t="shared" si="2"/>
        <v>4.2847222221898846</v>
      </c>
      <c r="L60" s="1" t="str">
        <f t="shared" si="3"/>
        <v>OK</v>
      </c>
      <c r="M60" s="1">
        <f t="shared" si="0"/>
        <v>1</v>
      </c>
      <c r="N60" s="1">
        <f t="shared" si="1"/>
        <v>169</v>
      </c>
      <c r="O60" s="10">
        <f t="shared" si="4"/>
        <v>4.2847222221898846</v>
      </c>
    </row>
    <row r="61" spans="1:15">
      <c r="A61" s="1" t="s">
        <v>131</v>
      </c>
      <c r="B61" s="23">
        <v>44930.697222222225</v>
      </c>
      <c r="C61" s="1" t="s">
        <v>25</v>
      </c>
      <c r="D61" s="1" t="s">
        <v>17</v>
      </c>
      <c r="E61" s="1" t="s">
        <v>18</v>
      </c>
      <c r="F61" s="1" t="s">
        <v>132</v>
      </c>
      <c r="G61" s="1">
        <v>259</v>
      </c>
      <c r="H61" s="23">
        <v>44936.44091435185</v>
      </c>
      <c r="I61" s="1" t="b">
        <v>0</v>
      </c>
      <c r="K61" s="10">
        <f t="shared" si="2"/>
        <v>137.84861111099599</v>
      </c>
      <c r="L61" s="1" t="str">
        <f t="shared" si="3"/>
        <v>OK</v>
      </c>
      <c r="M61" s="1">
        <f t="shared" si="0"/>
        <v>1</v>
      </c>
      <c r="N61" s="1">
        <f t="shared" si="1"/>
        <v>259</v>
      </c>
      <c r="O61" s="10">
        <f t="shared" si="4"/>
        <v>137.84861111099599</v>
      </c>
    </row>
    <row r="62" spans="1:15">
      <c r="A62" s="1" t="s">
        <v>133</v>
      </c>
      <c r="B62" s="23">
        <v>44930.730555555558</v>
      </c>
      <c r="C62" s="1" t="s">
        <v>16</v>
      </c>
      <c r="D62" s="1" t="s">
        <v>17</v>
      </c>
      <c r="E62" s="1" t="s">
        <v>33</v>
      </c>
      <c r="F62" s="1" t="s">
        <v>134</v>
      </c>
      <c r="G62" s="1">
        <v>934</v>
      </c>
      <c r="H62" s="23">
        <v>44933.000185185185</v>
      </c>
      <c r="I62" s="1" t="b">
        <v>0</v>
      </c>
      <c r="K62" s="10">
        <f t="shared" si="2"/>
        <v>54.471111111051869</v>
      </c>
      <c r="L62" s="1" t="str">
        <f t="shared" si="3"/>
        <v>OK</v>
      </c>
      <c r="M62" s="1">
        <f t="shared" si="0"/>
        <v>1</v>
      </c>
      <c r="N62" s="1">
        <f t="shared" si="1"/>
        <v>934</v>
      </c>
      <c r="O62" s="10">
        <f t="shared" si="4"/>
        <v>54.471111111051869</v>
      </c>
    </row>
    <row r="63" spans="1:15">
      <c r="A63" s="1" t="s">
        <v>135</v>
      </c>
      <c r="B63" s="23">
        <v>44930.85</v>
      </c>
      <c r="C63" s="1" t="s">
        <v>43</v>
      </c>
      <c r="D63" s="1" t="s">
        <v>21</v>
      </c>
      <c r="E63" s="1" t="s">
        <v>18</v>
      </c>
      <c r="F63" s="1" t="s">
        <v>120</v>
      </c>
      <c r="G63" s="1">
        <v>36</v>
      </c>
      <c r="H63" s="23">
        <v>44931.299826388888</v>
      </c>
      <c r="I63" s="1" t="b">
        <v>0</v>
      </c>
      <c r="J63" s="1">
        <v>4</v>
      </c>
      <c r="K63" s="10">
        <f t="shared" si="2"/>
        <v>10.795833333337214</v>
      </c>
      <c r="L63" s="1" t="str">
        <f t="shared" si="3"/>
        <v>OK</v>
      </c>
      <c r="M63" s="1">
        <f t="shared" si="0"/>
        <v>1</v>
      </c>
      <c r="N63" s="1">
        <f t="shared" si="1"/>
        <v>36</v>
      </c>
      <c r="O63" s="10">
        <f t="shared" si="4"/>
        <v>10.795833333337214</v>
      </c>
    </row>
    <row r="64" spans="1:15">
      <c r="A64" s="1" t="s">
        <v>136</v>
      </c>
      <c r="B64" s="23">
        <v>44930.993055555555</v>
      </c>
      <c r="C64" s="1" t="s">
        <v>25</v>
      </c>
      <c r="D64" s="1" t="s">
        <v>59</v>
      </c>
      <c r="E64" s="1" t="s">
        <v>33</v>
      </c>
      <c r="F64" s="1" t="s">
        <v>108</v>
      </c>
      <c r="G64" s="1">
        <v>708</v>
      </c>
      <c r="H64" s="23">
        <v>44932.462881944448</v>
      </c>
      <c r="I64" s="1" t="b">
        <v>0</v>
      </c>
      <c r="J64" s="1">
        <v>5</v>
      </c>
      <c r="K64" s="10">
        <f t="shared" si="2"/>
        <v>35.275833333435003</v>
      </c>
      <c r="L64" s="1" t="str">
        <f t="shared" si="3"/>
        <v>OK</v>
      </c>
      <c r="M64" s="1">
        <f t="shared" si="0"/>
        <v>1</v>
      </c>
      <c r="N64" s="1">
        <f t="shared" si="1"/>
        <v>708</v>
      </c>
      <c r="O64" s="10">
        <f t="shared" si="4"/>
        <v>35.275833333435003</v>
      </c>
    </row>
    <row r="65" spans="1:15">
      <c r="A65" s="1" t="s">
        <v>137</v>
      </c>
      <c r="B65" s="23">
        <v>44931.006249999999</v>
      </c>
      <c r="C65" s="1" t="s">
        <v>11</v>
      </c>
      <c r="D65" s="1" t="s">
        <v>17</v>
      </c>
      <c r="E65" s="1" t="s">
        <v>13</v>
      </c>
      <c r="F65" s="1" t="s">
        <v>134</v>
      </c>
      <c r="G65" s="1">
        <v>20</v>
      </c>
      <c r="H65" s="23">
        <v>44935.330092592594</v>
      </c>
      <c r="I65" s="1" t="b">
        <v>0</v>
      </c>
      <c r="K65" s="10">
        <f t="shared" si="2"/>
        <v>103.77222222229466</v>
      </c>
      <c r="L65" s="1" t="str">
        <f t="shared" si="3"/>
        <v>OK</v>
      </c>
      <c r="M65" s="1">
        <f t="shared" si="0"/>
        <v>1</v>
      </c>
      <c r="N65" s="1">
        <f t="shared" si="1"/>
        <v>20</v>
      </c>
      <c r="O65" s="10">
        <f t="shared" si="4"/>
        <v>103.77222222229466</v>
      </c>
    </row>
    <row r="66" spans="1:15">
      <c r="A66" s="1" t="s">
        <v>138</v>
      </c>
      <c r="B66" s="23">
        <v>44931.054166666669</v>
      </c>
      <c r="C66" s="1" t="s">
        <v>16</v>
      </c>
      <c r="D66" s="1" t="s">
        <v>12</v>
      </c>
      <c r="E66" s="1" t="s">
        <v>22</v>
      </c>
      <c r="F66" s="1" t="s">
        <v>27</v>
      </c>
      <c r="G66" s="1">
        <v>33</v>
      </c>
      <c r="H66" s="23">
        <v>44931.173761574071</v>
      </c>
      <c r="I66" s="1" t="b">
        <v>0</v>
      </c>
      <c r="J66" s="1">
        <v>4</v>
      </c>
      <c r="K66" s="10">
        <f t="shared" si="2"/>
        <v>2.8702777776634321</v>
      </c>
      <c r="L66" s="1" t="str">
        <f t="shared" si="3"/>
        <v>OK</v>
      </c>
      <c r="M66" s="1">
        <f t="shared" ref="M66:M129" si="5">COUNTIF($A$2:$A$4001,A66)</f>
        <v>1</v>
      </c>
      <c r="N66" s="1">
        <f t="shared" ref="N66:N129" si="6">IF(OR(L66="Review",G66=""),"",G66)</f>
        <v>33</v>
      </c>
      <c r="O66" s="10">
        <f t="shared" si="4"/>
        <v>2.8702777776634321</v>
      </c>
    </row>
    <row r="67" spans="1:15">
      <c r="A67" s="1" t="s">
        <v>139</v>
      </c>
      <c r="B67" s="23">
        <v>44931.366666666669</v>
      </c>
      <c r="C67" s="1" t="s">
        <v>43</v>
      </c>
      <c r="D67" s="1" t="s">
        <v>21</v>
      </c>
      <c r="E67" s="1" t="s">
        <v>33</v>
      </c>
      <c r="F67" s="1" t="s">
        <v>96</v>
      </c>
      <c r="G67" s="1">
        <v>156</v>
      </c>
      <c r="H67" s="23">
        <v>44935.901712962965</v>
      </c>
      <c r="I67" s="1" t="b">
        <v>0</v>
      </c>
      <c r="J67" s="1">
        <v>5</v>
      </c>
      <c r="K67" s="10">
        <f t="shared" ref="K67:K130" si="7">IF(H67="","",(H67-B67)*24)</f>
        <v>108.84111111110542</v>
      </c>
      <c r="L67" s="1" t="str">
        <f t="shared" ref="L67:L130" si="8">IF(OR(G67="",K67=""),"Cannot check",IF(G67&gt;K67*60,"Review","OK"))</f>
        <v>OK</v>
      </c>
      <c r="M67" s="1">
        <f t="shared" si="5"/>
        <v>1</v>
      </c>
      <c r="N67" s="1">
        <f t="shared" si="6"/>
        <v>156</v>
      </c>
      <c r="O67" s="10">
        <f t="shared" ref="O67:O130" si="9">IF(OR(L67="Review",K67=""),"",K67)</f>
        <v>108.84111111110542</v>
      </c>
    </row>
    <row r="68" spans="1:15">
      <c r="A68" s="1" t="s">
        <v>140</v>
      </c>
      <c r="B68" s="23">
        <v>44931.37777777778</v>
      </c>
      <c r="C68" s="1" t="s">
        <v>11</v>
      </c>
      <c r="D68" s="1" t="s">
        <v>21</v>
      </c>
      <c r="E68" s="1" t="s">
        <v>18</v>
      </c>
      <c r="F68" s="1" t="s">
        <v>70</v>
      </c>
      <c r="G68" s="1">
        <v>104</v>
      </c>
      <c r="I68" s="1" t="b">
        <v>0</v>
      </c>
      <c r="K68" s="10" t="str">
        <f t="shared" si="7"/>
        <v/>
      </c>
      <c r="L68" s="1" t="str">
        <f t="shared" si="8"/>
        <v>Cannot check</v>
      </c>
      <c r="M68" s="1">
        <f t="shared" si="5"/>
        <v>1</v>
      </c>
      <c r="N68" s="1">
        <f t="shared" si="6"/>
        <v>104</v>
      </c>
      <c r="O68" s="10" t="str">
        <f t="shared" si="9"/>
        <v/>
      </c>
    </row>
    <row r="69" spans="1:15">
      <c r="A69" s="1" t="s">
        <v>141</v>
      </c>
      <c r="B69" s="23">
        <v>44931.443055555559</v>
      </c>
      <c r="C69" s="1" t="s">
        <v>16</v>
      </c>
      <c r="D69" s="1" t="s">
        <v>59</v>
      </c>
      <c r="E69" s="1" t="s">
        <v>13</v>
      </c>
      <c r="F69" s="1" t="s">
        <v>37</v>
      </c>
      <c r="G69" s="1">
        <v>32</v>
      </c>
      <c r="H69" s="23">
        <v>44932.355497685188</v>
      </c>
      <c r="I69" s="1" t="b">
        <v>0</v>
      </c>
      <c r="J69" s="1">
        <v>5</v>
      </c>
      <c r="K69" s="10">
        <f t="shared" si="7"/>
        <v>21.898611111100763</v>
      </c>
      <c r="L69" s="1" t="str">
        <f t="shared" si="8"/>
        <v>OK</v>
      </c>
      <c r="M69" s="1">
        <f t="shared" si="5"/>
        <v>1</v>
      </c>
      <c r="N69" s="1">
        <f t="shared" si="6"/>
        <v>32</v>
      </c>
      <c r="O69" s="10">
        <f t="shared" si="9"/>
        <v>21.898611111100763</v>
      </c>
    </row>
    <row r="70" spans="1:15">
      <c r="A70" s="1" t="s">
        <v>142</v>
      </c>
      <c r="B70" s="23">
        <v>44931.508333333331</v>
      </c>
      <c r="C70" s="1" t="s">
        <v>16</v>
      </c>
      <c r="D70" s="1" t="s">
        <v>21</v>
      </c>
      <c r="E70" s="1" t="s">
        <v>18</v>
      </c>
      <c r="F70" s="1" t="s">
        <v>90</v>
      </c>
      <c r="G70" s="1">
        <v>34</v>
      </c>
      <c r="H70" s="23">
        <v>44932.413240740738</v>
      </c>
      <c r="I70" s="1" t="b">
        <v>0</v>
      </c>
      <c r="J70" s="1">
        <v>4</v>
      </c>
      <c r="K70" s="10">
        <f t="shared" si="7"/>
        <v>21.717777777754236</v>
      </c>
      <c r="L70" s="1" t="str">
        <f t="shared" si="8"/>
        <v>OK</v>
      </c>
      <c r="M70" s="1">
        <f t="shared" si="5"/>
        <v>1</v>
      </c>
      <c r="N70" s="1">
        <f t="shared" si="6"/>
        <v>34</v>
      </c>
      <c r="O70" s="10">
        <f t="shared" si="9"/>
        <v>21.717777777754236</v>
      </c>
    </row>
    <row r="71" spans="1:15">
      <c r="A71" s="1" t="s">
        <v>143</v>
      </c>
      <c r="B71" s="23">
        <v>44931.548611111109</v>
      </c>
      <c r="C71" s="1" t="s">
        <v>25</v>
      </c>
      <c r="D71" s="1" t="s">
        <v>21</v>
      </c>
      <c r="E71" s="1" t="s">
        <v>18</v>
      </c>
      <c r="F71" s="1" t="s">
        <v>86</v>
      </c>
      <c r="G71" s="1">
        <v>92</v>
      </c>
      <c r="H71" s="23">
        <v>44937.909583333334</v>
      </c>
      <c r="I71" s="1" t="b">
        <v>0</v>
      </c>
      <c r="K71" s="10">
        <f t="shared" si="7"/>
        <v>152.66333333338844</v>
      </c>
      <c r="L71" s="1" t="str">
        <f t="shared" si="8"/>
        <v>OK</v>
      </c>
      <c r="M71" s="1">
        <f t="shared" si="5"/>
        <v>1</v>
      </c>
      <c r="N71" s="1">
        <f t="shared" si="6"/>
        <v>92</v>
      </c>
      <c r="O71" s="10">
        <f t="shared" si="9"/>
        <v>152.66333333338844</v>
      </c>
    </row>
    <row r="72" spans="1:15">
      <c r="A72" s="1" t="s">
        <v>144</v>
      </c>
      <c r="B72" s="23">
        <v>44931.607638888891</v>
      </c>
      <c r="C72" s="1" t="s">
        <v>43</v>
      </c>
      <c r="D72" s="1" t="s">
        <v>17</v>
      </c>
      <c r="E72" s="1" t="s">
        <v>33</v>
      </c>
      <c r="F72" s="1" t="s">
        <v>145</v>
      </c>
      <c r="G72" s="1">
        <v>387</v>
      </c>
      <c r="H72" s="23">
        <v>44941.597337962965</v>
      </c>
      <c r="I72" s="1" t="b">
        <v>0</v>
      </c>
      <c r="K72" s="10">
        <f t="shared" si="7"/>
        <v>239.75277777778683</v>
      </c>
      <c r="L72" s="1" t="str">
        <f t="shared" si="8"/>
        <v>OK</v>
      </c>
      <c r="M72" s="1">
        <f t="shared" si="5"/>
        <v>1</v>
      </c>
      <c r="N72" s="1">
        <f t="shared" si="6"/>
        <v>387</v>
      </c>
      <c r="O72" s="10">
        <f t="shared" si="9"/>
        <v>239.75277777778683</v>
      </c>
    </row>
    <row r="73" spans="1:15">
      <c r="A73" s="1" t="s">
        <v>146</v>
      </c>
      <c r="B73" s="23">
        <v>44931.635416666664</v>
      </c>
      <c r="C73" s="1" t="s">
        <v>25</v>
      </c>
      <c r="D73" s="1" t="s">
        <v>59</v>
      </c>
      <c r="E73" s="1" t="s">
        <v>22</v>
      </c>
      <c r="F73" s="1" t="s">
        <v>116</v>
      </c>
      <c r="G73" s="1">
        <v>18</v>
      </c>
      <c r="H73" s="23">
        <v>44932.209664351853</v>
      </c>
      <c r="I73" s="1" t="b">
        <v>0</v>
      </c>
      <c r="K73" s="10">
        <f t="shared" si="7"/>
        <v>13.781944444519468</v>
      </c>
      <c r="L73" s="1" t="str">
        <f t="shared" si="8"/>
        <v>OK</v>
      </c>
      <c r="M73" s="1">
        <f t="shared" si="5"/>
        <v>1</v>
      </c>
      <c r="N73" s="1">
        <f t="shared" si="6"/>
        <v>18</v>
      </c>
      <c r="O73" s="10">
        <f t="shared" si="9"/>
        <v>13.781944444519468</v>
      </c>
    </row>
    <row r="74" spans="1:15">
      <c r="A74" s="1" t="s">
        <v>147</v>
      </c>
      <c r="B74" s="23">
        <v>44931.788888888892</v>
      </c>
      <c r="C74" s="1" t="s">
        <v>16</v>
      </c>
      <c r="D74" s="1" t="s">
        <v>17</v>
      </c>
      <c r="E74" s="1" t="s">
        <v>13</v>
      </c>
      <c r="F74" s="1" t="s">
        <v>148</v>
      </c>
      <c r="G74" s="1">
        <v>58</v>
      </c>
      <c r="H74" s="23">
        <v>44932.751458333332</v>
      </c>
      <c r="I74" s="1" t="b">
        <v>0</v>
      </c>
      <c r="K74" s="10">
        <f t="shared" si="7"/>
        <v>23.101666666567326</v>
      </c>
      <c r="L74" s="1" t="str">
        <f t="shared" si="8"/>
        <v>OK</v>
      </c>
      <c r="M74" s="1">
        <f t="shared" si="5"/>
        <v>1</v>
      </c>
      <c r="N74" s="1">
        <f t="shared" si="6"/>
        <v>58</v>
      </c>
      <c r="O74" s="10">
        <f t="shared" si="9"/>
        <v>23.101666666567326</v>
      </c>
    </row>
    <row r="75" spans="1:15">
      <c r="A75" s="1" t="s">
        <v>149</v>
      </c>
      <c r="B75" s="23">
        <v>44931.902083333334</v>
      </c>
      <c r="C75" s="1" t="s">
        <v>11</v>
      </c>
      <c r="D75" s="1" t="s">
        <v>21</v>
      </c>
      <c r="E75" s="1" t="s">
        <v>18</v>
      </c>
      <c r="F75" s="1" t="s">
        <v>78</v>
      </c>
      <c r="G75" s="1">
        <v>45</v>
      </c>
      <c r="H75" s="23">
        <v>44932.075150462966</v>
      </c>
      <c r="I75" s="1" t="b">
        <v>0</v>
      </c>
      <c r="K75" s="10">
        <f t="shared" si="7"/>
        <v>4.1536111111636274</v>
      </c>
      <c r="L75" s="1" t="str">
        <f t="shared" si="8"/>
        <v>OK</v>
      </c>
      <c r="M75" s="1">
        <f t="shared" si="5"/>
        <v>1</v>
      </c>
      <c r="N75" s="1">
        <f t="shared" si="6"/>
        <v>45</v>
      </c>
      <c r="O75" s="10">
        <f t="shared" si="9"/>
        <v>4.1536111111636274</v>
      </c>
    </row>
    <row r="76" spans="1:15">
      <c r="A76" s="1" t="s">
        <v>150</v>
      </c>
      <c r="B76" s="23">
        <v>44931.930555555555</v>
      </c>
      <c r="C76" s="1" t="s">
        <v>16</v>
      </c>
      <c r="D76" s="1" t="s">
        <v>21</v>
      </c>
      <c r="E76" s="1" t="s">
        <v>22</v>
      </c>
      <c r="F76" s="1" t="s">
        <v>54</v>
      </c>
      <c r="G76" s="1">
        <v>38</v>
      </c>
      <c r="H76" s="23">
        <v>44932.060636574075</v>
      </c>
      <c r="I76" s="1" t="b">
        <v>0</v>
      </c>
      <c r="K76" s="10">
        <f t="shared" si="7"/>
        <v>3.1219444444868714</v>
      </c>
      <c r="L76" s="1" t="str">
        <f t="shared" si="8"/>
        <v>OK</v>
      </c>
      <c r="M76" s="1">
        <f t="shared" si="5"/>
        <v>1</v>
      </c>
      <c r="N76" s="1">
        <f t="shared" si="6"/>
        <v>38</v>
      </c>
      <c r="O76" s="10">
        <f t="shared" si="9"/>
        <v>3.1219444444868714</v>
      </c>
    </row>
    <row r="77" spans="1:15">
      <c r="A77" s="1" t="s">
        <v>151</v>
      </c>
      <c r="B77" s="23">
        <v>44931.959722222222</v>
      </c>
      <c r="C77" s="1" t="s">
        <v>11</v>
      </c>
      <c r="D77" s="1" t="s">
        <v>59</v>
      </c>
      <c r="E77" s="1" t="s">
        <v>18</v>
      </c>
      <c r="F77" s="1" t="s">
        <v>27</v>
      </c>
      <c r="G77" s="1">
        <v>195</v>
      </c>
      <c r="H77" s="23">
        <v>44932.749224537038</v>
      </c>
      <c r="I77" s="1" t="b">
        <v>0</v>
      </c>
      <c r="K77" s="10">
        <f t="shared" si="7"/>
        <v>18.948055555578321</v>
      </c>
      <c r="L77" s="1" t="str">
        <f t="shared" si="8"/>
        <v>OK</v>
      </c>
      <c r="M77" s="1">
        <f t="shared" si="5"/>
        <v>1</v>
      </c>
      <c r="N77" s="1">
        <f t="shared" si="6"/>
        <v>195</v>
      </c>
      <c r="O77" s="10">
        <f t="shared" si="9"/>
        <v>18.948055555578321</v>
      </c>
    </row>
    <row r="78" spans="1:15">
      <c r="A78" s="1" t="s">
        <v>152</v>
      </c>
      <c r="B78" s="23">
        <v>44932.182638888888</v>
      </c>
      <c r="C78" s="1" t="s">
        <v>25</v>
      </c>
      <c r="D78" s="1" t="s">
        <v>59</v>
      </c>
      <c r="E78" s="1" t="s">
        <v>18</v>
      </c>
      <c r="F78" s="1" t="s">
        <v>153</v>
      </c>
      <c r="G78" s="1">
        <v>85</v>
      </c>
      <c r="H78" s="23">
        <v>44932.649027777778</v>
      </c>
      <c r="I78" s="1" t="b">
        <v>0</v>
      </c>
      <c r="K78" s="10">
        <f t="shared" si="7"/>
        <v>11.193333333358169</v>
      </c>
      <c r="L78" s="1" t="str">
        <f t="shared" si="8"/>
        <v>OK</v>
      </c>
      <c r="M78" s="1">
        <f t="shared" si="5"/>
        <v>1</v>
      </c>
      <c r="N78" s="1">
        <f t="shared" si="6"/>
        <v>85</v>
      </c>
      <c r="O78" s="10">
        <f t="shared" si="9"/>
        <v>11.193333333358169</v>
      </c>
    </row>
    <row r="79" spans="1:15">
      <c r="A79" s="1" t="s">
        <v>154</v>
      </c>
      <c r="B79" s="23">
        <v>44932.31527777778</v>
      </c>
      <c r="C79" s="1" t="s">
        <v>16</v>
      </c>
      <c r="D79" s="1" t="s">
        <v>12</v>
      </c>
      <c r="E79" s="1" t="s">
        <v>18</v>
      </c>
      <c r="F79" s="1" t="s">
        <v>27</v>
      </c>
      <c r="G79" s="1">
        <v>247</v>
      </c>
      <c r="H79" s="23">
        <v>44934.278356481482</v>
      </c>
      <c r="I79" s="1" t="b">
        <v>0</v>
      </c>
      <c r="K79" s="10">
        <f t="shared" si="7"/>
        <v>47.113888888852671</v>
      </c>
      <c r="L79" s="1" t="str">
        <f t="shared" si="8"/>
        <v>OK</v>
      </c>
      <c r="M79" s="1">
        <f t="shared" si="5"/>
        <v>1</v>
      </c>
      <c r="N79" s="1">
        <f t="shared" si="6"/>
        <v>247</v>
      </c>
      <c r="O79" s="10">
        <f t="shared" si="9"/>
        <v>47.113888888852671</v>
      </c>
    </row>
    <row r="80" spans="1:15">
      <c r="A80" s="1" t="s">
        <v>155</v>
      </c>
      <c r="B80" s="23">
        <v>44932.470138888886</v>
      </c>
      <c r="C80" s="1" t="s">
        <v>25</v>
      </c>
      <c r="D80" s="1" t="s">
        <v>17</v>
      </c>
      <c r="E80" s="1" t="s">
        <v>18</v>
      </c>
      <c r="F80" s="1" t="s">
        <v>90</v>
      </c>
      <c r="G80" s="1">
        <v>50</v>
      </c>
      <c r="H80" s="23">
        <v>44938.430590277778</v>
      </c>
      <c r="I80" s="1" t="b">
        <v>1</v>
      </c>
      <c r="J80" s="1">
        <v>5</v>
      </c>
      <c r="K80" s="10">
        <f t="shared" si="7"/>
        <v>143.05083333340008</v>
      </c>
      <c r="L80" s="1" t="str">
        <f t="shared" si="8"/>
        <v>OK</v>
      </c>
      <c r="M80" s="1">
        <f t="shared" si="5"/>
        <v>1</v>
      </c>
      <c r="N80" s="1">
        <f t="shared" si="6"/>
        <v>50</v>
      </c>
      <c r="O80" s="10">
        <f t="shared" si="9"/>
        <v>143.05083333340008</v>
      </c>
    </row>
    <row r="81" spans="1:15">
      <c r="A81" s="1" t="s">
        <v>156</v>
      </c>
      <c r="B81" s="23">
        <v>44932.65625</v>
      </c>
      <c r="C81" s="1" t="s">
        <v>43</v>
      </c>
      <c r="D81" s="1" t="s">
        <v>21</v>
      </c>
      <c r="E81" s="1" t="s">
        <v>18</v>
      </c>
      <c r="F81" s="1" t="s">
        <v>78</v>
      </c>
      <c r="H81" s="23">
        <v>44932.769247685188</v>
      </c>
      <c r="I81" s="1" t="b">
        <v>0</v>
      </c>
      <c r="K81" s="10">
        <f t="shared" si="7"/>
        <v>2.7119444445124827</v>
      </c>
      <c r="L81" s="1" t="str">
        <f t="shared" si="8"/>
        <v>Cannot check</v>
      </c>
      <c r="M81" s="1">
        <f t="shared" si="5"/>
        <v>1</v>
      </c>
      <c r="N81" s="1" t="str">
        <f t="shared" si="6"/>
        <v/>
      </c>
      <c r="O81" s="10">
        <f t="shared" si="9"/>
        <v>2.7119444445124827</v>
      </c>
    </row>
    <row r="82" spans="1:15">
      <c r="A82" s="1" t="s">
        <v>157</v>
      </c>
      <c r="B82" s="23">
        <v>44932.880555555559</v>
      </c>
      <c r="C82" s="1" t="s">
        <v>16</v>
      </c>
      <c r="D82" s="1" t="s">
        <v>26</v>
      </c>
      <c r="E82" s="1" t="s">
        <v>33</v>
      </c>
      <c r="F82" s="1" t="s">
        <v>52</v>
      </c>
      <c r="G82" s="1">
        <v>186</v>
      </c>
      <c r="H82" s="23">
        <v>44945.397164351853</v>
      </c>
      <c r="I82" s="1" t="b">
        <v>0</v>
      </c>
      <c r="K82" s="10">
        <f t="shared" si="7"/>
        <v>300.39861111104256</v>
      </c>
      <c r="L82" s="1" t="str">
        <f t="shared" si="8"/>
        <v>OK</v>
      </c>
      <c r="M82" s="1">
        <f t="shared" si="5"/>
        <v>1</v>
      </c>
      <c r="N82" s="1">
        <f t="shared" si="6"/>
        <v>186</v>
      </c>
      <c r="O82" s="10">
        <f t="shared" si="9"/>
        <v>300.39861111104256</v>
      </c>
    </row>
    <row r="83" spans="1:15">
      <c r="A83" s="1" t="s">
        <v>158</v>
      </c>
      <c r="B83" s="23">
        <v>44932.929861111108</v>
      </c>
      <c r="C83" s="1" t="s">
        <v>16</v>
      </c>
      <c r="D83" s="1" t="s">
        <v>59</v>
      </c>
      <c r="E83" s="1" t="s">
        <v>18</v>
      </c>
      <c r="F83" s="1" t="s">
        <v>159</v>
      </c>
      <c r="G83" s="1">
        <v>182</v>
      </c>
      <c r="H83" s="23">
        <v>44933.650960648149</v>
      </c>
      <c r="I83" s="1" t="b">
        <v>0</v>
      </c>
      <c r="K83" s="10">
        <f t="shared" si="7"/>
        <v>17.306388888973743</v>
      </c>
      <c r="L83" s="1" t="str">
        <f t="shared" si="8"/>
        <v>OK</v>
      </c>
      <c r="M83" s="1">
        <f t="shared" si="5"/>
        <v>1</v>
      </c>
      <c r="N83" s="1">
        <f t="shared" si="6"/>
        <v>182</v>
      </c>
      <c r="O83" s="10">
        <f t="shared" si="9"/>
        <v>17.306388888973743</v>
      </c>
    </row>
    <row r="84" spans="1:15">
      <c r="A84" s="1" t="s">
        <v>160</v>
      </c>
      <c r="B84" s="23">
        <v>44932.931944444441</v>
      </c>
      <c r="C84" s="1" t="s">
        <v>11</v>
      </c>
      <c r="D84" s="1" t="s">
        <v>17</v>
      </c>
      <c r="E84" s="1" t="s">
        <v>18</v>
      </c>
      <c r="F84" s="1" t="s">
        <v>76</v>
      </c>
      <c r="G84" s="1">
        <v>106</v>
      </c>
      <c r="H84" s="23">
        <v>44933.553993055553</v>
      </c>
      <c r="I84" s="1" t="b">
        <v>0</v>
      </c>
      <c r="J84" s="1">
        <v>5</v>
      </c>
      <c r="K84" s="10">
        <f t="shared" si="7"/>
        <v>14.929166666697711</v>
      </c>
      <c r="L84" s="1" t="str">
        <f t="shared" si="8"/>
        <v>OK</v>
      </c>
      <c r="M84" s="1">
        <f t="shared" si="5"/>
        <v>1</v>
      </c>
      <c r="N84" s="1">
        <f t="shared" si="6"/>
        <v>106</v>
      </c>
      <c r="O84" s="10">
        <f t="shared" si="9"/>
        <v>14.929166666697711</v>
      </c>
    </row>
    <row r="85" spans="1:15">
      <c r="A85" s="1" t="s">
        <v>161</v>
      </c>
      <c r="B85" s="23">
        <v>44933.006944444445</v>
      </c>
      <c r="C85" s="1" t="s">
        <v>16</v>
      </c>
      <c r="D85" s="1" t="s">
        <v>12</v>
      </c>
      <c r="E85" s="1" t="s">
        <v>33</v>
      </c>
      <c r="F85" s="1" t="s">
        <v>162</v>
      </c>
      <c r="G85" s="1">
        <v>166</v>
      </c>
      <c r="H85" s="23">
        <v>44933.657442129632</v>
      </c>
      <c r="I85" s="1" t="b">
        <v>0</v>
      </c>
      <c r="K85" s="10">
        <f t="shared" si="7"/>
        <v>15.611944444477558</v>
      </c>
      <c r="L85" s="1" t="str">
        <f t="shared" si="8"/>
        <v>OK</v>
      </c>
      <c r="M85" s="1">
        <f t="shared" si="5"/>
        <v>1</v>
      </c>
      <c r="N85" s="1">
        <f t="shared" si="6"/>
        <v>166</v>
      </c>
      <c r="O85" s="10">
        <f t="shared" si="9"/>
        <v>15.611944444477558</v>
      </c>
    </row>
    <row r="86" spans="1:15">
      <c r="A86" s="1" t="s">
        <v>163</v>
      </c>
      <c r="B86" s="23">
        <v>44933.273611111108</v>
      </c>
      <c r="C86" s="1" t="s">
        <v>16</v>
      </c>
      <c r="D86" s="1" t="s">
        <v>12</v>
      </c>
      <c r="E86" s="1" t="s">
        <v>18</v>
      </c>
      <c r="F86" s="1" t="s">
        <v>14</v>
      </c>
      <c r="G86" s="1">
        <v>151</v>
      </c>
      <c r="H86" s="23">
        <v>44934.042847222219</v>
      </c>
      <c r="I86" s="1" t="b">
        <v>0</v>
      </c>
      <c r="J86" s="1">
        <v>3</v>
      </c>
      <c r="K86" s="10">
        <f t="shared" si="7"/>
        <v>18.461666666669771</v>
      </c>
      <c r="L86" s="1" t="str">
        <f t="shared" si="8"/>
        <v>OK</v>
      </c>
      <c r="M86" s="1">
        <f t="shared" si="5"/>
        <v>1</v>
      </c>
      <c r="N86" s="1">
        <f t="shared" si="6"/>
        <v>151</v>
      </c>
      <c r="O86" s="10">
        <f t="shared" si="9"/>
        <v>18.461666666669771</v>
      </c>
    </row>
    <row r="87" spans="1:15">
      <c r="A87" s="1" t="s">
        <v>164</v>
      </c>
      <c r="B87" s="23">
        <v>44933.296527777777</v>
      </c>
      <c r="C87" s="1" t="s">
        <v>25</v>
      </c>
      <c r="D87" s="1" t="s">
        <v>59</v>
      </c>
      <c r="E87" s="1" t="s">
        <v>18</v>
      </c>
      <c r="F87" s="1" t="s">
        <v>48</v>
      </c>
      <c r="G87" s="1">
        <v>157</v>
      </c>
      <c r="H87" s="23">
        <v>44933.60565972222</v>
      </c>
      <c r="I87" s="1" t="b">
        <v>0</v>
      </c>
      <c r="K87" s="10">
        <f t="shared" si="7"/>
        <v>7.4191666666301899</v>
      </c>
      <c r="L87" s="1" t="str">
        <f t="shared" si="8"/>
        <v>OK</v>
      </c>
      <c r="M87" s="1">
        <f t="shared" si="5"/>
        <v>1</v>
      </c>
      <c r="N87" s="1">
        <f t="shared" si="6"/>
        <v>157</v>
      </c>
      <c r="O87" s="10">
        <f t="shared" si="9"/>
        <v>7.4191666666301899</v>
      </c>
    </row>
    <row r="88" spans="1:15">
      <c r="A88" s="1" t="s">
        <v>165</v>
      </c>
      <c r="B88" s="23">
        <v>44933.539583333331</v>
      </c>
      <c r="C88" s="1" t="s">
        <v>16</v>
      </c>
      <c r="D88" s="1" t="s">
        <v>21</v>
      </c>
      <c r="E88" s="1" t="s">
        <v>33</v>
      </c>
      <c r="F88" s="1" t="s">
        <v>112</v>
      </c>
      <c r="G88" s="1">
        <v>269</v>
      </c>
      <c r="H88" s="23">
        <v>44936.591874999998</v>
      </c>
      <c r="I88" s="1" t="b">
        <v>1</v>
      </c>
      <c r="J88" s="1">
        <v>5</v>
      </c>
      <c r="K88" s="10">
        <f t="shared" si="7"/>
        <v>73.255000000004657</v>
      </c>
      <c r="L88" s="1" t="str">
        <f t="shared" si="8"/>
        <v>OK</v>
      </c>
      <c r="M88" s="1">
        <f t="shared" si="5"/>
        <v>1</v>
      </c>
      <c r="N88" s="1">
        <f t="shared" si="6"/>
        <v>269</v>
      </c>
      <c r="O88" s="10">
        <f t="shared" si="9"/>
        <v>73.255000000004657</v>
      </c>
    </row>
    <row r="89" spans="1:15">
      <c r="A89" s="1" t="s">
        <v>166</v>
      </c>
      <c r="B89" s="23">
        <v>44933.548611111109</v>
      </c>
      <c r="C89" s="1" t="s">
        <v>25</v>
      </c>
      <c r="D89" s="1" t="s">
        <v>17</v>
      </c>
      <c r="E89" s="1" t="s">
        <v>13</v>
      </c>
      <c r="F89" s="1" t="s">
        <v>167</v>
      </c>
      <c r="G89" s="1">
        <v>21</v>
      </c>
      <c r="H89" s="23">
        <v>44933.751782407409</v>
      </c>
      <c r="I89" s="1" t="b">
        <v>0</v>
      </c>
      <c r="K89" s="10">
        <f t="shared" si="7"/>
        <v>4.8761111111962236</v>
      </c>
      <c r="L89" s="1" t="str">
        <f t="shared" si="8"/>
        <v>OK</v>
      </c>
      <c r="M89" s="1">
        <f t="shared" si="5"/>
        <v>1</v>
      </c>
      <c r="N89" s="1">
        <f t="shared" si="6"/>
        <v>21</v>
      </c>
      <c r="O89" s="10">
        <f t="shared" si="9"/>
        <v>4.8761111111962236</v>
      </c>
    </row>
    <row r="90" spans="1:15">
      <c r="A90" s="1" t="s">
        <v>168</v>
      </c>
      <c r="B90" s="23">
        <v>44933.707638888889</v>
      </c>
      <c r="C90" s="1" t="s">
        <v>16</v>
      </c>
      <c r="D90" s="1" t="s">
        <v>17</v>
      </c>
      <c r="E90" s="1" t="s">
        <v>13</v>
      </c>
      <c r="F90" s="1" t="s">
        <v>74</v>
      </c>
      <c r="G90" s="1">
        <v>15</v>
      </c>
      <c r="H90" s="23">
        <v>44933.995694444442</v>
      </c>
      <c r="I90" s="1" t="b">
        <v>0</v>
      </c>
      <c r="K90" s="10">
        <f t="shared" si="7"/>
        <v>6.9133333332720213</v>
      </c>
      <c r="L90" s="1" t="str">
        <f t="shared" si="8"/>
        <v>OK</v>
      </c>
      <c r="M90" s="1">
        <f t="shared" si="5"/>
        <v>1</v>
      </c>
      <c r="N90" s="1">
        <f t="shared" si="6"/>
        <v>15</v>
      </c>
      <c r="O90" s="10">
        <f t="shared" si="9"/>
        <v>6.9133333332720213</v>
      </c>
    </row>
    <row r="91" spans="1:15">
      <c r="A91" s="1" t="s">
        <v>169</v>
      </c>
      <c r="B91" s="23">
        <v>44933.791666666664</v>
      </c>
      <c r="C91" s="1" t="s">
        <v>25</v>
      </c>
      <c r="D91" s="1" t="s">
        <v>17</v>
      </c>
      <c r="E91" s="1" t="s">
        <v>13</v>
      </c>
      <c r="F91" s="1" t="s">
        <v>39</v>
      </c>
      <c r="G91" s="1">
        <v>18</v>
      </c>
      <c r="H91" s="23">
        <v>44935.083449074074</v>
      </c>
      <c r="I91" s="1" t="b">
        <v>0</v>
      </c>
      <c r="J91" s="1">
        <v>4</v>
      </c>
      <c r="K91" s="10">
        <f t="shared" si="7"/>
        <v>31.00277777784504</v>
      </c>
      <c r="L91" s="1" t="str">
        <f t="shared" si="8"/>
        <v>OK</v>
      </c>
      <c r="M91" s="1">
        <f t="shared" si="5"/>
        <v>1</v>
      </c>
      <c r="N91" s="1">
        <f t="shared" si="6"/>
        <v>18</v>
      </c>
      <c r="O91" s="10">
        <f t="shared" si="9"/>
        <v>31.00277777784504</v>
      </c>
    </row>
    <row r="92" spans="1:15">
      <c r="A92" s="1" t="s">
        <v>170</v>
      </c>
      <c r="B92" s="23">
        <v>44933.973611111112</v>
      </c>
      <c r="C92" s="1" t="s">
        <v>11</v>
      </c>
      <c r="D92" s="1" t="s">
        <v>26</v>
      </c>
      <c r="E92" s="1" t="s">
        <v>22</v>
      </c>
      <c r="F92" s="1" t="s">
        <v>148</v>
      </c>
      <c r="G92" s="1">
        <v>4</v>
      </c>
      <c r="H92" s="23">
        <v>44935.365925925929</v>
      </c>
      <c r="I92" s="1" t="b">
        <v>0</v>
      </c>
      <c r="K92" s="10">
        <f t="shared" si="7"/>
        <v>33.415555555606261</v>
      </c>
      <c r="L92" s="1" t="str">
        <f t="shared" si="8"/>
        <v>OK</v>
      </c>
      <c r="M92" s="1">
        <f t="shared" si="5"/>
        <v>1</v>
      </c>
      <c r="N92" s="1">
        <f t="shared" si="6"/>
        <v>4</v>
      </c>
      <c r="O92" s="10">
        <f t="shared" si="9"/>
        <v>33.415555555606261</v>
      </c>
    </row>
    <row r="93" spans="1:15">
      <c r="A93" s="1" t="s">
        <v>171</v>
      </c>
      <c r="B93" s="23">
        <v>44934.038888888892</v>
      </c>
      <c r="C93" s="1" t="s">
        <v>25</v>
      </c>
      <c r="D93" s="1" t="s">
        <v>59</v>
      </c>
      <c r="E93" s="1" t="s">
        <v>13</v>
      </c>
      <c r="F93" s="1" t="s">
        <v>29</v>
      </c>
      <c r="G93" s="1">
        <v>37</v>
      </c>
      <c r="H93" s="23">
        <v>44934.309039351851</v>
      </c>
      <c r="I93" s="1" t="b">
        <v>0</v>
      </c>
      <c r="K93" s="10">
        <f t="shared" si="7"/>
        <v>6.4836111110053025</v>
      </c>
      <c r="L93" s="1" t="str">
        <f t="shared" si="8"/>
        <v>OK</v>
      </c>
      <c r="M93" s="1">
        <f t="shared" si="5"/>
        <v>1</v>
      </c>
      <c r="N93" s="1">
        <f t="shared" si="6"/>
        <v>37</v>
      </c>
      <c r="O93" s="10">
        <f t="shared" si="9"/>
        <v>6.4836111110053025</v>
      </c>
    </row>
    <row r="94" spans="1:15">
      <c r="A94" s="1" t="s">
        <v>172</v>
      </c>
      <c r="B94" s="23">
        <v>44934.189583333333</v>
      </c>
      <c r="C94" s="1" t="s">
        <v>25</v>
      </c>
      <c r="D94" s="1" t="s">
        <v>12</v>
      </c>
      <c r="E94" s="1" t="s">
        <v>33</v>
      </c>
      <c r="F94" s="1" t="s">
        <v>104</v>
      </c>
      <c r="G94" s="1">
        <v>369</v>
      </c>
      <c r="H94" s="23">
        <v>44934.980393518519</v>
      </c>
      <c r="I94" s="1" t="b">
        <v>0</v>
      </c>
      <c r="J94" s="1">
        <v>5</v>
      </c>
      <c r="K94" s="10">
        <f t="shared" si="7"/>
        <v>18.979444444470573</v>
      </c>
      <c r="L94" s="1" t="str">
        <f t="shared" si="8"/>
        <v>OK</v>
      </c>
      <c r="M94" s="1">
        <f t="shared" si="5"/>
        <v>1</v>
      </c>
      <c r="N94" s="1">
        <f t="shared" si="6"/>
        <v>369</v>
      </c>
      <c r="O94" s="10">
        <f t="shared" si="9"/>
        <v>18.979444444470573</v>
      </c>
    </row>
    <row r="95" spans="1:15">
      <c r="A95" s="1" t="s">
        <v>173</v>
      </c>
      <c r="B95" s="23">
        <v>44934.349305555559</v>
      </c>
      <c r="C95" s="1" t="s">
        <v>11</v>
      </c>
      <c r="D95" s="1" t="s">
        <v>21</v>
      </c>
      <c r="E95" s="1" t="s">
        <v>22</v>
      </c>
      <c r="F95" s="1" t="s">
        <v>132</v>
      </c>
      <c r="G95" s="1">
        <v>21</v>
      </c>
      <c r="H95" s="23">
        <v>44934.450949074075</v>
      </c>
      <c r="I95" s="1" t="b">
        <v>0</v>
      </c>
      <c r="K95" s="10">
        <f t="shared" si="7"/>
        <v>2.4394444443751127</v>
      </c>
      <c r="L95" s="1" t="str">
        <f t="shared" si="8"/>
        <v>OK</v>
      </c>
      <c r="M95" s="1">
        <f t="shared" si="5"/>
        <v>1</v>
      </c>
      <c r="N95" s="1">
        <f t="shared" si="6"/>
        <v>21</v>
      </c>
      <c r="O95" s="10">
        <f t="shared" si="9"/>
        <v>2.4394444443751127</v>
      </c>
    </row>
    <row r="96" spans="1:15">
      <c r="A96" s="1" t="s">
        <v>174</v>
      </c>
      <c r="B96" s="23">
        <v>44934.363194444442</v>
      </c>
      <c r="C96" s="1" t="s">
        <v>11</v>
      </c>
      <c r="D96" s="1" t="s">
        <v>12</v>
      </c>
      <c r="E96" s="1" t="s">
        <v>18</v>
      </c>
      <c r="F96" s="1" t="s">
        <v>175</v>
      </c>
      <c r="G96" s="1">
        <v>81</v>
      </c>
      <c r="H96" s="23">
        <v>44943.987476851849</v>
      </c>
      <c r="I96" s="1" t="b">
        <v>0</v>
      </c>
      <c r="K96" s="10">
        <f t="shared" si="7"/>
        <v>230.98277777776821</v>
      </c>
      <c r="L96" s="1" t="str">
        <f t="shared" si="8"/>
        <v>OK</v>
      </c>
      <c r="M96" s="1">
        <f t="shared" si="5"/>
        <v>1</v>
      </c>
      <c r="N96" s="1">
        <f t="shared" si="6"/>
        <v>81</v>
      </c>
      <c r="O96" s="10">
        <f t="shared" si="9"/>
        <v>230.98277777776821</v>
      </c>
    </row>
    <row r="97" spans="1:15">
      <c r="A97" s="1" t="s">
        <v>176</v>
      </c>
      <c r="B97" s="23">
        <v>44934.477777777778</v>
      </c>
      <c r="C97" s="1" t="s">
        <v>16</v>
      </c>
      <c r="D97" s="1" t="s">
        <v>21</v>
      </c>
      <c r="E97" s="1" t="s">
        <v>33</v>
      </c>
      <c r="F97" s="1" t="s">
        <v>162</v>
      </c>
      <c r="G97" s="1">
        <v>155</v>
      </c>
      <c r="H97" s="23">
        <v>44941.726851851854</v>
      </c>
      <c r="I97" s="1" t="b">
        <v>0</v>
      </c>
      <c r="K97" s="10">
        <f t="shared" si="7"/>
        <v>173.97777777782176</v>
      </c>
      <c r="L97" s="1" t="str">
        <f t="shared" si="8"/>
        <v>OK</v>
      </c>
      <c r="M97" s="1">
        <f t="shared" si="5"/>
        <v>1</v>
      </c>
      <c r="N97" s="1">
        <f t="shared" si="6"/>
        <v>155</v>
      </c>
      <c r="O97" s="10">
        <f t="shared" si="9"/>
        <v>173.97777777782176</v>
      </c>
    </row>
    <row r="98" spans="1:15">
      <c r="A98" s="1" t="s">
        <v>177</v>
      </c>
      <c r="B98" s="23">
        <v>44934.580555555556</v>
      </c>
      <c r="C98" s="1" t="s">
        <v>25</v>
      </c>
      <c r="D98" s="1" t="s">
        <v>59</v>
      </c>
      <c r="E98" s="1" t="s">
        <v>13</v>
      </c>
      <c r="F98" s="1" t="s">
        <v>178</v>
      </c>
      <c r="G98" s="1">
        <v>188</v>
      </c>
      <c r="H98" s="23">
        <v>44937.11922453704</v>
      </c>
      <c r="I98" s="1" t="b">
        <v>0</v>
      </c>
      <c r="J98" s="1">
        <v>5</v>
      </c>
      <c r="K98" s="10">
        <f t="shared" si="7"/>
        <v>60.928055555617902</v>
      </c>
      <c r="L98" s="1" t="str">
        <f t="shared" si="8"/>
        <v>OK</v>
      </c>
      <c r="M98" s="1">
        <f t="shared" si="5"/>
        <v>1</v>
      </c>
      <c r="N98" s="1">
        <f t="shared" si="6"/>
        <v>188</v>
      </c>
      <c r="O98" s="10">
        <f t="shared" si="9"/>
        <v>60.928055555617902</v>
      </c>
    </row>
    <row r="99" spans="1:15">
      <c r="A99" s="1" t="s">
        <v>179</v>
      </c>
      <c r="B99" s="23">
        <v>44934.609027777777</v>
      </c>
      <c r="C99" s="1" t="s">
        <v>16</v>
      </c>
      <c r="D99" s="1" t="s">
        <v>59</v>
      </c>
      <c r="E99" s="1" t="s">
        <v>13</v>
      </c>
      <c r="F99" s="1" t="s">
        <v>110</v>
      </c>
      <c r="G99" s="1">
        <v>170</v>
      </c>
      <c r="H99" s="23">
        <v>44936.245578703703</v>
      </c>
      <c r="I99" s="1" t="b">
        <v>0</v>
      </c>
      <c r="K99" s="10">
        <f t="shared" si="7"/>
        <v>39.277222222241107</v>
      </c>
      <c r="L99" s="1" t="str">
        <f t="shared" si="8"/>
        <v>OK</v>
      </c>
      <c r="M99" s="1">
        <f t="shared" si="5"/>
        <v>1</v>
      </c>
      <c r="N99" s="1">
        <f t="shared" si="6"/>
        <v>170</v>
      </c>
      <c r="O99" s="10">
        <f t="shared" si="9"/>
        <v>39.277222222241107</v>
      </c>
    </row>
    <row r="100" spans="1:15">
      <c r="A100" s="1" t="s">
        <v>180</v>
      </c>
      <c r="B100" s="23">
        <v>44934.678472222222</v>
      </c>
      <c r="C100" s="1" t="s">
        <v>11</v>
      </c>
      <c r="D100" s="1" t="s">
        <v>21</v>
      </c>
      <c r="E100" s="1" t="s">
        <v>22</v>
      </c>
      <c r="F100" s="1" t="s">
        <v>19</v>
      </c>
      <c r="G100" s="1">
        <v>41</v>
      </c>
      <c r="H100" s="23">
        <v>44934.712337962963</v>
      </c>
      <c r="I100" s="1" t="b">
        <v>0</v>
      </c>
      <c r="K100" s="10">
        <f t="shared" si="7"/>
        <v>0.812777777784504</v>
      </c>
      <c r="L100" s="1" t="str">
        <f t="shared" si="8"/>
        <v>OK</v>
      </c>
      <c r="M100" s="1">
        <f t="shared" si="5"/>
        <v>1</v>
      </c>
      <c r="N100" s="1">
        <f t="shared" si="6"/>
        <v>41</v>
      </c>
      <c r="O100" s="10">
        <f t="shared" si="9"/>
        <v>0.812777777784504</v>
      </c>
    </row>
    <row r="101" spans="1:15">
      <c r="A101" s="1" t="s">
        <v>181</v>
      </c>
      <c r="B101" s="23">
        <v>44934.697222222225</v>
      </c>
      <c r="C101" s="1" t="s">
        <v>11</v>
      </c>
      <c r="D101" s="1" t="s">
        <v>17</v>
      </c>
      <c r="E101" s="1" t="s">
        <v>18</v>
      </c>
      <c r="F101" s="1" t="s">
        <v>66</v>
      </c>
      <c r="G101" s="1">
        <v>98</v>
      </c>
      <c r="H101" s="23">
        <v>44935.776770833334</v>
      </c>
      <c r="I101" s="1" t="b">
        <v>0</v>
      </c>
      <c r="K101" s="10">
        <f t="shared" si="7"/>
        <v>25.909166666620877</v>
      </c>
      <c r="L101" s="1" t="str">
        <f t="shared" si="8"/>
        <v>OK</v>
      </c>
      <c r="M101" s="1">
        <f t="shared" si="5"/>
        <v>1</v>
      </c>
      <c r="N101" s="1">
        <f t="shared" si="6"/>
        <v>98</v>
      </c>
      <c r="O101" s="10">
        <f t="shared" si="9"/>
        <v>25.909166666620877</v>
      </c>
    </row>
    <row r="102" spans="1:15">
      <c r="A102" s="1" t="s">
        <v>182</v>
      </c>
      <c r="B102" s="23">
        <v>44934.775000000001</v>
      </c>
      <c r="C102" s="1" t="s">
        <v>25</v>
      </c>
      <c r="D102" s="1" t="s">
        <v>26</v>
      </c>
      <c r="E102" s="1" t="s">
        <v>18</v>
      </c>
      <c r="F102" s="1" t="s">
        <v>57</v>
      </c>
      <c r="G102" s="1">
        <v>66</v>
      </c>
      <c r="H102" s="23">
        <v>44935.21943287037</v>
      </c>
      <c r="I102" s="1" t="b">
        <v>0</v>
      </c>
      <c r="J102" s="1">
        <v>3</v>
      </c>
      <c r="K102" s="10">
        <f t="shared" si="7"/>
        <v>10.666388888843358</v>
      </c>
      <c r="L102" s="1" t="str">
        <f t="shared" si="8"/>
        <v>OK</v>
      </c>
      <c r="M102" s="1">
        <f t="shared" si="5"/>
        <v>1</v>
      </c>
      <c r="N102" s="1">
        <f t="shared" si="6"/>
        <v>66</v>
      </c>
      <c r="O102" s="10">
        <f t="shared" si="9"/>
        <v>10.666388888843358</v>
      </c>
    </row>
    <row r="103" spans="1:15">
      <c r="A103" s="1" t="s">
        <v>183</v>
      </c>
      <c r="B103" s="23">
        <v>44934.836111111108</v>
      </c>
      <c r="C103" s="1" t="s">
        <v>16</v>
      </c>
      <c r="D103" s="1" t="s">
        <v>21</v>
      </c>
      <c r="E103" s="1" t="s">
        <v>18</v>
      </c>
      <c r="F103" s="1" t="s">
        <v>178</v>
      </c>
      <c r="G103" s="1">
        <v>15</v>
      </c>
      <c r="H103" s="23">
        <v>44935.194212962961</v>
      </c>
      <c r="I103" s="1" t="b">
        <v>0</v>
      </c>
      <c r="J103" s="1">
        <v>4</v>
      </c>
      <c r="K103" s="10">
        <f t="shared" si="7"/>
        <v>8.59444444446126</v>
      </c>
      <c r="L103" s="1" t="str">
        <f t="shared" si="8"/>
        <v>OK</v>
      </c>
      <c r="M103" s="1">
        <f t="shared" si="5"/>
        <v>1</v>
      </c>
      <c r="N103" s="1">
        <f t="shared" si="6"/>
        <v>15</v>
      </c>
      <c r="O103" s="10">
        <f t="shared" si="9"/>
        <v>8.59444444446126</v>
      </c>
    </row>
    <row r="104" spans="1:15">
      <c r="A104" s="1" t="s">
        <v>184</v>
      </c>
      <c r="B104" s="23">
        <v>44935.056944444441</v>
      </c>
      <c r="C104" s="1" t="s">
        <v>25</v>
      </c>
      <c r="D104" s="1" t="s">
        <v>21</v>
      </c>
      <c r="E104" s="1" t="s">
        <v>18</v>
      </c>
      <c r="F104" s="1" t="s">
        <v>88</v>
      </c>
      <c r="G104" s="1">
        <v>52</v>
      </c>
      <c r="H104" s="23">
        <v>44935.645254629628</v>
      </c>
      <c r="I104" s="1" t="b">
        <v>0</v>
      </c>
      <c r="J104" s="1">
        <v>4</v>
      </c>
      <c r="K104" s="10">
        <f t="shared" si="7"/>
        <v>14.119444444484543</v>
      </c>
      <c r="L104" s="1" t="str">
        <f t="shared" si="8"/>
        <v>OK</v>
      </c>
      <c r="M104" s="1">
        <f t="shared" si="5"/>
        <v>1</v>
      </c>
      <c r="N104" s="1">
        <f t="shared" si="6"/>
        <v>52</v>
      </c>
      <c r="O104" s="10">
        <f t="shared" si="9"/>
        <v>14.119444444484543</v>
      </c>
    </row>
    <row r="105" spans="1:15">
      <c r="A105" s="1" t="s">
        <v>185</v>
      </c>
      <c r="B105" s="23">
        <v>44935.651388888888</v>
      </c>
      <c r="C105" s="1" t="s">
        <v>43</v>
      </c>
      <c r="D105" s="1" t="s">
        <v>21</v>
      </c>
      <c r="E105" s="1" t="s">
        <v>13</v>
      </c>
      <c r="F105" s="1" t="s">
        <v>186</v>
      </c>
      <c r="G105" s="1">
        <v>23</v>
      </c>
      <c r="H105" s="23">
        <v>44935.890023148146</v>
      </c>
      <c r="I105" s="1" t="b">
        <v>0</v>
      </c>
      <c r="J105" s="1">
        <v>4</v>
      </c>
      <c r="K105" s="10">
        <f t="shared" si="7"/>
        <v>5.7272222221945412</v>
      </c>
      <c r="L105" s="1" t="str">
        <f t="shared" si="8"/>
        <v>OK</v>
      </c>
      <c r="M105" s="1">
        <f t="shared" si="5"/>
        <v>1</v>
      </c>
      <c r="N105" s="1">
        <f t="shared" si="6"/>
        <v>23</v>
      </c>
      <c r="O105" s="10">
        <f t="shared" si="9"/>
        <v>5.7272222221945412</v>
      </c>
    </row>
    <row r="106" spans="1:15">
      <c r="A106" s="1" t="s">
        <v>187</v>
      </c>
      <c r="B106" s="23">
        <v>44935.74722222222</v>
      </c>
      <c r="C106" s="1" t="s">
        <v>16</v>
      </c>
      <c r="D106" s="1" t="s">
        <v>21</v>
      </c>
      <c r="E106" s="1" t="s">
        <v>18</v>
      </c>
      <c r="F106" s="1" t="s">
        <v>102</v>
      </c>
      <c r="G106" s="1">
        <v>158</v>
      </c>
      <c r="H106" s="23">
        <v>44936.974699074075</v>
      </c>
      <c r="I106" s="1" t="b">
        <v>0</v>
      </c>
      <c r="J106" s="1">
        <v>3</v>
      </c>
      <c r="K106" s="10">
        <f t="shared" si="7"/>
        <v>29.459444444510154</v>
      </c>
      <c r="L106" s="1" t="str">
        <f t="shared" si="8"/>
        <v>OK</v>
      </c>
      <c r="M106" s="1">
        <f t="shared" si="5"/>
        <v>1</v>
      </c>
      <c r="N106" s="1">
        <f t="shared" si="6"/>
        <v>158</v>
      </c>
      <c r="O106" s="10">
        <f t="shared" si="9"/>
        <v>29.459444444510154</v>
      </c>
    </row>
    <row r="107" spans="1:15">
      <c r="A107" s="1" t="s">
        <v>188</v>
      </c>
      <c r="B107" s="23">
        <v>44935.81527777778</v>
      </c>
      <c r="C107" s="1" t="s">
        <v>16</v>
      </c>
      <c r="D107" s="1" t="s">
        <v>12</v>
      </c>
      <c r="E107" s="1" t="s">
        <v>18</v>
      </c>
      <c r="F107" s="1" t="s">
        <v>86</v>
      </c>
      <c r="G107" s="1">
        <v>216</v>
      </c>
      <c r="H107" s="23">
        <v>44941.143472222226</v>
      </c>
      <c r="I107" s="1" t="b">
        <v>0</v>
      </c>
      <c r="K107" s="10">
        <f t="shared" si="7"/>
        <v>127.87666666670702</v>
      </c>
      <c r="L107" s="1" t="str">
        <f t="shared" si="8"/>
        <v>OK</v>
      </c>
      <c r="M107" s="1">
        <f t="shared" si="5"/>
        <v>1</v>
      </c>
      <c r="N107" s="1">
        <f t="shared" si="6"/>
        <v>216</v>
      </c>
      <c r="O107" s="10">
        <f t="shared" si="9"/>
        <v>127.87666666670702</v>
      </c>
    </row>
    <row r="108" spans="1:15">
      <c r="A108" s="1" t="s">
        <v>189</v>
      </c>
      <c r="B108" s="23">
        <v>44935.911111111112</v>
      </c>
      <c r="C108" s="1" t="s">
        <v>11</v>
      </c>
      <c r="D108" s="1" t="s">
        <v>59</v>
      </c>
      <c r="E108" s="1" t="s">
        <v>22</v>
      </c>
      <c r="F108" s="1" t="s">
        <v>64</v>
      </c>
      <c r="G108" s="1">
        <v>2</v>
      </c>
      <c r="H108" s="23">
        <v>44935.927164351851</v>
      </c>
      <c r="I108" s="1" t="b">
        <v>0</v>
      </c>
      <c r="J108" s="1">
        <v>5</v>
      </c>
      <c r="K108" s="10">
        <f t="shared" si="7"/>
        <v>0.38527777773560956</v>
      </c>
      <c r="L108" s="1" t="str">
        <f t="shared" si="8"/>
        <v>OK</v>
      </c>
      <c r="M108" s="1">
        <f t="shared" si="5"/>
        <v>1</v>
      </c>
      <c r="N108" s="1">
        <f t="shared" si="6"/>
        <v>2</v>
      </c>
      <c r="O108" s="10">
        <f t="shared" si="9"/>
        <v>0.38527777773560956</v>
      </c>
    </row>
    <row r="109" spans="1:15">
      <c r="A109" s="1" t="s">
        <v>190</v>
      </c>
      <c r="B109" s="23">
        <v>44935.918749999997</v>
      </c>
      <c r="C109" s="1" t="s">
        <v>25</v>
      </c>
      <c r="D109" s="1" t="s">
        <v>17</v>
      </c>
      <c r="E109" s="1" t="s">
        <v>18</v>
      </c>
      <c r="F109" s="1" t="s">
        <v>35</v>
      </c>
      <c r="G109" s="1">
        <v>231</v>
      </c>
      <c r="H109" s="23">
        <v>44943.613206018519</v>
      </c>
      <c r="I109" s="1" t="b">
        <v>0</v>
      </c>
      <c r="J109" s="1">
        <v>1</v>
      </c>
      <c r="K109" s="10">
        <f t="shared" si="7"/>
        <v>184.66694444452878</v>
      </c>
      <c r="L109" s="1" t="str">
        <f t="shared" si="8"/>
        <v>OK</v>
      </c>
      <c r="M109" s="1">
        <f t="shared" si="5"/>
        <v>1</v>
      </c>
      <c r="N109" s="1">
        <f t="shared" si="6"/>
        <v>231</v>
      </c>
      <c r="O109" s="10">
        <f t="shared" si="9"/>
        <v>184.66694444452878</v>
      </c>
    </row>
    <row r="110" spans="1:15">
      <c r="A110" s="1" t="s">
        <v>191</v>
      </c>
      <c r="B110" s="23">
        <v>44936.054166666669</v>
      </c>
      <c r="C110" s="1" t="s">
        <v>25</v>
      </c>
      <c r="D110" s="1" t="s">
        <v>17</v>
      </c>
      <c r="E110" s="1" t="s">
        <v>22</v>
      </c>
      <c r="F110" s="1" t="s">
        <v>19</v>
      </c>
      <c r="G110" s="1">
        <v>50</v>
      </c>
      <c r="H110" s="23">
        <v>44936.232233796298</v>
      </c>
      <c r="I110" s="1" t="b">
        <v>0</v>
      </c>
      <c r="K110" s="10">
        <f t="shared" si="7"/>
        <v>4.2736111111007631</v>
      </c>
      <c r="L110" s="1" t="str">
        <f t="shared" si="8"/>
        <v>OK</v>
      </c>
      <c r="M110" s="1">
        <f t="shared" si="5"/>
        <v>1</v>
      </c>
      <c r="N110" s="1">
        <f t="shared" si="6"/>
        <v>50</v>
      </c>
      <c r="O110" s="10">
        <f t="shared" si="9"/>
        <v>4.2736111111007631</v>
      </c>
    </row>
    <row r="111" spans="1:15">
      <c r="A111" s="1" t="s">
        <v>192</v>
      </c>
      <c r="B111" s="23">
        <v>44936.086111111108</v>
      </c>
      <c r="C111" s="1" t="s">
        <v>16</v>
      </c>
      <c r="D111" s="1" t="s">
        <v>59</v>
      </c>
      <c r="E111" s="1" t="s">
        <v>13</v>
      </c>
      <c r="F111" s="1" t="s">
        <v>48</v>
      </c>
      <c r="G111" s="1">
        <v>229</v>
      </c>
      <c r="H111" s="23">
        <v>44936.709131944444</v>
      </c>
      <c r="I111" s="1" t="b">
        <v>0</v>
      </c>
      <c r="K111" s="10">
        <f t="shared" si="7"/>
        <v>14.952500000072177</v>
      </c>
      <c r="L111" s="1" t="str">
        <f t="shared" si="8"/>
        <v>OK</v>
      </c>
      <c r="M111" s="1">
        <f t="shared" si="5"/>
        <v>1</v>
      </c>
      <c r="N111" s="1">
        <f t="shared" si="6"/>
        <v>229</v>
      </c>
      <c r="O111" s="10">
        <f t="shared" si="9"/>
        <v>14.952500000072177</v>
      </c>
    </row>
    <row r="112" spans="1:15">
      <c r="A112" s="1" t="s">
        <v>193</v>
      </c>
      <c r="B112" s="23">
        <v>44936.135416666664</v>
      </c>
      <c r="C112" s="1" t="s">
        <v>11</v>
      </c>
      <c r="D112" s="1" t="s">
        <v>26</v>
      </c>
      <c r="E112" s="1" t="s">
        <v>18</v>
      </c>
      <c r="F112" s="1" t="s">
        <v>162</v>
      </c>
      <c r="G112" s="1">
        <v>244</v>
      </c>
      <c r="H112" s="23">
        <v>44959.951493055552</v>
      </c>
      <c r="I112" s="1" t="b">
        <v>0</v>
      </c>
      <c r="K112" s="10">
        <f t="shared" si="7"/>
        <v>571.58583333331626</v>
      </c>
      <c r="L112" s="1" t="str">
        <f t="shared" si="8"/>
        <v>OK</v>
      </c>
      <c r="M112" s="1">
        <f t="shared" si="5"/>
        <v>1</v>
      </c>
      <c r="N112" s="1">
        <f t="shared" si="6"/>
        <v>244</v>
      </c>
      <c r="O112" s="10">
        <f t="shared" si="9"/>
        <v>571.58583333331626</v>
      </c>
    </row>
    <row r="113" spans="1:15">
      <c r="A113" s="1" t="s">
        <v>194</v>
      </c>
      <c r="B113" s="23">
        <v>44936.143055555556</v>
      </c>
      <c r="C113" s="1" t="s">
        <v>25</v>
      </c>
      <c r="D113" s="1" t="s">
        <v>21</v>
      </c>
      <c r="E113" s="1" t="s">
        <v>13</v>
      </c>
      <c r="F113" s="1" t="s">
        <v>134</v>
      </c>
      <c r="G113" s="1">
        <v>27</v>
      </c>
      <c r="H113" s="23">
        <v>44938.25503472222</v>
      </c>
      <c r="I113" s="1" t="b">
        <v>0</v>
      </c>
      <c r="K113" s="10">
        <f t="shared" si="7"/>
        <v>50.687499999941792</v>
      </c>
      <c r="L113" s="1" t="str">
        <f t="shared" si="8"/>
        <v>OK</v>
      </c>
      <c r="M113" s="1">
        <f t="shared" si="5"/>
        <v>1</v>
      </c>
      <c r="N113" s="1">
        <f t="shared" si="6"/>
        <v>27</v>
      </c>
      <c r="O113" s="10">
        <f t="shared" si="9"/>
        <v>50.687499999941792</v>
      </c>
    </row>
    <row r="114" spans="1:15">
      <c r="A114" s="1" t="s">
        <v>195</v>
      </c>
      <c r="B114" s="23">
        <v>44936.152777777781</v>
      </c>
      <c r="C114" s="1" t="s">
        <v>11</v>
      </c>
      <c r="D114" s="1" t="s">
        <v>21</v>
      </c>
      <c r="E114" s="1" t="s">
        <v>33</v>
      </c>
      <c r="F114" s="1" t="s">
        <v>68</v>
      </c>
      <c r="G114" s="1">
        <v>952</v>
      </c>
      <c r="H114" s="23">
        <v>44937.193148148152</v>
      </c>
      <c r="I114" s="1" t="b">
        <v>0</v>
      </c>
      <c r="K114" s="10">
        <f t="shared" si="7"/>
        <v>24.968888888892252</v>
      </c>
      <c r="L114" s="1" t="str">
        <f t="shared" si="8"/>
        <v>OK</v>
      </c>
      <c r="M114" s="1">
        <f t="shared" si="5"/>
        <v>1</v>
      </c>
      <c r="N114" s="1">
        <f t="shared" si="6"/>
        <v>952</v>
      </c>
      <c r="O114" s="10">
        <f t="shared" si="9"/>
        <v>24.968888888892252</v>
      </c>
    </row>
    <row r="115" spans="1:15">
      <c r="A115" s="1" t="s">
        <v>196</v>
      </c>
      <c r="B115" s="23">
        <v>44936.156944444447</v>
      </c>
      <c r="C115" s="1" t="s">
        <v>43</v>
      </c>
      <c r="D115" s="1" t="s">
        <v>17</v>
      </c>
      <c r="E115" s="1" t="s">
        <v>18</v>
      </c>
      <c r="F115" s="1" t="s">
        <v>57</v>
      </c>
      <c r="G115" s="1">
        <v>153</v>
      </c>
      <c r="H115" s="23">
        <v>44937.675787037035</v>
      </c>
      <c r="I115" s="1" t="b">
        <v>0</v>
      </c>
      <c r="K115" s="10">
        <f t="shared" si="7"/>
        <v>36.452222222113051</v>
      </c>
      <c r="L115" s="1" t="str">
        <f t="shared" si="8"/>
        <v>OK</v>
      </c>
      <c r="M115" s="1">
        <f t="shared" si="5"/>
        <v>1</v>
      </c>
      <c r="N115" s="1">
        <f t="shared" si="6"/>
        <v>153</v>
      </c>
      <c r="O115" s="10">
        <f t="shared" si="9"/>
        <v>36.452222222113051</v>
      </c>
    </row>
    <row r="116" spans="1:15">
      <c r="A116" s="1" t="s">
        <v>197</v>
      </c>
      <c r="B116" s="23">
        <v>44936.503472222219</v>
      </c>
      <c r="C116" s="1" t="s">
        <v>25</v>
      </c>
      <c r="D116" s="1" t="s">
        <v>21</v>
      </c>
      <c r="E116" s="1" t="s">
        <v>18</v>
      </c>
      <c r="F116" s="1" t="s">
        <v>198</v>
      </c>
      <c r="G116" s="1">
        <v>18</v>
      </c>
      <c r="H116" s="23">
        <v>44937.18414351852</v>
      </c>
      <c r="I116" s="1" t="b">
        <v>0</v>
      </c>
      <c r="J116" s="1">
        <v>4</v>
      </c>
      <c r="K116" s="10">
        <f t="shared" si="7"/>
        <v>16.336111111217178</v>
      </c>
      <c r="L116" s="1" t="str">
        <f t="shared" si="8"/>
        <v>OK</v>
      </c>
      <c r="M116" s="1">
        <f t="shared" si="5"/>
        <v>1</v>
      </c>
      <c r="N116" s="1">
        <f t="shared" si="6"/>
        <v>18</v>
      </c>
      <c r="O116" s="10">
        <f t="shared" si="9"/>
        <v>16.336111111217178</v>
      </c>
    </row>
    <row r="117" spans="1:15">
      <c r="A117" s="1" t="s">
        <v>199</v>
      </c>
      <c r="B117" s="23">
        <v>44936.78125</v>
      </c>
      <c r="C117" s="1" t="s">
        <v>25</v>
      </c>
      <c r="D117" s="1" t="s">
        <v>12</v>
      </c>
      <c r="E117" s="1" t="s">
        <v>22</v>
      </c>
      <c r="F117" s="1" t="s">
        <v>94</v>
      </c>
      <c r="G117" s="1">
        <v>59</v>
      </c>
      <c r="H117" s="23">
        <v>44936.837164351855</v>
      </c>
      <c r="I117" s="1" t="b">
        <v>0</v>
      </c>
      <c r="K117" s="10">
        <f t="shared" si="7"/>
        <v>1.3419444445171393</v>
      </c>
      <c r="L117" s="1" t="str">
        <f t="shared" si="8"/>
        <v>OK</v>
      </c>
      <c r="M117" s="1">
        <f t="shared" si="5"/>
        <v>1</v>
      </c>
      <c r="N117" s="1">
        <f t="shared" si="6"/>
        <v>59</v>
      </c>
      <c r="O117" s="10">
        <f t="shared" si="9"/>
        <v>1.3419444445171393</v>
      </c>
    </row>
    <row r="118" spans="1:15">
      <c r="A118" s="1" t="s">
        <v>200</v>
      </c>
      <c r="B118" s="23">
        <v>44936.993055555555</v>
      </c>
      <c r="C118" s="1" t="s">
        <v>16</v>
      </c>
      <c r="D118" s="1" t="s">
        <v>17</v>
      </c>
      <c r="E118" s="1" t="s">
        <v>18</v>
      </c>
      <c r="F118" s="1" t="s">
        <v>201</v>
      </c>
      <c r="G118" s="1">
        <v>80</v>
      </c>
      <c r="H118" s="23">
        <v>44938.146886574075</v>
      </c>
      <c r="I118" s="1" t="b">
        <v>0</v>
      </c>
      <c r="K118" s="10">
        <f t="shared" si="7"/>
        <v>27.691944444493856</v>
      </c>
      <c r="L118" s="1" t="str">
        <f t="shared" si="8"/>
        <v>OK</v>
      </c>
      <c r="M118" s="1">
        <f t="shared" si="5"/>
        <v>1</v>
      </c>
      <c r="N118" s="1">
        <f t="shared" si="6"/>
        <v>80</v>
      </c>
      <c r="O118" s="10">
        <f t="shared" si="9"/>
        <v>27.691944444493856</v>
      </c>
    </row>
    <row r="119" spans="1:15">
      <c r="A119" s="1" t="s">
        <v>202</v>
      </c>
      <c r="B119" s="23">
        <v>44937.11041666667</v>
      </c>
      <c r="C119" s="1" t="s">
        <v>25</v>
      </c>
      <c r="D119" s="1" t="s">
        <v>12</v>
      </c>
      <c r="E119" s="1" t="s">
        <v>18</v>
      </c>
      <c r="F119" s="1" t="s">
        <v>159</v>
      </c>
      <c r="G119" s="1">
        <v>20</v>
      </c>
      <c r="H119" s="23">
        <v>44937.779722222222</v>
      </c>
      <c r="I119" s="1" t="b">
        <v>0</v>
      </c>
      <c r="K119" s="10">
        <f t="shared" si="7"/>
        <v>16.063333333237097</v>
      </c>
      <c r="L119" s="1" t="str">
        <f t="shared" si="8"/>
        <v>OK</v>
      </c>
      <c r="M119" s="1">
        <f t="shared" si="5"/>
        <v>1</v>
      </c>
      <c r="N119" s="1">
        <f t="shared" si="6"/>
        <v>20</v>
      </c>
      <c r="O119" s="10">
        <f t="shared" si="9"/>
        <v>16.063333333237097</v>
      </c>
    </row>
    <row r="120" spans="1:15">
      <c r="A120" s="1" t="s">
        <v>203</v>
      </c>
      <c r="B120" s="23">
        <v>44937.14166666667</v>
      </c>
      <c r="C120" s="1" t="s">
        <v>16</v>
      </c>
      <c r="D120" s="1" t="s">
        <v>21</v>
      </c>
      <c r="E120" s="1" t="s">
        <v>13</v>
      </c>
      <c r="F120" s="1" t="s">
        <v>186</v>
      </c>
      <c r="G120" s="1">
        <v>176</v>
      </c>
      <c r="H120" s="23">
        <v>44937.37767361111</v>
      </c>
      <c r="I120" s="1" t="b">
        <v>0</v>
      </c>
      <c r="K120" s="10">
        <f t="shared" si="7"/>
        <v>5.6641666665673256</v>
      </c>
      <c r="L120" s="1" t="str">
        <f t="shared" si="8"/>
        <v>OK</v>
      </c>
      <c r="M120" s="1">
        <f t="shared" si="5"/>
        <v>1</v>
      </c>
      <c r="N120" s="1">
        <f t="shared" si="6"/>
        <v>176</v>
      </c>
      <c r="O120" s="10">
        <f t="shared" si="9"/>
        <v>5.6641666665673256</v>
      </c>
    </row>
    <row r="121" spans="1:15">
      <c r="A121" s="1" t="s">
        <v>204</v>
      </c>
      <c r="B121" s="23">
        <v>44937.15</v>
      </c>
      <c r="C121" s="1" t="s">
        <v>16</v>
      </c>
      <c r="D121" s="1" t="s">
        <v>21</v>
      </c>
      <c r="E121" s="1" t="s">
        <v>13</v>
      </c>
      <c r="F121" s="1" t="s">
        <v>100</v>
      </c>
      <c r="G121" s="1">
        <v>35</v>
      </c>
      <c r="H121" s="23">
        <v>44939.16684027778</v>
      </c>
      <c r="I121" s="1" t="b">
        <v>0</v>
      </c>
      <c r="J121" s="1">
        <v>2</v>
      </c>
      <c r="K121" s="10">
        <f t="shared" si="7"/>
        <v>48.404166666674428</v>
      </c>
      <c r="L121" s="1" t="str">
        <f t="shared" si="8"/>
        <v>OK</v>
      </c>
      <c r="M121" s="1">
        <f t="shared" si="5"/>
        <v>1</v>
      </c>
      <c r="N121" s="1">
        <f t="shared" si="6"/>
        <v>35</v>
      </c>
      <c r="O121" s="10">
        <f t="shared" si="9"/>
        <v>48.404166666674428</v>
      </c>
    </row>
    <row r="122" spans="1:15">
      <c r="A122" s="1" t="s">
        <v>205</v>
      </c>
      <c r="B122" s="23">
        <v>44937.345833333333</v>
      </c>
      <c r="C122" s="1" t="s">
        <v>25</v>
      </c>
      <c r="D122" s="1" t="s">
        <v>21</v>
      </c>
      <c r="E122" s="1" t="s">
        <v>13</v>
      </c>
      <c r="F122" s="1" t="s">
        <v>206</v>
      </c>
      <c r="G122" s="1">
        <v>23</v>
      </c>
      <c r="H122" s="23">
        <v>44937.455625000002</v>
      </c>
      <c r="I122" s="1" t="b">
        <v>0</v>
      </c>
      <c r="K122" s="10">
        <f t="shared" si="7"/>
        <v>2.6350000000675209</v>
      </c>
      <c r="L122" s="1" t="str">
        <f t="shared" si="8"/>
        <v>OK</v>
      </c>
      <c r="M122" s="1">
        <f t="shared" si="5"/>
        <v>1</v>
      </c>
      <c r="N122" s="1">
        <f t="shared" si="6"/>
        <v>23</v>
      </c>
      <c r="O122" s="10">
        <f t="shared" si="9"/>
        <v>2.6350000000675209</v>
      </c>
    </row>
    <row r="123" spans="1:15">
      <c r="A123" s="1" t="s">
        <v>207</v>
      </c>
      <c r="B123" s="23">
        <v>44937.380555555559</v>
      </c>
      <c r="C123" s="1" t="s">
        <v>43</v>
      </c>
      <c r="D123" s="1" t="s">
        <v>17</v>
      </c>
      <c r="E123" s="1" t="s">
        <v>18</v>
      </c>
      <c r="F123" s="1" t="s">
        <v>112</v>
      </c>
      <c r="G123" s="1">
        <v>101</v>
      </c>
      <c r="H123" s="23">
        <v>44942.234143518515</v>
      </c>
      <c r="I123" s="1" t="b">
        <v>0</v>
      </c>
      <c r="J123" s="1">
        <v>5</v>
      </c>
      <c r="K123" s="10">
        <f t="shared" si="7"/>
        <v>116.48611111094942</v>
      </c>
      <c r="L123" s="1" t="str">
        <f t="shared" si="8"/>
        <v>OK</v>
      </c>
      <c r="M123" s="1">
        <f t="shared" si="5"/>
        <v>1</v>
      </c>
      <c r="N123" s="1">
        <f t="shared" si="6"/>
        <v>101</v>
      </c>
      <c r="O123" s="10">
        <f t="shared" si="9"/>
        <v>116.48611111094942</v>
      </c>
    </row>
    <row r="124" spans="1:15">
      <c r="A124" s="1" t="s">
        <v>208</v>
      </c>
      <c r="B124" s="23">
        <v>44937.618055555555</v>
      </c>
      <c r="C124" s="1" t="s">
        <v>25</v>
      </c>
      <c r="D124" s="1" t="s">
        <v>12</v>
      </c>
      <c r="E124" s="1" t="s">
        <v>33</v>
      </c>
      <c r="F124" s="1" t="s">
        <v>201</v>
      </c>
      <c r="G124" s="1">
        <v>179</v>
      </c>
      <c r="H124" s="23">
        <v>44937.828923611109</v>
      </c>
      <c r="I124" s="1" t="b">
        <v>0</v>
      </c>
      <c r="K124" s="10">
        <f t="shared" si="7"/>
        <v>5.060833333292976</v>
      </c>
      <c r="L124" s="1" t="str">
        <f t="shared" si="8"/>
        <v>OK</v>
      </c>
      <c r="M124" s="1">
        <f t="shared" si="5"/>
        <v>1</v>
      </c>
      <c r="N124" s="1">
        <f t="shared" si="6"/>
        <v>179</v>
      </c>
      <c r="O124" s="10">
        <f t="shared" si="9"/>
        <v>5.060833333292976</v>
      </c>
    </row>
    <row r="125" spans="1:15">
      <c r="A125" s="1" t="s">
        <v>209</v>
      </c>
      <c r="B125" s="23">
        <v>44937.623611111114</v>
      </c>
      <c r="C125" s="1" t="s">
        <v>16</v>
      </c>
      <c r="D125" s="1" t="s">
        <v>12</v>
      </c>
      <c r="E125" s="1" t="s">
        <v>18</v>
      </c>
      <c r="F125" s="1" t="s">
        <v>102</v>
      </c>
      <c r="G125" s="1">
        <v>164</v>
      </c>
      <c r="H125" s="23">
        <v>44938.348460648151</v>
      </c>
      <c r="I125" s="1" t="b">
        <v>0</v>
      </c>
      <c r="J125" s="1">
        <v>3</v>
      </c>
      <c r="K125" s="10">
        <f t="shared" si="7"/>
        <v>17.396388888882939</v>
      </c>
      <c r="L125" s="1" t="str">
        <f t="shared" si="8"/>
        <v>OK</v>
      </c>
      <c r="M125" s="1">
        <f t="shared" si="5"/>
        <v>1</v>
      </c>
      <c r="N125" s="1">
        <f t="shared" si="6"/>
        <v>164</v>
      </c>
      <c r="O125" s="10">
        <f t="shared" si="9"/>
        <v>17.396388888882939</v>
      </c>
    </row>
    <row r="126" spans="1:15">
      <c r="A126" s="1" t="s">
        <v>210</v>
      </c>
      <c r="B126" s="23">
        <v>44937.63958333333</v>
      </c>
      <c r="C126" s="1" t="s">
        <v>16</v>
      </c>
      <c r="D126" s="1" t="s">
        <v>21</v>
      </c>
      <c r="E126" s="1" t="s">
        <v>22</v>
      </c>
      <c r="F126" s="1" t="s">
        <v>130</v>
      </c>
      <c r="G126" s="1">
        <v>6</v>
      </c>
      <c r="H126" s="23">
        <v>44937.695590277777</v>
      </c>
      <c r="I126" s="1" t="b">
        <v>0</v>
      </c>
      <c r="K126" s="10">
        <f t="shared" si="7"/>
        <v>1.3441666667349637</v>
      </c>
      <c r="L126" s="1" t="str">
        <f t="shared" si="8"/>
        <v>OK</v>
      </c>
      <c r="M126" s="1">
        <f t="shared" si="5"/>
        <v>1</v>
      </c>
      <c r="N126" s="1">
        <f t="shared" si="6"/>
        <v>6</v>
      </c>
      <c r="O126" s="10">
        <f t="shared" si="9"/>
        <v>1.3441666667349637</v>
      </c>
    </row>
    <row r="127" spans="1:15">
      <c r="A127" s="1" t="s">
        <v>211</v>
      </c>
      <c r="B127" s="23">
        <v>44937.671527777777</v>
      </c>
      <c r="C127" s="1" t="s">
        <v>25</v>
      </c>
      <c r="D127" s="1" t="s">
        <v>17</v>
      </c>
      <c r="E127" s="1" t="s">
        <v>18</v>
      </c>
      <c r="F127" s="1" t="s">
        <v>92</v>
      </c>
      <c r="G127" s="1">
        <v>26</v>
      </c>
      <c r="H127" s="23">
        <v>44939.516203703701</v>
      </c>
      <c r="I127" s="1" t="b">
        <v>0</v>
      </c>
      <c r="K127" s="10">
        <f t="shared" si="7"/>
        <v>44.272222222178243</v>
      </c>
      <c r="L127" s="1" t="str">
        <f t="shared" si="8"/>
        <v>OK</v>
      </c>
      <c r="M127" s="1">
        <f t="shared" si="5"/>
        <v>1</v>
      </c>
      <c r="N127" s="1">
        <f t="shared" si="6"/>
        <v>26</v>
      </c>
      <c r="O127" s="10">
        <f t="shared" si="9"/>
        <v>44.272222222178243</v>
      </c>
    </row>
    <row r="128" spans="1:15">
      <c r="A128" s="1" t="s">
        <v>212</v>
      </c>
      <c r="B128" s="23">
        <v>44937.847222222219</v>
      </c>
      <c r="C128" s="1" t="s">
        <v>43</v>
      </c>
      <c r="D128" s="1" t="s">
        <v>12</v>
      </c>
      <c r="E128" s="1" t="s">
        <v>18</v>
      </c>
      <c r="F128" s="1" t="s">
        <v>84</v>
      </c>
      <c r="G128" s="1">
        <v>53</v>
      </c>
      <c r="H128" s="23">
        <v>44938.400520833333</v>
      </c>
      <c r="I128" s="1" t="b">
        <v>0</v>
      </c>
      <c r="K128" s="10">
        <f t="shared" si="7"/>
        <v>13.279166666732635</v>
      </c>
      <c r="L128" s="1" t="str">
        <f t="shared" si="8"/>
        <v>OK</v>
      </c>
      <c r="M128" s="1">
        <f t="shared" si="5"/>
        <v>1</v>
      </c>
      <c r="N128" s="1">
        <f t="shared" si="6"/>
        <v>53</v>
      </c>
      <c r="O128" s="10">
        <f t="shared" si="9"/>
        <v>13.279166666732635</v>
      </c>
    </row>
    <row r="129" spans="1:15">
      <c r="A129" s="1" t="s">
        <v>213</v>
      </c>
      <c r="B129" s="23">
        <v>44937.870138888888</v>
      </c>
      <c r="C129" s="1" t="s">
        <v>16</v>
      </c>
      <c r="D129" s="1" t="s">
        <v>21</v>
      </c>
      <c r="E129" s="1" t="s">
        <v>13</v>
      </c>
      <c r="F129" s="1" t="s">
        <v>104</v>
      </c>
      <c r="H129" s="23">
        <v>44938.13858796296</v>
      </c>
      <c r="I129" s="1" t="b">
        <v>0</v>
      </c>
      <c r="J129" s="1">
        <v>4</v>
      </c>
      <c r="K129" s="10">
        <f t="shared" si="7"/>
        <v>6.4427777777309529</v>
      </c>
      <c r="L129" s="1" t="str">
        <f t="shared" si="8"/>
        <v>Cannot check</v>
      </c>
      <c r="M129" s="1">
        <f t="shared" si="5"/>
        <v>1</v>
      </c>
      <c r="N129" s="1" t="str">
        <f t="shared" si="6"/>
        <v/>
      </c>
      <c r="O129" s="10">
        <f t="shared" si="9"/>
        <v>6.4427777777309529</v>
      </c>
    </row>
    <row r="130" spans="1:15">
      <c r="A130" s="1" t="s">
        <v>214</v>
      </c>
      <c r="B130" s="23">
        <v>44937.931944444441</v>
      </c>
      <c r="C130" s="1" t="s">
        <v>11</v>
      </c>
      <c r="D130" s="1" t="s">
        <v>59</v>
      </c>
      <c r="E130" s="1" t="s">
        <v>33</v>
      </c>
      <c r="F130" s="1" t="s">
        <v>215</v>
      </c>
      <c r="G130" s="1">
        <v>282</v>
      </c>
      <c r="H130" s="23">
        <v>44955.082835648151</v>
      </c>
      <c r="I130" s="1" t="b">
        <v>0</v>
      </c>
      <c r="K130" s="10">
        <f t="shared" si="7"/>
        <v>411.62138888903428</v>
      </c>
      <c r="L130" s="1" t="str">
        <f t="shared" si="8"/>
        <v>OK</v>
      </c>
      <c r="M130" s="1">
        <f t="shared" ref="M130:M193" si="10">COUNTIF($A$2:$A$4001,A130)</f>
        <v>1</v>
      </c>
      <c r="N130" s="1">
        <f t="shared" ref="N130:N193" si="11">IF(OR(L130="Review",G130=""),"",G130)</f>
        <v>282</v>
      </c>
      <c r="O130" s="10">
        <f t="shared" si="9"/>
        <v>411.62138888903428</v>
      </c>
    </row>
    <row r="131" spans="1:15">
      <c r="A131" s="1" t="s">
        <v>216</v>
      </c>
      <c r="B131" s="23">
        <v>44937.943055555559</v>
      </c>
      <c r="C131" s="1" t="s">
        <v>16</v>
      </c>
      <c r="D131" s="1" t="s">
        <v>17</v>
      </c>
      <c r="E131" s="1" t="s">
        <v>13</v>
      </c>
      <c r="F131" s="1" t="s">
        <v>96</v>
      </c>
      <c r="G131" s="1">
        <v>104</v>
      </c>
      <c r="H131" s="23">
        <v>44938.528912037036</v>
      </c>
      <c r="I131" s="1" t="b">
        <v>0</v>
      </c>
      <c r="K131" s="10">
        <f t="shared" ref="K131:K194" si="12">IF(H131="","",(H131-B131)*24)</f>
        <v>14.060555555450264</v>
      </c>
      <c r="L131" s="1" t="str">
        <f t="shared" ref="L131:L194" si="13">IF(OR(G131="",K131=""),"Cannot check",IF(G131&gt;K131*60,"Review","OK"))</f>
        <v>OK</v>
      </c>
      <c r="M131" s="1">
        <f t="shared" si="10"/>
        <v>1</v>
      </c>
      <c r="N131" s="1">
        <f t="shared" si="11"/>
        <v>104</v>
      </c>
      <c r="O131" s="10">
        <f t="shared" ref="O131:O194" si="14">IF(OR(L131="Review",K131=""),"",K131)</f>
        <v>14.060555555450264</v>
      </c>
    </row>
    <row r="132" spans="1:15">
      <c r="A132" s="1" t="s">
        <v>217</v>
      </c>
      <c r="B132" s="23">
        <v>44938.042361111111</v>
      </c>
      <c r="C132" s="1" t="s">
        <v>11</v>
      </c>
      <c r="D132" s="1" t="s">
        <v>17</v>
      </c>
      <c r="E132" s="1" t="s">
        <v>18</v>
      </c>
      <c r="F132" s="1" t="s">
        <v>116</v>
      </c>
      <c r="G132" s="1">
        <v>173</v>
      </c>
      <c r="I132" s="1" t="b">
        <v>0</v>
      </c>
      <c r="K132" s="10" t="str">
        <f t="shared" si="12"/>
        <v/>
      </c>
      <c r="L132" s="1" t="str">
        <f t="shared" si="13"/>
        <v>Cannot check</v>
      </c>
      <c r="M132" s="1">
        <f t="shared" si="10"/>
        <v>1</v>
      </c>
      <c r="N132" s="1">
        <f t="shared" si="11"/>
        <v>173</v>
      </c>
      <c r="O132" s="10" t="str">
        <f t="shared" si="14"/>
        <v/>
      </c>
    </row>
    <row r="133" spans="1:15">
      <c r="A133" s="1" t="s">
        <v>218</v>
      </c>
      <c r="B133" s="23">
        <v>44938.322916666664</v>
      </c>
      <c r="C133" s="1" t="s">
        <v>43</v>
      </c>
      <c r="D133" s="1" t="s">
        <v>12</v>
      </c>
      <c r="E133" s="1" t="s">
        <v>22</v>
      </c>
      <c r="F133" s="1" t="s">
        <v>162</v>
      </c>
      <c r="G133" s="1">
        <v>8</v>
      </c>
      <c r="H133" s="23">
        <v>44938.558541666665</v>
      </c>
      <c r="I133" s="1" t="b">
        <v>0</v>
      </c>
      <c r="J133" s="1">
        <v>3</v>
      </c>
      <c r="K133" s="10">
        <f t="shared" si="12"/>
        <v>5.6550000000279397</v>
      </c>
      <c r="L133" s="1" t="str">
        <f t="shared" si="13"/>
        <v>OK</v>
      </c>
      <c r="M133" s="1">
        <f t="shared" si="10"/>
        <v>1</v>
      </c>
      <c r="N133" s="1">
        <f t="shared" si="11"/>
        <v>8</v>
      </c>
      <c r="O133" s="10">
        <f t="shared" si="14"/>
        <v>5.6550000000279397</v>
      </c>
    </row>
    <row r="134" spans="1:15">
      <c r="A134" s="1" t="s">
        <v>219</v>
      </c>
      <c r="B134" s="23">
        <v>44938.38958333333</v>
      </c>
      <c r="C134" s="1" t="s">
        <v>11</v>
      </c>
      <c r="D134" s="1" t="s">
        <v>59</v>
      </c>
      <c r="E134" s="1" t="s">
        <v>18</v>
      </c>
      <c r="F134" s="1" t="s">
        <v>62</v>
      </c>
      <c r="G134" s="1">
        <v>77</v>
      </c>
      <c r="H134" s="23">
        <v>44939.347731481481</v>
      </c>
      <c r="I134" s="1" t="b">
        <v>0</v>
      </c>
      <c r="K134" s="10">
        <f t="shared" si="12"/>
        <v>22.995555555622559</v>
      </c>
      <c r="L134" s="1" t="str">
        <f t="shared" si="13"/>
        <v>OK</v>
      </c>
      <c r="M134" s="1">
        <f t="shared" si="10"/>
        <v>1</v>
      </c>
      <c r="N134" s="1">
        <f t="shared" si="11"/>
        <v>77</v>
      </c>
      <c r="O134" s="10">
        <f t="shared" si="14"/>
        <v>22.995555555622559</v>
      </c>
    </row>
    <row r="135" spans="1:15">
      <c r="A135" s="1" t="s">
        <v>220</v>
      </c>
      <c r="B135" s="23">
        <v>44938.544444444444</v>
      </c>
      <c r="C135" s="1" t="s">
        <v>16</v>
      </c>
      <c r="D135" s="1" t="s">
        <v>21</v>
      </c>
      <c r="E135" s="1" t="s">
        <v>18</v>
      </c>
      <c r="F135" s="1" t="s">
        <v>112</v>
      </c>
      <c r="G135" s="1">
        <v>271</v>
      </c>
      <c r="H135" s="23">
        <v>44939.052766203706</v>
      </c>
      <c r="I135" s="1" t="b">
        <v>0</v>
      </c>
      <c r="K135" s="10">
        <f t="shared" si="12"/>
        <v>12.199722222285345</v>
      </c>
      <c r="L135" s="1" t="str">
        <f t="shared" si="13"/>
        <v>OK</v>
      </c>
      <c r="M135" s="1">
        <f t="shared" si="10"/>
        <v>1</v>
      </c>
      <c r="N135" s="1">
        <f t="shared" si="11"/>
        <v>271</v>
      </c>
      <c r="O135" s="10">
        <f t="shared" si="14"/>
        <v>12.199722222285345</v>
      </c>
    </row>
    <row r="136" spans="1:15">
      <c r="A136" s="1" t="s">
        <v>221</v>
      </c>
      <c r="B136" s="23">
        <v>44938.561111111114</v>
      </c>
      <c r="C136" s="1" t="s">
        <v>43</v>
      </c>
      <c r="D136" s="1" t="s">
        <v>59</v>
      </c>
      <c r="E136" s="1" t="s">
        <v>33</v>
      </c>
      <c r="F136" s="1" t="s">
        <v>116</v>
      </c>
      <c r="G136" s="1">
        <v>269</v>
      </c>
      <c r="H136" s="23">
        <v>44951.789733796293</v>
      </c>
      <c r="I136" s="1" t="b">
        <v>0</v>
      </c>
      <c r="K136" s="10">
        <f t="shared" si="12"/>
        <v>317.48694444430294</v>
      </c>
      <c r="L136" s="1" t="str">
        <f t="shared" si="13"/>
        <v>OK</v>
      </c>
      <c r="M136" s="1">
        <f t="shared" si="10"/>
        <v>1</v>
      </c>
      <c r="N136" s="1">
        <f t="shared" si="11"/>
        <v>269</v>
      </c>
      <c r="O136" s="10">
        <f t="shared" si="14"/>
        <v>317.48694444430294</v>
      </c>
    </row>
    <row r="137" spans="1:15">
      <c r="A137" s="1" t="s">
        <v>222</v>
      </c>
      <c r="B137" s="23">
        <v>44938.710416666669</v>
      </c>
      <c r="C137" s="1" t="s">
        <v>11</v>
      </c>
      <c r="D137" s="1" t="s">
        <v>21</v>
      </c>
      <c r="E137" s="1" t="s">
        <v>18</v>
      </c>
      <c r="F137" s="1" t="s">
        <v>70</v>
      </c>
      <c r="G137" s="1">
        <v>75</v>
      </c>
      <c r="H137" s="23">
        <v>44938.920451388891</v>
      </c>
      <c r="I137" s="1" t="b">
        <v>0</v>
      </c>
      <c r="J137" s="1">
        <v>4</v>
      </c>
      <c r="K137" s="10">
        <f t="shared" si="12"/>
        <v>5.0408333333325572</v>
      </c>
      <c r="L137" s="1" t="str">
        <f t="shared" si="13"/>
        <v>OK</v>
      </c>
      <c r="M137" s="1">
        <f t="shared" si="10"/>
        <v>1</v>
      </c>
      <c r="N137" s="1">
        <f t="shared" si="11"/>
        <v>75</v>
      </c>
      <c r="O137" s="10">
        <f t="shared" si="14"/>
        <v>5.0408333333325572</v>
      </c>
    </row>
    <row r="138" spans="1:15">
      <c r="A138" s="1" t="s">
        <v>223</v>
      </c>
      <c r="B138" s="23">
        <v>44938.800694444442</v>
      </c>
      <c r="C138" s="1" t="s">
        <v>11</v>
      </c>
      <c r="D138" s="1" t="s">
        <v>59</v>
      </c>
      <c r="E138" s="1" t="s">
        <v>33</v>
      </c>
      <c r="F138" s="1" t="s">
        <v>224</v>
      </c>
      <c r="G138" s="1">
        <v>44</v>
      </c>
      <c r="H138" s="23">
        <v>44939.573912037034</v>
      </c>
      <c r="I138" s="1" t="b">
        <v>0</v>
      </c>
      <c r="K138" s="10">
        <f t="shared" si="12"/>
        <v>18.557222222210839</v>
      </c>
      <c r="L138" s="1" t="str">
        <f t="shared" si="13"/>
        <v>OK</v>
      </c>
      <c r="M138" s="1">
        <f t="shared" si="10"/>
        <v>1</v>
      </c>
      <c r="N138" s="1">
        <f t="shared" si="11"/>
        <v>44</v>
      </c>
      <c r="O138" s="10">
        <f t="shared" si="14"/>
        <v>18.557222222210839</v>
      </c>
    </row>
    <row r="139" spans="1:15">
      <c r="A139" s="1" t="s">
        <v>225</v>
      </c>
      <c r="B139" s="23">
        <v>44938.893055555556</v>
      </c>
      <c r="C139" s="1" t="s">
        <v>11</v>
      </c>
      <c r="D139" s="1" t="s">
        <v>26</v>
      </c>
      <c r="E139" s="1" t="s">
        <v>18</v>
      </c>
      <c r="F139" s="1" t="s">
        <v>226</v>
      </c>
      <c r="G139" s="1">
        <v>449</v>
      </c>
      <c r="H139" s="23">
        <v>44942.373912037037</v>
      </c>
      <c r="I139" s="1" t="b">
        <v>0</v>
      </c>
      <c r="K139" s="10">
        <f t="shared" si="12"/>
        <v>83.540555555548053</v>
      </c>
      <c r="L139" s="1" t="str">
        <f t="shared" si="13"/>
        <v>OK</v>
      </c>
      <c r="M139" s="1">
        <f t="shared" si="10"/>
        <v>1</v>
      </c>
      <c r="N139" s="1">
        <f t="shared" si="11"/>
        <v>449</v>
      </c>
      <c r="O139" s="10">
        <f t="shared" si="14"/>
        <v>83.540555555548053</v>
      </c>
    </row>
    <row r="140" spans="1:15">
      <c r="A140" s="1" t="s">
        <v>227</v>
      </c>
      <c r="B140" s="23">
        <v>44939.025000000001</v>
      </c>
      <c r="C140" s="1" t="s">
        <v>43</v>
      </c>
      <c r="D140" s="1" t="s">
        <v>59</v>
      </c>
      <c r="E140" s="1" t="s">
        <v>18</v>
      </c>
      <c r="F140" s="1" t="s">
        <v>228</v>
      </c>
      <c r="G140" s="1">
        <v>60</v>
      </c>
      <c r="H140" s="23">
        <v>44939.126539351855</v>
      </c>
      <c r="I140" s="1" t="b">
        <v>0</v>
      </c>
      <c r="J140" s="1">
        <v>4</v>
      </c>
      <c r="K140" s="10">
        <f t="shared" si="12"/>
        <v>2.4369444444891997</v>
      </c>
      <c r="L140" s="1" t="str">
        <f t="shared" si="13"/>
        <v>OK</v>
      </c>
      <c r="M140" s="1">
        <f t="shared" si="10"/>
        <v>1</v>
      </c>
      <c r="N140" s="1">
        <f t="shared" si="11"/>
        <v>60</v>
      </c>
      <c r="O140" s="10">
        <f t="shared" si="14"/>
        <v>2.4369444444891997</v>
      </c>
    </row>
    <row r="141" spans="1:15">
      <c r="A141" s="1" t="s">
        <v>229</v>
      </c>
      <c r="B141" s="23">
        <v>44939.051388888889</v>
      </c>
      <c r="C141" s="1" t="s">
        <v>25</v>
      </c>
      <c r="D141" s="1" t="s">
        <v>21</v>
      </c>
      <c r="E141" s="1" t="s">
        <v>18</v>
      </c>
      <c r="F141" s="1" t="s">
        <v>108</v>
      </c>
      <c r="G141" s="1">
        <v>129</v>
      </c>
      <c r="H141" s="23">
        <v>44939.145613425928</v>
      </c>
      <c r="I141" s="1" t="b">
        <v>0</v>
      </c>
      <c r="K141" s="10">
        <f t="shared" si="12"/>
        <v>2.2613888889318332</v>
      </c>
      <c r="L141" s="1" t="str">
        <f t="shared" si="13"/>
        <v>OK</v>
      </c>
      <c r="M141" s="1">
        <f t="shared" si="10"/>
        <v>1</v>
      </c>
      <c r="N141" s="1">
        <f t="shared" si="11"/>
        <v>129</v>
      </c>
      <c r="O141" s="10">
        <f t="shared" si="14"/>
        <v>2.2613888889318332</v>
      </c>
    </row>
    <row r="142" spans="1:15">
      <c r="A142" s="1" t="s">
        <v>230</v>
      </c>
      <c r="B142" s="23">
        <v>44939.088888888888</v>
      </c>
      <c r="C142" s="1" t="s">
        <v>16</v>
      </c>
      <c r="D142" s="1" t="s">
        <v>12</v>
      </c>
      <c r="E142" s="1" t="s">
        <v>13</v>
      </c>
      <c r="F142" s="1" t="s">
        <v>104</v>
      </c>
      <c r="G142" s="1">
        <v>33</v>
      </c>
      <c r="H142" s="23">
        <v>44939.457743055558</v>
      </c>
      <c r="I142" s="1" t="b">
        <v>0</v>
      </c>
      <c r="K142" s="10">
        <f t="shared" si="12"/>
        <v>8.8525000000954606</v>
      </c>
      <c r="L142" s="1" t="str">
        <f t="shared" si="13"/>
        <v>OK</v>
      </c>
      <c r="M142" s="1">
        <f t="shared" si="10"/>
        <v>1</v>
      </c>
      <c r="N142" s="1">
        <f t="shared" si="11"/>
        <v>33</v>
      </c>
      <c r="O142" s="10">
        <f t="shared" si="14"/>
        <v>8.8525000000954606</v>
      </c>
    </row>
    <row r="143" spans="1:15">
      <c r="A143" s="1" t="s">
        <v>231</v>
      </c>
      <c r="B143" s="23">
        <v>44939.125</v>
      </c>
      <c r="C143" s="1" t="s">
        <v>11</v>
      </c>
      <c r="D143" s="1" t="s">
        <v>21</v>
      </c>
      <c r="E143" s="1" t="s">
        <v>13</v>
      </c>
      <c r="F143" s="1" t="s">
        <v>31</v>
      </c>
      <c r="G143" s="1">
        <v>34</v>
      </c>
      <c r="H143" s="23">
        <v>44939.639537037037</v>
      </c>
      <c r="I143" s="1" t="b">
        <v>0</v>
      </c>
      <c r="K143" s="10">
        <f t="shared" si="12"/>
        <v>12.348888888896909</v>
      </c>
      <c r="L143" s="1" t="str">
        <f t="shared" si="13"/>
        <v>OK</v>
      </c>
      <c r="M143" s="1">
        <f t="shared" si="10"/>
        <v>1</v>
      </c>
      <c r="N143" s="1">
        <f t="shared" si="11"/>
        <v>34</v>
      </c>
      <c r="O143" s="10">
        <f t="shared" si="14"/>
        <v>12.348888888896909</v>
      </c>
    </row>
    <row r="144" spans="1:15">
      <c r="A144" s="1" t="s">
        <v>232</v>
      </c>
      <c r="B144" s="23">
        <v>44939.149305555555</v>
      </c>
      <c r="C144" s="1" t="s">
        <v>16</v>
      </c>
      <c r="D144" s="1" t="s">
        <v>17</v>
      </c>
      <c r="E144" s="1" t="s">
        <v>18</v>
      </c>
      <c r="F144" s="1" t="s">
        <v>175</v>
      </c>
      <c r="G144" s="1">
        <v>166</v>
      </c>
      <c r="H144" s="23">
        <v>44944.78802083333</v>
      </c>
      <c r="I144" s="1" t="b">
        <v>0</v>
      </c>
      <c r="J144" s="1">
        <v>3</v>
      </c>
      <c r="K144" s="10">
        <f t="shared" si="12"/>
        <v>135.32916666660458</v>
      </c>
      <c r="L144" s="1" t="str">
        <f t="shared" si="13"/>
        <v>OK</v>
      </c>
      <c r="M144" s="1">
        <f t="shared" si="10"/>
        <v>1</v>
      </c>
      <c r="N144" s="1">
        <f t="shared" si="11"/>
        <v>166</v>
      </c>
      <c r="O144" s="10">
        <f t="shared" si="14"/>
        <v>135.32916666660458</v>
      </c>
    </row>
    <row r="145" spans="1:15">
      <c r="A145" s="1" t="s">
        <v>233</v>
      </c>
      <c r="B145" s="23">
        <v>44939.236111111109</v>
      </c>
      <c r="C145" s="1" t="s">
        <v>25</v>
      </c>
      <c r="D145" s="1" t="s">
        <v>12</v>
      </c>
      <c r="E145" s="1" t="s">
        <v>18</v>
      </c>
      <c r="F145" s="1" t="s">
        <v>234</v>
      </c>
      <c r="G145" s="1">
        <v>83</v>
      </c>
      <c r="H145" s="23">
        <v>44940.151967592596</v>
      </c>
      <c r="I145" s="1" t="b">
        <v>0</v>
      </c>
      <c r="K145" s="10">
        <f t="shared" si="12"/>
        <v>21.980555555666797</v>
      </c>
      <c r="L145" s="1" t="str">
        <f t="shared" si="13"/>
        <v>OK</v>
      </c>
      <c r="M145" s="1">
        <f t="shared" si="10"/>
        <v>1</v>
      </c>
      <c r="N145" s="1">
        <f t="shared" si="11"/>
        <v>83</v>
      </c>
      <c r="O145" s="10">
        <f t="shared" si="14"/>
        <v>21.980555555666797</v>
      </c>
    </row>
    <row r="146" spans="1:15">
      <c r="A146" s="1" t="s">
        <v>235</v>
      </c>
      <c r="B146" s="23">
        <v>44939.429166666669</v>
      </c>
      <c r="C146" s="1" t="s">
        <v>25</v>
      </c>
      <c r="D146" s="1" t="s">
        <v>17</v>
      </c>
      <c r="E146" s="1" t="s">
        <v>33</v>
      </c>
      <c r="F146" s="1" t="s">
        <v>102</v>
      </c>
      <c r="G146" s="1">
        <v>101</v>
      </c>
      <c r="H146" s="23">
        <v>44942.029826388891</v>
      </c>
      <c r="I146" s="1" t="b">
        <v>0</v>
      </c>
      <c r="K146" s="10">
        <f t="shared" si="12"/>
        <v>62.415833333332557</v>
      </c>
      <c r="L146" s="1" t="str">
        <f t="shared" si="13"/>
        <v>OK</v>
      </c>
      <c r="M146" s="1">
        <f t="shared" si="10"/>
        <v>1</v>
      </c>
      <c r="N146" s="1">
        <f t="shared" si="11"/>
        <v>101</v>
      </c>
      <c r="O146" s="10">
        <f t="shared" si="14"/>
        <v>62.415833333332557</v>
      </c>
    </row>
    <row r="147" spans="1:15">
      <c r="A147" s="1" t="s">
        <v>236</v>
      </c>
      <c r="B147" s="23">
        <v>44939.465277777781</v>
      </c>
      <c r="C147" s="1" t="s">
        <v>25</v>
      </c>
      <c r="D147" s="1" t="s">
        <v>59</v>
      </c>
      <c r="E147" s="1" t="s">
        <v>13</v>
      </c>
      <c r="F147" s="1" t="s">
        <v>237</v>
      </c>
      <c r="G147" s="1">
        <v>65</v>
      </c>
      <c r="H147" s="23">
        <v>44939.663171296299</v>
      </c>
      <c r="I147" s="1" t="b">
        <v>0</v>
      </c>
      <c r="J147" s="1">
        <v>5</v>
      </c>
      <c r="K147" s="10">
        <f t="shared" si="12"/>
        <v>4.749444444430992</v>
      </c>
      <c r="L147" s="1" t="str">
        <f t="shared" si="13"/>
        <v>OK</v>
      </c>
      <c r="M147" s="1">
        <f t="shared" si="10"/>
        <v>1</v>
      </c>
      <c r="N147" s="1">
        <f t="shared" si="11"/>
        <v>65</v>
      </c>
      <c r="O147" s="10">
        <f t="shared" si="14"/>
        <v>4.749444444430992</v>
      </c>
    </row>
    <row r="148" spans="1:15">
      <c r="A148" s="1" t="s">
        <v>238</v>
      </c>
      <c r="B148" s="23">
        <v>44939.709722222222</v>
      </c>
      <c r="C148" s="1" t="s">
        <v>16</v>
      </c>
      <c r="D148" s="1" t="s">
        <v>12</v>
      </c>
      <c r="E148" s="1" t="s">
        <v>18</v>
      </c>
      <c r="F148" s="1" t="s">
        <v>239</v>
      </c>
      <c r="G148" s="1">
        <v>33</v>
      </c>
      <c r="H148" s="23">
        <v>44941.25677083333</v>
      </c>
      <c r="I148" s="1" t="b">
        <v>0</v>
      </c>
      <c r="K148" s="10">
        <f t="shared" si="12"/>
        <v>37.129166666592937</v>
      </c>
      <c r="L148" s="1" t="str">
        <f t="shared" si="13"/>
        <v>OK</v>
      </c>
      <c r="M148" s="1">
        <f t="shared" si="10"/>
        <v>1</v>
      </c>
      <c r="N148" s="1">
        <f t="shared" si="11"/>
        <v>33</v>
      </c>
      <c r="O148" s="10">
        <f t="shared" si="14"/>
        <v>37.129166666592937</v>
      </c>
    </row>
    <row r="149" spans="1:15">
      <c r="A149" s="1" t="s">
        <v>240</v>
      </c>
      <c r="B149" s="23">
        <v>44939.808333333334</v>
      </c>
      <c r="C149" s="1" t="s">
        <v>25</v>
      </c>
      <c r="D149" s="1" t="s">
        <v>12</v>
      </c>
      <c r="E149" s="1" t="s">
        <v>18</v>
      </c>
      <c r="F149" s="1" t="s">
        <v>132</v>
      </c>
      <c r="G149" s="1">
        <v>51</v>
      </c>
      <c r="H149" s="23">
        <v>44942.514016203706</v>
      </c>
      <c r="I149" s="1" t="b">
        <v>0</v>
      </c>
      <c r="K149" s="10">
        <f t="shared" si="12"/>
        <v>64.936388888920192</v>
      </c>
      <c r="L149" s="1" t="str">
        <f t="shared" si="13"/>
        <v>OK</v>
      </c>
      <c r="M149" s="1">
        <f t="shared" si="10"/>
        <v>1</v>
      </c>
      <c r="N149" s="1">
        <f t="shared" si="11"/>
        <v>51</v>
      </c>
      <c r="O149" s="10">
        <f t="shared" si="14"/>
        <v>64.936388888920192</v>
      </c>
    </row>
    <row r="150" spans="1:15">
      <c r="A150" s="1" t="s">
        <v>241</v>
      </c>
      <c r="B150" s="23">
        <v>44939.828472222223</v>
      </c>
      <c r="C150" s="1" t="s">
        <v>25</v>
      </c>
      <c r="D150" s="1" t="s">
        <v>12</v>
      </c>
      <c r="E150" s="1" t="s">
        <v>18</v>
      </c>
      <c r="F150" s="1" t="s">
        <v>78</v>
      </c>
      <c r="G150" s="1">
        <v>119</v>
      </c>
      <c r="H150" s="23">
        <v>44942.925520833334</v>
      </c>
      <c r="I150" s="1" t="b">
        <v>0</v>
      </c>
      <c r="J150" s="1">
        <v>4</v>
      </c>
      <c r="K150" s="10">
        <f t="shared" si="12"/>
        <v>74.329166666662786</v>
      </c>
      <c r="L150" s="1" t="str">
        <f t="shared" si="13"/>
        <v>OK</v>
      </c>
      <c r="M150" s="1">
        <f t="shared" si="10"/>
        <v>1</v>
      </c>
      <c r="N150" s="1">
        <f t="shared" si="11"/>
        <v>119</v>
      </c>
      <c r="O150" s="10">
        <f t="shared" si="14"/>
        <v>74.329166666662786</v>
      </c>
    </row>
    <row r="151" spans="1:15">
      <c r="A151" s="1" t="s">
        <v>242</v>
      </c>
      <c r="B151" s="23">
        <v>44940.0625</v>
      </c>
      <c r="C151" s="1" t="s">
        <v>25</v>
      </c>
      <c r="D151" s="1" t="s">
        <v>26</v>
      </c>
      <c r="E151" s="1" t="s">
        <v>13</v>
      </c>
      <c r="F151" s="1" t="s">
        <v>148</v>
      </c>
      <c r="G151" s="1">
        <v>24</v>
      </c>
      <c r="H151" s="23">
        <v>44940.590740740743</v>
      </c>
      <c r="I151" s="1" t="b">
        <v>1</v>
      </c>
      <c r="K151" s="10">
        <f t="shared" si="12"/>
        <v>12.677777777833398</v>
      </c>
      <c r="L151" s="1" t="str">
        <f t="shared" si="13"/>
        <v>OK</v>
      </c>
      <c r="M151" s="1">
        <f t="shared" si="10"/>
        <v>1</v>
      </c>
      <c r="N151" s="1">
        <f t="shared" si="11"/>
        <v>24</v>
      </c>
      <c r="O151" s="10">
        <f t="shared" si="14"/>
        <v>12.677777777833398</v>
      </c>
    </row>
    <row r="152" spans="1:15">
      <c r="A152" s="1" t="s">
        <v>243</v>
      </c>
      <c r="B152" s="23">
        <v>44940.104861111111</v>
      </c>
      <c r="C152" s="1" t="s">
        <v>16</v>
      </c>
      <c r="D152" s="1" t="s">
        <v>59</v>
      </c>
      <c r="E152" s="1" t="s">
        <v>13</v>
      </c>
      <c r="F152" s="1" t="s">
        <v>167</v>
      </c>
      <c r="G152" s="1">
        <v>62</v>
      </c>
      <c r="H152" s="23">
        <v>44940.163611111115</v>
      </c>
      <c r="I152" s="1" t="b">
        <v>0</v>
      </c>
      <c r="K152" s="10">
        <f t="shared" si="12"/>
        <v>1.410000000090804</v>
      </c>
      <c r="L152" s="1" t="str">
        <f t="shared" si="13"/>
        <v>OK</v>
      </c>
      <c r="M152" s="1">
        <f t="shared" si="10"/>
        <v>1</v>
      </c>
      <c r="N152" s="1">
        <f t="shared" si="11"/>
        <v>62</v>
      </c>
      <c r="O152" s="10">
        <f t="shared" si="14"/>
        <v>1.410000000090804</v>
      </c>
    </row>
    <row r="153" spans="1:15">
      <c r="A153" s="1" t="s">
        <v>244</v>
      </c>
      <c r="B153" s="23">
        <v>44940.213194444441</v>
      </c>
      <c r="C153" s="1" t="s">
        <v>16</v>
      </c>
      <c r="D153" s="1" t="s">
        <v>59</v>
      </c>
      <c r="E153" s="1" t="s">
        <v>33</v>
      </c>
      <c r="F153" s="1" t="s">
        <v>245</v>
      </c>
      <c r="G153" s="1">
        <v>50</v>
      </c>
      <c r="H153" s="23">
        <v>44943.569178240738</v>
      </c>
      <c r="I153" s="1" t="b">
        <v>0</v>
      </c>
      <c r="K153" s="10">
        <f t="shared" si="12"/>
        <v>80.54361111111939</v>
      </c>
      <c r="L153" s="1" t="str">
        <f t="shared" si="13"/>
        <v>OK</v>
      </c>
      <c r="M153" s="1">
        <f t="shared" si="10"/>
        <v>1</v>
      </c>
      <c r="N153" s="1">
        <f t="shared" si="11"/>
        <v>50</v>
      </c>
      <c r="O153" s="10">
        <f t="shared" si="14"/>
        <v>80.54361111111939</v>
      </c>
    </row>
    <row r="154" spans="1:15">
      <c r="A154" s="1" t="s">
        <v>246</v>
      </c>
      <c r="B154" s="23">
        <v>44940.228472222225</v>
      </c>
      <c r="C154" s="1" t="s">
        <v>16</v>
      </c>
      <c r="D154" s="1" t="s">
        <v>21</v>
      </c>
      <c r="E154" s="1" t="s">
        <v>33</v>
      </c>
      <c r="F154" s="1" t="s">
        <v>84</v>
      </c>
      <c r="G154" s="1">
        <v>736</v>
      </c>
      <c r="H154" s="23">
        <v>44940.592592592591</v>
      </c>
      <c r="I154" s="1" t="b">
        <v>0</v>
      </c>
      <c r="J154" s="1">
        <v>2</v>
      </c>
      <c r="K154" s="10">
        <f t="shared" si="12"/>
        <v>8.7388888887944631</v>
      </c>
      <c r="L154" s="1" t="str">
        <f t="shared" si="13"/>
        <v>Review</v>
      </c>
      <c r="M154" s="1">
        <f t="shared" si="10"/>
        <v>1</v>
      </c>
      <c r="N154" s="1" t="str">
        <f t="shared" si="11"/>
        <v/>
      </c>
      <c r="O154" s="10" t="str">
        <f t="shared" si="14"/>
        <v/>
      </c>
    </row>
    <row r="155" spans="1:15">
      <c r="A155" s="1" t="s">
        <v>247</v>
      </c>
      <c r="B155" s="23">
        <v>44940.306250000001</v>
      </c>
      <c r="C155" s="1" t="s">
        <v>43</v>
      </c>
      <c r="D155" s="1" t="s">
        <v>21</v>
      </c>
      <c r="E155" s="1" t="s">
        <v>18</v>
      </c>
      <c r="F155" s="1" t="s">
        <v>57</v>
      </c>
      <c r="G155" s="1">
        <v>7</v>
      </c>
      <c r="H155" s="23">
        <v>44940.650717592594</v>
      </c>
      <c r="I155" s="1" t="b">
        <v>0</v>
      </c>
      <c r="J155" s="1">
        <v>5</v>
      </c>
      <c r="K155" s="10">
        <f t="shared" si="12"/>
        <v>8.2672222222317941</v>
      </c>
      <c r="L155" s="1" t="str">
        <f t="shared" si="13"/>
        <v>OK</v>
      </c>
      <c r="M155" s="1">
        <f t="shared" si="10"/>
        <v>1</v>
      </c>
      <c r="N155" s="1">
        <f t="shared" si="11"/>
        <v>7</v>
      </c>
      <c r="O155" s="10">
        <f t="shared" si="14"/>
        <v>8.2672222222317941</v>
      </c>
    </row>
    <row r="156" spans="1:15">
      <c r="A156" s="1" t="s">
        <v>248</v>
      </c>
      <c r="B156" s="23">
        <v>44940.415972222225</v>
      </c>
      <c r="C156" s="1" t="s">
        <v>11</v>
      </c>
      <c r="D156" s="1" t="s">
        <v>17</v>
      </c>
      <c r="E156" s="1" t="s">
        <v>13</v>
      </c>
      <c r="F156" s="1" t="s">
        <v>102</v>
      </c>
      <c r="G156" s="1">
        <v>68</v>
      </c>
      <c r="H156" s="23">
        <v>44940.582349537035</v>
      </c>
      <c r="I156" s="1" t="b">
        <v>1</v>
      </c>
      <c r="K156" s="10">
        <f t="shared" si="12"/>
        <v>3.9930555554456078</v>
      </c>
      <c r="L156" s="1" t="str">
        <f t="shared" si="13"/>
        <v>OK</v>
      </c>
      <c r="M156" s="1">
        <f t="shared" si="10"/>
        <v>1</v>
      </c>
      <c r="N156" s="1">
        <f t="shared" si="11"/>
        <v>68</v>
      </c>
      <c r="O156" s="10">
        <f t="shared" si="14"/>
        <v>3.9930555554456078</v>
      </c>
    </row>
    <row r="157" spans="1:15">
      <c r="A157" s="1" t="s">
        <v>249</v>
      </c>
      <c r="B157" s="23">
        <v>44940.669444444444</v>
      </c>
      <c r="C157" s="1" t="s">
        <v>16</v>
      </c>
      <c r="D157" s="1" t="s">
        <v>17</v>
      </c>
      <c r="E157" s="1" t="s">
        <v>33</v>
      </c>
      <c r="F157" s="1" t="s">
        <v>167</v>
      </c>
      <c r="H157" s="23">
        <v>44945.14565972222</v>
      </c>
      <c r="I157" s="1" t="b">
        <v>1</v>
      </c>
      <c r="J157" s="1">
        <v>5</v>
      </c>
      <c r="K157" s="10">
        <f t="shared" si="12"/>
        <v>107.4291666666395</v>
      </c>
      <c r="L157" s="1" t="str">
        <f t="shared" si="13"/>
        <v>Cannot check</v>
      </c>
      <c r="M157" s="1">
        <f t="shared" si="10"/>
        <v>1</v>
      </c>
      <c r="N157" s="1" t="str">
        <f t="shared" si="11"/>
        <v/>
      </c>
      <c r="O157" s="10">
        <f t="shared" si="14"/>
        <v>107.4291666666395</v>
      </c>
    </row>
    <row r="158" spans="1:15">
      <c r="A158" s="1" t="s">
        <v>250</v>
      </c>
      <c r="B158" s="23">
        <v>44940.921527777777</v>
      </c>
      <c r="C158" s="1" t="s">
        <v>25</v>
      </c>
      <c r="D158" s="1" t="s">
        <v>59</v>
      </c>
      <c r="E158" s="1" t="s">
        <v>18</v>
      </c>
      <c r="F158" s="1" t="s">
        <v>186</v>
      </c>
      <c r="G158" s="1">
        <v>59</v>
      </c>
      <c r="H158" s="23">
        <v>44942.363680555558</v>
      </c>
      <c r="I158" s="1" t="b">
        <v>0</v>
      </c>
      <c r="K158" s="10">
        <f t="shared" si="12"/>
        <v>34.611666666751262</v>
      </c>
      <c r="L158" s="1" t="str">
        <f t="shared" si="13"/>
        <v>OK</v>
      </c>
      <c r="M158" s="1">
        <f t="shared" si="10"/>
        <v>1</v>
      </c>
      <c r="N158" s="1">
        <f t="shared" si="11"/>
        <v>59</v>
      </c>
      <c r="O158" s="10">
        <f t="shared" si="14"/>
        <v>34.611666666751262</v>
      </c>
    </row>
    <row r="159" spans="1:15">
      <c r="A159" s="1" t="s">
        <v>251</v>
      </c>
      <c r="B159" s="23">
        <v>44940.943055555559</v>
      </c>
      <c r="C159" s="1" t="s">
        <v>16</v>
      </c>
      <c r="D159" s="1" t="s">
        <v>17</v>
      </c>
      <c r="E159" s="1" t="s">
        <v>33</v>
      </c>
      <c r="F159" s="1" t="s">
        <v>19</v>
      </c>
      <c r="G159" s="1">
        <v>261</v>
      </c>
      <c r="H159" s="23">
        <v>44943.821770833332</v>
      </c>
      <c r="I159" s="1" t="b">
        <v>1</v>
      </c>
      <c r="J159" s="1">
        <v>4</v>
      </c>
      <c r="K159" s="10">
        <f t="shared" si="12"/>
        <v>69.089166666555684</v>
      </c>
      <c r="L159" s="1" t="str">
        <f t="shared" si="13"/>
        <v>OK</v>
      </c>
      <c r="M159" s="1">
        <f t="shared" si="10"/>
        <v>1</v>
      </c>
      <c r="N159" s="1">
        <f t="shared" si="11"/>
        <v>261</v>
      </c>
      <c r="O159" s="10">
        <f t="shared" si="14"/>
        <v>69.089166666555684</v>
      </c>
    </row>
    <row r="160" spans="1:15">
      <c r="A160" s="1" t="s">
        <v>252</v>
      </c>
      <c r="B160" s="23">
        <v>44941.005555555559</v>
      </c>
      <c r="C160" s="1" t="s">
        <v>16</v>
      </c>
      <c r="D160" s="1" t="s">
        <v>21</v>
      </c>
      <c r="E160" s="1" t="s">
        <v>33</v>
      </c>
      <c r="F160" s="1" t="s">
        <v>116</v>
      </c>
      <c r="G160" s="1">
        <v>268</v>
      </c>
      <c r="H160" s="23">
        <v>44947.499131944445</v>
      </c>
      <c r="I160" s="1" t="b">
        <v>0</v>
      </c>
      <c r="K160" s="10">
        <f t="shared" si="12"/>
        <v>155.84583333326736</v>
      </c>
      <c r="L160" s="1" t="str">
        <f t="shared" si="13"/>
        <v>OK</v>
      </c>
      <c r="M160" s="1">
        <f t="shared" si="10"/>
        <v>1</v>
      </c>
      <c r="N160" s="1">
        <f t="shared" si="11"/>
        <v>268</v>
      </c>
      <c r="O160" s="10">
        <f t="shared" si="14"/>
        <v>155.84583333326736</v>
      </c>
    </row>
    <row r="161" spans="1:15">
      <c r="A161" s="1" t="s">
        <v>253</v>
      </c>
      <c r="B161" s="23">
        <v>44941.154861111114</v>
      </c>
      <c r="C161" s="1" t="s">
        <v>25</v>
      </c>
      <c r="D161" s="1" t="s">
        <v>21</v>
      </c>
      <c r="E161" s="1" t="s">
        <v>33</v>
      </c>
      <c r="F161" s="1" t="s">
        <v>254</v>
      </c>
      <c r="G161" s="1">
        <v>104</v>
      </c>
      <c r="H161" s="23">
        <v>44941.316817129627</v>
      </c>
      <c r="I161" s="1" t="b">
        <v>0</v>
      </c>
      <c r="K161" s="10">
        <f t="shared" si="12"/>
        <v>3.8869444443262182</v>
      </c>
      <c r="L161" s="1" t="str">
        <f t="shared" si="13"/>
        <v>OK</v>
      </c>
      <c r="M161" s="1">
        <f t="shared" si="10"/>
        <v>1</v>
      </c>
      <c r="N161" s="1">
        <f t="shared" si="11"/>
        <v>104</v>
      </c>
      <c r="O161" s="10">
        <f t="shared" si="14"/>
        <v>3.8869444443262182</v>
      </c>
    </row>
    <row r="162" spans="1:15">
      <c r="A162" s="1" t="s">
        <v>255</v>
      </c>
      <c r="B162" s="23">
        <v>44941.426388888889</v>
      </c>
      <c r="C162" s="1" t="s">
        <v>25</v>
      </c>
      <c r="D162" s="1" t="s">
        <v>17</v>
      </c>
      <c r="E162" s="1" t="s">
        <v>18</v>
      </c>
      <c r="F162" s="1" t="s">
        <v>256</v>
      </c>
      <c r="G162" s="1">
        <v>25</v>
      </c>
      <c r="H162" s="23">
        <v>44945.784386574072</v>
      </c>
      <c r="I162" s="1" t="b">
        <v>0</v>
      </c>
      <c r="K162" s="10">
        <f t="shared" si="12"/>
        <v>104.59194444440072</v>
      </c>
      <c r="L162" s="1" t="str">
        <f t="shared" si="13"/>
        <v>OK</v>
      </c>
      <c r="M162" s="1">
        <f t="shared" si="10"/>
        <v>1</v>
      </c>
      <c r="N162" s="1">
        <f t="shared" si="11"/>
        <v>25</v>
      </c>
      <c r="O162" s="10">
        <f t="shared" si="14"/>
        <v>104.59194444440072</v>
      </c>
    </row>
    <row r="163" spans="1:15">
      <c r="A163" s="1" t="s">
        <v>257</v>
      </c>
      <c r="B163" s="23">
        <v>44941.431944444441</v>
      </c>
      <c r="C163" s="1" t="s">
        <v>25</v>
      </c>
      <c r="D163" s="1" t="s">
        <v>17</v>
      </c>
      <c r="E163" s="1" t="s">
        <v>18</v>
      </c>
      <c r="F163" s="1" t="s">
        <v>52</v>
      </c>
      <c r="G163" s="1">
        <v>7</v>
      </c>
      <c r="H163" s="23">
        <v>44942.569641203707</v>
      </c>
      <c r="I163" s="1" t="b">
        <v>0</v>
      </c>
      <c r="K163" s="10">
        <f t="shared" si="12"/>
        <v>27.304722222383134</v>
      </c>
      <c r="L163" s="1" t="str">
        <f t="shared" si="13"/>
        <v>OK</v>
      </c>
      <c r="M163" s="1">
        <f t="shared" si="10"/>
        <v>1</v>
      </c>
      <c r="N163" s="1">
        <f t="shared" si="11"/>
        <v>7</v>
      </c>
      <c r="O163" s="10">
        <f t="shared" si="14"/>
        <v>27.304722222383134</v>
      </c>
    </row>
    <row r="164" spans="1:15">
      <c r="A164" s="1" t="s">
        <v>258</v>
      </c>
      <c r="B164" s="23">
        <v>44941.466666666667</v>
      </c>
      <c r="C164" s="1" t="s">
        <v>11</v>
      </c>
      <c r="D164" s="1" t="s">
        <v>17</v>
      </c>
      <c r="E164" s="1" t="s">
        <v>33</v>
      </c>
      <c r="F164" s="1" t="s">
        <v>259</v>
      </c>
      <c r="G164" s="1">
        <v>146</v>
      </c>
      <c r="H164" s="23">
        <v>44965.010370370372</v>
      </c>
      <c r="I164" s="1" t="b">
        <v>0</v>
      </c>
      <c r="K164" s="10">
        <f t="shared" si="12"/>
        <v>565.04888888890855</v>
      </c>
      <c r="L164" s="1" t="str">
        <f t="shared" si="13"/>
        <v>OK</v>
      </c>
      <c r="M164" s="1">
        <f t="shared" si="10"/>
        <v>1</v>
      </c>
      <c r="N164" s="1">
        <f t="shared" si="11"/>
        <v>146</v>
      </c>
      <c r="O164" s="10">
        <f t="shared" si="14"/>
        <v>565.04888888890855</v>
      </c>
    </row>
    <row r="165" spans="1:15">
      <c r="A165" s="1" t="s">
        <v>260</v>
      </c>
      <c r="B165" s="23">
        <v>44941.481249999997</v>
      </c>
      <c r="C165" s="1" t="s">
        <v>16</v>
      </c>
      <c r="D165" s="1" t="s">
        <v>21</v>
      </c>
      <c r="E165" s="1" t="s">
        <v>22</v>
      </c>
      <c r="F165" s="1" t="s">
        <v>80</v>
      </c>
      <c r="G165" s="1">
        <v>32</v>
      </c>
      <c r="H165" s="23">
        <v>44941.487881944442</v>
      </c>
      <c r="I165" s="1" t="b">
        <v>0</v>
      </c>
      <c r="J165" s="1">
        <v>4</v>
      </c>
      <c r="K165" s="10">
        <f t="shared" si="12"/>
        <v>0.1591666666790843</v>
      </c>
      <c r="L165" s="1" t="str">
        <f t="shared" si="13"/>
        <v>Review</v>
      </c>
      <c r="M165" s="1">
        <f t="shared" si="10"/>
        <v>1</v>
      </c>
      <c r="N165" s="1" t="str">
        <f t="shared" si="11"/>
        <v/>
      </c>
      <c r="O165" s="10" t="str">
        <f t="shared" si="14"/>
        <v/>
      </c>
    </row>
    <row r="166" spans="1:15">
      <c r="A166" s="1" t="s">
        <v>261</v>
      </c>
      <c r="B166" s="23">
        <v>44941.491666666669</v>
      </c>
      <c r="C166" s="1" t="s">
        <v>25</v>
      </c>
      <c r="D166" s="1" t="s">
        <v>26</v>
      </c>
      <c r="E166" s="1" t="s">
        <v>13</v>
      </c>
      <c r="F166" s="1" t="s">
        <v>66</v>
      </c>
      <c r="G166" s="1">
        <v>12</v>
      </c>
      <c r="H166" s="23">
        <v>44942.321817129632</v>
      </c>
      <c r="I166" s="1" t="b">
        <v>0</v>
      </c>
      <c r="K166" s="10">
        <f t="shared" si="12"/>
        <v>19.923611111124046</v>
      </c>
      <c r="L166" s="1" t="str">
        <f t="shared" si="13"/>
        <v>OK</v>
      </c>
      <c r="M166" s="1">
        <f t="shared" si="10"/>
        <v>1</v>
      </c>
      <c r="N166" s="1">
        <f t="shared" si="11"/>
        <v>12</v>
      </c>
      <c r="O166" s="10">
        <f t="shared" si="14"/>
        <v>19.923611111124046</v>
      </c>
    </row>
    <row r="167" spans="1:15">
      <c r="A167" s="1" t="s">
        <v>262</v>
      </c>
      <c r="B167" s="23">
        <v>44941.496527777781</v>
      </c>
      <c r="C167" s="1" t="s">
        <v>11</v>
      </c>
      <c r="D167" s="1" t="s">
        <v>17</v>
      </c>
      <c r="E167" s="1" t="s">
        <v>33</v>
      </c>
      <c r="F167" s="1" t="s">
        <v>102</v>
      </c>
      <c r="G167" s="1">
        <v>510</v>
      </c>
      <c r="H167" s="23">
        <v>44942.872604166667</v>
      </c>
      <c r="I167" s="1" t="b">
        <v>0</v>
      </c>
      <c r="J167" s="1">
        <v>3</v>
      </c>
      <c r="K167" s="10">
        <f t="shared" si="12"/>
        <v>33.02583333326038</v>
      </c>
      <c r="L167" s="1" t="str">
        <f t="shared" si="13"/>
        <v>OK</v>
      </c>
      <c r="M167" s="1">
        <f t="shared" si="10"/>
        <v>1</v>
      </c>
      <c r="N167" s="1">
        <f t="shared" si="11"/>
        <v>510</v>
      </c>
      <c r="O167" s="10">
        <f t="shared" si="14"/>
        <v>33.02583333326038</v>
      </c>
    </row>
    <row r="168" spans="1:15">
      <c r="A168" s="1" t="s">
        <v>263</v>
      </c>
      <c r="B168" s="23">
        <v>44941.59375</v>
      </c>
      <c r="C168" s="1" t="s">
        <v>11</v>
      </c>
      <c r="D168" s="1" t="s">
        <v>21</v>
      </c>
      <c r="E168" s="1" t="s">
        <v>13</v>
      </c>
      <c r="F168" s="1" t="s">
        <v>128</v>
      </c>
      <c r="G168" s="1">
        <v>18</v>
      </c>
      <c r="H168" s="23">
        <v>44941.740763888891</v>
      </c>
      <c r="I168" s="1" t="b">
        <v>0</v>
      </c>
      <c r="J168" s="1">
        <v>4</v>
      </c>
      <c r="K168" s="10">
        <f t="shared" si="12"/>
        <v>3.5283333333791234</v>
      </c>
      <c r="L168" s="1" t="str">
        <f t="shared" si="13"/>
        <v>OK</v>
      </c>
      <c r="M168" s="1">
        <f t="shared" si="10"/>
        <v>1</v>
      </c>
      <c r="N168" s="1">
        <f t="shared" si="11"/>
        <v>18</v>
      </c>
      <c r="O168" s="10">
        <f t="shared" si="14"/>
        <v>3.5283333333791234</v>
      </c>
    </row>
    <row r="169" spans="1:15">
      <c r="A169" s="1" t="s">
        <v>264</v>
      </c>
      <c r="B169" s="23">
        <v>44941.79583333333</v>
      </c>
      <c r="C169" s="1" t="s">
        <v>25</v>
      </c>
      <c r="D169" s="1" t="s">
        <v>26</v>
      </c>
      <c r="E169" s="1" t="s">
        <v>18</v>
      </c>
      <c r="F169" s="1" t="s">
        <v>35</v>
      </c>
      <c r="G169" s="1">
        <v>18</v>
      </c>
      <c r="H169" s="23">
        <v>44942.441458333335</v>
      </c>
      <c r="I169" s="1" t="b">
        <v>0</v>
      </c>
      <c r="K169" s="10">
        <f t="shared" si="12"/>
        <v>15.495000000111759</v>
      </c>
      <c r="L169" s="1" t="str">
        <f t="shared" si="13"/>
        <v>OK</v>
      </c>
      <c r="M169" s="1">
        <f t="shared" si="10"/>
        <v>1</v>
      </c>
      <c r="N169" s="1">
        <f t="shared" si="11"/>
        <v>18</v>
      </c>
      <c r="O169" s="10">
        <f t="shared" si="14"/>
        <v>15.495000000111759</v>
      </c>
    </row>
    <row r="170" spans="1:15">
      <c r="A170" s="1" t="s">
        <v>265</v>
      </c>
      <c r="B170" s="23">
        <v>44941.811805555553</v>
      </c>
      <c r="C170" s="1" t="s">
        <v>25</v>
      </c>
      <c r="D170" s="1" t="s">
        <v>26</v>
      </c>
      <c r="E170" s="1" t="s">
        <v>18</v>
      </c>
      <c r="F170" s="1" t="s">
        <v>46</v>
      </c>
      <c r="G170" s="1">
        <v>86</v>
      </c>
      <c r="H170" s="23">
        <v>44941.99722222222</v>
      </c>
      <c r="I170" s="1" t="b">
        <v>0</v>
      </c>
      <c r="K170" s="10">
        <f t="shared" si="12"/>
        <v>4.4500000000116415</v>
      </c>
      <c r="L170" s="1" t="str">
        <f t="shared" si="13"/>
        <v>OK</v>
      </c>
      <c r="M170" s="1">
        <f t="shared" si="10"/>
        <v>1</v>
      </c>
      <c r="N170" s="1">
        <f t="shared" si="11"/>
        <v>86</v>
      </c>
      <c r="O170" s="10">
        <f t="shared" si="14"/>
        <v>4.4500000000116415</v>
      </c>
    </row>
    <row r="171" spans="1:15">
      <c r="A171" s="1" t="s">
        <v>266</v>
      </c>
      <c r="B171" s="23">
        <v>44941.822916666664</v>
      </c>
      <c r="C171" s="1" t="s">
        <v>11</v>
      </c>
      <c r="D171" s="1" t="s">
        <v>12</v>
      </c>
      <c r="E171" s="1" t="s">
        <v>18</v>
      </c>
      <c r="F171" s="1" t="s">
        <v>245</v>
      </c>
      <c r="G171" s="1">
        <v>247</v>
      </c>
      <c r="H171" s="23">
        <v>44943.204282407409</v>
      </c>
      <c r="I171" s="1" t="b">
        <v>0</v>
      </c>
      <c r="J171" s="1">
        <v>4</v>
      </c>
      <c r="K171" s="10">
        <f t="shared" si="12"/>
        <v>33.152777777868323</v>
      </c>
      <c r="L171" s="1" t="str">
        <f t="shared" si="13"/>
        <v>OK</v>
      </c>
      <c r="M171" s="1">
        <f t="shared" si="10"/>
        <v>1</v>
      </c>
      <c r="N171" s="1">
        <f t="shared" si="11"/>
        <v>247</v>
      </c>
      <c r="O171" s="10">
        <f t="shared" si="14"/>
        <v>33.152777777868323</v>
      </c>
    </row>
    <row r="172" spans="1:15">
      <c r="A172" s="1" t="s">
        <v>267</v>
      </c>
      <c r="B172" s="23">
        <v>44941.85833333333</v>
      </c>
      <c r="C172" s="1" t="s">
        <v>16</v>
      </c>
      <c r="D172" s="1" t="s">
        <v>59</v>
      </c>
      <c r="E172" s="1" t="s">
        <v>18</v>
      </c>
      <c r="F172" s="1" t="s">
        <v>52</v>
      </c>
      <c r="G172" s="1">
        <v>115</v>
      </c>
      <c r="H172" s="23">
        <v>44946.729942129627</v>
      </c>
      <c r="I172" s="1" t="b">
        <v>1</v>
      </c>
      <c r="J172" s="1">
        <v>4</v>
      </c>
      <c r="K172" s="10">
        <f t="shared" si="12"/>
        <v>116.91861111111939</v>
      </c>
      <c r="L172" s="1" t="str">
        <f t="shared" si="13"/>
        <v>OK</v>
      </c>
      <c r="M172" s="1">
        <f t="shared" si="10"/>
        <v>1</v>
      </c>
      <c r="N172" s="1">
        <f t="shared" si="11"/>
        <v>115</v>
      </c>
      <c r="O172" s="10">
        <f t="shared" si="14"/>
        <v>116.91861111111939</v>
      </c>
    </row>
    <row r="173" spans="1:15">
      <c r="A173" s="1" t="s">
        <v>268</v>
      </c>
      <c r="B173" s="23">
        <v>44941.918055555558</v>
      </c>
      <c r="C173" s="1" t="s">
        <v>16</v>
      </c>
      <c r="D173" s="1" t="s">
        <v>17</v>
      </c>
      <c r="E173" s="1" t="s">
        <v>33</v>
      </c>
      <c r="F173" s="1" t="s">
        <v>245</v>
      </c>
      <c r="G173" s="1">
        <v>259</v>
      </c>
      <c r="H173" s="23">
        <v>44950.53019675926</v>
      </c>
      <c r="I173" s="1" t="b">
        <v>0</v>
      </c>
      <c r="K173" s="10">
        <f t="shared" si="12"/>
        <v>206.69138888886664</v>
      </c>
      <c r="L173" s="1" t="str">
        <f t="shared" si="13"/>
        <v>OK</v>
      </c>
      <c r="M173" s="1">
        <f t="shared" si="10"/>
        <v>1</v>
      </c>
      <c r="N173" s="1">
        <f t="shared" si="11"/>
        <v>259</v>
      </c>
      <c r="O173" s="10">
        <f t="shared" si="14"/>
        <v>206.69138888886664</v>
      </c>
    </row>
    <row r="174" spans="1:15">
      <c r="A174" s="1" t="s">
        <v>269</v>
      </c>
      <c r="B174" s="23">
        <v>44942.055555555555</v>
      </c>
      <c r="C174" s="1" t="s">
        <v>43</v>
      </c>
      <c r="D174" s="1" t="s">
        <v>21</v>
      </c>
      <c r="E174" s="1" t="s">
        <v>13</v>
      </c>
      <c r="F174" s="1" t="s">
        <v>159</v>
      </c>
      <c r="G174" s="1">
        <v>60</v>
      </c>
      <c r="H174" s="23">
        <v>44942.164594907408</v>
      </c>
      <c r="I174" s="1" t="b">
        <v>0</v>
      </c>
      <c r="K174" s="10">
        <f t="shared" si="12"/>
        <v>2.6169444444822147</v>
      </c>
      <c r="L174" s="1" t="str">
        <f t="shared" si="13"/>
        <v>OK</v>
      </c>
      <c r="M174" s="1">
        <f t="shared" si="10"/>
        <v>1</v>
      </c>
      <c r="N174" s="1">
        <f t="shared" si="11"/>
        <v>60</v>
      </c>
      <c r="O174" s="10">
        <f t="shared" si="14"/>
        <v>2.6169444444822147</v>
      </c>
    </row>
    <row r="175" spans="1:15">
      <c r="A175" s="1" t="s">
        <v>270</v>
      </c>
      <c r="B175" s="23">
        <v>44942.23333333333</v>
      </c>
      <c r="C175" s="1" t="s">
        <v>25</v>
      </c>
      <c r="D175" s="1" t="s">
        <v>17</v>
      </c>
      <c r="E175" s="1" t="s">
        <v>33</v>
      </c>
      <c r="F175" s="1" t="s">
        <v>110</v>
      </c>
      <c r="G175" s="1">
        <v>99</v>
      </c>
      <c r="H175" s="23">
        <v>44947.625868055555</v>
      </c>
      <c r="I175" s="1" t="b">
        <v>0</v>
      </c>
      <c r="J175" s="1">
        <v>1</v>
      </c>
      <c r="K175" s="10">
        <f t="shared" si="12"/>
        <v>129.42083333339542</v>
      </c>
      <c r="L175" s="1" t="str">
        <f t="shared" si="13"/>
        <v>OK</v>
      </c>
      <c r="M175" s="1">
        <f t="shared" si="10"/>
        <v>1</v>
      </c>
      <c r="N175" s="1">
        <f t="shared" si="11"/>
        <v>99</v>
      </c>
      <c r="O175" s="10">
        <f t="shared" si="14"/>
        <v>129.42083333339542</v>
      </c>
    </row>
    <row r="176" spans="1:15">
      <c r="A176" s="1" t="s">
        <v>271</v>
      </c>
      <c r="B176" s="23">
        <v>44942.259027777778</v>
      </c>
      <c r="C176" s="1" t="s">
        <v>25</v>
      </c>
      <c r="D176" s="1" t="s">
        <v>17</v>
      </c>
      <c r="E176" s="1" t="s">
        <v>33</v>
      </c>
      <c r="F176" s="1" t="s">
        <v>96</v>
      </c>
      <c r="G176" s="1">
        <v>567</v>
      </c>
      <c r="H176" s="23">
        <v>44958.750289351854</v>
      </c>
      <c r="I176" s="1" t="b">
        <v>0</v>
      </c>
      <c r="J176" s="1">
        <v>5</v>
      </c>
      <c r="K176" s="10">
        <f t="shared" si="12"/>
        <v>395.79027777782176</v>
      </c>
      <c r="L176" s="1" t="str">
        <f t="shared" si="13"/>
        <v>OK</v>
      </c>
      <c r="M176" s="1">
        <f t="shared" si="10"/>
        <v>1</v>
      </c>
      <c r="N176" s="1">
        <f t="shared" si="11"/>
        <v>567</v>
      </c>
      <c r="O176" s="10">
        <f t="shared" si="14"/>
        <v>395.79027777782176</v>
      </c>
    </row>
    <row r="177" spans="1:15">
      <c r="A177" s="1" t="s">
        <v>272</v>
      </c>
      <c r="B177" s="23">
        <v>44942.320138888892</v>
      </c>
      <c r="C177" s="1" t="s">
        <v>25</v>
      </c>
      <c r="D177" s="1" t="s">
        <v>17</v>
      </c>
      <c r="E177" s="1" t="s">
        <v>18</v>
      </c>
      <c r="F177" s="1" t="s">
        <v>259</v>
      </c>
      <c r="G177" s="1">
        <v>107</v>
      </c>
      <c r="H177" s="23">
        <v>44943.887349537035</v>
      </c>
      <c r="I177" s="1" t="b">
        <v>0</v>
      </c>
      <c r="K177" s="10">
        <f t="shared" si="12"/>
        <v>37.613055555440951</v>
      </c>
      <c r="L177" s="1" t="str">
        <f t="shared" si="13"/>
        <v>OK</v>
      </c>
      <c r="M177" s="1">
        <f t="shared" si="10"/>
        <v>1</v>
      </c>
      <c r="N177" s="1">
        <f t="shared" si="11"/>
        <v>107</v>
      </c>
      <c r="O177" s="10">
        <f t="shared" si="14"/>
        <v>37.613055555440951</v>
      </c>
    </row>
    <row r="178" spans="1:15">
      <c r="A178" s="1" t="s">
        <v>273</v>
      </c>
      <c r="B178" s="23">
        <v>44942.327777777777</v>
      </c>
      <c r="C178" s="1" t="s">
        <v>25</v>
      </c>
      <c r="D178" s="1" t="s">
        <v>17</v>
      </c>
      <c r="E178" s="1" t="s">
        <v>13</v>
      </c>
      <c r="F178" s="1" t="s">
        <v>274</v>
      </c>
      <c r="G178" s="1">
        <v>154</v>
      </c>
      <c r="H178" s="23">
        <v>44942.605023148149</v>
      </c>
      <c r="I178" s="1" t="b">
        <v>0</v>
      </c>
      <c r="K178" s="10">
        <f t="shared" si="12"/>
        <v>6.6538888889481314</v>
      </c>
      <c r="L178" s="1" t="str">
        <f t="shared" si="13"/>
        <v>OK</v>
      </c>
      <c r="M178" s="1">
        <f t="shared" si="10"/>
        <v>1</v>
      </c>
      <c r="N178" s="1">
        <f t="shared" si="11"/>
        <v>154</v>
      </c>
      <c r="O178" s="10">
        <f t="shared" si="14"/>
        <v>6.6538888889481314</v>
      </c>
    </row>
    <row r="179" spans="1:15">
      <c r="A179" s="1" t="s">
        <v>275</v>
      </c>
      <c r="B179" s="23">
        <v>44942.486805555556</v>
      </c>
      <c r="C179" s="1" t="s">
        <v>16</v>
      </c>
      <c r="D179" s="1" t="s">
        <v>59</v>
      </c>
      <c r="E179" s="1" t="s">
        <v>33</v>
      </c>
      <c r="F179" s="1" t="s">
        <v>245</v>
      </c>
      <c r="G179" s="1">
        <v>208</v>
      </c>
      <c r="H179" s="23">
        <v>44944.402986111112</v>
      </c>
      <c r="I179" s="1" t="b">
        <v>0</v>
      </c>
      <c r="K179" s="10">
        <f t="shared" si="12"/>
        <v>45.98833333334187</v>
      </c>
      <c r="L179" s="1" t="str">
        <f t="shared" si="13"/>
        <v>OK</v>
      </c>
      <c r="M179" s="1">
        <f t="shared" si="10"/>
        <v>1</v>
      </c>
      <c r="N179" s="1">
        <f t="shared" si="11"/>
        <v>208</v>
      </c>
      <c r="O179" s="10">
        <f t="shared" si="14"/>
        <v>45.98833333334187</v>
      </c>
    </row>
    <row r="180" spans="1:15">
      <c r="A180" s="1" t="s">
        <v>276</v>
      </c>
      <c r="B180" s="23">
        <v>44942.532638888886</v>
      </c>
      <c r="C180" s="1" t="s">
        <v>16</v>
      </c>
      <c r="D180" s="1" t="s">
        <v>21</v>
      </c>
      <c r="E180" s="1" t="s">
        <v>33</v>
      </c>
      <c r="F180" s="1" t="s">
        <v>94</v>
      </c>
      <c r="G180" s="1">
        <v>3085</v>
      </c>
      <c r="H180" s="23">
        <v>44943.994606481479</v>
      </c>
      <c r="I180" s="1" t="b">
        <v>0</v>
      </c>
      <c r="K180" s="10">
        <f t="shared" si="12"/>
        <v>35.087222222238779</v>
      </c>
      <c r="L180" s="1" t="str">
        <f t="shared" si="13"/>
        <v>Review</v>
      </c>
      <c r="M180" s="1">
        <f t="shared" si="10"/>
        <v>1</v>
      </c>
      <c r="N180" s="1" t="str">
        <f t="shared" si="11"/>
        <v/>
      </c>
      <c r="O180" s="10" t="str">
        <f t="shared" si="14"/>
        <v/>
      </c>
    </row>
    <row r="181" spans="1:15">
      <c r="A181" s="1" t="s">
        <v>277</v>
      </c>
      <c r="B181" s="23">
        <v>44942.578472222223</v>
      </c>
      <c r="C181" s="1" t="s">
        <v>25</v>
      </c>
      <c r="D181" s="1" t="s">
        <v>26</v>
      </c>
      <c r="E181" s="1" t="s">
        <v>33</v>
      </c>
      <c r="F181" s="1" t="s">
        <v>72</v>
      </c>
      <c r="G181" s="1">
        <v>117</v>
      </c>
      <c r="H181" s="23">
        <v>44957.962453703702</v>
      </c>
      <c r="I181" s="1" t="b">
        <v>0</v>
      </c>
      <c r="J181" s="1">
        <v>5</v>
      </c>
      <c r="K181" s="10">
        <f t="shared" si="12"/>
        <v>369.2155555554782</v>
      </c>
      <c r="L181" s="1" t="str">
        <f t="shared" si="13"/>
        <v>OK</v>
      </c>
      <c r="M181" s="1">
        <f t="shared" si="10"/>
        <v>1</v>
      </c>
      <c r="N181" s="1">
        <f t="shared" si="11"/>
        <v>117</v>
      </c>
      <c r="O181" s="10">
        <f t="shared" si="14"/>
        <v>369.2155555554782</v>
      </c>
    </row>
    <row r="182" spans="1:15">
      <c r="A182" s="1" t="s">
        <v>278</v>
      </c>
      <c r="B182" s="23">
        <v>44942.586805555555</v>
      </c>
      <c r="C182" s="1" t="s">
        <v>25</v>
      </c>
      <c r="D182" s="1" t="s">
        <v>12</v>
      </c>
      <c r="E182" s="1" t="s">
        <v>22</v>
      </c>
      <c r="F182" s="1" t="s">
        <v>19</v>
      </c>
      <c r="G182" s="1">
        <v>53</v>
      </c>
      <c r="H182" s="23">
        <v>44942.851817129631</v>
      </c>
      <c r="I182" s="1" t="b">
        <v>0</v>
      </c>
      <c r="K182" s="10">
        <f t="shared" si="12"/>
        <v>6.3602777778287418</v>
      </c>
      <c r="L182" s="1" t="str">
        <f t="shared" si="13"/>
        <v>OK</v>
      </c>
      <c r="M182" s="1">
        <f t="shared" si="10"/>
        <v>1</v>
      </c>
      <c r="N182" s="1">
        <f t="shared" si="11"/>
        <v>53</v>
      </c>
      <c r="O182" s="10">
        <f t="shared" si="14"/>
        <v>6.3602777778287418</v>
      </c>
    </row>
    <row r="183" spans="1:15">
      <c r="A183" s="1" t="s">
        <v>279</v>
      </c>
      <c r="B183" s="23">
        <v>44942.672222222223</v>
      </c>
      <c r="C183" s="1" t="s">
        <v>43</v>
      </c>
      <c r="D183" s="1" t="s">
        <v>59</v>
      </c>
      <c r="E183" s="1" t="s">
        <v>13</v>
      </c>
      <c r="F183" s="1" t="s">
        <v>88</v>
      </c>
      <c r="G183" s="1">
        <v>37</v>
      </c>
      <c r="H183" s="23">
        <v>44943.640162037038</v>
      </c>
      <c r="I183" s="1" t="b">
        <v>0</v>
      </c>
      <c r="J183" s="1">
        <v>1</v>
      </c>
      <c r="K183" s="10">
        <f t="shared" si="12"/>
        <v>23.230555555550382</v>
      </c>
      <c r="L183" s="1" t="str">
        <f t="shared" si="13"/>
        <v>OK</v>
      </c>
      <c r="M183" s="1">
        <f t="shared" si="10"/>
        <v>1</v>
      </c>
      <c r="N183" s="1">
        <f t="shared" si="11"/>
        <v>37</v>
      </c>
      <c r="O183" s="10">
        <f t="shared" si="14"/>
        <v>23.230555555550382</v>
      </c>
    </row>
    <row r="184" spans="1:15">
      <c r="A184" s="1" t="s">
        <v>280</v>
      </c>
      <c r="B184" s="23">
        <v>44942.810416666667</v>
      </c>
      <c r="C184" s="1" t="s">
        <v>25</v>
      </c>
      <c r="D184" s="1" t="s">
        <v>17</v>
      </c>
      <c r="E184" s="1" t="s">
        <v>18</v>
      </c>
      <c r="F184" s="1" t="s">
        <v>41</v>
      </c>
      <c r="G184" s="1">
        <v>127</v>
      </c>
      <c r="H184" s="23">
        <v>44946.729027777779</v>
      </c>
      <c r="I184" s="1" t="b">
        <v>0</v>
      </c>
      <c r="J184" s="1">
        <v>4</v>
      </c>
      <c r="K184" s="10">
        <f t="shared" si="12"/>
        <v>94.046666666690726</v>
      </c>
      <c r="L184" s="1" t="str">
        <f t="shared" si="13"/>
        <v>OK</v>
      </c>
      <c r="M184" s="1">
        <f t="shared" si="10"/>
        <v>1</v>
      </c>
      <c r="N184" s="1">
        <f t="shared" si="11"/>
        <v>127</v>
      </c>
      <c r="O184" s="10">
        <f t="shared" si="14"/>
        <v>94.046666666690726</v>
      </c>
    </row>
    <row r="185" spans="1:15">
      <c r="A185" s="1" t="s">
        <v>281</v>
      </c>
      <c r="B185" s="23">
        <v>44942.818749999999</v>
      </c>
      <c r="C185" s="1" t="s">
        <v>43</v>
      </c>
      <c r="D185" s="1" t="s">
        <v>21</v>
      </c>
      <c r="E185" s="1" t="s">
        <v>18</v>
      </c>
      <c r="F185" s="1" t="s">
        <v>68</v>
      </c>
      <c r="G185" s="1">
        <v>32</v>
      </c>
      <c r="H185" s="23">
        <v>44943.399687500001</v>
      </c>
      <c r="I185" s="1" t="b">
        <v>0</v>
      </c>
      <c r="K185" s="10">
        <f t="shared" si="12"/>
        <v>13.942500000062864</v>
      </c>
      <c r="L185" s="1" t="str">
        <f t="shared" si="13"/>
        <v>OK</v>
      </c>
      <c r="M185" s="1">
        <f t="shared" si="10"/>
        <v>1</v>
      </c>
      <c r="N185" s="1">
        <f t="shared" si="11"/>
        <v>32</v>
      </c>
      <c r="O185" s="10">
        <f t="shared" si="14"/>
        <v>13.942500000062864</v>
      </c>
    </row>
    <row r="186" spans="1:15">
      <c r="A186" s="1" t="s">
        <v>282</v>
      </c>
      <c r="B186" s="23">
        <v>44942.998611111114</v>
      </c>
      <c r="C186" s="1" t="s">
        <v>16</v>
      </c>
      <c r="D186" s="1" t="s">
        <v>12</v>
      </c>
      <c r="E186" s="1" t="s">
        <v>13</v>
      </c>
      <c r="F186" s="1" t="s">
        <v>98</v>
      </c>
      <c r="G186" s="1">
        <v>53</v>
      </c>
      <c r="H186" s="23">
        <v>44946.162118055552</v>
      </c>
      <c r="I186" s="1" t="b">
        <v>0</v>
      </c>
      <c r="K186" s="10">
        <f t="shared" si="12"/>
        <v>75.924166666518431</v>
      </c>
      <c r="L186" s="1" t="str">
        <f t="shared" si="13"/>
        <v>OK</v>
      </c>
      <c r="M186" s="1">
        <f t="shared" si="10"/>
        <v>1</v>
      </c>
      <c r="N186" s="1">
        <f t="shared" si="11"/>
        <v>53</v>
      </c>
      <c r="O186" s="10">
        <f t="shared" si="14"/>
        <v>75.924166666518431</v>
      </c>
    </row>
    <row r="187" spans="1:15">
      <c r="A187" s="1" t="s">
        <v>283</v>
      </c>
      <c r="B187" s="23">
        <v>44943.263888888891</v>
      </c>
      <c r="C187" s="1" t="s">
        <v>16</v>
      </c>
      <c r="D187" s="1" t="s">
        <v>17</v>
      </c>
      <c r="E187" s="1" t="s">
        <v>13</v>
      </c>
      <c r="F187" s="1" t="s">
        <v>76</v>
      </c>
      <c r="G187" s="1">
        <v>9</v>
      </c>
      <c r="H187" s="23">
        <v>44944.017592592594</v>
      </c>
      <c r="I187" s="1" t="b">
        <v>0</v>
      </c>
      <c r="K187" s="10">
        <f t="shared" si="12"/>
        <v>18.088888888887595</v>
      </c>
      <c r="L187" s="1" t="str">
        <f t="shared" si="13"/>
        <v>OK</v>
      </c>
      <c r="M187" s="1">
        <f t="shared" si="10"/>
        <v>1</v>
      </c>
      <c r="N187" s="1">
        <f t="shared" si="11"/>
        <v>9</v>
      </c>
      <c r="O187" s="10">
        <f t="shared" si="14"/>
        <v>18.088888888887595</v>
      </c>
    </row>
    <row r="188" spans="1:15">
      <c r="A188" s="1" t="s">
        <v>284</v>
      </c>
      <c r="B188" s="23">
        <v>44943.356944444444</v>
      </c>
      <c r="C188" s="1" t="s">
        <v>25</v>
      </c>
      <c r="D188" s="1" t="s">
        <v>26</v>
      </c>
      <c r="E188" s="1" t="s">
        <v>18</v>
      </c>
      <c r="F188" s="1" t="s">
        <v>206</v>
      </c>
      <c r="G188" s="1">
        <v>174</v>
      </c>
      <c r="H188" s="23">
        <v>44943.902407407404</v>
      </c>
      <c r="I188" s="1" t="b">
        <v>0</v>
      </c>
      <c r="J188" s="1">
        <v>5</v>
      </c>
      <c r="K188" s="10">
        <f t="shared" si="12"/>
        <v>13.091111111047212</v>
      </c>
      <c r="L188" s="1" t="str">
        <f t="shared" si="13"/>
        <v>OK</v>
      </c>
      <c r="M188" s="1">
        <f t="shared" si="10"/>
        <v>1</v>
      </c>
      <c r="N188" s="1">
        <f t="shared" si="11"/>
        <v>174</v>
      </c>
      <c r="O188" s="10">
        <f t="shared" si="14"/>
        <v>13.091111111047212</v>
      </c>
    </row>
    <row r="189" spans="1:15">
      <c r="A189" s="1" t="s">
        <v>285</v>
      </c>
      <c r="B189" s="23">
        <v>44943.556944444441</v>
      </c>
      <c r="C189" s="1" t="s">
        <v>11</v>
      </c>
      <c r="D189" s="1" t="s">
        <v>17</v>
      </c>
      <c r="E189" s="1" t="s">
        <v>18</v>
      </c>
      <c r="F189" s="1" t="s">
        <v>145</v>
      </c>
      <c r="G189" s="1">
        <v>70</v>
      </c>
      <c r="H189" s="23">
        <v>44944.49318287037</v>
      </c>
      <c r="I189" s="1" t="b">
        <v>0</v>
      </c>
      <c r="K189" s="10">
        <f t="shared" si="12"/>
        <v>22.469722222303972</v>
      </c>
      <c r="L189" s="1" t="str">
        <f t="shared" si="13"/>
        <v>OK</v>
      </c>
      <c r="M189" s="1">
        <f t="shared" si="10"/>
        <v>1</v>
      </c>
      <c r="N189" s="1">
        <f t="shared" si="11"/>
        <v>70</v>
      </c>
      <c r="O189" s="10">
        <f t="shared" si="14"/>
        <v>22.469722222303972</v>
      </c>
    </row>
    <row r="190" spans="1:15">
      <c r="A190" s="1" t="s">
        <v>286</v>
      </c>
      <c r="B190" s="23">
        <v>44943.598611111112</v>
      </c>
      <c r="C190" s="1" t="s">
        <v>43</v>
      </c>
      <c r="D190" s="1" t="s">
        <v>12</v>
      </c>
      <c r="E190" s="1" t="s">
        <v>13</v>
      </c>
      <c r="F190" s="1" t="s">
        <v>224</v>
      </c>
      <c r="G190" s="1">
        <v>3</v>
      </c>
      <c r="H190" s="23">
        <v>44943.714305555557</v>
      </c>
      <c r="I190" s="1" t="b">
        <v>0</v>
      </c>
      <c r="K190" s="10">
        <f t="shared" si="12"/>
        <v>2.7766666666720994</v>
      </c>
      <c r="L190" s="1" t="str">
        <f t="shared" si="13"/>
        <v>OK</v>
      </c>
      <c r="M190" s="1">
        <f t="shared" si="10"/>
        <v>1</v>
      </c>
      <c r="N190" s="1">
        <f t="shared" si="11"/>
        <v>3</v>
      </c>
      <c r="O190" s="10">
        <f t="shared" si="14"/>
        <v>2.7766666666720994</v>
      </c>
    </row>
    <row r="191" spans="1:15">
      <c r="A191" s="1" t="s">
        <v>287</v>
      </c>
      <c r="B191" s="23">
        <v>44943.788888888892</v>
      </c>
      <c r="C191" s="1" t="s">
        <v>25</v>
      </c>
      <c r="D191" s="1" t="s">
        <v>12</v>
      </c>
      <c r="E191" s="1" t="s">
        <v>18</v>
      </c>
      <c r="F191" s="1" t="s">
        <v>100</v>
      </c>
      <c r="H191" s="23">
        <v>44948.053703703707</v>
      </c>
      <c r="I191" s="1" t="b">
        <v>0</v>
      </c>
      <c r="K191" s="10">
        <f t="shared" si="12"/>
        <v>102.35555555555038</v>
      </c>
      <c r="L191" s="1" t="str">
        <f t="shared" si="13"/>
        <v>Cannot check</v>
      </c>
      <c r="M191" s="1">
        <f t="shared" si="10"/>
        <v>1</v>
      </c>
      <c r="N191" s="1" t="str">
        <f t="shared" si="11"/>
        <v/>
      </c>
      <c r="O191" s="10">
        <f t="shared" si="14"/>
        <v>102.35555555555038</v>
      </c>
    </row>
    <row r="192" spans="1:15">
      <c r="A192" s="1" t="s">
        <v>288</v>
      </c>
      <c r="B192" s="23">
        <v>44943.895138888889</v>
      </c>
      <c r="C192" s="1" t="s">
        <v>11</v>
      </c>
      <c r="D192" s="1" t="s">
        <v>26</v>
      </c>
      <c r="E192" s="1" t="s">
        <v>18</v>
      </c>
      <c r="F192" s="1" t="s">
        <v>50</v>
      </c>
      <c r="G192" s="1">
        <v>373</v>
      </c>
      <c r="H192" s="23">
        <v>44945.016539351855</v>
      </c>
      <c r="I192" s="1" t="b">
        <v>0</v>
      </c>
      <c r="J192" s="1">
        <v>5</v>
      </c>
      <c r="K192" s="10">
        <f t="shared" si="12"/>
        <v>26.913611111172941</v>
      </c>
      <c r="L192" s="1" t="str">
        <f t="shared" si="13"/>
        <v>OK</v>
      </c>
      <c r="M192" s="1">
        <f t="shared" si="10"/>
        <v>1</v>
      </c>
      <c r="N192" s="1">
        <f t="shared" si="11"/>
        <v>373</v>
      </c>
      <c r="O192" s="10">
        <f t="shared" si="14"/>
        <v>26.913611111172941</v>
      </c>
    </row>
    <row r="193" spans="1:15">
      <c r="A193" s="1" t="s">
        <v>289</v>
      </c>
      <c r="B193" s="23">
        <v>44944.174305555556</v>
      </c>
      <c r="C193" s="1" t="s">
        <v>16</v>
      </c>
      <c r="D193" s="1" t="s">
        <v>59</v>
      </c>
      <c r="E193" s="1" t="s">
        <v>18</v>
      </c>
      <c r="F193" s="1" t="s">
        <v>72</v>
      </c>
      <c r="G193" s="1">
        <v>47</v>
      </c>
      <c r="H193" s="23">
        <v>44944.661446759259</v>
      </c>
      <c r="I193" s="1" t="b">
        <v>0</v>
      </c>
      <c r="K193" s="10">
        <f t="shared" si="12"/>
        <v>11.691388888866641</v>
      </c>
      <c r="L193" s="1" t="str">
        <f t="shared" si="13"/>
        <v>OK</v>
      </c>
      <c r="M193" s="1">
        <f t="shared" si="10"/>
        <v>1</v>
      </c>
      <c r="N193" s="1">
        <f t="shared" si="11"/>
        <v>47</v>
      </c>
      <c r="O193" s="10">
        <f t="shared" si="14"/>
        <v>11.691388888866641</v>
      </c>
    </row>
    <row r="194" spans="1:15">
      <c r="A194" s="1" t="s">
        <v>290</v>
      </c>
      <c r="B194" s="23">
        <v>44944.188194444447</v>
      </c>
      <c r="C194" s="1" t="s">
        <v>11</v>
      </c>
      <c r="D194" s="1" t="s">
        <v>21</v>
      </c>
      <c r="E194" s="1" t="s">
        <v>18</v>
      </c>
      <c r="F194" s="1" t="s">
        <v>23</v>
      </c>
      <c r="G194" s="1">
        <v>51</v>
      </c>
      <c r="H194" s="23">
        <v>44944.620972222219</v>
      </c>
      <c r="I194" s="1" t="b">
        <v>0</v>
      </c>
      <c r="J194" s="1">
        <v>3</v>
      </c>
      <c r="K194" s="10">
        <f t="shared" si="12"/>
        <v>10.386666666541714</v>
      </c>
      <c r="L194" s="1" t="str">
        <f t="shared" si="13"/>
        <v>OK</v>
      </c>
      <c r="M194" s="1">
        <f t="shared" ref="M194:M257" si="15">COUNTIF($A$2:$A$4001,A194)</f>
        <v>1</v>
      </c>
      <c r="N194" s="1">
        <f t="shared" ref="N194:N257" si="16">IF(OR(L194="Review",G194=""),"",G194)</f>
        <v>51</v>
      </c>
      <c r="O194" s="10">
        <f t="shared" si="14"/>
        <v>10.386666666541714</v>
      </c>
    </row>
    <row r="195" spans="1:15">
      <c r="A195" s="1" t="s">
        <v>291</v>
      </c>
      <c r="B195" s="23">
        <v>44944.290277777778</v>
      </c>
      <c r="C195" s="1" t="s">
        <v>25</v>
      </c>
      <c r="D195" s="1" t="s">
        <v>59</v>
      </c>
      <c r="E195" s="1" t="s">
        <v>22</v>
      </c>
      <c r="F195" s="1" t="s">
        <v>66</v>
      </c>
      <c r="G195" s="1">
        <v>5</v>
      </c>
      <c r="H195" s="23">
        <v>44944.353009259263</v>
      </c>
      <c r="I195" s="1" t="b">
        <v>0</v>
      </c>
      <c r="K195" s="10">
        <f t="shared" ref="K195:K258" si="17">IF(H195="","",(H195-B195)*24)</f>
        <v>1.5055555556318723</v>
      </c>
      <c r="L195" s="1" t="str">
        <f t="shared" ref="L195:L258" si="18">IF(OR(G195="",K195=""),"Cannot check",IF(G195&gt;K195*60,"Review","OK"))</f>
        <v>OK</v>
      </c>
      <c r="M195" s="1">
        <f t="shared" si="15"/>
        <v>1</v>
      </c>
      <c r="N195" s="1">
        <f t="shared" si="16"/>
        <v>5</v>
      </c>
      <c r="O195" s="10">
        <f t="shared" ref="O195:O258" si="19">IF(OR(L195="Review",K195=""),"",K195)</f>
        <v>1.5055555556318723</v>
      </c>
    </row>
    <row r="196" spans="1:15">
      <c r="A196" s="1" t="s">
        <v>292</v>
      </c>
      <c r="B196" s="23">
        <v>44944.384722222225</v>
      </c>
      <c r="C196" s="1" t="s">
        <v>16</v>
      </c>
      <c r="D196" s="1" t="s">
        <v>21</v>
      </c>
      <c r="E196" s="1" t="s">
        <v>18</v>
      </c>
      <c r="F196" s="1" t="s">
        <v>62</v>
      </c>
      <c r="G196" s="1">
        <v>386</v>
      </c>
      <c r="H196" s="23">
        <v>44947.359768518516</v>
      </c>
      <c r="I196" s="1" t="b">
        <v>0</v>
      </c>
      <c r="J196" s="1">
        <v>5</v>
      </c>
      <c r="K196" s="10">
        <f t="shared" si="17"/>
        <v>71.401111110986676</v>
      </c>
      <c r="L196" s="1" t="str">
        <f t="shared" si="18"/>
        <v>OK</v>
      </c>
      <c r="M196" s="1">
        <f t="shared" si="15"/>
        <v>1</v>
      </c>
      <c r="N196" s="1">
        <f t="shared" si="16"/>
        <v>386</v>
      </c>
      <c r="O196" s="10">
        <f t="shared" si="19"/>
        <v>71.401111110986676</v>
      </c>
    </row>
    <row r="197" spans="1:15">
      <c r="A197" s="1" t="s">
        <v>293</v>
      </c>
      <c r="B197" s="23">
        <v>44944.388194444444</v>
      </c>
      <c r="C197" s="1" t="s">
        <v>25</v>
      </c>
      <c r="D197" s="1" t="s">
        <v>12</v>
      </c>
      <c r="E197" s="1" t="s">
        <v>18</v>
      </c>
      <c r="F197" s="1" t="s">
        <v>39</v>
      </c>
      <c r="G197" s="1">
        <v>162</v>
      </c>
      <c r="H197" s="23">
        <v>44944.592361111114</v>
      </c>
      <c r="I197" s="1" t="b">
        <v>0</v>
      </c>
      <c r="K197" s="10">
        <f t="shared" si="17"/>
        <v>4.9000000000814907</v>
      </c>
      <c r="L197" s="1" t="str">
        <f t="shared" si="18"/>
        <v>OK</v>
      </c>
      <c r="M197" s="1">
        <f t="shared" si="15"/>
        <v>1</v>
      </c>
      <c r="N197" s="1">
        <f t="shared" si="16"/>
        <v>162</v>
      </c>
      <c r="O197" s="10">
        <f t="shared" si="19"/>
        <v>4.9000000000814907</v>
      </c>
    </row>
    <row r="198" spans="1:15">
      <c r="A198" s="1" t="s">
        <v>294</v>
      </c>
      <c r="B198" s="23">
        <v>44944.547222222223</v>
      </c>
      <c r="C198" s="1" t="s">
        <v>25</v>
      </c>
      <c r="D198" s="1" t="s">
        <v>17</v>
      </c>
      <c r="E198" s="1" t="s">
        <v>18</v>
      </c>
      <c r="F198" s="1" t="s">
        <v>201</v>
      </c>
      <c r="G198" s="1">
        <v>134</v>
      </c>
      <c r="H198" s="23">
        <v>44947.134722222225</v>
      </c>
      <c r="I198" s="1" t="b">
        <v>0</v>
      </c>
      <c r="K198" s="10">
        <f t="shared" si="17"/>
        <v>62.100000000034925</v>
      </c>
      <c r="L198" s="1" t="str">
        <f t="shared" si="18"/>
        <v>OK</v>
      </c>
      <c r="M198" s="1">
        <f t="shared" si="15"/>
        <v>1</v>
      </c>
      <c r="N198" s="1">
        <f t="shared" si="16"/>
        <v>134</v>
      </c>
      <c r="O198" s="10">
        <f t="shared" si="19"/>
        <v>62.100000000034925</v>
      </c>
    </row>
    <row r="199" spans="1:15">
      <c r="A199" s="1" t="s">
        <v>295</v>
      </c>
      <c r="B199" s="23">
        <v>44944.624305555553</v>
      </c>
      <c r="C199" s="1" t="s">
        <v>25</v>
      </c>
      <c r="D199" s="1" t="s">
        <v>17</v>
      </c>
      <c r="E199" s="1" t="s">
        <v>13</v>
      </c>
      <c r="F199" s="1" t="s">
        <v>116</v>
      </c>
      <c r="G199" s="1">
        <v>26</v>
      </c>
      <c r="H199" s="23">
        <v>44944.998344907406</v>
      </c>
      <c r="I199" s="1" t="b">
        <v>0</v>
      </c>
      <c r="K199" s="10">
        <f t="shared" si="17"/>
        <v>8.9769444444682449</v>
      </c>
      <c r="L199" s="1" t="str">
        <f t="shared" si="18"/>
        <v>OK</v>
      </c>
      <c r="M199" s="1">
        <f t="shared" si="15"/>
        <v>1</v>
      </c>
      <c r="N199" s="1">
        <f t="shared" si="16"/>
        <v>26</v>
      </c>
      <c r="O199" s="10">
        <f t="shared" si="19"/>
        <v>8.9769444444682449</v>
      </c>
    </row>
    <row r="200" spans="1:15">
      <c r="A200" s="1" t="s">
        <v>296</v>
      </c>
      <c r="B200" s="23">
        <v>44945.063888888886</v>
      </c>
      <c r="C200" s="1" t="s">
        <v>25</v>
      </c>
      <c r="D200" s="1" t="s">
        <v>17</v>
      </c>
      <c r="E200" s="1" t="s">
        <v>13</v>
      </c>
      <c r="F200" s="1" t="s">
        <v>245</v>
      </c>
      <c r="G200" s="1">
        <v>36</v>
      </c>
      <c r="H200" s="23">
        <v>44945.274861111109</v>
      </c>
      <c r="I200" s="1" t="b">
        <v>0</v>
      </c>
      <c r="J200" s="1">
        <v>4</v>
      </c>
      <c r="K200" s="10">
        <f t="shared" si="17"/>
        <v>5.063333333353512</v>
      </c>
      <c r="L200" s="1" t="str">
        <f t="shared" si="18"/>
        <v>OK</v>
      </c>
      <c r="M200" s="1">
        <f t="shared" si="15"/>
        <v>1</v>
      </c>
      <c r="N200" s="1">
        <f t="shared" si="16"/>
        <v>36</v>
      </c>
      <c r="O200" s="10">
        <f t="shared" si="19"/>
        <v>5.063333333353512</v>
      </c>
    </row>
    <row r="201" spans="1:15">
      <c r="A201" s="1" t="s">
        <v>297</v>
      </c>
      <c r="B201" s="23">
        <v>44945.091666666667</v>
      </c>
      <c r="C201" s="1" t="s">
        <v>16</v>
      </c>
      <c r="D201" s="1" t="s">
        <v>26</v>
      </c>
      <c r="E201" s="1" t="s">
        <v>18</v>
      </c>
      <c r="F201" s="1" t="s">
        <v>110</v>
      </c>
      <c r="G201" s="1">
        <v>196</v>
      </c>
      <c r="H201" s="23">
        <v>44946.213993055557</v>
      </c>
      <c r="I201" s="1" t="b">
        <v>0</v>
      </c>
      <c r="K201" s="10">
        <f t="shared" si="17"/>
        <v>26.935833333351184</v>
      </c>
      <c r="L201" s="1" t="str">
        <f t="shared" si="18"/>
        <v>OK</v>
      </c>
      <c r="M201" s="1">
        <f t="shared" si="15"/>
        <v>1</v>
      </c>
      <c r="N201" s="1">
        <f t="shared" si="16"/>
        <v>196</v>
      </c>
      <c r="O201" s="10">
        <f t="shared" si="19"/>
        <v>26.935833333351184</v>
      </c>
    </row>
    <row r="202" spans="1:15">
      <c r="A202" s="1" t="s">
        <v>298</v>
      </c>
      <c r="B202" s="23">
        <v>44945.293749999997</v>
      </c>
      <c r="C202" s="1" t="s">
        <v>25</v>
      </c>
      <c r="D202" s="1" t="s">
        <v>26</v>
      </c>
      <c r="E202" s="1" t="s">
        <v>18</v>
      </c>
      <c r="F202" s="1" t="s">
        <v>88</v>
      </c>
      <c r="G202" s="1">
        <v>28</v>
      </c>
      <c r="H202" s="23">
        <v>44946.335949074077</v>
      </c>
      <c r="I202" s="1" t="b">
        <v>0</v>
      </c>
      <c r="J202" s="1">
        <v>5</v>
      </c>
      <c r="K202" s="10">
        <f t="shared" si="17"/>
        <v>25.012777777912561</v>
      </c>
      <c r="L202" s="1" t="str">
        <f t="shared" si="18"/>
        <v>OK</v>
      </c>
      <c r="M202" s="1">
        <f t="shared" si="15"/>
        <v>1</v>
      </c>
      <c r="N202" s="1">
        <f t="shared" si="16"/>
        <v>28</v>
      </c>
      <c r="O202" s="10">
        <f t="shared" si="19"/>
        <v>25.012777777912561</v>
      </c>
    </row>
    <row r="203" spans="1:15">
      <c r="A203" s="1" t="s">
        <v>299</v>
      </c>
      <c r="B203" s="23">
        <v>44945.331944444442</v>
      </c>
      <c r="C203" s="1" t="s">
        <v>25</v>
      </c>
      <c r="D203" s="1" t="s">
        <v>26</v>
      </c>
      <c r="E203" s="1" t="s">
        <v>13</v>
      </c>
      <c r="F203" s="1" t="s">
        <v>130</v>
      </c>
      <c r="G203" s="1">
        <v>24</v>
      </c>
      <c r="H203" s="23">
        <v>44945.486087962963</v>
      </c>
      <c r="I203" s="1" t="b">
        <v>0</v>
      </c>
      <c r="J203" s="1">
        <v>2</v>
      </c>
      <c r="K203" s="10">
        <f t="shared" si="17"/>
        <v>3.6994444445008412</v>
      </c>
      <c r="L203" s="1" t="str">
        <f t="shared" si="18"/>
        <v>OK</v>
      </c>
      <c r="M203" s="1">
        <f t="shared" si="15"/>
        <v>1</v>
      </c>
      <c r="N203" s="1">
        <f t="shared" si="16"/>
        <v>24</v>
      </c>
      <c r="O203" s="10">
        <f t="shared" si="19"/>
        <v>3.6994444445008412</v>
      </c>
    </row>
    <row r="204" spans="1:15">
      <c r="A204" s="1" t="s">
        <v>300</v>
      </c>
      <c r="B204" s="23">
        <v>44945.394444444442</v>
      </c>
      <c r="C204" s="1" t="s">
        <v>11</v>
      </c>
      <c r="D204" s="1" t="s">
        <v>17</v>
      </c>
      <c r="E204" s="1" t="s">
        <v>33</v>
      </c>
      <c r="F204" s="1" t="s">
        <v>128</v>
      </c>
      <c r="G204" s="1">
        <v>551</v>
      </c>
      <c r="H204" s="23">
        <v>44947.736805555556</v>
      </c>
      <c r="I204" s="1" t="b">
        <v>0</v>
      </c>
      <c r="J204" s="1">
        <v>5</v>
      </c>
      <c r="K204" s="10">
        <f t="shared" si="17"/>
        <v>56.216666666732635</v>
      </c>
      <c r="L204" s="1" t="str">
        <f t="shared" si="18"/>
        <v>OK</v>
      </c>
      <c r="M204" s="1">
        <f t="shared" si="15"/>
        <v>1</v>
      </c>
      <c r="N204" s="1">
        <f t="shared" si="16"/>
        <v>551</v>
      </c>
      <c r="O204" s="10">
        <f t="shared" si="19"/>
        <v>56.216666666732635</v>
      </c>
    </row>
    <row r="205" spans="1:15">
      <c r="A205" s="1" t="s">
        <v>301</v>
      </c>
      <c r="B205" s="23">
        <v>44945.597222222219</v>
      </c>
      <c r="C205" s="1" t="s">
        <v>16</v>
      </c>
      <c r="D205" s="1" t="s">
        <v>21</v>
      </c>
      <c r="E205" s="1" t="s">
        <v>33</v>
      </c>
      <c r="F205" s="1" t="s">
        <v>302</v>
      </c>
      <c r="G205" s="1">
        <v>169</v>
      </c>
      <c r="H205" s="23">
        <v>44946.010416666664</v>
      </c>
      <c r="I205" s="1" t="b">
        <v>0</v>
      </c>
      <c r="K205" s="10">
        <f t="shared" si="17"/>
        <v>9.9166666666860692</v>
      </c>
      <c r="L205" s="1" t="str">
        <f t="shared" si="18"/>
        <v>OK</v>
      </c>
      <c r="M205" s="1">
        <f t="shared" si="15"/>
        <v>1</v>
      </c>
      <c r="N205" s="1">
        <f t="shared" si="16"/>
        <v>169</v>
      </c>
      <c r="O205" s="10">
        <f t="shared" si="19"/>
        <v>9.9166666666860692</v>
      </c>
    </row>
    <row r="206" spans="1:15">
      <c r="A206" s="1" t="s">
        <v>303</v>
      </c>
      <c r="B206" s="23">
        <v>44945.614583333336</v>
      </c>
      <c r="C206" s="1" t="s">
        <v>16</v>
      </c>
      <c r="D206" s="1" t="s">
        <v>12</v>
      </c>
      <c r="E206" s="1" t="s">
        <v>18</v>
      </c>
      <c r="F206" s="1" t="s">
        <v>88</v>
      </c>
      <c r="G206" s="1">
        <v>102</v>
      </c>
      <c r="H206" s="23">
        <v>44945.760428240741</v>
      </c>
      <c r="I206" s="1" t="b">
        <v>0</v>
      </c>
      <c r="K206" s="10">
        <f t="shared" si="17"/>
        <v>3.5002777777262963</v>
      </c>
      <c r="L206" s="1" t="str">
        <f t="shared" si="18"/>
        <v>OK</v>
      </c>
      <c r="M206" s="1">
        <f t="shared" si="15"/>
        <v>1</v>
      </c>
      <c r="N206" s="1">
        <f t="shared" si="16"/>
        <v>102</v>
      </c>
      <c r="O206" s="10">
        <f t="shared" si="19"/>
        <v>3.5002777777262963</v>
      </c>
    </row>
    <row r="207" spans="1:15">
      <c r="A207" s="1" t="s">
        <v>304</v>
      </c>
      <c r="B207" s="23">
        <v>44945.617361111108</v>
      </c>
      <c r="C207" s="1" t="s">
        <v>16</v>
      </c>
      <c r="D207" s="1" t="s">
        <v>59</v>
      </c>
      <c r="E207" s="1" t="s">
        <v>22</v>
      </c>
      <c r="F207" s="1" t="s">
        <v>66</v>
      </c>
      <c r="G207" s="1">
        <v>1</v>
      </c>
      <c r="H207" s="23">
        <v>44945.657407407409</v>
      </c>
      <c r="I207" s="1" t="b">
        <v>0</v>
      </c>
      <c r="K207" s="10">
        <f t="shared" si="17"/>
        <v>0.9611111112171784</v>
      </c>
      <c r="L207" s="1" t="str">
        <f t="shared" si="18"/>
        <v>OK</v>
      </c>
      <c r="M207" s="1">
        <f t="shared" si="15"/>
        <v>1</v>
      </c>
      <c r="N207" s="1">
        <f t="shared" si="16"/>
        <v>1</v>
      </c>
      <c r="O207" s="10">
        <f t="shared" si="19"/>
        <v>0.9611111112171784</v>
      </c>
    </row>
    <row r="208" spans="1:15">
      <c r="A208" s="1" t="s">
        <v>305</v>
      </c>
      <c r="B208" s="23">
        <v>44945.636805555558</v>
      </c>
      <c r="C208" s="1" t="s">
        <v>25</v>
      </c>
      <c r="D208" s="1" t="s">
        <v>21</v>
      </c>
      <c r="E208" s="1" t="s">
        <v>33</v>
      </c>
      <c r="F208" s="1" t="s">
        <v>106</v>
      </c>
      <c r="G208" s="1">
        <v>246</v>
      </c>
      <c r="H208" s="23">
        <v>44949.139074074075</v>
      </c>
      <c r="I208" s="1" t="b">
        <v>0</v>
      </c>
      <c r="K208" s="10">
        <f t="shared" si="17"/>
        <v>84.054444444424007</v>
      </c>
      <c r="L208" s="1" t="str">
        <f t="shared" si="18"/>
        <v>OK</v>
      </c>
      <c r="M208" s="1">
        <f t="shared" si="15"/>
        <v>1</v>
      </c>
      <c r="N208" s="1">
        <f t="shared" si="16"/>
        <v>246</v>
      </c>
      <c r="O208" s="10">
        <f t="shared" si="19"/>
        <v>84.054444444424007</v>
      </c>
    </row>
    <row r="209" spans="1:15">
      <c r="A209" s="1" t="s">
        <v>306</v>
      </c>
      <c r="B209" s="23">
        <v>44945.670138888891</v>
      </c>
      <c r="C209" s="1" t="s">
        <v>11</v>
      </c>
      <c r="D209" s="1" t="s">
        <v>21</v>
      </c>
      <c r="E209" s="1" t="s">
        <v>18</v>
      </c>
      <c r="F209" s="1" t="s">
        <v>128</v>
      </c>
      <c r="G209" s="1">
        <v>122</v>
      </c>
      <c r="H209" s="23">
        <v>44946.473391203705</v>
      </c>
      <c r="I209" s="1" t="b">
        <v>0</v>
      </c>
      <c r="J209" s="1">
        <v>2</v>
      </c>
      <c r="K209" s="10">
        <f t="shared" si="17"/>
        <v>19.278055555536412</v>
      </c>
      <c r="L209" s="1" t="str">
        <f t="shared" si="18"/>
        <v>OK</v>
      </c>
      <c r="M209" s="1">
        <f t="shared" si="15"/>
        <v>1</v>
      </c>
      <c r="N209" s="1">
        <f t="shared" si="16"/>
        <v>122</v>
      </c>
      <c r="O209" s="10">
        <f t="shared" si="19"/>
        <v>19.278055555536412</v>
      </c>
    </row>
    <row r="210" spans="1:15">
      <c r="A210" s="1" t="s">
        <v>307</v>
      </c>
      <c r="B210" s="23">
        <v>44946.160416666666</v>
      </c>
      <c r="C210" s="1" t="s">
        <v>16</v>
      </c>
      <c r="D210" s="1" t="s">
        <v>17</v>
      </c>
      <c r="E210" s="1" t="s">
        <v>18</v>
      </c>
      <c r="F210" s="1" t="s">
        <v>41</v>
      </c>
      <c r="G210" s="1">
        <v>31</v>
      </c>
      <c r="H210" s="23">
        <v>44947.781006944446</v>
      </c>
      <c r="I210" s="1" t="b">
        <v>0</v>
      </c>
      <c r="K210" s="10">
        <f t="shared" si="17"/>
        <v>38.894166666723322</v>
      </c>
      <c r="L210" s="1" t="str">
        <f t="shared" si="18"/>
        <v>OK</v>
      </c>
      <c r="M210" s="1">
        <f t="shared" si="15"/>
        <v>1</v>
      </c>
      <c r="N210" s="1">
        <f t="shared" si="16"/>
        <v>31</v>
      </c>
      <c r="O210" s="10">
        <f t="shared" si="19"/>
        <v>38.894166666723322</v>
      </c>
    </row>
    <row r="211" spans="1:15">
      <c r="A211" s="1" t="s">
        <v>308</v>
      </c>
      <c r="B211" s="23">
        <v>44946.224305555559</v>
      </c>
      <c r="C211" s="1" t="s">
        <v>25</v>
      </c>
      <c r="D211" s="1" t="s">
        <v>59</v>
      </c>
      <c r="E211" s="1" t="s">
        <v>33</v>
      </c>
      <c r="F211" s="1" t="s">
        <v>130</v>
      </c>
      <c r="G211" s="1">
        <v>75</v>
      </c>
      <c r="H211" s="23">
        <v>44946.485717592594</v>
      </c>
      <c r="I211" s="1" t="b">
        <v>0</v>
      </c>
      <c r="J211" s="1">
        <v>3</v>
      </c>
      <c r="K211" s="10">
        <f t="shared" si="17"/>
        <v>6.2738888888270594</v>
      </c>
      <c r="L211" s="1" t="str">
        <f t="shared" si="18"/>
        <v>OK</v>
      </c>
      <c r="M211" s="1">
        <f t="shared" si="15"/>
        <v>1</v>
      </c>
      <c r="N211" s="1">
        <f t="shared" si="16"/>
        <v>75</v>
      </c>
      <c r="O211" s="10">
        <f t="shared" si="19"/>
        <v>6.2738888888270594</v>
      </c>
    </row>
    <row r="212" spans="1:15">
      <c r="A212" s="1" t="s">
        <v>309</v>
      </c>
      <c r="B212" s="23">
        <v>44946.365277777775</v>
      </c>
      <c r="C212" s="1" t="s">
        <v>16</v>
      </c>
      <c r="D212" s="1" t="s">
        <v>21</v>
      </c>
      <c r="E212" s="1" t="s">
        <v>18</v>
      </c>
      <c r="F212" s="1" t="s">
        <v>64</v>
      </c>
      <c r="G212" s="1">
        <v>42</v>
      </c>
      <c r="H212" s="23">
        <v>44948.580509259256</v>
      </c>
      <c r="I212" s="1" t="b">
        <v>0</v>
      </c>
      <c r="J212" s="1">
        <v>2</v>
      </c>
      <c r="K212" s="10">
        <f t="shared" si="17"/>
        <v>53.165555555548053</v>
      </c>
      <c r="L212" s="1" t="str">
        <f t="shared" si="18"/>
        <v>OK</v>
      </c>
      <c r="M212" s="1">
        <f t="shared" si="15"/>
        <v>1</v>
      </c>
      <c r="N212" s="1">
        <f t="shared" si="16"/>
        <v>42</v>
      </c>
      <c r="O212" s="10">
        <f t="shared" si="19"/>
        <v>53.165555555548053</v>
      </c>
    </row>
    <row r="213" spans="1:15">
      <c r="A213" s="1" t="s">
        <v>310</v>
      </c>
      <c r="B213" s="23">
        <v>44946.370833333334</v>
      </c>
      <c r="C213" s="1" t="s">
        <v>16</v>
      </c>
      <c r="D213" s="1" t="s">
        <v>17</v>
      </c>
      <c r="E213" s="1" t="s">
        <v>33</v>
      </c>
      <c r="F213" s="1" t="s">
        <v>120</v>
      </c>
      <c r="G213" s="1">
        <v>129</v>
      </c>
      <c r="H213" s="23">
        <v>44949.300509259258</v>
      </c>
      <c r="I213" s="1" t="b">
        <v>0</v>
      </c>
      <c r="K213" s="10">
        <f t="shared" si="17"/>
        <v>70.312222222157288</v>
      </c>
      <c r="L213" s="1" t="str">
        <f t="shared" si="18"/>
        <v>OK</v>
      </c>
      <c r="M213" s="1">
        <f t="shared" si="15"/>
        <v>1</v>
      </c>
      <c r="N213" s="1">
        <f t="shared" si="16"/>
        <v>129</v>
      </c>
      <c r="O213" s="10">
        <f t="shared" si="19"/>
        <v>70.312222222157288</v>
      </c>
    </row>
    <row r="214" spans="1:15">
      <c r="A214" s="1" t="s">
        <v>311</v>
      </c>
      <c r="B214" s="23">
        <v>44946.45208333333</v>
      </c>
      <c r="C214" s="1" t="s">
        <v>43</v>
      </c>
      <c r="D214" s="1" t="s">
        <v>17</v>
      </c>
      <c r="E214" s="1" t="s">
        <v>18</v>
      </c>
      <c r="F214" s="1" t="s">
        <v>94</v>
      </c>
      <c r="G214" s="1">
        <v>213</v>
      </c>
      <c r="H214" s="23">
        <v>44947.550891203704</v>
      </c>
      <c r="I214" s="1" t="b">
        <v>0</v>
      </c>
      <c r="J214" s="1">
        <v>5</v>
      </c>
      <c r="K214" s="10">
        <f t="shared" si="17"/>
        <v>26.371388888976071</v>
      </c>
      <c r="L214" s="1" t="str">
        <f t="shared" si="18"/>
        <v>OK</v>
      </c>
      <c r="M214" s="1">
        <f t="shared" si="15"/>
        <v>1</v>
      </c>
      <c r="N214" s="1">
        <f t="shared" si="16"/>
        <v>213</v>
      </c>
      <c r="O214" s="10">
        <f t="shared" si="19"/>
        <v>26.371388888976071</v>
      </c>
    </row>
    <row r="215" spans="1:15">
      <c r="A215" s="1" t="s">
        <v>312</v>
      </c>
      <c r="B215" s="23">
        <v>44946.560416666667</v>
      </c>
      <c r="C215" s="1" t="s">
        <v>11</v>
      </c>
      <c r="D215" s="1" t="s">
        <v>26</v>
      </c>
      <c r="E215" s="1" t="s">
        <v>13</v>
      </c>
      <c r="F215" s="1" t="s">
        <v>206</v>
      </c>
      <c r="G215" s="1">
        <v>74</v>
      </c>
      <c r="H215" s="23">
        <v>44946.599502314813</v>
      </c>
      <c r="I215" s="1" t="b">
        <v>0</v>
      </c>
      <c r="J215" s="1">
        <v>3</v>
      </c>
      <c r="K215" s="10">
        <f t="shared" si="17"/>
        <v>0.93805555551080033</v>
      </c>
      <c r="L215" s="1" t="str">
        <f t="shared" si="18"/>
        <v>Review</v>
      </c>
      <c r="M215" s="1">
        <f t="shared" si="15"/>
        <v>1</v>
      </c>
      <c r="N215" s="1" t="str">
        <f t="shared" si="16"/>
        <v/>
      </c>
      <c r="O215" s="10" t="str">
        <f t="shared" si="19"/>
        <v/>
      </c>
    </row>
    <row r="216" spans="1:15">
      <c r="A216" s="1" t="s">
        <v>313</v>
      </c>
      <c r="B216" s="23">
        <v>44946.583333333336</v>
      </c>
      <c r="C216" s="1" t="s">
        <v>25</v>
      </c>
      <c r="D216" s="1" t="s">
        <v>17</v>
      </c>
      <c r="E216" s="1" t="s">
        <v>18</v>
      </c>
      <c r="F216" s="1" t="s">
        <v>128</v>
      </c>
      <c r="G216" s="1">
        <v>219</v>
      </c>
      <c r="H216" s="23">
        <v>44952.440706018519</v>
      </c>
      <c r="I216" s="1" t="b">
        <v>0</v>
      </c>
      <c r="J216" s="1">
        <v>1</v>
      </c>
      <c r="K216" s="10">
        <f t="shared" si="17"/>
        <v>140.57694444438675</v>
      </c>
      <c r="L216" s="1" t="str">
        <f t="shared" si="18"/>
        <v>OK</v>
      </c>
      <c r="M216" s="1">
        <f t="shared" si="15"/>
        <v>1</v>
      </c>
      <c r="N216" s="1">
        <f t="shared" si="16"/>
        <v>219</v>
      </c>
      <c r="O216" s="10">
        <f t="shared" si="19"/>
        <v>140.57694444438675</v>
      </c>
    </row>
    <row r="217" spans="1:15">
      <c r="A217" s="1" t="s">
        <v>314</v>
      </c>
      <c r="B217" s="23">
        <v>44946.62777777778</v>
      </c>
      <c r="C217" s="1" t="s">
        <v>25</v>
      </c>
      <c r="D217" s="1" t="s">
        <v>17</v>
      </c>
      <c r="E217" s="1" t="s">
        <v>13</v>
      </c>
      <c r="F217" s="1" t="s">
        <v>108</v>
      </c>
      <c r="G217" s="1">
        <v>17</v>
      </c>
      <c r="H217" s="23">
        <v>44946.827245370368</v>
      </c>
      <c r="I217" s="1" t="b">
        <v>0</v>
      </c>
      <c r="K217" s="10">
        <f t="shared" si="17"/>
        <v>4.7872222221340053</v>
      </c>
      <c r="L217" s="1" t="str">
        <f t="shared" si="18"/>
        <v>OK</v>
      </c>
      <c r="M217" s="1">
        <f t="shared" si="15"/>
        <v>1</v>
      </c>
      <c r="N217" s="1">
        <f t="shared" si="16"/>
        <v>17</v>
      </c>
      <c r="O217" s="10">
        <f t="shared" si="19"/>
        <v>4.7872222221340053</v>
      </c>
    </row>
    <row r="218" spans="1:15">
      <c r="A218" s="1" t="s">
        <v>315</v>
      </c>
      <c r="B218" s="23">
        <v>44946.645138888889</v>
      </c>
      <c r="C218" s="1" t="s">
        <v>43</v>
      </c>
      <c r="D218" s="1" t="s">
        <v>12</v>
      </c>
      <c r="E218" s="1" t="s">
        <v>18</v>
      </c>
      <c r="F218" s="1" t="s">
        <v>102</v>
      </c>
      <c r="G218" s="1">
        <v>12</v>
      </c>
      <c r="H218" s="23">
        <v>44947.179606481484</v>
      </c>
      <c r="I218" s="1" t="b">
        <v>0</v>
      </c>
      <c r="K218" s="10">
        <f t="shared" si="17"/>
        <v>12.827222222287674</v>
      </c>
      <c r="L218" s="1" t="str">
        <f t="shared" si="18"/>
        <v>OK</v>
      </c>
      <c r="M218" s="1">
        <f t="shared" si="15"/>
        <v>1</v>
      </c>
      <c r="N218" s="1">
        <f t="shared" si="16"/>
        <v>12</v>
      </c>
      <c r="O218" s="10">
        <f t="shared" si="19"/>
        <v>12.827222222287674</v>
      </c>
    </row>
    <row r="219" spans="1:15">
      <c r="A219" s="1" t="s">
        <v>316</v>
      </c>
      <c r="B219" s="23">
        <v>44946.730555555558</v>
      </c>
      <c r="C219" s="1" t="s">
        <v>25</v>
      </c>
      <c r="D219" s="1" t="s">
        <v>12</v>
      </c>
      <c r="E219" s="1" t="s">
        <v>18</v>
      </c>
      <c r="F219" s="1" t="s">
        <v>317</v>
      </c>
      <c r="G219" s="1">
        <v>285</v>
      </c>
      <c r="H219" s="23">
        <v>44947.922337962962</v>
      </c>
      <c r="I219" s="1" t="b">
        <v>0</v>
      </c>
      <c r="K219" s="10">
        <f t="shared" si="17"/>
        <v>28.602777777705342</v>
      </c>
      <c r="L219" s="1" t="str">
        <f t="shared" si="18"/>
        <v>OK</v>
      </c>
      <c r="M219" s="1">
        <f t="shared" si="15"/>
        <v>1</v>
      </c>
      <c r="N219" s="1">
        <f t="shared" si="16"/>
        <v>285</v>
      </c>
      <c r="O219" s="10">
        <f t="shared" si="19"/>
        <v>28.602777777705342</v>
      </c>
    </row>
    <row r="220" spans="1:15">
      <c r="A220" s="1" t="s">
        <v>318</v>
      </c>
      <c r="B220" s="23">
        <v>44946.801388888889</v>
      </c>
      <c r="C220" s="1" t="s">
        <v>11</v>
      </c>
      <c r="D220" s="1" t="s">
        <v>21</v>
      </c>
      <c r="E220" s="1" t="s">
        <v>22</v>
      </c>
      <c r="F220" s="1" t="s">
        <v>198</v>
      </c>
      <c r="G220" s="1">
        <v>30</v>
      </c>
      <c r="H220" s="23">
        <v>44947.05363425926</v>
      </c>
      <c r="I220" s="1" t="b">
        <v>1</v>
      </c>
      <c r="K220" s="10">
        <f t="shared" si="17"/>
        <v>6.0538888889132068</v>
      </c>
      <c r="L220" s="1" t="str">
        <f t="shared" si="18"/>
        <v>OK</v>
      </c>
      <c r="M220" s="1">
        <f t="shared" si="15"/>
        <v>1</v>
      </c>
      <c r="N220" s="1">
        <f t="shared" si="16"/>
        <v>30</v>
      </c>
      <c r="O220" s="10">
        <f t="shared" si="19"/>
        <v>6.0538888889132068</v>
      </c>
    </row>
    <row r="221" spans="1:15">
      <c r="A221" s="1" t="s">
        <v>319</v>
      </c>
      <c r="B221" s="23">
        <v>44947.032638888886</v>
      </c>
      <c r="C221" s="1" t="s">
        <v>16</v>
      </c>
      <c r="D221" s="1" t="s">
        <v>26</v>
      </c>
      <c r="E221" s="1" t="s">
        <v>18</v>
      </c>
      <c r="F221" s="1" t="s">
        <v>130</v>
      </c>
      <c r="G221" s="1">
        <v>42</v>
      </c>
      <c r="H221" s="23">
        <v>44952.102337962962</v>
      </c>
      <c r="I221" s="1" t="b">
        <v>0</v>
      </c>
      <c r="J221" s="1">
        <v>4</v>
      </c>
      <c r="K221" s="10">
        <f t="shared" si="17"/>
        <v>121.67277777782874</v>
      </c>
      <c r="L221" s="1" t="str">
        <f t="shared" si="18"/>
        <v>OK</v>
      </c>
      <c r="M221" s="1">
        <f t="shared" si="15"/>
        <v>1</v>
      </c>
      <c r="N221" s="1">
        <f t="shared" si="16"/>
        <v>42</v>
      </c>
      <c r="O221" s="10">
        <f t="shared" si="19"/>
        <v>121.67277777782874</v>
      </c>
    </row>
    <row r="222" spans="1:15">
      <c r="A222" s="1" t="s">
        <v>320</v>
      </c>
      <c r="B222" s="23">
        <v>44947.114583333336</v>
      </c>
      <c r="C222" s="1" t="s">
        <v>25</v>
      </c>
      <c r="D222" s="1" t="s">
        <v>17</v>
      </c>
      <c r="E222" s="1" t="s">
        <v>13</v>
      </c>
      <c r="F222" s="1" t="s">
        <v>98</v>
      </c>
      <c r="G222" s="1">
        <v>32</v>
      </c>
      <c r="H222" s="23">
        <v>44947.815567129626</v>
      </c>
      <c r="I222" s="1" t="b">
        <v>0</v>
      </c>
      <c r="K222" s="10">
        <f t="shared" si="17"/>
        <v>16.823611110972706</v>
      </c>
      <c r="L222" s="1" t="str">
        <f t="shared" si="18"/>
        <v>OK</v>
      </c>
      <c r="M222" s="1">
        <f t="shared" si="15"/>
        <v>1</v>
      </c>
      <c r="N222" s="1">
        <f t="shared" si="16"/>
        <v>32</v>
      </c>
      <c r="O222" s="10">
        <f t="shared" si="19"/>
        <v>16.823611110972706</v>
      </c>
    </row>
    <row r="223" spans="1:15">
      <c r="A223" s="1" t="s">
        <v>321</v>
      </c>
      <c r="B223" s="23">
        <v>44947.313888888886</v>
      </c>
      <c r="C223" s="1" t="s">
        <v>25</v>
      </c>
      <c r="D223" s="1" t="s">
        <v>17</v>
      </c>
      <c r="E223" s="1" t="s">
        <v>33</v>
      </c>
      <c r="F223" s="1" t="s">
        <v>148</v>
      </c>
      <c r="G223" s="1">
        <v>785</v>
      </c>
      <c r="H223" s="23">
        <v>44948.085416666669</v>
      </c>
      <c r="I223" s="1" t="b">
        <v>0</v>
      </c>
      <c r="J223" s="1">
        <v>4</v>
      </c>
      <c r="K223" s="10">
        <f t="shared" si="17"/>
        <v>18.516666666779201</v>
      </c>
      <c r="L223" s="1" t="str">
        <f t="shared" si="18"/>
        <v>OK</v>
      </c>
      <c r="M223" s="1">
        <f t="shared" si="15"/>
        <v>1</v>
      </c>
      <c r="N223" s="1">
        <f t="shared" si="16"/>
        <v>785</v>
      </c>
      <c r="O223" s="10">
        <f t="shared" si="19"/>
        <v>18.516666666779201</v>
      </c>
    </row>
    <row r="224" spans="1:15">
      <c r="A224" s="1" t="s">
        <v>322</v>
      </c>
      <c r="B224" s="23">
        <v>44947.361111111109</v>
      </c>
      <c r="C224" s="1" t="s">
        <v>25</v>
      </c>
      <c r="D224" s="1" t="s">
        <v>59</v>
      </c>
      <c r="E224" s="1" t="s">
        <v>18</v>
      </c>
      <c r="F224" s="1" t="s">
        <v>302</v>
      </c>
      <c r="G224" s="1">
        <v>28</v>
      </c>
      <c r="H224" s="23">
        <v>44947.42559027778</v>
      </c>
      <c r="I224" s="1" t="b">
        <v>0</v>
      </c>
      <c r="K224" s="10">
        <f t="shared" si="17"/>
        <v>1.5475000001024455</v>
      </c>
      <c r="L224" s="1" t="str">
        <f t="shared" si="18"/>
        <v>OK</v>
      </c>
      <c r="M224" s="1">
        <f t="shared" si="15"/>
        <v>1</v>
      </c>
      <c r="N224" s="1">
        <f t="shared" si="16"/>
        <v>28</v>
      </c>
      <c r="O224" s="10">
        <f t="shared" si="19"/>
        <v>1.5475000001024455</v>
      </c>
    </row>
    <row r="225" spans="1:15">
      <c r="A225" s="1" t="s">
        <v>323</v>
      </c>
      <c r="B225" s="23">
        <v>44947.381249999999</v>
      </c>
      <c r="C225" s="1" t="s">
        <v>16</v>
      </c>
      <c r="D225" s="1" t="s">
        <v>26</v>
      </c>
      <c r="E225" s="1" t="s">
        <v>13</v>
      </c>
      <c r="F225" s="1" t="s">
        <v>245</v>
      </c>
      <c r="G225" s="1">
        <v>33</v>
      </c>
      <c r="H225" s="23">
        <v>44948.086770833332</v>
      </c>
      <c r="I225" s="1" t="b">
        <v>0</v>
      </c>
      <c r="J225" s="1">
        <v>3</v>
      </c>
      <c r="K225" s="10">
        <f t="shared" si="17"/>
        <v>16.932499999995343</v>
      </c>
      <c r="L225" s="1" t="str">
        <f t="shared" si="18"/>
        <v>OK</v>
      </c>
      <c r="M225" s="1">
        <f t="shared" si="15"/>
        <v>1</v>
      </c>
      <c r="N225" s="1">
        <f t="shared" si="16"/>
        <v>33</v>
      </c>
      <c r="O225" s="10">
        <f t="shared" si="19"/>
        <v>16.932499999995343</v>
      </c>
    </row>
    <row r="226" spans="1:15">
      <c r="A226" s="1" t="s">
        <v>324</v>
      </c>
      <c r="B226" s="23">
        <v>44947.780555555553</v>
      </c>
      <c r="C226" s="1" t="s">
        <v>11</v>
      </c>
      <c r="D226" s="1" t="s">
        <v>17</v>
      </c>
      <c r="E226" s="1" t="s">
        <v>18</v>
      </c>
      <c r="F226" s="1" t="s">
        <v>256</v>
      </c>
      <c r="G226" s="1">
        <v>199</v>
      </c>
      <c r="H226" s="23">
        <v>44948.46671296296</v>
      </c>
      <c r="I226" s="1" t="b">
        <v>0</v>
      </c>
      <c r="J226" s="1">
        <v>5</v>
      </c>
      <c r="K226" s="10">
        <f t="shared" si="17"/>
        <v>16.467777777754236</v>
      </c>
      <c r="L226" s="1" t="str">
        <f t="shared" si="18"/>
        <v>OK</v>
      </c>
      <c r="M226" s="1">
        <f t="shared" si="15"/>
        <v>1</v>
      </c>
      <c r="N226" s="1">
        <f t="shared" si="16"/>
        <v>199</v>
      </c>
      <c r="O226" s="10">
        <f t="shared" si="19"/>
        <v>16.467777777754236</v>
      </c>
    </row>
    <row r="227" spans="1:15">
      <c r="A227" s="1" t="s">
        <v>325</v>
      </c>
      <c r="B227" s="23">
        <v>44947.943749999999</v>
      </c>
      <c r="C227" s="1" t="s">
        <v>25</v>
      </c>
      <c r="D227" s="1" t="s">
        <v>59</v>
      </c>
      <c r="E227" s="1" t="s">
        <v>33</v>
      </c>
      <c r="F227" s="1" t="s">
        <v>326</v>
      </c>
      <c r="G227" s="1">
        <v>243</v>
      </c>
      <c r="H227" s="23">
        <v>44948.293668981481</v>
      </c>
      <c r="I227" s="1" t="b">
        <v>0</v>
      </c>
      <c r="J227" s="1">
        <v>5</v>
      </c>
      <c r="K227" s="10">
        <f t="shared" si="17"/>
        <v>8.3980555555899628</v>
      </c>
      <c r="L227" s="1" t="str">
        <f t="shared" si="18"/>
        <v>OK</v>
      </c>
      <c r="M227" s="1">
        <f t="shared" si="15"/>
        <v>1</v>
      </c>
      <c r="N227" s="1">
        <f t="shared" si="16"/>
        <v>243</v>
      </c>
      <c r="O227" s="10">
        <f t="shared" si="19"/>
        <v>8.3980555555899628</v>
      </c>
    </row>
    <row r="228" spans="1:15">
      <c r="A228" s="1" t="s">
        <v>327</v>
      </c>
      <c r="B228" s="23">
        <v>44947.946527777778</v>
      </c>
      <c r="C228" s="1" t="s">
        <v>11</v>
      </c>
      <c r="D228" s="1" t="s">
        <v>26</v>
      </c>
      <c r="E228" s="1" t="s">
        <v>18</v>
      </c>
      <c r="F228" s="1" t="s">
        <v>80</v>
      </c>
      <c r="G228" s="1">
        <v>29</v>
      </c>
      <c r="H228" s="23">
        <v>44951.675474537034</v>
      </c>
      <c r="I228" s="1" t="b">
        <v>0</v>
      </c>
      <c r="K228" s="10">
        <f t="shared" si="17"/>
        <v>89.494722222152632</v>
      </c>
      <c r="L228" s="1" t="str">
        <f t="shared" si="18"/>
        <v>OK</v>
      </c>
      <c r="M228" s="1">
        <f t="shared" si="15"/>
        <v>1</v>
      </c>
      <c r="N228" s="1">
        <f t="shared" si="16"/>
        <v>29</v>
      </c>
      <c r="O228" s="10">
        <f t="shared" si="19"/>
        <v>89.494722222152632</v>
      </c>
    </row>
    <row r="229" spans="1:15">
      <c r="A229" s="1" t="s">
        <v>328</v>
      </c>
      <c r="B229" s="23">
        <v>44948.267361111109</v>
      </c>
      <c r="C229" s="1" t="s">
        <v>16</v>
      </c>
      <c r="D229" s="1" t="s">
        <v>17</v>
      </c>
      <c r="E229" s="1" t="s">
        <v>13</v>
      </c>
      <c r="F229" s="1" t="s">
        <v>35</v>
      </c>
      <c r="G229" s="1">
        <v>41</v>
      </c>
      <c r="H229" s="23">
        <v>44948.87358796296</v>
      </c>
      <c r="I229" s="1" t="b">
        <v>0</v>
      </c>
      <c r="K229" s="10">
        <f t="shared" si="17"/>
        <v>14.54944444441935</v>
      </c>
      <c r="L229" s="1" t="str">
        <f t="shared" si="18"/>
        <v>OK</v>
      </c>
      <c r="M229" s="1">
        <f t="shared" si="15"/>
        <v>1</v>
      </c>
      <c r="N229" s="1">
        <f t="shared" si="16"/>
        <v>41</v>
      </c>
      <c r="O229" s="10">
        <f t="shared" si="19"/>
        <v>14.54944444441935</v>
      </c>
    </row>
    <row r="230" spans="1:15">
      <c r="A230" s="1" t="s">
        <v>329</v>
      </c>
      <c r="B230" s="23">
        <v>44948.298611111109</v>
      </c>
      <c r="C230" s="1" t="s">
        <v>25</v>
      </c>
      <c r="D230" s="1" t="s">
        <v>21</v>
      </c>
      <c r="E230" s="1" t="s">
        <v>18</v>
      </c>
      <c r="F230" s="1" t="s">
        <v>132</v>
      </c>
      <c r="G230" s="1">
        <v>315</v>
      </c>
      <c r="H230" s="23">
        <v>44948.349016203705</v>
      </c>
      <c r="I230" s="1" t="b">
        <v>0</v>
      </c>
      <c r="K230" s="10">
        <f t="shared" si="17"/>
        <v>1.2097222222946584</v>
      </c>
      <c r="L230" s="1" t="str">
        <f t="shared" si="18"/>
        <v>Review</v>
      </c>
      <c r="M230" s="1">
        <f t="shared" si="15"/>
        <v>1</v>
      </c>
      <c r="N230" s="1" t="str">
        <f t="shared" si="16"/>
        <v/>
      </c>
      <c r="O230" s="10" t="str">
        <f t="shared" si="19"/>
        <v/>
      </c>
    </row>
    <row r="231" spans="1:15">
      <c r="A231" s="1" t="s">
        <v>330</v>
      </c>
      <c r="B231" s="23">
        <v>44948.355555555558</v>
      </c>
      <c r="C231" s="1" t="s">
        <v>43</v>
      </c>
      <c r="D231" s="1" t="s">
        <v>21</v>
      </c>
      <c r="E231" s="1" t="s">
        <v>13</v>
      </c>
      <c r="F231" s="1" t="s">
        <v>159</v>
      </c>
      <c r="G231" s="1">
        <v>121</v>
      </c>
      <c r="H231" s="23">
        <v>44949.608402777776</v>
      </c>
      <c r="I231" s="1" t="b">
        <v>0</v>
      </c>
      <c r="K231" s="10">
        <f t="shared" si="17"/>
        <v>30.068333333241753</v>
      </c>
      <c r="L231" s="1" t="str">
        <f t="shared" si="18"/>
        <v>OK</v>
      </c>
      <c r="M231" s="1">
        <f t="shared" si="15"/>
        <v>1</v>
      </c>
      <c r="N231" s="1">
        <f t="shared" si="16"/>
        <v>121</v>
      </c>
      <c r="O231" s="10">
        <f t="shared" si="19"/>
        <v>30.068333333241753</v>
      </c>
    </row>
    <row r="232" spans="1:15">
      <c r="A232" s="1" t="s">
        <v>331</v>
      </c>
      <c r="B232" s="23">
        <v>44948.426388888889</v>
      </c>
      <c r="C232" s="1" t="s">
        <v>11</v>
      </c>
      <c r="D232" s="1" t="s">
        <v>21</v>
      </c>
      <c r="E232" s="1" t="s">
        <v>18</v>
      </c>
      <c r="F232" s="1" t="s">
        <v>23</v>
      </c>
      <c r="G232" s="1">
        <v>77</v>
      </c>
      <c r="H232" s="23">
        <v>44949.660578703704</v>
      </c>
      <c r="I232" s="1" t="b">
        <v>0</v>
      </c>
      <c r="J232" s="1">
        <v>5</v>
      </c>
      <c r="K232" s="10">
        <f t="shared" si="17"/>
        <v>29.620555555564351</v>
      </c>
      <c r="L232" s="1" t="str">
        <f t="shared" si="18"/>
        <v>OK</v>
      </c>
      <c r="M232" s="1">
        <f t="shared" si="15"/>
        <v>1</v>
      </c>
      <c r="N232" s="1">
        <f t="shared" si="16"/>
        <v>77</v>
      </c>
      <c r="O232" s="10">
        <f t="shared" si="19"/>
        <v>29.620555555564351</v>
      </c>
    </row>
    <row r="233" spans="1:15">
      <c r="A233" s="1" t="s">
        <v>332</v>
      </c>
      <c r="B233" s="23">
        <v>44948.591666666667</v>
      </c>
      <c r="C233" s="1" t="s">
        <v>25</v>
      </c>
      <c r="D233" s="1" t="s">
        <v>59</v>
      </c>
      <c r="E233" s="1" t="s">
        <v>18</v>
      </c>
      <c r="F233" s="1" t="s">
        <v>302</v>
      </c>
      <c r="G233" s="1">
        <v>90</v>
      </c>
      <c r="H233" s="23">
        <v>44949.983078703706</v>
      </c>
      <c r="I233" s="1" t="b">
        <v>0</v>
      </c>
      <c r="K233" s="10">
        <f t="shared" si="17"/>
        <v>33.393888888938818</v>
      </c>
      <c r="L233" s="1" t="str">
        <f t="shared" si="18"/>
        <v>OK</v>
      </c>
      <c r="M233" s="1">
        <f t="shared" si="15"/>
        <v>1</v>
      </c>
      <c r="N233" s="1">
        <f t="shared" si="16"/>
        <v>90</v>
      </c>
      <c r="O233" s="10">
        <f t="shared" si="19"/>
        <v>33.393888888938818</v>
      </c>
    </row>
    <row r="234" spans="1:15">
      <c r="A234" s="1" t="s">
        <v>333</v>
      </c>
      <c r="B234" s="23">
        <v>44948.598611111112</v>
      </c>
      <c r="C234" s="1" t="s">
        <v>11</v>
      </c>
      <c r="D234" s="1" t="s">
        <v>59</v>
      </c>
      <c r="E234" s="1" t="s">
        <v>18</v>
      </c>
      <c r="F234" s="1" t="s">
        <v>94</v>
      </c>
      <c r="G234" s="1">
        <v>200</v>
      </c>
      <c r="H234" s="23">
        <v>44950.779976851853</v>
      </c>
      <c r="I234" s="1" t="b">
        <v>0</v>
      </c>
      <c r="K234" s="10">
        <f t="shared" si="17"/>
        <v>52.352777777763549</v>
      </c>
      <c r="L234" s="1" t="str">
        <f t="shared" si="18"/>
        <v>OK</v>
      </c>
      <c r="M234" s="1">
        <f t="shared" si="15"/>
        <v>1</v>
      </c>
      <c r="N234" s="1">
        <f t="shared" si="16"/>
        <v>200</v>
      </c>
      <c r="O234" s="10">
        <f t="shared" si="19"/>
        <v>52.352777777763549</v>
      </c>
    </row>
    <row r="235" spans="1:15">
      <c r="A235" s="1" t="s">
        <v>334</v>
      </c>
      <c r="B235" s="23">
        <v>44948.65347222222</v>
      </c>
      <c r="C235" s="1" t="s">
        <v>16</v>
      </c>
      <c r="D235" s="1" t="s">
        <v>17</v>
      </c>
      <c r="E235" s="1" t="s">
        <v>18</v>
      </c>
      <c r="F235" s="1" t="s">
        <v>96</v>
      </c>
      <c r="G235" s="1">
        <v>431</v>
      </c>
      <c r="H235" s="23">
        <v>44950.461608796293</v>
      </c>
      <c r="I235" s="1" t="b">
        <v>0</v>
      </c>
      <c r="K235" s="10">
        <f t="shared" si="17"/>
        <v>43.395277777744923</v>
      </c>
      <c r="L235" s="1" t="str">
        <f t="shared" si="18"/>
        <v>OK</v>
      </c>
      <c r="M235" s="1">
        <f t="shared" si="15"/>
        <v>1</v>
      </c>
      <c r="N235" s="1">
        <f t="shared" si="16"/>
        <v>431</v>
      </c>
      <c r="O235" s="10">
        <f t="shared" si="19"/>
        <v>43.395277777744923</v>
      </c>
    </row>
    <row r="236" spans="1:15">
      <c r="A236" s="1" t="s">
        <v>335</v>
      </c>
      <c r="B236" s="23">
        <v>44948.958333333336</v>
      </c>
      <c r="C236" s="1" t="s">
        <v>16</v>
      </c>
      <c r="D236" s="1" t="s">
        <v>21</v>
      </c>
      <c r="E236" s="1" t="s">
        <v>18</v>
      </c>
      <c r="F236" s="1" t="s">
        <v>239</v>
      </c>
      <c r="G236" s="1">
        <v>293</v>
      </c>
      <c r="H236" s="23">
        <v>44949.870532407411</v>
      </c>
      <c r="I236" s="1" t="b">
        <v>0</v>
      </c>
      <c r="K236" s="10">
        <f t="shared" si="17"/>
        <v>21.892777777800802</v>
      </c>
      <c r="L236" s="1" t="str">
        <f t="shared" si="18"/>
        <v>OK</v>
      </c>
      <c r="M236" s="1">
        <f t="shared" si="15"/>
        <v>1</v>
      </c>
      <c r="N236" s="1">
        <f t="shared" si="16"/>
        <v>293</v>
      </c>
      <c r="O236" s="10">
        <f t="shared" si="19"/>
        <v>21.892777777800802</v>
      </c>
    </row>
    <row r="237" spans="1:15">
      <c r="A237" s="1" t="s">
        <v>336</v>
      </c>
      <c r="B237" s="23">
        <v>44948.961111111108</v>
      </c>
      <c r="C237" s="1" t="s">
        <v>43</v>
      </c>
      <c r="D237" s="1" t="s">
        <v>21</v>
      </c>
      <c r="E237" s="1" t="s">
        <v>33</v>
      </c>
      <c r="F237" s="1" t="s">
        <v>19</v>
      </c>
      <c r="G237" s="1">
        <v>210</v>
      </c>
      <c r="H237" s="23">
        <v>44950.596655092595</v>
      </c>
      <c r="I237" s="1" t="b">
        <v>0</v>
      </c>
      <c r="K237" s="10">
        <f t="shared" si="17"/>
        <v>39.253055555687752</v>
      </c>
      <c r="L237" s="1" t="str">
        <f t="shared" si="18"/>
        <v>OK</v>
      </c>
      <c r="M237" s="1">
        <f t="shared" si="15"/>
        <v>1</v>
      </c>
      <c r="N237" s="1">
        <f t="shared" si="16"/>
        <v>210</v>
      </c>
      <c r="O237" s="10">
        <f t="shared" si="19"/>
        <v>39.253055555687752</v>
      </c>
    </row>
    <row r="238" spans="1:15">
      <c r="A238" s="1" t="s">
        <v>337</v>
      </c>
      <c r="B238" s="23">
        <v>44949.009722222225</v>
      </c>
      <c r="C238" s="1" t="s">
        <v>43</v>
      </c>
      <c r="D238" s="1" t="s">
        <v>17</v>
      </c>
      <c r="E238" s="1" t="s">
        <v>22</v>
      </c>
      <c r="F238" s="1" t="s">
        <v>46</v>
      </c>
      <c r="H238" s="23">
        <v>44950.302662037036</v>
      </c>
      <c r="I238" s="1" t="b">
        <v>0</v>
      </c>
      <c r="J238" s="1">
        <v>4</v>
      </c>
      <c r="K238" s="10">
        <f t="shared" si="17"/>
        <v>31.030555555480532</v>
      </c>
      <c r="L238" s="1" t="str">
        <f t="shared" si="18"/>
        <v>Cannot check</v>
      </c>
      <c r="M238" s="1">
        <f t="shared" si="15"/>
        <v>1</v>
      </c>
      <c r="N238" s="1" t="str">
        <f t="shared" si="16"/>
        <v/>
      </c>
      <c r="O238" s="10">
        <f t="shared" si="19"/>
        <v>31.030555555480532</v>
      </c>
    </row>
    <row r="239" spans="1:15">
      <c r="A239" s="1" t="s">
        <v>338</v>
      </c>
      <c r="B239" s="23">
        <v>44949.227777777778</v>
      </c>
      <c r="C239" s="1" t="s">
        <v>16</v>
      </c>
      <c r="D239" s="1" t="s">
        <v>17</v>
      </c>
      <c r="E239" s="1" t="s">
        <v>13</v>
      </c>
      <c r="F239" s="1" t="s">
        <v>44</v>
      </c>
      <c r="G239" s="1">
        <v>187</v>
      </c>
      <c r="H239" s="23">
        <v>44951.462384259263</v>
      </c>
      <c r="I239" s="1" t="b">
        <v>0</v>
      </c>
      <c r="K239" s="10">
        <f t="shared" si="17"/>
        <v>53.630555555631872</v>
      </c>
      <c r="L239" s="1" t="str">
        <f t="shared" si="18"/>
        <v>OK</v>
      </c>
      <c r="M239" s="1">
        <f t="shared" si="15"/>
        <v>1</v>
      </c>
      <c r="N239" s="1">
        <f t="shared" si="16"/>
        <v>187</v>
      </c>
      <c r="O239" s="10">
        <f t="shared" si="19"/>
        <v>53.630555555631872</v>
      </c>
    </row>
    <row r="240" spans="1:15">
      <c r="A240" s="1" t="s">
        <v>339</v>
      </c>
      <c r="B240" s="23">
        <v>44949.568749999999</v>
      </c>
      <c r="C240" s="1" t="s">
        <v>16</v>
      </c>
      <c r="D240" s="1" t="s">
        <v>26</v>
      </c>
      <c r="E240" s="1" t="s">
        <v>18</v>
      </c>
      <c r="F240" s="1" t="s">
        <v>206</v>
      </c>
      <c r="G240" s="1">
        <v>214</v>
      </c>
      <c r="H240" s="23">
        <v>44967.663310185184</v>
      </c>
      <c r="I240" s="1" t="b">
        <v>0</v>
      </c>
      <c r="K240" s="10">
        <f t="shared" si="17"/>
        <v>434.26944444444962</v>
      </c>
      <c r="L240" s="1" t="str">
        <f t="shared" si="18"/>
        <v>OK</v>
      </c>
      <c r="M240" s="1">
        <f t="shared" si="15"/>
        <v>1</v>
      </c>
      <c r="N240" s="1">
        <f t="shared" si="16"/>
        <v>214</v>
      </c>
      <c r="O240" s="10">
        <f t="shared" si="19"/>
        <v>434.26944444444962</v>
      </c>
    </row>
    <row r="241" spans="1:15">
      <c r="A241" s="1" t="s">
        <v>340</v>
      </c>
      <c r="B241" s="23">
        <v>44949.673611111109</v>
      </c>
      <c r="C241" s="1" t="s">
        <v>16</v>
      </c>
      <c r="D241" s="1" t="s">
        <v>21</v>
      </c>
      <c r="E241" s="1" t="s">
        <v>33</v>
      </c>
      <c r="F241" s="1" t="s">
        <v>50</v>
      </c>
      <c r="G241" s="1">
        <v>181</v>
      </c>
      <c r="H241" s="23">
        <v>44951.003171296295</v>
      </c>
      <c r="I241" s="1" t="b">
        <v>0</v>
      </c>
      <c r="K241" s="10">
        <f t="shared" si="17"/>
        <v>31.909444444463588</v>
      </c>
      <c r="L241" s="1" t="str">
        <f t="shared" si="18"/>
        <v>OK</v>
      </c>
      <c r="M241" s="1">
        <f t="shared" si="15"/>
        <v>1</v>
      </c>
      <c r="N241" s="1">
        <f t="shared" si="16"/>
        <v>181</v>
      </c>
      <c r="O241" s="10">
        <f t="shared" si="19"/>
        <v>31.909444444463588</v>
      </c>
    </row>
    <row r="242" spans="1:15">
      <c r="A242" s="1" t="s">
        <v>341</v>
      </c>
      <c r="B242" s="23">
        <v>44949.686805555553</v>
      </c>
      <c r="C242" s="1" t="s">
        <v>25</v>
      </c>
      <c r="D242" s="1" t="s">
        <v>17</v>
      </c>
      <c r="E242" s="1" t="s">
        <v>33</v>
      </c>
      <c r="F242" s="1" t="s">
        <v>92</v>
      </c>
      <c r="G242" s="1">
        <v>76</v>
      </c>
      <c r="H242" s="23">
        <v>44958.178796296299</v>
      </c>
      <c r="I242" s="1" t="b">
        <v>0</v>
      </c>
      <c r="J242" s="1">
        <v>4</v>
      </c>
      <c r="K242" s="10">
        <f t="shared" si="17"/>
        <v>203.80777777789626</v>
      </c>
      <c r="L242" s="1" t="str">
        <f t="shared" si="18"/>
        <v>OK</v>
      </c>
      <c r="M242" s="1">
        <f t="shared" si="15"/>
        <v>1</v>
      </c>
      <c r="N242" s="1">
        <f t="shared" si="16"/>
        <v>76</v>
      </c>
      <c r="O242" s="10">
        <f t="shared" si="19"/>
        <v>203.80777777789626</v>
      </c>
    </row>
    <row r="243" spans="1:15">
      <c r="A243" s="1" t="s">
        <v>342</v>
      </c>
      <c r="B243" s="23">
        <v>44949.706250000003</v>
      </c>
      <c r="C243" s="1" t="s">
        <v>16</v>
      </c>
      <c r="D243" s="1" t="s">
        <v>59</v>
      </c>
      <c r="E243" s="1" t="s">
        <v>18</v>
      </c>
      <c r="F243" s="1" t="s">
        <v>46</v>
      </c>
      <c r="G243" s="1">
        <v>439</v>
      </c>
      <c r="H243" s="23">
        <v>44950.630937499998</v>
      </c>
      <c r="I243" s="1" t="b">
        <v>1</v>
      </c>
      <c r="J243" s="1">
        <v>4</v>
      </c>
      <c r="K243" s="10">
        <f t="shared" si="17"/>
        <v>22.192499999888241</v>
      </c>
      <c r="L243" s="1" t="str">
        <f t="shared" si="18"/>
        <v>OK</v>
      </c>
      <c r="M243" s="1">
        <f t="shared" si="15"/>
        <v>1</v>
      </c>
      <c r="N243" s="1">
        <f t="shared" si="16"/>
        <v>439</v>
      </c>
      <c r="O243" s="10">
        <f t="shared" si="19"/>
        <v>22.192499999888241</v>
      </c>
    </row>
    <row r="244" spans="1:15">
      <c r="A244" s="1" t="s">
        <v>343</v>
      </c>
      <c r="B244" s="23">
        <v>44949.752083333333</v>
      </c>
      <c r="C244" s="1" t="s">
        <v>11</v>
      </c>
      <c r="D244" s="1" t="s">
        <v>21</v>
      </c>
      <c r="E244" s="1" t="s">
        <v>22</v>
      </c>
      <c r="F244" s="1" t="s">
        <v>90</v>
      </c>
      <c r="G244" s="1">
        <v>18</v>
      </c>
      <c r="H244" s="23">
        <v>44949.931863425925</v>
      </c>
      <c r="I244" s="1" t="b">
        <v>0</v>
      </c>
      <c r="K244" s="10">
        <f t="shared" si="17"/>
        <v>4.3147222222178243</v>
      </c>
      <c r="L244" s="1" t="str">
        <f t="shared" si="18"/>
        <v>OK</v>
      </c>
      <c r="M244" s="1">
        <f t="shared" si="15"/>
        <v>1</v>
      </c>
      <c r="N244" s="1">
        <f t="shared" si="16"/>
        <v>18</v>
      </c>
      <c r="O244" s="10">
        <f t="shared" si="19"/>
        <v>4.3147222222178243</v>
      </c>
    </row>
    <row r="245" spans="1:15">
      <c r="A245" s="1" t="s">
        <v>344</v>
      </c>
      <c r="B245" s="23">
        <v>44950.080555555556</v>
      </c>
      <c r="C245" s="1" t="s">
        <v>16</v>
      </c>
      <c r="D245" s="1" t="s">
        <v>12</v>
      </c>
      <c r="E245" s="1" t="s">
        <v>13</v>
      </c>
      <c r="F245" s="1" t="s">
        <v>345</v>
      </c>
      <c r="G245" s="1">
        <v>53</v>
      </c>
      <c r="H245" s="23">
        <v>44950.248726851853</v>
      </c>
      <c r="I245" s="1" t="b">
        <v>0</v>
      </c>
      <c r="K245" s="10">
        <f t="shared" si="17"/>
        <v>4.0361111111124046</v>
      </c>
      <c r="L245" s="1" t="str">
        <f t="shared" si="18"/>
        <v>OK</v>
      </c>
      <c r="M245" s="1">
        <f t="shared" si="15"/>
        <v>1</v>
      </c>
      <c r="N245" s="1">
        <f t="shared" si="16"/>
        <v>53</v>
      </c>
      <c r="O245" s="10">
        <f t="shared" si="19"/>
        <v>4.0361111111124046</v>
      </c>
    </row>
    <row r="246" spans="1:15">
      <c r="A246" s="1" t="s">
        <v>346</v>
      </c>
      <c r="B246" s="23">
        <v>44950.140277777777</v>
      </c>
      <c r="C246" s="1" t="s">
        <v>25</v>
      </c>
      <c r="D246" s="1" t="s">
        <v>17</v>
      </c>
      <c r="E246" s="1" t="s">
        <v>18</v>
      </c>
      <c r="F246" s="1" t="s">
        <v>128</v>
      </c>
      <c r="G246" s="1">
        <v>44</v>
      </c>
      <c r="H246" s="23">
        <v>44952.762037037035</v>
      </c>
      <c r="I246" s="1" t="b">
        <v>1</v>
      </c>
      <c r="K246" s="10">
        <f t="shared" si="17"/>
        <v>62.922222222201526</v>
      </c>
      <c r="L246" s="1" t="str">
        <f t="shared" si="18"/>
        <v>OK</v>
      </c>
      <c r="M246" s="1">
        <f t="shared" si="15"/>
        <v>1</v>
      </c>
      <c r="N246" s="1">
        <f t="shared" si="16"/>
        <v>44</v>
      </c>
      <c r="O246" s="10">
        <f t="shared" si="19"/>
        <v>62.922222222201526</v>
      </c>
    </row>
    <row r="247" spans="1:15">
      <c r="A247" s="1" t="s">
        <v>347</v>
      </c>
      <c r="B247" s="23">
        <v>44950.353472222225</v>
      </c>
      <c r="C247" s="1" t="s">
        <v>16</v>
      </c>
      <c r="D247" s="1" t="s">
        <v>26</v>
      </c>
      <c r="E247" s="1" t="s">
        <v>13</v>
      </c>
      <c r="F247" s="1" t="s">
        <v>224</v>
      </c>
      <c r="G247" s="1">
        <v>80</v>
      </c>
      <c r="H247" s="23">
        <v>44953.177025462966</v>
      </c>
      <c r="I247" s="1" t="b">
        <v>1</v>
      </c>
      <c r="K247" s="10">
        <f t="shared" si="17"/>
        <v>67.765277777798474</v>
      </c>
      <c r="L247" s="1" t="str">
        <f t="shared" si="18"/>
        <v>OK</v>
      </c>
      <c r="M247" s="1">
        <f t="shared" si="15"/>
        <v>1</v>
      </c>
      <c r="N247" s="1">
        <f t="shared" si="16"/>
        <v>80</v>
      </c>
      <c r="O247" s="10">
        <f t="shared" si="19"/>
        <v>67.765277777798474</v>
      </c>
    </row>
    <row r="248" spans="1:15">
      <c r="A248" s="1" t="s">
        <v>348</v>
      </c>
      <c r="B248" s="23">
        <v>44950.45416666667</v>
      </c>
      <c r="C248" s="1" t="s">
        <v>16</v>
      </c>
      <c r="D248" s="1" t="s">
        <v>26</v>
      </c>
      <c r="E248" s="1" t="s">
        <v>18</v>
      </c>
      <c r="F248" s="1" t="s">
        <v>96</v>
      </c>
      <c r="G248" s="1">
        <v>169</v>
      </c>
      <c r="H248" s="23">
        <v>44953.047511574077</v>
      </c>
      <c r="I248" s="1" t="b">
        <v>0</v>
      </c>
      <c r="K248" s="10">
        <f t="shared" si="17"/>
        <v>62.240277777775191</v>
      </c>
      <c r="L248" s="1" t="str">
        <f t="shared" si="18"/>
        <v>OK</v>
      </c>
      <c r="M248" s="1">
        <f t="shared" si="15"/>
        <v>1</v>
      </c>
      <c r="N248" s="1">
        <f t="shared" si="16"/>
        <v>169</v>
      </c>
      <c r="O248" s="10">
        <f t="shared" si="19"/>
        <v>62.240277777775191</v>
      </c>
    </row>
    <row r="249" spans="1:15">
      <c r="A249" s="1" t="s">
        <v>349</v>
      </c>
      <c r="B249" s="23">
        <v>44950.475694444445</v>
      </c>
      <c r="C249" s="1" t="s">
        <v>16</v>
      </c>
      <c r="D249" s="1" t="s">
        <v>26</v>
      </c>
      <c r="E249" s="1" t="s">
        <v>18</v>
      </c>
      <c r="F249" s="1" t="s">
        <v>78</v>
      </c>
      <c r="H249" s="23">
        <v>44955.422372685185</v>
      </c>
      <c r="I249" s="1" t="b">
        <v>0</v>
      </c>
      <c r="J249" s="1">
        <v>5</v>
      </c>
      <c r="K249" s="10">
        <f t="shared" si="17"/>
        <v>118.72027777775656</v>
      </c>
      <c r="L249" s="1" t="str">
        <f t="shared" si="18"/>
        <v>Cannot check</v>
      </c>
      <c r="M249" s="1">
        <f t="shared" si="15"/>
        <v>1</v>
      </c>
      <c r="N249" s="1" t="str">
        <f t="shared" si="16"/>
        <v/>
      </c>
      <c r="O249" s="10">
        <f t="shared" si="19"/>
        <v>118.72027777775656</v>
      </c>
    </row>
    <row r="250" spans="1:15">
      <c r="A250" s="1" t="s">
        <v>350</v>
      </c>
      <c r="B250" s="23">
        <v>44950.536111111112</v>
      </c>
      <c r="C250" s="1" t="s">
        <v>25</v>
      </c>
      <c r="D250" s="1" t="s">
        <v>26</v>
      </c>
      <c r="E250" s="1" t="s">
        <v>13</v>
      </c>
      <c r="F250" s="1" t="s">
        <v>46</v>
      </c>
      <c r="G250" s="1">
        <v>24</v>
      </c>
      <c r="H250" s="23">
        <v>44951.778807870367</v>
      </c>
      <c r="I250" s="1" t="b">
        <v>0</v>
      </c>
      <c r="K250" s="10">
        <f t="shared" si="17"/>
        <v>29.824722222110722</v>
      </c>
      <c r="L250" s="1" t="str">
        <f t="shared" si="18"/>
        <v>OK</v>
      </c>
      <c r="M250" s="1">
        <f t="shared" si="15"/>
        <v>1</v>
      </c>
      <c r="N250" s="1">
        <f t="shared" si="16"/>
        <v>24</v>
      </c>
      <c r="O250" s="10">
        <f t="shared" si="19"/>
        <v>29.824722222110722</v>
      </c>
    </row>
    <row r="251" spans="1:15">
      <c r="A251" s="1" t="s">
        <v>351</v>
      </c>
      <c r="B251" s="23">
        <v>44950.629861111112</v>
      </c>
      <c r="C251" s="1" t="s">
        <v>25</v>
      </c>
      <c r="D251" s="1" t="s">
        <v>21</v>
      </c>
      <c r="E251" s="1" t="s">
        <v>18</v>
      </c>
      <c r="F251" s="1" t="s">
        <v>254</v>
      </c>
      <c r="G251" s="1">
        <v>177</v>
      </c>
      <c r="H251" s="23">
        <v>44951.113888888889</v>
      </c>
      <c r="I251" s="1" t="b">
        <v>0</v>
      </c>
      <c r="K251" s="10">
        <f t="shared" si="17"/>
        <v>11.616666666639503</v>
      </c>
      <c r="L251" s="1" t="str">
        <f t="shared" si="18"/>
        <v>OK</v>
      </c>
      <c r="M251" s="1">
        <f t="shared" si="15"/>
        <v>1</v>
      </c>
      <c r="N251" s="1">
        <f t="shared" si="16"/>
        <v>177</v>
      </c>
      <c r="O251" s="10">
        <f t="shared" si="19"/>
        <v>11.616666666639503</v>
      </c>
    </row>
    <row r="252" spans="1:15">
      <c r="A252" s="1" t="s">
        <v>352</v>
      </c>
      <c r="B252" s="23">
        <v>44950.65902777778</v>
      </c>
      <c r="C252" s="1" t="s">
        <v>11</v>
      </c>
      <c r="D252" s="1" t="s">
        <v>21</v>
      </c>
      <c r="E252" s="1" t="s">
        <v>13</v>
      </c>
      <c r="F252" s="1" t="s">
        <v>215</v>
      </c>
      <c r="G252" s="1">
        <v>17</v>
      </c>
      <c r="H252" s="23">
        <v>44950.771296296298</v>
      </c>
      <c r="I252" s="1" t="b">
        <v>0</v>
      </c>
      <c r="K252" s="10">
        <f t="shared" si="17"/>
        <v>2.6944444444379769</v>
      </c>
      <c r="L252" s="1" t="str">
        <f t="shared" si="18"/>
        <v>OK</v>
      </c>
      <c r="M252" s="1">
        <f t="shared" si="15"/>
        <v>1</v>
      </c>
      <c r="N252" s="1">
        <f t="shared" si="16"/>
        <v>17</v>
      </c>
      <c r="O252" s="10">
        <f t="shared" si="19"/>
        <v>2.6944444444379769</v>
      </c>
    </row>
    <row r="253" spans="1:15">
      <c r="A253" s="1" t="s">
        <v>353</v>
      </c>
      <c r="B253" s="23">
        <v>44950.790972222225</v>
      </c>
      <c r="C253" s="1" t="s">
        <v>11</v>
      </c>
      <c r="D253" s="1" t="s">
        <v>21</v>
      </c>
      <c r="E253" s="1" t="s">
        <v>18</v>
      </c>
      <c r="F253" s="1" t="s">
        <v>228</v>
      </c>
      <c r="G253" s="1">
        <v>161</v>
      </c>
      <c r="H253" s="23">
        <v>44950.992476851854</v>
      </c>
      <c r="I253" s="1" t="b">
        <v>0</v>
      </c>
      <c r="K253" s="10">
        <f t="shared" si="17"/>
        <v>4.8361111111007631</v>
      </c>
      <c r="L253" s="1" t="str">
        <f t="shared" si="18"/>
        <v>OK</v>
      </c>
      <c r="M253" s="1">
        <f t="shared" si="15"/>
        <v>1</v>
      </c>
      <c r="N253" s="1">
        <f t="shared" si="16"/>
        <v>161</v>
      </c>
      <c r="O253" s="10">
        <f t="shared" si="19"/>
        <v>4.8361111111007631</v>
      </c>
    </row>
    <row r="254" spans="1:15">
      <c r="A254" s="1" t="s">
        <v>354</v>
      </c>
      <c r="B254" s="23">
        <v>44950.810416666667</v>
      </c>
      <c r="C254" s="1" t="s">
        <v>25</v>
      </c>
      <c r="D254" s="1" t="s">
        <v>21</v>
      </c>
      <c r="E254" s="1" t="s">
        <v>18</v>
      </c>
      <c r="F254" s="1" t="s">
        <v>274</v>
      </c>
      <c r="G254" s="1">
        <v>36</v>
      </c>
      <c r="H254" s="23">
        <v>44952.444386574076</v>
      </c>
      <c r="I254" s="1" t="b">
        <v>0</v>
      </c>
      <c r="J254" s="1">
        <v>5</v>
      </c>
      <c r="K254" s="10">
        <f t="shared" si="17"/>
        <v>39.215277777810115</v>
      </c>
      <c r="L254" s="1" t="str">
        <f t="shared" si="18"/>
        <v>OK</v>
      </c>
      <c r="M254" s="1">
        <f t="shared" si="15"/>
        <v>1</v>
      </c>
      <c r="N254" s="1">
        <f t="shared" si="16"/>
        <v>36</v>
      </c>
      <c r="O254" s="10">
        <f t="shared" si="19"/>
        <v>39.215277777810115</v>
      </c>
    </row>
    <row r="255" spans="1:15">
      <c r="A255" s="1" t="s">
        <v>355</v>
      </c>
      <c r="B255" s="23">
        <v>44950.822222222225</v>
      </c>
      <c r="C255" s="1" t="s">
        <v>11</v>
      </c>
      <c r="D255" s="1" t="s">
        <v>26</v>
      </c>
      <c r="E255" s="1" t="s">
        <v>33</v>
      </c>
      <c r="F255" s="1" t="s">
        <v>100</v>
      </c>
      <c r="G255" s="1">
        <v>65</v>
      </c>
      <c r="H255" s="23">
        <v>44951.838703703703</v>
      </c>
      <c r="I255" s="1" t="b">
        <v>0</v>
      </c>
      <c r="K255" s="10">
        <f t="shared" si="17"/>
        <v>24.395555555471219</v>
      </c>
      <c r="L255" s="1" t="str">
        <f t="shared" si="18"/>
        <v>OK</v>
      </c>
      <c r="M255" s="1">
        <f t="shared" si="15"/>
        <v>1</v>
      </c>
      <c r="N255" s="1">
        <f t="shared" si="16"/>
        <v>65</v>
      </c>
      <c r="O255" s="10">
        <f t="shared" si="19"/>
        <v>24.395555555471219</v>
      </c>
    </row>
    <row r="256" spans="1:15">
      <c r="A256" s="1" t="s">
        <v>356</v>
      </c>
      <c r="B256" s="23">
        <v>44951.053472222222</v>
      </c>
      <c r="C256" s="1" t="s">
        <v>25</v>
      </c>
      <c r="D256" s="1" t="s">
        <v>59</v>
      </c>
      <c r="E256" s="1" t="s">
        <v>18</v>
      </c>
      <c r="F256" s="1" t="s">
        <v>60</v>
      </c>
      <c r="G256" s="1">
        <v>88</v>
      </c>
      <c r="H256" s="23">
        <v>44951.393935185188</v>
      </c>
      <c r="I256" s="1" t="b">
        <v>0</v>
      </c>
      <c r="K256" s="10">
        <f t="shared" si="17"/>
        <v>8.1711111111799255</v>
      </c>
      <c r="L256" s="1" t="str">
        <f t="shared" si="18"/>
        <v>OK</v>
      </c>
      <c r="M256" s="1">
        <f t="shared" si="15"/>
        <v>1</v>
      </c>
      <c r="N256" s="1">
        <f t="shared" si="16"/>
        <v>88</v>
      </c>
      <c r="O256" s="10">
        <f t="shared" si="19"/>
        <v>8.1711111111799255</v>
      </c>
    </row>
    <row r="257" spans="1:15">
      <c r="A257" s="1" t="s">
        <v>357</v>
      </c>
      <c r="B257" s="23">
        <v>44951.168055555558</v>
      </c>
      <c r="C257" s="1" t="s">
        <v>25</v>
      </c>
      <c r="D257" s="1" t="s">
        <v>12</v>
      </c>
      <c r="E257" s="1" t="s">
        <v>13</v>
      </c>
      <c r="F257" s="1" t="s">
        <v>118</v>
      </c>
      <c r="G257" s="1">
        <v>35</v>
      </c>
      <c r="H257" s="23">
        <v>44951.895972222221</v>
      </c>
      <c r="I257" s="1" t="b">
        <v>0</v>
      </c>
      <c r="K257" s="10">
        <f t="shared" si="17"/>
        <v>17.469999999913853</v>
      </c>
      <c r="L257" s="1" t="str">
        <f t="shared" si="18"/>
        <v>OK</v>
      </c>
      <c r="M257" s="1">
        <f t="shared" si="15"/>
        <v>1</v>
      </c>
      <c r="N257" s="1">
        <f t="shared" si="16"/>
        <v>35</v>
      </c>
      <c r="O257" s="10">
        <f t="shared" si="19"/>
        <v>17.469999999913853</v>
      </c>
    </row>
    <row r="258" spans="1:15">
      <c r="A258" s="1" t="s">
        <v>358</v>
      </c>
      <c r="B258" s="23">
        <v>44951.179166666669</v>
      </c>
      <c r="C258" s="1" t="s">
        <v>43</v>
      </c>
      <c r="D258" s="1" t="s">
        <v>21</v>
      </c>
      <c r="E258" s="1" t="s">
        <v>18</v>
      </c>
      <c r="F258" s="1" t="s">
        <v>23</v>
      </c>
      <c r="H258" s="23">
        <v>44953.940208333333</v>
      </c>
      <c r="I258" s="1" t="b">
        <v>0</v>
      </c>
      <c r="K258" s="10">
        <f t="shared" si="17"/>
        <v>66.264999999955762</v>
      </c>
      <c r="L258" s="1" t="str">
        <f t="shared" si="18"/>
        <v>Cannot check</v>
      </c>
      <c r="M258" s="1">
        <f t="shared" ref="M258:M321" si="20">COUNTIF($A$2:$A$4001,A258)</f>
        <v>1</v>
      </c>
      <c r="N258" s="1" t="str">
        <f t="shared" ref="N258:N321" si="21">IF(OR(L258="Review",G258=""),"",G258)</f>
        <v/>
      </c>
      <c r="O258" s="10">
        <f t="shared" si="19"/>
        <v>66.264999999955762</v>
      </c>
    </row>
    <row r="259" spans="1:15">
      <c r="A259" s="1" t="s">
        <v>359</v>
      </c>
      <c r="B259" s="23">
        <v>44951.32708333333</v>
      </c>
      <c r="C259" s="1" t="s">
        <v>25</v>
      </c>
      <c r="D259" s="1" t="s">
        <v>59</v>
      </c>
      <c r="E259" s="1" t="s">
        <v>18</v>
      </c>
      <c r="F259" s="1" t="s">
        <v>60</v>
      </c>
      <c r="G259" s="1">
        <v>239</v>
      </c>
      <c r="H259" s="23">
        <v>44952.342106481483</v>
      </c>
      <c r="I259" s="1" t="b">
        <v>0</v>
      </c>
      <c r="K259" s="10">
        <f t="shared" ref="K259:K322" si="22">IF(H259="","",(H259-B259)*24)</f>
        <v>24.360555555671453</v>
      </c>
      <c r="L259" s="1" t="str">
        <f t="shared" ref="L259:L322" si="23">IF(OR(G259="",K259=""),"Cannot check",IF(G259&gt;K259*60,"Review","OK"))</f>
        <v>OK</v>
      </c>
      <c r="M259" s="1">
        <f t="shared" si="20"/>
        <v>1</v>
      </c>
      <c r="N259" s="1">
        <f t="shared" si="21"/>
        <v>239</v>
      </c>
      <c r="O259" s="10">
        <f t="shared" ref="O259:O322" si="24">IF(OR(L259="Review",K259=""),"",K259)</f>
        <v>24.360555555671453</v>
      </c>
    </row>
    <row r="260" spans="1:15">
      <c r="A260" s="1" t="s">
        <v>360</v>
      </c>
      <c r="B260" s="23">
        <v>44951.39166666667</v>
      </c>
      <c r="C260" s="1" t="s">
        <v>16</v>
      </c>
      <c r="D260" s="1" t="s">
        <v>21</v>
      </c>
      <c r="E260" s="1" t="s">
        <v>18</v>
      </c>
      <c r="F260" s="1" t="s">
        <v>70</v>
      </c>
      <c r="G260" s="1">
        <v>239</v>
      </c>
      <c r="H260" s="23">
        <v>44951.453483796293</v>
      </c>
      <c r="I260" s="1" t="b">
        <v>0</v>
      </c>
      <c r="K260" s="10">
        <f t="shared" si="22"/>
        <v>1.4836111109470949</v>
      </c>
      <c r="L260" s="1" t="str">
        <f t="shared" si="23"/>
        <v>Review</v>
      </c>
      <c r="M260" s="1">
        <f t="shared" si="20"/>
        <v>1</v>
      </c>
      <c r="N260" s="1" t="str">
        <f t="shared" si="21"/>
        <v/>
      </c>
      <c r="O260" s="10" t="str">
        <f t="shared" si="24"/>
        <v/>
      </c>
    </row>
    <row r="261" spans="1:15">
      <c r="A261" s="1" t="s">
        <v>361</v>
      </c>
      <c r="B261" s="23">
        <v>44951.633333333331</v>
      </c>
      <c r="C261" s="1" t="s">
        <v>25</v>
      </c>
      <c r="D261" s="1" t="s">
        <v>12</v>
      </c>
      <c r="E261" s="1" t="s">
        <v>13</v>
      </c>
      <c r="F261" s="1" t="s">
        <v>96</v>
      </c>
      <c r="G261" s="1">
        <v>82</v>
      </c>
      <c r="H261" s="23">
        <v>44952.020300925928</v>
      </c>
      <c r="I261" s="1" t="b">
        <v>1</v>
      </c>
      <c r="K261" s="10">
        <f t="shared" si="22"/>
        <v>9.2872222223086283</v>
      </c>
      <c r="L261" s="1" t="str">
        <f t="shared" si="23"/>
        <v>OK</v>
      </c>
      <c r="M261" s="1">
        <f t="shared" si="20"/>
        <v>1</v>
      </c>
      <c r="N261" s="1">
        <f t="shared" si="21"/>
        <v>82</v>
      </c>
      <c r="O261" s="10">
        <f t="shared" si="24"/>
        <v>9.2872222223086283</v>
      </c>
    </row>
    <row r="262" spans="1:15">
      <c r="A262" s="1" t="s">
        <v>362</v>
      </c>
      <c r="B262" s="23">
        <v>44951.727083333331</v>
      </c>
      <c r="C262" s="1" t="s">
        <v>43</v>
      </c>
      <c r="D262" s="1" t="s">
        <v>26</v>
      </c>
      <c r="E262" s="1" t="s">
        <v>33</v>
      </c>
      <c r="F262" s="1" t="s">
        <v>167</v>
      </c>
      <c r="G262" s="1">
        <v>836</v>
      </c>
      <c r="H262" s="23">
        <v>44953.100324074076</v>
      </c>
      <c r="I262" s="1" t="b">
        <v>0</v>
      </c>
      <c r="K262" s="10">
        <f t="shared" si="22"/>
        <v>32.957777777861338</v>
      </c>
      <c r="L262" s="1" t="str">
        <f t="shared" si="23"/>
        <v>OK</v>
      </c>
      <c r="M262" s="1">
        <f t="shared" si="20"/>
        <v>1</v>
      </c>
      <c r="N262" s="1">
        <f t="shared" si="21"/>
        <v>836</v>
      </c>
      <c r="O262" s="10">
        <f t="shared" si="24"/>
        <v>32.957777777861338</v>
      </c>
    </row>
    <row r="263" spans="1:15">
      <c r="A263" s="1" t="s">
        <v>363</v>
      </c>
      <c r="B263" s="23">
        <v>44951.811805555553</v>
      </c>
      <c r="C263" s="1" t="s">
        <v>25</v>
      </c>
      <c r="D263" s="1" t="s">
        <v>21</v>
      </c>
      <c r="E263" s="1" t="s">
        <v>18</v>
      </c>
      <c r="F263" s="1" t="s">
        <v>94</v>
      </c>
      <c r="G263" s="1">
        <v>55</v>
      </c>
      <c r="H263" s="23">
        <v>44953.68378472222</v>
      </c>
      <c r="I263" s="1" t="b">
        <v>0</v>
      </c>
      <c r="J263" s="1">
        <v>5</v>
      </c>
      <c r="K263" s="10">
        <f t="shared" si="22"/>
        <v>44.927499999990687</v>
      </c>
      <c r="L263" s="1" t="str">
        <f t="shared" si="23"/>
        <v>OK</v>
      </c>
      <c r="M263" s="1">
        <f t="shared" si="20"/>
        <v>1</v>
      </c>
      <c r="N263" s="1">
        <f t="shared" si="21"/>
        <v>55</v>
      </c>
      <c r="O263" s="10">
        <f t="shared" si="24"/>
        <v>44.927499999990687</v>
      </c>
    </row>
    <row r="264" spans="1:15">
      <c r="A264" s="1" t="s">
        <v>364</v>
      </c>
      <c r="B264" s="23">
        <v>44951.830555555556</v>
      </c>
      <c r="C264" s="1" t="s">
        <v>11</v>
      </c>
      <c r="D264" s="1" t="s">
        <v>59</v>
      </c>
      <c r="E264" s="1" t="s">
        <v>13</v>
      </c>
      <c r="F264" s="1" t="s">
        <v>130</v>
      </c>
      <c r="G264" s="1">
        <v>133</v>
      </c>
      <c r="H264" s="23">
        <v>44951.955543981479</v>
      </c>
      <c r="I264" s="1" t="b">
        <v>0</v>
      </c>
      <c r="J264" s="1">
        <v>5</v>
      </c>
      <c r="K264" s="10">
        <f t="shared" si="22"/>
        <v>2.9997222221572883</v>
      </c>
      <c r="L264" s="1" t="str">
        <f t="shared" si="23"/>
        <v>OK</v>
      </c>
      <c r="M264" s="1">
        <f t="shared" si="20"/>
        <v>1</v>
      </c>
      <c r="N264" s="1">
        <f t="shared" si="21"/>
        <v>133</v>
      </c>
      <c r="O264" s="10">
        <f t="shared" si="24"/>
        <v>2.9997222221572883</v>
      </c>
    </row>
    <row r="265" spans="1:15">
      <c r="A265" s="1" t="s">
        <v>365</v>
      </c>
      <c r="B265" s="23">
        <v>44951.836805555555</v>
      </c>
      <c r="C265" s="1" t="s">
        <v>43</v>
      </c>
      <c r="D265" s="1" t="s">
        <v>21</v>
      </c>
      <c r="E265" s="1" t="s">
        <v>18</v>
      </c>
      <c r="F265" s="1" t="s">
        <v>256</v>
      </c>
      <c r="G265" s="1">
        <v>60</v>
      </c>
      <c r="H265" s="23">
        <v>44952.909861111111</v>
      </c>
      <c r="I265" s="1" t="b">
        <v>0</v>
      </c>
      <c r="K265" s="10">
        <f t="shared" si="22"/>
        <v>25.75333333335584</v>
      </c>
      <c r="L265" s="1" t="str">
        <f t="shared" si="23"/>
        <v>OK</v>
      </c>
      <c r="M265" s="1">
        <f t="shared" si="20"/>
        <v>1</v>
      </c>
      <c r="N265" s="1">
        <f t="shared" si="21"/>
        <v>60</v>
      </c>
      <c r="O265" s="10">
        <f t="shared" si="24"/>
        <v>25.75333333335584</v>
      </c>
    </row>
    <row r="266" spans="1:15">
      <c r="A266" s="1" t="s">
        <v>366</v>
      </c>
      <c r="B266" s="23">
        <v>44951.854166666664</v>
      </c>
      <c r="C266" s="1" t="s">
        <v>16</v>
      </c>
      <c r="D266" s="1" t="s">
        <v>21</v>
      </c>
      <c r="E266" s="1" t="s">
        <v>13</v>
      </c>
      <c r="F266" s="1" t="s">
        <v>367</v>
      </c>
      <c r="G266" s="1">
        <v>78</v>
      </c>
      <c r="H266" s="23">
        <v>44952.073240740741</v>
      </c>
      <c r="I266" s="1" t="b">
        <v>0</v>
      </c>
      <c r="J266" s="1">
        <v>2</v>
      </c>
      <c r="K266" s="10">
        <f t="shared" si="22"/>
        <v>5.2577777778496966</v>
      </c>
      <c r="L266" s="1" t="str">
        <f t="shared" si="23"/>
        <v>OK</v>
      </c>
      <c r="M266" s="1">
        <f t="shared" si="20"/>
        <v>1</v>
      </c>
      <c r="N266" s="1">
        <f t="shared" si="21"/>
        <v>78</v>
      </c>
      <c r="O266" s="10">
        <f t="shared" si="24"/>
        <v>5.2577777778496966</v>
      </c>
    </row>
    <row r="267" spans="1:15">
      <c r="A267" s="1" t="s">
        <v>368</v>
      </c>
      <c r="B267" s="23">
        <v>44951.861111111109</v>
      </c>
      <c r="C267" s="1" t="s">
        <v>16</v>
      </c>
      <c r="D267" s="1" t="s">
        <v>26</v>
      </c>
      <c r="E267" s="1" t="s">
        <v>13</v>
      </c>
      <c r="F267" s="1" t="s">
        <v>118</v>
      </c>
      <c r="G267" s="1">
        <v>60</v>
      </c>
      <c r="H267" s="23">
        <v>44952.552708333336</v>
      </c>
      <c r="I267" s="1" t="b">
        <v>0</v>
      </c>
      <c r="K267" s="10">
        <f t="shared" si="22"/>
        <v>16.598333333444316</v>
      </c>
      <c r="L267" s="1" t="str">
        <f t="shared" si="23"/>
        <v>OK</v>
      </c>
      <c r="M267" s="1">
        <f t="shared" si="20"/>
        <v>1</v>
      </c>
      <c r="N267" s="1">
        <f t="shared" si="21"/>
        <v>60</v>
      </c>
      <c r="O267" s="10">
        <f t="shared" si="24"/>
        <v>16.598333333444316</v>
      </c>
    </row>
    <row r="268" spans="1:15">
      <c r="A268" s="1" t="s">
        <v>369</v>
      </c>
      <c r="B268" s="23">
        <v>44951.954861111109</v>
      </c>
      <c r="C268" s="1" t="s">
        <v>43</v>
      </c>
      <c r="D268" s="1" t="s">
        <v>21</v>
      </c>
      <c r="E268" s="1" t="s">
        <v>22</v>
      </c>
      <c r="F268" s="1" t="s">
        <v>145</v>
      </c>
      <c r="G268" s="1">
        <v>19</v>
      </c>
      <c r="H268" s="23">
        <v>44952.443784722222</v>
      </c>
      <c r="I268" s="1" t="b">
        <v>0</v>
      </c>
      <c r="K268" s="10">
        <f t="shared" si="22"/>
        <v>11.734166666690726</v>
      </c>
      <c r="L268" s="1" t="str">
        <f t="shared" si="23"/>
        <v>OK</v>
      </c>
      <c r="M268" s="1">
        <f t="shared" si="20"/>
        <v>1</v>
      </c>
      <c r="N268" s="1">
        <f t="shared" si="21"/>
        <v>19</v>
      </c>
      <c r="O268" s="10">
        <f t="shared" si="24"/>
        <v>11.734166666690726</v>
      </c>
    </row>
    <row r="269" spans="1:15">
      <c r="A269" s="1" t="s">
        <v>370</v>
      </c>
      <c r="B269" s="23">
        <v>44952.020833333336</v>
      </c>
      <c r="C269" s="1" t="s">
        <v>16</v>
      </c>
      <c r="D269" s="1" t="s">
        <v>12</v>
      </c>
      <c r="E269" s="1" t="s">
        <v>13</v>
      </c>
      <c r="F269" s="1" t="s">
        <v>31</v>
      </c>
      <c r="G269" s="1">
        <v>110</v>
      </c>
      <c r="I269" s="1" t="b">
        <v>0</v>
      </c>
      <c r="K269" s="10" t="str">
        <f t="shared" si="22"/>
        <v/>
      </c>
      <c r="L269" s="1" t="str">
        <f t="shared" si="23"/>
        <v>Cannot check</v>
      </c>
      <c r="M269" s="1">
        <f t="shared" si="20"/>
        <v>1</v>
      </c>
      <c r="N269" s="1">
        <f t="shared" si="21"/>
        <v>110</v>
      </c>
      <c r="O269" s="10" t="str">
        <f t="shared" si="24"/>
        <v/>
      </c>
    </row>
    <row r="270" spans="1:15">
      <c r="A270" s="1" t="s">
        <v>371</v>
      </c>
      <c r="B270" s="23">
        <v>44952.025000000001</v>
      </c>
      <c r="C270" s="1" t="s">
        <v>43</v>
      </c>
      <c r="D270" s="1" t="s">
        <v>17</v>
      </c>
      <c r="E270" s="1" t="s">
        <v>13</v>
      </c>
      <c r="F270" s="1" t="s">
        <v>134</v>
      </c>
      <c r="G270" s="1">
        <v>155</v>
      </c>
      <c r="H270" s="23">
        <v>44952.774305555555</v>
      </c>
      <c r="I270" s="1" t="b">
        <v>0</v>
      </c>
      <c r="K270" s="10">
        <f t="shared" si="22"/>
        <v>17.983333333279006</v>
      </c>
      <c r="L270" s="1" t="str">
        <f t="shared" si="23"/>
        <v>OK</v>
      </c>
      <c r="M270" s="1">
        <f t="shared" si="20"/>
        <v>1</v>
      </c>
      <c r="N270" s="1">
        <f t="shared" si="21"/>
        <v>155</v>
      </c>
      <c r="O270" s="10">
        <f t="shared" si="24"/>
        <v>17.983333333279006</v>
      </c>
    </row>
    <row r="271" spans="1:15">
      <c r="A271" s="1" t="s">
        <v>372</v>
      </c>
      <c r="B271" s="23">
        <v>44952.058333333334</v>
      </c>
      <c r="C271" s="1" t="s">
        <v>11</v>
      </c>
      <c r="D271" s="1" t="s">
        <v>17</v>
      </c>
      <c r="E271" s="1" t="s">
        <v>33</v>
      </c>
      <c r="F271" s="1" t="s">
        <v>70</v>
      </c>
      <c r="G271" s="1">
        <v>357</v>
      </c>
      <c r="H271" s="23">
        <v>44959.090150462966</v>
      </c>
      <c r="I271" s="1" t="b">
        <v>0</v>
      </c>
      <c r="J271" s="1">
        <v>5</v>
      </c>
      <c r="K271" s="10">
        <f t="shared" si="22"/>
        <v>168.76361111114966</v>
      </c>
      <c r="L271" s="1" t="str">
        <f t="shared" si="23"/>
        <v>OK</v>
      </c>
      <c r="M271" s="1">
        <f t="shared" si="20"/>
        <v>1</v>
      </c>
      <c r="N271" s="1">
        <f t="shared" si="21"/>
        <v>357</v>
      </c>
      <c r="O271" s="10">
        <f t="shared" si="24"/>
        <v>168.76361111114966</v>
      </c>
    </row>
    <row r="272" spans="1:15">
      <c r="A272" s="1" t="s">
        <v>373</v>
      </c>
      <c r="B272" s="23">
        <v>44952.237500000003</v>
      </c>
      <c r="C272" s="1" t="s">
        <v>25</v>
      </c>
      <c r="D272" s="1" t="s">
        <v>26</v>
      </c>
      <c r="E272" s="1" t="s">
        <v>18</v>
      </c>
      <c r="F272" s="1" t="s">
        <v>35</v>
      </c>
      <c r="G272" s="1">
        <v>68</v>
      </c>
      <c r="H272" s="23">
        <v>44959.082337962966</v>
      </c>
      <c r="I272" s="1" t="b">
        <v>0</v>
      </c>
      <c r="J272" s="1">
        <v>5</v>
      </c>
      <c r="K272" s="10">
        <f t="shared" si="22"/>
        <v>164.27611111110309</v>
      </c>
      <c r="L272" s="1" t="str">
        <f t="shared" si="23"/>
        <v>OK</v>
      </c>
      <c r="M272" s="1">
        <f t="shared" si="20"/>
        <v>1</v>
      </c>
      <c r="N272" s="1">
        <f t="shared" si="21"/>
        <v>68</v>
      </c>
      <c r="O272" s="10">
        <f t="shared" si="24"/>
        <v>164.27611111110309</v>
      </c>
    </row>
    <row r="273" spans="1:15">
      <c r="A273" s="1" t="s">
        <v>374</v>
      </c>
      <c r="B273" s="23">
        <v>44952.573611111111</v>
      </c>
      <c r="C273" s="1" t="s">
        <v>16</v>
      </c>
      <c r="D273" s="1" t="s">
        <v>17</v>
      </c>
      <c r="E273" s="1" t="s">
        <v>18</v>
      </c>
      <c r="F273" s="1" t="s">
        <v>70</v>
      </c>
      <c r="G273" s="1">
        <v>197</v>
      </c>
      <c r="I273" s="1" t="b">
        <v>0</v>
      </c>
      <c r="K273" s="10" t="str">
        <f t="shared" si="22"/>
        <v/>
      </c>
      <c r="L273" s="1" t="str">
        <f t="shared" si="23"/>
        <v>Cannot check</v>
      </c>
      <c r="M273" s="1">
        <f t="shared" si="20"/>
        <v>1</v>
      </c>
      <c r="N273" s="1">
        <f t="shared" si="21"/>
        <v>197</v>
      </c>
      <c r="O273" s="10" t="str">
        <f t="shared" si="24"/>
        <v/>
      </c>
    </row>
    <row r="274" spans="1:15">
      <c r="A274" s="1" t="s">
        <v>375</v>
      </c>
      <c r="B274" s="23">
        <v>44952.590277777781</v>
      </c>
      <c r="C274" s="1" t="s">
        <v>11</v>
      </c>
      <c r="D274" s="1" t="s">
        <v>17</v>
      </c>
      <c r="E274" s="1" t="s">
        <v>33</v>
      </c>
      <c r="F274" s="1" t="s">
        <v>52</v>
      </c>
      <c r="G274" s="1">
        <v>60</v>
      </c>
      <c r="H274" s="23">
        <v>44955.241828703707</v>
      </c>
      <c r="I274" s="1" t="b">
        <v>0</v>
      </c>
      <c r="K274" s="10">
        <f t="shared" si="22"/>
        <v>63.637222222227138</v>
      </c>
      <c r="L274" s="1" t="str">
        <f t="shared" si="23"/>
        <v>OK</v>
      </c>
      <c r="M274" s="1">
        <f t="shared" si="20"/>
        <v>1</v>
      </c>
      <c r="N274" s="1">
        <f t="shared" si="21"/>
        <v>60</v>
      </c>
      <c r="O274" s="10">
        <f t="shared" si="24"/>
        <v>63.637222222227138</v>
      </c>
    </row>
    <row r="275" spans="1:15">
      <c r="A275" s="1" t="s">
        <v>376</v>
      </c>
      <c r="B275" s="23">
        <v>44952.622916666667</v>
      </c>
      <c r="C275" s="1" t="s">
        <v>25</v>
      </c>
      <c r="D275" s="1" t="s">
        <v>26</v>
      </c>
      <c r="E275" s="1" t="s">
        <v>18</v>
      </c>
      <c r="F275" s="1" t="s">
        <v>14</v>
      </c>
      <c r="G275" s="1">
        <v>176</v>
      </c>
      <c r="H275" s="23">
        <v>44954.816712962966</v>
      </c>
      <c r="I275" s="1" t="b">
        <v>0</v>
      </c>
      <c r="K275" s="10">
        <f t="shared" si="22"/>
        <v>52.651111111161299</v>
      </c>
      <c r="L275" s="1" t="str">
        <f t="shared" si="23"/>
        <v>OK</v>
      </c>
      <c r="M275" s="1">
        <f t="shared" si="20"/>
        <v>1</v>
      </c>
      <c r="N275" s="1">
        <f t="shared" si="21"/>
        <v>176</v>
      </c>
      <c r="O275" s="10">
        <f t="shared" si="24"/>
        <v>52.651111111161299</v>
      </c>
    </row>
    <row r="276" spans="1:15">
      <c r="A276" s="1" t="s">
        <v>377</v>
      </c>
      <c r="B276" s="23">
        <v>44952.648611111108</v>
      </c>
      <c r="C276" s="1" t="s">
        <v>43</v>
      </c>
      <c r="D276" s="1" t="s">
        <v>12</v>
      </c>
      <c r="E276" s="1" t="s">
        <v>18</v>
      </c>
      <c r="F276" s="1" t="s">
        <v>198</v>
      </c>
      <c r="G276" s="1">
        <v>26</v>
      </c>
      <c r="H276" s="23">
        <v>44955.468344907407</v>
      </c>
      <c r="I276" s="1" t="b">
        <v>0</v>
      </c>
      <c r="K276" s="10">
        <f t="shared" si="22"/>
        <v>67.673611111182254</v>
      </c>
      <c r="L276" s="1" t="str">
        <f t="shared" si="23"/>
        <v>OK</v>
      </c>
      <c r="M276" s="1">
        <f t="shared" si="20"/>
        <v>1</v>
      </c>
      <c r="N276" s="1">
        <f t="shared" si="21"/>
        <v>26</v>
      </c>
      <c r="O276" s="10">
        <f t="shared" si="24"/>
        <v>67.673611111182254</v>
      </c>
    </row>
    <row r="277" spans="1:15">
      <c r="A277" s="1" t="s">
        <v>378</v>
      </c>
      <c r="B277" s="23">
        <v>44952.70208333333</v>
      </c>
      <c r="C277" s="1" t="s">
        <v>11</v>
      </c>
      <c r="D277" s="1" t="s">
        <v>12</v>
      </c>
      <c r="E277" s="1" t="s">
        <v>13</v>
      </c>
      <c r="F277" s="1" t="s">
        <v>178</v>
      </c>
      <c r="G277" s="1">
        <v>66</v>
      </c>
      <c r="H277" s="23">
        <v>44952.99013888889</v>
      </c>
      <c r="I277" s="1" t="b">
        <v>0</v>
      </c>
      <c r="J277" s="1">
        <v>4</v>
      </c>
      <c r="K277" s="10">
        <f t="shared" si="22"/>
        <v>6.9133333334466442</v>
      </c>
      <c r="L277" s="1" t="str">
        <f t="shared" si="23"/>
        <v>OK</v>
      </c>
      <c r="M277" s="1">
        <f t="shared" si="20"/>
        <v>1</v>
      </c>
      <c r="N277" s="1">
        <f t="shared" si="21"/>
        <v>66</v>
      </c>
      <c r="O277" s="10">
        <f t="shared" si="24"/>
        <v>6.9133333334466442</v>
      </c>
    </row>
    <row r="278" spans="1:15">
      <c r="A278" s="1" t="s">
        <v>379</v>
      </c>
      <c r="B278" s="23">
        <v>44953.355555555558</v>
      </c>
      <c r="C278" s="1" t="s">
        <v>11</v>
      </c>
      <c r="D278" s="1" t="s">
        <v>26</v>
      </c>
      <c r="E278" s="1" t="s">
        <v>18</v>
      </c>
      <c r="F278" s="1" t="s">
        <v>74</v>
      </c>
      <c r="G278" s="1">
        <v>341</v>
      </c>
      <c r="H278" s="23">
        <v>44954.212835648148</v>
      </c>
      <c r="I278" s="1" t="b">
        <v>0</v>
      </c>
      <c r="K278" s="10">
        <f t="shared" si="22"/>
        <v>20.57472222216893</v>
      </c>
      <c r="L278" s="1" t="str">
        <f t="shared" si="23"/>
        <v>OK</v>
      </c>
      <c r="M278" s="1">
        <f t="shared" si="20"/>
        <v>1</v>
      </c>
      <c r="N278" s="1">
        <f t="shared" si="21"/>
        <v>341</v>
      </c>
      <c r="O278" s="10">
        <f t="shared" si="24"/>
        <v>20.57472222216893</v>
      </c>
    </row>
    <row r="279" spans="1:15">
      <c r="A279" s="1" t="s">
        <v>380</v>
      </c>
      <c r="B279" s="23">
        <v>44953.474305555559</v>
      </c>
      <c r="C279" s="1" t="s">
        <v>25</v>
      </c>
      <c r="D279" s="1" t="s">
        <v>12</v>
      </c>
      <c r="E279" s="1" t="s">
        <v>18</v>
      </c>
      <c r="F279" s="1" t="s">
        <v>35</v>
      </c>
      <c r="G279" s="1">
        <v>422</v>
      </c>
      <c r="H279" s="23">
        <v>44954.805428240739</v>
      </c>
      <c r="I279" s="1" t="b">
        <v>1</v>
      </c>
      <c r="K279" s="10">
        <f t="shared" si="22"/>
        <v>31.94694444432389</v>
      </c>
      <c r="L279" s="1" t="str">
        <f t="shared" si="23"/>
        <v>OK</v>
      </c>
      <c r="M279" s="1">
        <f t="shared" si="20"/>
        <v>1</v>
      </c>
      <c r="N279" s="1">
        <f t="shared" si="21"/>
        <v>422</v>
      </c>
      <c r="O279" s="10">
        <f t="shared" si="24"/>
        <v>31.94694444432389</v>
      </c>
    </row>
    <row r="280" spans="1:15">
      <c r="A280" s="1" t="s">
        <v>381</v>
      </c>
      <c r="B280" s="23">
        <v>44953.918749999997</v>
      </c>
      <c r="C280" s="1" t="s">
        <v>16</v>
      </c>
      <c r="D280" s="1" t="s">
        <v>17</v>
      </c>
      <c r="E280" s="1" t="s">
        <v>33</v>
      </c>
      <c r="F280" s="1" t="s">
        <v>46</v>
      </c>
      <c r="G280" s="1">
        <v>441</v>
      </c>
      <c r="H280" s="23">
        <v>44963.661377314813</v>
      </c>
      <c r="I280" s="1" t="b">
        <v>0</v>
      </c>
      <c r="K280" s="10">
        <f t="shared" si="22"/>
        <v>233.82305555557832</v>
      </c>
      <c r="L280" s="1" t="str">
        <f t="shared" si="23"/>
        <v>OK</v>
      </c>
      <c r="M280" s="1">
        <f t="shared" si="20"/>
        <v>1</v>
      </c>
      <c r="N280" s="1">
        <f t="shared" si="21"/>
        <v>441</v>
      </c>
      <c r="O280" s="10">
        <f t="shared" si="24"/>
        <v>233.82305555557832</v>
      </c>
    </row>
    <row r="281" spans="1:15">
      <c r="A281" s="1" t="s">
        <v>382</v>
      </c>
      <c r="B281" s="23">
        <v>44953.942361111112</v>
      </c>
      <c r="C281" s="1" t="s">
        <v>11</v>
      </c>
      <c r="D281" s="1" t="s">
        <v>17</v>
      </c>
      <c r="E281" s="1" t="s">
        <v>18</v>
      </c>
      <c r="F281" s="1" t="s">
        <v>134</v>
      </c>
      <c r="G281" s="1">
        <v>75</v>
      </c>
      <c r="H281" s="23">
        <v>44955.494328703702</v>
      </c>
      <c r="I281" s="1" t="b">
        <v>0</v>
      </c>
      <c r="J281" s="1">
        <v>1</v>
      </c>
      <c r="K281" s="10">
        <f t="shared" si="22"/>
        <v>37.24722222215496</v>
      </c>
      <c r="L281" s="1" t="str">
        <f t="shared" si="23"/>
        <v>OK</v>
      </c>
      <c r="M281" s="1">
        <f t="shared" si="20"/>
        <v>1</v>
      </c>
      <c r="N281" s="1">
        <f t="shared" si="21"/>
        <v>75</v>
      </c>
      <c r="O281" s="10">
        <f t="shared" si="24"/>
        <v>37.24722222215496</v>
      </c>
    </row>
    <row r="282" spans="1:15">
      <c r="A282" s="1" t="s">
        <v>383</v>
      </c>
      <c r="B282" s="23">
        <v>44954.261805555558</v>
      </c>
      <c r="C282" s="1" t="s">
        <v>16</v>
      </c>
      <c r="D282" s="1" t="s">
        <v>21</v>
      </c>
      <c r="E282" s="1" t="s">
        <v>13</v>
      </c>
      <c r="F282" s="1" t="s">
        <v>14</v>
      </c>
      <c r="G282" s="1">
        <v>114</v>
      </c>
      <c r="H282" s="23">
        <v>44954.460590277777</v>
      </c>
      <c r="I282" s="1" t="b">
        <v>0</v>
      </c>
      <c r="K282" s="10">
        <f t="shared" si="22"/>
        <v>4.7708333332557231</v>
      </c>
      <c r="L282" s="1" t="str">
        <f t="shared" si="23"/>
        <v>OK</v>
      </c>
      <c r="M282" s="1">
        <f t="shared" si="20"/>
        <v>1</v>
      </c>
      <c r="N282" s="1">
        <f t="shared" si="21"/>
        <v>114</v>
      </c>
      <c r="O282" s="10">
        <f t="shared" si="24"/>
        <v>4.7708333332557231</v>
      </c>
    </row>
    <row r="283" spans="1:15">
      <c r="A283" s="1" t="s">
        <v>384</v>
      </c>
      <c r="B283" s="23">
        <v>44954.382638888892</v>
      </c>
      <c r="C283" s="1" t="s">
        <v>16</v>
      </c>
      <c r="D283" s="1" t="s">
        <v>59</v>
      </c>
      <c r="E283" s="1" t="s">
        <v>18</v>
      </c>
      <c r="F283" s="1" t="s">
        <v>41</v>
      </c>
      <c r="G283" s="1">
        <v>57</v>
      </c>
      <c r="H283" s="23">
        <v>44954.672268518516</v>
      </c>
      <c r="I283" s="1" t="b">
        <v>0</v>
      </c>
      <c r="J283" s="1">
        <v>1</v>
      </c>
      <c r="K283" s="10">
        <f t="shared" si="22"/>
        <v>6.9511111109750345</v>
      </c>
      <c r="L283" s="1" t="str">
        <f t="shared" si="23"/>
        <v>OK</v>
      </c>
      <c r="M283" s="1">
        <f t="shared" si="20"/>
        <v>1</v>
      </c>
      <c r="N283" s="1">
        <f t="shared" si="21"/>
        <v>57</v>
      </c>
      <c r="O283" s="10">
        <f t="shared" si="24"/>
        <v>6.9511111109750345</v>
      </c>
    </row>
    <row r="284" spans="1:15">
      <c r="A284" s="1" t="s">
        <v>385</v>
      </c>
      <c r="B284" s="23">
        <v>44954.622916666667</v>
      </c>
      <c r="C284" s="1" t="s">
        <v>11</v>
      </c>
      <c r="D284" s="1" t="s">
        <v>17</v>
      </c>
      <c r="E284" s="1" t="s">
        <v>18</v>
      </c>
      <c r="F284" s="1" t="s">
        <v>367</v>
      </c>
      <c r="G284" s="1">
        <v>35</v>
      </c>
      <c r="H284" s="23">
        <v>44957.597094907411</v>
      </c>
      <c r="I284" s="1" t="b">
        <v>0</v>
      </c>
      <c r="K284" s="10">
        <f t="shared" si="22"/>
        <v>71.380277777847368</v>
      </c>
      <c r="L284" s="1" t="str">
        <f t="shared" si="23"/>
        <v>OK</v>
      </c>
      <c r="M284" s="1">
        <f t="shared" si="20"/>
        <v>1</v>
      </c>
      <c r="N284" s="1">
        <f t="shared" si="21"/>
        <v>35</v>
      </c>
      <c r="O284" s="10">
        <f t="shared" si="24"/>
        <v>71.380277777847368</v>
      </c>
    </row>
    <row r="285" spans="1:15">
      <c r="A285" s="1" t="s">
        <v>386</v>
      </c>
      <c r="B285" s="23">
        <v>44954.686805555553</v>
      </c>
      <c r="C285" s="1" t="s">
        <v>25</v>
      </c>
      <c r="D285" s="1" t="s">
        <v>21</v>
      </c>
      <c r="E285" s="1" t="s">
        <v>13</v>
      </c>
      <c r="F285" s="1" t="s">
        <v>198</v>
      </c>
      <c r="G285" s="1">
        <v>80</v>
      </c>
      <c r="H285" s="23">
        <v>44955.591874999998</v>
      </c>
      <c r="I285" s="1" t="b">
        <v>0</v>
      </c>
      <c r="K285" s="10">
        <f t="shared" si="22"/>
        <v>21.721666666679084</v>
      </c>
      <c r="L285" s="1" t="str">
        <f t="shared" si="23"/>
        <v>OK</v>
      </c>
      <c r="M285" s="1">
        <f t="shared" si="20"/>
        <v>1</v>
      </c>
      <c r="N285" s="1">
        <f t="shared" si="21"/>
        <v>80</v>
      </c>
      <c r="O285" s="10">
        <f t="shared" si="24"/>
        <v>21.721666666679084</v>
      </c>
    </row>
    <row r="286" spans="1:15">
      <c r="A286" s="1" t="s">
        <v>387</v>
      </c>
      <c r="B286" s="23">
        <v>44954.71597222222</v>
      </c>
      <c r="C286" s="1" t="s">
        <v>16</v>
      </c>
      <c r="D286" s="1" t="s">
        <v>17</v>
      </c>
      <c r="E286" s="1" t="s">
        <v>18</v>
      </c>
      <c r="F286" s="1" t="s">
        <v>116</v>
      </c>
      <c r="G286" s="1">
        <v>106</v>
      </c>
      <c r="H286" s="23">
        <v>44958.632743055554</v>
      </c>
      <c r="I286" s="1" t="b">
        <v>0</v>
      </c>
      <c r="K286" s="10">
        <f t="shared" si="22"/>
        <v>94.002500000002328</v>
      </c>
      <c r="L286" s="1" t="str">
        <f t="shared" si="23"/>
        <v>OK</v>
      </c>
      <c r="M286" s="1">
        <f t="shared" si="20"/>
        <v>1</v>
      </c>
      <c r="N286" s="1">
        <f t="shared" si="21"/>
        <v>106</v>
      </c>
      <c r="O286" s="10">
        <f t="shared" si="24"/>
        <v>94.002500000002328</v>
      </c>
    </row>
    <row r="287" spans="1:15">
      <c r="A287" s="1" t="s">
        <v>388</v>
      </c>
      <c r="B287" s="23">
        <v>44954.790972222225</v>
      </c>
      <c r="C287" s="1" t="s">
        <v>25</v>
      </c>
      <c r="D287" s="1" t="s">
        <v>59</v>
      </c>
      <c r="E287" s="1" t="s">
        <v>13</v>
      </c>
      <c r="F287" s="1" t="s">
        <v>201</v>
      </c>
      <c r="G287" s="1">
        <v>34</v>
      </c>
      <c r="H287" s="23">
        <v>44955.450358796297</v>
      </c>
      <c r="I287" s="1" t="b">
        <v>0</v>
      </c>
      <c r="K287" s="10">
        <f t="shared" si="22"/>
        <v>15.825277777737938</v>
      </c>
      <c r="L287" s="1" t="str">
        <f t="shared" si="23"/>
        <v>OK</v>
      </c>
      <c r="M287" s="1">
        <f t="shared" si="20"/>
        <v>1</v>
      </c>
      <c r="N287" s="1">
        <f t="shared" si="21"/>
        <v>34</v>
      </c>
      <c r="O287" s="10">
        <f t="shared" si="24"/>
        <v>15.825277777737938</v>
      </c>
    </row>
    <row r="288" spans="1:15">
      <c r="A288" s="1" t="s">
        <v>389</v>
      </c>
      <c r="B288" s="23">
        <v>44954.825694444444</v>
      </c>
      <c r="C288" s="1" t="s">
        <v>25</v>
      </c>
      <c r="D288" s="1" t="s">
        <v>17</v>
      </c>
      <c r="E288" s="1" t="s">
        <v>33</v>
      </c>
      <c r="F288" s="1" t="s">
        <v>162</v>
      </c>
      <c r="G288" s="1">
        <v>177</v>
      </c>
      <c r="H288" s="23">
        <v>44998.869687500002</v>
      </c>
      <c r="I288" s="1" t="b">
        <v>0</v>
      </c>
      <c r="K288" s="10">
        <f t="shared" si="22"/>
        <v>1057.0558333334047</v>
      </c>
      <c r="L288" s="1" t="str">
        <f t="shared" si="23"/>
        <v>OK</v>
      </c>
      <c r="M288" s="1">
        <f t="shared" si="20"/>
        <v>1</v>
      </c>
      <c r="N288" s="1">
        <f t="shared" si="21"/>
        <v>177</v>
      </c>
      <c r="O288" s="10">
        <f t="shared" si="24"/>
        <v>1057.0558333334047</v>
      </c>
    </row>
    <row r="289" spans="1:15">
      <c r="A289" s="1" t="s">
        <v>390</v>
      </c>
      <c r="B289" s="23">
        <v>44954.95</v>
      </c>
      <c r="C289" s="1" t="s">
        <v>16</v>
      </c>
      <c r="D289" s="1" t="s">
        <v>17</v>
      </c>
      <c r="E289" s="1" t="s">
        <v>13</v>
      </c>
      <c r="F289" s="1" t="s">
        <v>345</v>
      </c>
      <c r="G289" s="1">
        <v>72</v>
      </c>
      <c r="H289" s="23">
        <v>44955.734432870369</v>
      </c>
      <c r="I289" s="1" t="b">
        <v>0</v>
      </c>
      <c r="J289" s="1">
        <v>1</v>
      </c>
      <c r="K289" s="10">
        <f t="shared" si="22"/>
        <v>18.826388888934162</v>
      </c>
      <c r="L289" s="1" t="str">
        <f t="shared" si="23"/>
        <v>OK</v>
      </c>
      <c r="M289" s="1">
        <f t="shared" si="20"/>
        <v>1</v>
      </c>
      <c r="N289" s="1">
        <f t="shared" si="21"/>
        <v>72</v>
      </c>
      <c r="O289" s="10">
        <f t="shared" si="24"/>
        <v>18.826388888934162</v>
      </c>
    </row>
    <row r="290" spans="1:15">
      <c r="A290" s="1" t="s">
        <v>391</v>
      </c>
      <c r="B290" s="23">
        <v>44954.955555555556</v>
      </c>
      <c r="C290" s="1" t="s">
        <v>25</v>
      </c>
      <c r="D290" s="1" t="s">
        <v>26</v>
      </c>
      <c r="E290" s="1" t="s">
        <v>13</v>
      </c>
      <c r="F290" s="1" t="s">
        <v>392</v>
      </c>
      <c r="G290" s="1">
        <v>25</v>
      </c>
      <c r="H290" s="23">
        <v>44957.022627314815</v>
      </c>
      <c r="I290" s="1" t="b">
        <v>0</v>
      </c>
      <c r="J290" s="1">
        <v>5</v>
      </c>
      <c r="K290" s="10">
        <f t="shared" si="22"/>
        <v>49.609722222201526</v>
      </c>
      <c r="L290" s="1" t="str">
        <f t="shared" si="23"/>
        <v>OK</v>
      </c>
      <c r="M290" s="1">
        <f t="shared" si="20"/>
        <v>1</v>
      </c>
      <c r="N290" s="1">
        <f t="shared" si="21"/>
        <v>25</v>
      </c>
      <c r="O290" s="10">
        <f t="shared" si="24"/>
        <v>49.609722222201526</v>
      </c>
    </row>
    <row r="291" spans="1:15">
      <c r="A291" s="1" t="s">
        <v>393</v>
      </c>
      <c r="B291" s="23">
        <v>44955.143055555556</v>
      </c>
      <c r="C291" s="1" t="s">
        <v>16</v>
      </c>
      <c r="D291" s="1" t="s">
        <v>21</v>
      </c>
      <c r="E291" s="1" t="s">
        <v>18</v>
      </c>
      <c r="F291" s="1" t="s">
        <v>76</v>
      </c>
      <c r="G291" s="1">
        <v>10</v>
      </c>
      <c r="H291" s="23">
        <v>44956.130231481482</v>
      </c>
      <c r="I291" s="1" t="b">
        <v>0</v>
      </c>
      <c r="J291" s="1">
        <v>2</v>
      </c>
      <c r="K291" s="10">
        <f t="shared" si="22"/>
        <v>23.692222222220153</v>
      </c>
      <c r="L291" s="1" t="str">
        <f t="shared" si="23"/>
        <v>OK</v>
      </c>
      <c r="M291" s="1">
        <f t="shared" si="20"/>
        <v>1</v>
      </c>
      <c r="N291" s="1">
        <f t="shared" si="21"/>
        <v>10</v>
      </c>
      <c r="O291" s="10">
        <f t="shared" si="24"/>
        <v>23.692222222220153</v>
      </c>
    </row>
    <row r="292" spans="1:15">
      <c r="A292" s="1" t="s">
        <v>394</v>
      </c>
      <c r="B292" s="23">
        <v>44955.21875</v>
      </c>
      <c r="C292" s="1" t="s">
        <v>11</v>
      </c>
      <c r="D292" s="1" t="s">
        <v>21</v>
      </c>
      <c r="E292" s="1" t="s">
        <v>18</v>
      </c>
      <c r="F292" s="1" t="s">
        <v>68</v>
      </c>
      <c r="G292" s="1">
        <v>805</v>
      </c>
      <c r="H292" s="23">
        <v>44955.450162037036</v>
      </c>
      <c r="I292" s="1" t="b">
        <v>0</v>
      </c>
      <c r="K292" s="10">
        <f t="shared" si="22"/>
        <v>5.5538888888549991</v>
      </c>
      <c r="L292" s="1" t="str">
        <f t="shared" si="23"/>
        <v>Review</v>
      </c>
      <c r="M292" s="1">
        <f t="shared" si="20"/>
        <v>1</v>
      </c>
      <c r="N292" s="1" t="str">
        <f t="shared" si="21"/>
        <v/>
      </c>
      <c r="O292" s="10" t="str">
        <f t="shared" si="24"/>
        <v/>
      </c>
    </row>
    <row r="293" spans="1:15">
      <c r="A293" s="1" t="s">
        <v>395</v>
      </c>
      <c r="B293" s="23">
        <v>44955.241666666669</v>
      </c>
      <c r="C293" s="1" t="s">
        <v>16</v>
      </c>
      <c r="D293" s="1" t="s">
        <v>17</v>
      </c>
      <c r="E293" s="1" t="s">
        <v>18</v>
      </c>
      <c r="F293" s="1" t="s">
        <v>78</v>
      </c>
      <c r="G293" s="1">
        <v>10</v>
      </c>
      <c r="H293" s="23">
        <v>44958.410462962966</v>
      </c>
      <c r="I293" s="1" t="b">
        <v>0</v>
      </c>
      <c r="K293" s="10">
        <f t="shared" si="22"/>
        <v>76.051111111126374</v>
      </c>
      <c r="L293" s="1" t="str">
        <f t="shared" si="23"/>
        <v>OK</v>
      </c>
      <c r="M293" s="1">
        <f t="shared" si="20"/>
        <v>1</v>
      </c>
      <c r="N293" s="1">
        <f t="shared" si="21"/>
        <v>10</v>
      </c>
      <c r="O293" s="10">
        <f t="shared" si="24"/>
        <v>76.051111111126374</v>
      </c>
    </row>
    <row r="294" spans="1:15">
      <c r="A294" s="1" t="s">
        <v>396</v>
      </c>
      <c r="B294" s="23">
        <v>44955.273611111108</v>
      </c>
      <c r="C294" s="1" t="s">
        <v>11</v>
      </c>
      <c r="D294" s="1" t="s">
        <v>59</v>
      </c>
      <c r="E294" s="1" t="s">
        <v>33</v>
      </c>
      <c r="F294" s="1" t="s">
        <v>326</v>
      </c>
      <c r="H294" s="23">
        <v>44955.762743055559</v>
      </c>
      <c r="I294" s="1" t="b">
        <v>0</v>
      </c>
      <c r="J294" s="1">
        <v>5</v>
      </c>
      <c r="K294" s="10">
        <f t="shared" si="22"/>
        <v>11.739166666811798</v>
      </c>
      <c r="L294" s="1" t="str">
        <f t="shared" si="23"/>
        <v>Cannot check</v>
      </c>
      <c r="M294" s="1">
        <f t="shared" si="20"/>
        <v>1</v>
      </c>
      <c r="N294" s="1" t="str">
        <f t="shared" si="21"/>
        <v/>
      </c>
      <c r="O294" s="10">
        <f t="shared" si="24"/>
        <v>11.739166666811798</v>
      </c>
    </row>
    <row r="295" spans="1:15">
      <c r="A295" s="1" t="s">
        <v>397</v>
      </c>
      <c r="B295" s="23">
        <v>44955.392361111109</v>
      </c>
      <c r="C295" s="1" t="s">
        <v>16</v>
      </c>
      <c r="D295" s="1" t="s">
        <v>21</v>
      </c>
      <c r="E295" s="1" t="s">
        <v>18</v>
      </c>
      <c r="F295" s="1" t="s">
        <v>74</v>
      </c>
      <c r="G295" s="1">
        <v>250</v>
      </c>
      <c r="H295" s="23">
        <v>44955.771493055552</v>
      </c>
      <c r="I295" s="1" t="b">
        <v>0</v>
      </c>
      <c r="K295" s="10">
        <f t="shared" si="22"/>
        <v>9.0991666666232049</v>
      </c>
      <c r="L295" s="1" t="str">
        <f t="shared" si="23"/>
        <v>OK</v>
      </c>
      <c r="M295" s="1">
        <f t="shared" si="20"/>
        <v>1</v>
      </c>
      <c r="N295" s="1">
        <f t="shared" si="21"/>
        <v>250</v>
      </c>
      <c r="O295" s="10">
        <f t="shared" si="24"/>
        <v>9.0991666666232049</v>
      </c>
    </row>
    <row r="296" spans="1:15">
      <c r="A296" s="1" t="s">
        <v>398</v>
      </c>
      <c r="B296" s="23">
        <v>44955.412499999999</v>
      </c>
      <c r="C296" s="1" t="s">
        <v>11</v>
      </c>
      <c r="D296" s="1" t="s">
        <v>59</v>
      </c>
      <c r="E296" s="1" t="s">
        <v>18</v>
      </c>
      <c r="F296" s="1" t="s">
        <v>46</v>
      </c>
      <c r="G296" s="1">
        <v>27</v>
      </c>
      <c r="H296" s="23">
        <v>44969.422395833331</v>
      </c>
      <c r="I296" s="1" t="b">
        <v>0</v>
      </c>
      <c r="J296" s="1">
        <v>4</v>
      </c>
      <c r="K296" s="10">
        <f t="shared" si="22"/>
        <v>336.23749999998836</v>
      </c>
      <c r="L296" s="1" t="str">
        <f t="shared" si="23"/>
        <v>OK</v>
      </c>
      <c r="M296" s="1">
        <f t="shared" si="20"/>
        <v>1</v>
      </c>
      <c r="N296" s="1">
        <f t="shared" si="21"/>
        <v>27</v>
      </c>
      <c r="O296" s="10">
        <f t="shared" si="24"/>
        <v>336.23749999998836</v>
      </c>
    </row>
    <row r="297" spans="1:15">
      <c r="A297" s="1" t="s">
        <v>399</v>
      </c>
      <c r="B297" s="23">
        <v>44955.415277777778</v>
      </c>
      <c r="C297" s="1" t="s">
        <v>25</v>
      </c>
      <c r="D297" s="1" t="s">
        <v>21</v>
      </c>
      <c r="E297" s="1" t="s">
        <v>33</v>
      </c>
      <c r="F297" s="1" t="s">
        <v>201</v>
      </c>
      <c r="G297" s="1">
        <v>53</v>
      </c>
      <c r="H297" s="23">
        <v>44956.573634259257</v>
      </c>
      <c r="I297" s="1" t="b">
        <v>0</v>
      </c>
      <c r="J297" s="1">
        <v>4</v>
      </c>
      <c r="K297" s="10">
        <f t="shared" si="22"/>
        <v>27.800555555499159</v>
      </c>
      <c r="L297" s="1" t="str">
        <f t="shared" si="23"/>
        <v>OK</v>
      </c>
      <c r="M297" s="1">
        <f t="shared" si="20"/>
        <v>1</v>
      </c>
      <c r="N297" s="1">
        <f t="shared" si="21"/>
        <v>53</v>
      </c>
      <c r="O297" s="10">
        <f t="shared" si="24"/>
        <v>27.800555555499159</v>
      </c>
    </row>
    <row r="298" spans="1:15">
      <c r="A298" s="1" t="s">
        <v>400</v>
      </c>
      <c r="B298" s="23">
        <v>44955.435416666667</v>
      </c>
      <c r="C298" s="1" t="s">
        <v>16</v>
      </c>
      <c r="D298" s="1" t="s">
        <v>17</v>
      </c>
      <c r="E298" s="1" t="s">
        <v>18</v>
      </c>
      <c r="F298" s="1" t="s">
        <v>57</v>
      </c>
      <c r="G298" s="1">
        <v>141</v>
      </c>
      <c r="H298" s="23">
        <v>44957.187199074076</v>
      </c>
      <c r="I298" s="1" t="b">
        <v>1</v>
      </c>
      <c r="J298" s="1">
        <v>5</v>
      </c>
      <c r="K298" s="10">
        <f t="shared" si="22"/>
        <v>42.042777777824085</v>
      </c>
      <c r="L298" s="1" t="str">
        <f t="shared" si="23"/>
        <v>OK</v>
      </c>
      <c r="M298" s="1">
        <f t="shared" si="20"/>
        <v>1</v>
      </c>
      <c r="N298" s="1">
        <f t="shared" si="21"/>
        <v>141</v>
      </c>
      <c r="O298" s="10">
        <f t="shared" si="24"/>
        <v>42.042777777824085</v>
      </c>
    </row>
    <row r="299" spans="1:15">
      <c r="A299" s="1" t="s">
        <v>401</v>
      </c>
      <c r="B299" s="23">
        <v>44955.690972222219</v>
      </c>
      <c r="C299" s="1" t="s">
        <v>25</v>
      </c>
      <c r="D299" s="1" t="s">
        <v>59</v>
      </c>
      <c r="E299" s="1" t="s">
        <v>18</v>
      </c>
      <c r="F299" s="1" t="s">
        <v>35</v>
      </c>
      <c r="G299" s="1">
        <v>223</v>
      </c>
      <c r="H299" s="23">
        <v>44955.763148148151</v>
      </c>
      <c r="I299" s="1" t="b">
        <v>1</v>
      </c>
      <c r="K299" s="10">
        <f t="shared" si="22"/>
        <v>1.7322222223738208</v>
      </c>
      <c r="L299" s="1" t="str">
        <f t="shared" si="23"/>
        <v>Review</v>
      </c>
      <c r="M299" s="1">
        <f t="shared" si="20"/>
        <v>1</v>
      </c>
      <c r="N299" s="1" t="str">
        <f t="shared" si="21"/>
        <v/>
      </c>
      <c r="O299" s="10" t="str">
        <f t="shared" si="24"/>
        <v/>
      </c>
    </row>
    <row r="300" spans="1:15">
      <c r="A300" s="1" t="s">
        <v>402</v>
      </c>
      <c r="B300" s="23">
        <v>44955.695833333331</v>
      </c>
      <c r="C300" s="1" t="s">
        <v>25</v>
      </c>
      <c r="D300" s="1" t="s">
        <v>17</v>
      </c>
      <c r="E300" s="1" t="s">
        <v>13</v>
      </c>
      <c r="F300" s="1" t="s">
        <v>128</v>
      </c>
      <c r="G300" s="1">
        <v>144</v>
      </c>
      <c r="H300" s="23">
        <v>44956.033530092594</v>
      </c>
      <c r="I300" s="1" t="b">
        <v>0</v>
      </c>
      <c r="K300" s="10">
        <f t="shared" si="22"/>
        <v>8.1047222223132849</v>
      </c>
      <c r="L300" s="1" t="str">
        <f t="shared" si="23"/>
        <v>OK</v>
      </c>
      <c r="M300" s="1">
        <f t="shared" si="20"/>
        <v>1</v>
      </c>
      <c r="N300" s="1">
        <f t="shared" si="21"/>
        <v>144</v>
      </c>
      <c r="O300" s="10">
        <f t="shared" si="24"/>
        <v>8.1047222223132849</v>
      </c>
    </row>
    <row r="301" spans="1:15">
      <c r="A301" s="1" t="s">
        <v>403</v>
      </c>
      <c r="B301" s="23">
        <v>44955.747916666667</v>
      </c>
      <c r="C301" s="1" t="s">
        <v>25</v>
      </c>
      <c r="D301" s="1" t="s">
        <v>12</v>
      </c>
      <c r="E301" s="1" t="s">
        <v>18</v>
      </c>
      <c r="F301" s="1" t="s">
        <v>31</v>
      </c>
      <c r="G301" s="1">
        <v>99</v>
      </c>
      <c r="H301" s="23">
        <v>44957.063969907409</v>
      </c>
      <c r="I301" s="1" t="b">
        <v>0</v>
      </c>
      <c r="K301" s="10">
        <f t="shared" si="22"/>
        <v>31.585277777805459</v>
      </c>
      <c r="L301" s="1" t="str">
        <f t="shared" si="23"/>
        <v>OK</v>
      </c>
      <c r="M301" s="1">
        <f t="shared" si="20"/>
        <v>1</v>
      </c>
      <c r="N301" s="1">
        <f t="shared" si="21"/>
        <v>99</v>
      </c>
      <c r="O301" s="10">
        <f t="shared" si="24"/>
        <v>31.585277777805459</v>
      </c>
    </row>
    <row r="302" spans="1:15">
      <c r="A302" s="1" t="s">
        <v>404</v>
      </c>
      <c r="B302" s="23">
        <v>44956.172222222223</v>
      </c>
      <c r="C302" s="1" t="s">
        <v>16</v>
      </c>
      <c r="D302" s="1" t="s">
        <v>21</v>
      </c>
      <c r="E302" s="1" t="s">
        <v>18</v>
      </c>
      <c r="F302" s="1" t="s">
        <v>98</v>
      </c>
      <c r="G302" s="1">
        <v>81</v>
      </c>
      <c r="H302" s="23">
        <v>44956.669085648151</v>
      </c>
      <c r="I302" s="1" t="b">
        <v>0</v>
      </c>
      <c r="K302" s="10">
        <f t="shared" si="22"/>
        <v>11.924722222262062</v>
      </c>
      <c r="L302" s="1" t="str">
        <f t="shared" si="23"/>
        <v>OK</v>
      </c>
      <c r="M302" s="1">
        <f t="shared" si="20"/>
        <v>1</v>
      </c>
      <c r="N302" s="1">
        <f t="shared" si="21"/>
        <v>81</v>
      </c>
      <c r="O302" s="10">
        <f t="shared" si="24"/>
        <v>11.924722222262062</v>
      </c>
    </row>
    <row r="303" spans="1:15">
      <c r="A303" s="1" t="s">
        <v>405</v>
      </c>
      <c r="B303" s="23">
        <v>44956.289583333331</v>
      </c>
      <c r="C303" s="1" t="s">
        <v>16</v>
      </c>
      <c r="D303" s="1" t="s">
        <v>12</v>
      </c>
      <c r="E303" s="1" t="s">
        <v>18</v>
      </c>
      <c r="F303" s="1" t="s">
        <v>206</v>
      </c>
      <c r="G303" s="1">
        <v>361</v>
      </c>
      <c r="H303" s="23">
        <v>44957.311192129629</v>
      </c>
      <c r="I303" s="1" t="b">
        <v>0</v>
      </c>
      <c r="J303" s="1">
        <v>4</v>
      </c>
      <c r="K303" s="10">
        <f t="shared" si="22"/>
        <v>24.518611111154314</v>
      </c>
      <c r="L303" s="1" t="str">
        <f t="shared" si="23"/>
        <v>OK</v>
      </c>
      <c r="M303" s="1">
        <f t="shared" si="20"/>
        <v>1</v>
      </c>
      <c r="N303" s="1">
        <f t="shared" si="21"/>
        <v>361</v>
      </c>
      <c r="O303" s="10">
        <f t="shared" si="24"/>
        <v>24.518611111154314</v>
      </c>
    </row>
    <row r="304" spans="1:15">
      <c r="A304" s="1" t="s">
        <v>406</v>
      </c>
      <c r="B304" s="23">
        <v>44956.309027777781</v>
      </c>
      <c r="C304" s="1" t="s">
        <v>11</v>
      </c>
      <c r="D304" s="1" t="s">
        <v>12</v>
      </c>
      <c r="E304" s="1" t="s">
        <v>22</v>
      </c>
      <c r="F304" s="1" t="s">
        <v>35</v>
      </c>
      <c r="H304" s="23">
        <v>44956.92391203704</v>
      </c>
      <c r="I304" s="1" t="b">
        <v>0</v>
      </c>
      <c r="K304" s="10">
        <f t="shared" si="22"/>
        <v>14.757222222222481</v>
      </c>
      <c r="L304" s="1" t="str">
        <f t="shared" si="23"/>
        <v>Cannot check</v>
      </c>
      <c r="M304" s="1">
        <f t="shared" si="20"/>
        <v>1</v>
      </c>
      <c r="N304" s="1" t="str">
        <f t="shared" si="21"/>
        <v/>
      </c>
      <c r="O304" s="10">
        <f t="shared" si="24"/>
        <v>14.757222222222481</v>
      </c>
    </row>
    <row r="305" spans="1:15">
      <c r="A305" s="1" t="s">
        <v>407</v>
      </c>
      <c r="B305" s="23">
        <v>44956.361111111109</v>
      </c>
      <c r="C305" s="1" t="s">
        <v>25</v>
      </c>
      <c r="D305" s="1" t="s">
        <v>12</v>
      </c>
      <c r="E305" s="1" t="s">
        <v>18</v>
      </c>
      <c r="F305" s="1" t="s">
        <v>94</v>
      </c>
      <c r="G305" s="1">
        <v>82</v>
      </c>
      <c r="H305" s="23">
        <v>44957.36273148148</v>
      </c>
      <c r="I305" s="1" t="b">
        <v>0</v>
      </c>
      <c r="K305" s="10">
        <f t="shared" si="22"/>
        <v>24.038888888899237</v>
      </c>
      <c r="L305" s="1" t="str">
        <f t="shared" si="23"/>
        <v>OK</v>
      </c>
      <c r="M305" s="1">
        <f t="shared" si="20"/>
        <v>1</v>
      </c>
      <c r="N305" s="1">
        <f t="shared" si="21"/>
        <v>82</v>
      </c>
      <c r="O305" s="10">
        <f t="shared" si="24"/>
        <v>24.038888888899237</v>
      </c>
    </row>
    <row r="306" spans="1:15">
      <c r="A306" s="1" t="s">
        <v>408</v>
      </c>
      <c r="B306" s="23">
        <v>44956.65902777778</v>
      </c>
      <c r="C306" s="1" t="s">
        <v>11</v>
      </c>
      <c r="D306" s="1" t="s">
        <v>17</v>
      </c>
      <c r="E306" s="1" t="s">
        <v>33</v>
      </c>
      <c r="F306" s="1" t="s">
        <v>256</v>
      </c>
      <c r="G306" s="1">
        <v>566</v>
      </c>
      <c r="H306" s="23">
        <v>44958.24560185185</v>
      </c>
      <c r="I306" s="1" t="b">
        <v>1</v>
      </c>
      <c r="J306" s="1">
        <v>2</v>
      </c>
      <c r="K306" s="10">
        <f t="shared" si="22"/>
        <v>38.077777777682059</v>
      </c>
      <c r="L306" s="1" t="str">
        <f t="shared" si="23"/>
        <v>OK</v>
      </c>
      <c r="M306" s="1">
        <f t="shared" si="20"/>
        <v>1</v>
      </c>
      <c r="N306" s="1">
        <f t="shared" si="21"/>
        <v>566</v>
      </c>
      <c r="O306" s="10">
        <f t="shared" si="24"/>
        <v>38.077777777682059</v>
      </c>
    </row>
    <row r="307" spans="1:15">
      <c r="A307" s="1" t="s">
        <v>409</v>
      </c>
      <c r="B307" s="23">
        <v>44956.709722222222</v>
      </c>
      <c r="C307" s="1" t="s">
        <v>25</v>
      </c>
      <c r="D307" s="1" t="s">
        <v>59</v>
      </c>
      <c r="E307" s="1" t="s">
        <v>18</v>
      </c>
      <c r="F307" s="1" t="s">
        <v>88</v>
      </c>
      <c r="G307" s="1">
        <v>82</v>
      </c>
      <c r="H307" s="23">
        <v>44957.66815972222</v>
      </c>
      <c r="I307" s="1" t="b">
        <v>0</v>
      </c>
      <c r="K307" s="10">
        <f t="shared" si="22"/>
        <v>23.002499999944121</v>
      </c>
      <c r="L307" s="1" t="str">
        <f t="shared" si="23"/>
        <v>OK</v>
      </c>
      <c r="M307" s="1">
        <f t="shared" si="20"/>
        <v>1</v>
      </c>
      <c r="N307" s="1">
        <f t="shared" si="21"/>
        <v>82</v>
      </c>
      <c r="O307" s="10">
        <f t="shared" si="24"/>
        <v>23.002499999944121</v>
      </c>
    </row>
    <row r="308" spans="1:15">
      <c r="A308" s="1" t="s">
        <v>410</v>
      </c>
      <c r="B308" s="23">
        <v>44956.85833333333</v>
      </c>
      <c r="C308" s="1" t="s">
        <v>11</v>
      </c>
      <c r="D308" s="1" t="s">
        <v>12</v>
      </c>
      <c r="E308" s="1" t="s">
        <v>22</v>
      </c>
      <c r="F308" s="1" t="s">
        <v>68</v>
      </c>
      <c r="G308" s="1">
        <v>28</v>
      </c>
      <c r="H308" s="23">
        <v>44957.11986111111</v>
      </c>
      <c r="I308" s="1" t="b">
        <v>0</v>
      </c>
      <c r="J308" s="1">
        <v>4</v>
      </c>
      <c r="K308" s="10">
        <f t="shared" si="22"/>
        <v>6.276666666730307</v>
      </c>
      <c r="L308" s="1" t="str">
        <f t="shared" si="23"/>
        <v>OK</v>
      </c>
      <c r="M308" s="1">
        <f t="shared" si="20"/>
        <v>1</v>
      </c>
      <c r="N308" s="1">
        <f t="shared" si="21"/>
        <v>28</v>
      </c>
      <c r="O308" s="10">
        <f t="shared" si="24"/>
        <v>6.276666666730307</v>
      </c>
    </row>
    <row r="309" spans="1:15">
      <c r="A309" s="1" t="s">
        <v>411</v>
      </c>
      <c r="B309" s="23">
        <v>44956.861111111109</v>
      </c>
      <c r="C309" s="1" t="s">
        <v>16</v>
      </c>
      <c r="D309" s="1" t="s">
        <v>17</v>
      </c>
      <c r="E309" s="1" t="s">
        <v>18</v>
      </c>
      <c r="F309" s="1" t="s">
        <v>148</v>
      </c>
      <c r="G309" s="1">
        <v>63</v>
      </c>
      <c r="H309" s="23">
        <v>44957.819444444445</v>
      </c>
      <c r="I309" s="1" t="b">
        <v>0</v>
      </c>
      <c r="K309" s="10">
        <f t="shared" si="22"/>
        <v>23.000000000058208</v>
      </c>
      <c r="L309" s="1" t="str">
        <f t="shared" si="23"/>
        <v>OK</v>
      </c>
      <c r="M309" s="1">
        <f t="shared" si="20"/>
        <v>1</v>
      </c>
      <c r="N309" s="1">
        <f t="shared" si="21"/>
        <v>63</v>
      </c>
      <c r="O309" s="10">
        <f t="shared" si="24"/>
        <v>23.000000000058208</v>
      </c>
    </row>
    <row r="310" spans="1:15">
      <c r="A310" s="1" t="s">
        <v>412</v>
      </c>
      <c r="B310" s="23">
        <v>44956.941666666666</v>
      </c>
      <c r="C310" s="1" t="s">
        <v>16</v>
      </c>
      <c r="D310" s="1" t="s">
        <v>26</v>
      </c>
      <c r="E310" s="1" t="s">
        <v>18</v>
      </c>
      <c r="F310" s="1" t="s">
        <v>145</v>
      </c>
      <c r="G310" s="1">
        <v>324</v>
      </c>
      <c r="H310" s="23">
        <v>44957.160370370373</v>
      </c>
      <c r="I310" s="1" t="b">
        <v>0</v>
      </c>
      <c r="J310" s="1">
        <v>5</v>
      </c>
      <c r="K310" s="10">
        <f t="shared" si="22"/>
        <v>5.2488888889783993</v>
      </c>
      <c r="L310" s="1" t="str">
        <f t="shared" si="23"/>
        <v>Review</v>
      </c>
      <c r="M310" s="1">
        <f t="shared" si="20"/>
        <v>1</v>
      </c>
      <c r="N310" s="1" t="str">
        <f t="shared" si="21"/>
        <v/>
      </c>
      <c r="O310" s="10" t="str">
        <f t="shared" si="24"/>
        <v/>
      </c>
    </row>
    <row r="311" spans="1:15">
      <c r="A311" s="1" t="s">
        <v>413</v>
      </c>
      <c r="B311" s="23">
        <v>44957.056944444441</v>
      </c>
      <c r="C311" s="1" t="s">
        <v>43</v>
      </c>
      <c r="D311" s="1" t="s">
        <v>26</v>
      </c>
      <c r="E311" s="1" t="s">
        <v>18</v>
      </c>
      <c r="F311" s="1" t="s">
        <v>108</v>
      </c>
      <c r="G311" s="1">
        <v>358</v>
      </c>
      <c r="H311" s="23">
        <v>44959.329317129632</v>
      </c>
      <c r="I311" s="1" t="b">
        <v>0</v>
      </c>
      <c r="K311" s="10">
        <f t="shared" si="22"/>
        <v>54.536944444582332</v>
      </c>
      <c r="L311" s="1" t="str">
        <f t="shared" si="23"/>
        <v>OK</v>
      </c>
      <c r="M311" s="1">
        <f t="shared" si="20"/>
        <v>1</v>
      </c>
      <c r="N311" s="1">
        <f t="shared" si="21"/>
        <v>358</v>
      </c>
      <c r="O311" s="10">
        <f t="shared" si="24"/>
        <v>54.536944444582332</v>
      </c>
    </row>
    <row r="312" spans="1:15">
      <c r="A312" s="1" t="s">
        <v>414</v>
      </c>
      <c r="B312" s="23">
        <v>44957.078472222223</v>
      </c>
      <c r="C312" s="1" t="s">
        <v>25</v>
      </c>
      <c r="D312" s="1" t="s">
        <v>59</v>
      </c>
      <c r="E312" s="1" t="s">
        <v>18</v>
      </c>
      <c r="F312" s="1" t="s">
        <v>415</v>
      </c>
      <c r="G312" s="1">
        <v>252</v>
      </c>
      <c r="H312" s="23">
        <v>44959.443090277775</v>
      </c>
      <c r="I312" s="1" t="b">
        <v>0</v>
      </c>
      <c r="K312" s="10">
        <f t="shared" si="22"/>
        <v>56.750833333237097</v>
      </c>
      <c r="L312" s="1" t="str">
        <f t="shared" si="23"/>
        <v>OK</v>
      </c>
      <c r="M312" s="1">
        <f t="shared" si="20"/>
        <v>1</v>
      </c>
      <c r="N312" s="1">
        <f t="shared" si="21"/>
        <v>252</v>
      </c>
      <c r="O312" s="10">
        <f t="shared" si="24"/>
        <v>56.750833333237097</v>
      </c>
    </row>
    <row r="313" spans="1:15">
      <c r="A313" s="1" t="s">
        <v>416</v>
      </c>
      <c r="B313" s="23">
        <v>44957.185416666667</v>
      </c>
      <c r="C313" s="1" t="s">
        <v>16</v>
      </c>
      <c r="D313" s="1" t="s">
        <v>17</v>
      </c>
      <c r="E313" s="1" t="s">
        <v>18</v>
      </c>
      <c r="F313" s="1" t="s">
        <v>50</v>
      </c>
      <c r="G313" s="1">
        <v>85</v>
      </c>
      <c r="H313" s="23">
        <v>44966.103993055556</v>
      </c>
      <c r="I313" s="1" t="b">
        <v>0</v>
      </c>
      <c r="J313" s="1">
        <v>4</v>
      </c>
      <c r="K313" s="10">
        <f t="shared" si="22"/>
        <v>214.04583333333721</v>
      </c>
      <c r="L313" s="1" t="str">
        <f t="shared" si="23"/>
        <v>OK</v>
      </c>
      <c r="M313" s="1">
        <f t="shared" si="20"/>
        <v>1</v>
      </c>
      <c r="N313" s="1">
        <f t="shared" si="21"/>
        <v>85</v>
      </c>
      <c r="O313" s="10">
        <f t="shared" si="24"/>
        <v>214.04583333333721</v>
      </c>
    </row>
    <row r="314" spans="1:15">
      <c r="A314" s="1" t="s">
        <v>417</v>
      </c>
      <c r="B314" s="23">
        <v>44957.244444444441</v>
      </c>
      <c r="C314" s="1" t="s">
        <v>25</v>
      </c>
      <c r="D314" s="1" t="s">
        <v>17</v>
      </c>
      <c r="E314" s="1" t="s">
        <v>18</v>
      </c>
      <c r="F314" s="1" t="s">
        <v>66</v>
      </c>
      <c r="G314" s="1">
        <v>65</v>
      </c>
      <c r="H314" s="23">
        <v>44957.48101851852</v>
      </c>
      <c r="I314" s="1" t="b">
        <v>0</v>
      </c>
      <c r="J314" s="1">
        <v>5</v>
      </c>
      <c r="K314" s="10">
        <f t="shared" si="22"/>
        <v>5.6777777778916061</v>
      </c>
      <c r="L314" s="1" t="str">
        <f t="shared" si="23"/>
        <v>OK</v>
      </c>
      <c r="M314" s="1">
        <f t="shared" si="20"/>
        <v>1</v>
      </c>
      <c r="N314" s="1">
        <f t="shared" si="21"/>
        <v>65</v>
      </c>
      <c r="O314" s="10">
        <f t="shared" si="24"/>
        <v>5.6777777778916061</v>
      </c>
    </row>
    <row r="315" spans="1:15">
      <c r="A315" s="1" t="s">
        <v>418</v>
      </c>
      <c r="B315" s="23">
        <v>44957.304166666669</v>
      </c>
      <c r="C315" s="1" t="s">
        <v>25</v>
      </c>
      <c r="D315" s="1" t="s">
        <v>59</v>
      </c>
      <c r="E315" s="1" t="s">
        <v>18</v>
      </c>
      <c r="F315" s="1" t="s">
        <v>256</v>
      </c>
      <c r="G315" s="1">
        <v>70</v>
      </c>
      <c r="H315" s="23">
        <v>44958.80159722222</v>
      </c>
      <c r="I315" s="1" t="b">
        <v>0</v>
      </c>
      <c r="K315" s="10">
        <f t="shared" si="22"/>
        <v>35.938333333237097</v>
      </c>
      <c r="L315" s="1" t="str">
        <f t="shared" si="23"/>
        <v>OK</v>
      </c>
      <c r="M315" s="1">
        <f t="shared" si="20"/>
        <v>1</v>
      </c>
      <c r="N315" s="1">
        <f t="shared" si="21"/>
        <v>70</v>
      </c>
      <c r="O315" s="10">
        <f t="shared" si="24"/>
        <v>35.938333333237097</v>
      </c>
    </row>
    <row r="316" spans="1:15">
      <c r="A316" s="1" t="s">
        <v>419</v>
      </c>
      <c r="B316" s="23">
        <v>44957.340277777781</v>
      </c>
      <c r="C316" s="1" t="s">
        <v>25</v>
      </c>
      <c r="D316" s="1" t="s">
        <v>12</v>
      </c>
      <c r="E316" s="1" t="s">
        <v>33</v>
      </c>
      <c r="F316" s="1" t="s">
        <v>98</v>
      </c>
      <c r="G316" s="1">
        <v>463</v>
      </c>
      <c r="H316" s="23">
        <v>44959.972372685188</v>
      </c>
      <c r="I316" s="1" t="b">
        <v>0</v>
      </c>
      <c r="K316" s="10">
        <f t="shared" si="22"/>
        <v>63.170277777768206</v>
      </c>
      <c r="L316" s="1" t="str">
        <f t="shared" si="23"/>
        <v>OK</v>
      </c>
      <c r="M316" s="1">
        <f t="shared" si="20"/>
        <v>1</v>
      </c>
      <c r="N316" s="1">
        <f t="shared" si="21"/>
        <v>463</v>
      </c>
      <c r="O316" s="10">
        <f t="shared" si="24"/>
        <v>63.170277777768206</v>
      </c>
    </row>
    <row r="317" spans="1:15">
      <c r="A317" s="1" t="s">
        <v>420</v>
      </c>
      <c r="B317" s="23">
        <v>44957.399305555555</v>
      </c>
      <c r="C317" s="1" t="s">
        <v>16</v>
      </c>
      <c r="D317" s="1" t="s">
        <v>17</v>
      </c>
      <c r="E317" s="1" t="s">
        <v>18</v>
      </c>
      <c r="F317" s="1" t="s">
        <v>153</v>
      </c>
      <c r="G317" s="1">
        <v>36</v>
      </c>
      <c r="H317" s="23">
        <v>44961.409583333334</v>
      </c>
      <c r="I317" s="1" t="b">
        <v>0</v>
      </c>
      <c r="K317" s="10">
        <f t="shared" si="22"/>
        <v>96.246666666702367</v>
      </c>
      <c r="L317" s="1" t="str">
        <f t="shared" si="23"/>
        <v>OK</v>
      </c>
      <c r="M317" s="1">
        <f t="shared" si="20"/>
        <v>1</v>
      </c>
      <c r="N317" s="1">
        <f t="shared" si="21"/>
        <v>36</v>
      </c>
      <c r="O317" s="10">
        <f t="shared" si="24"/>
        <v>96.246666666702367</v>
      </c>
    </row>
    <row r="318" spans="1:15">
      <c r="A318" s="1" t="s">
        <v>421</v>
      </c>
      <c r="B318" s="23">
        <v>44957.472916666666</v>
      </c>
      <c r="C318" s="1" t="s">
        <v>25</v>
      </c>
      <c r="D318" s="1" t="s">
        <v>59</v>
      </c>
      <c r="E318" s="1" t="s">
        <v>18</v>
      </c>
      <c r="F318" s="1" t="s">
        <v>108</v>
      </c>
      <c r="G318" s="1">
        <v>30</v>
      </c>
      <c r="H318" s="23">
        <v>44959.214421296296</v>
      </c>
      <c r="I318" s="1" t="b">
        <v>0</v>
      </c>
      <c r="J318" s="1">
        <v>3</v>
      </c>
      <c r="K318" s="10">
        <f t="shared" si="22"/>
        <v>41.796111111121718</v>
      </c>
      <c r="L318" s="1" t="str">
        <f t="shared" si="23"/>
        <v>OK</v>
      </c>
      <c r="M318" s="1">
        <f t="shared" si="20"/>
        <v>1</v>
      </c>
      <c r="N318" s="1">
        <f t="shared" si="21"/>
        <v>30</v>
      </c>
      <c r="O318" s="10">
        <f t="shared" si="24"/>
        <v>41.796111111121718</v>
      </c>
    </row>
    <row r="319" spans="1:15">
      <c r="A319" s="1" t="s">
        <v>422</v>
      </c>
      <c r="B319" s="23">
        <v>44957.496527777781</v>
      </c>
      <c r="C319" s="1" t="s">
        <v>43</v>
      </c>
      <c r="D319" s="1" t="s">
        <v>59</v>
      </c>
      <c r="E319" s="1" t="s">
        <v>18</v>
      </c>
      <c r="F319" s="1" t="s">
        <v>367</v>
      </c>
      <c r="G319" s="1">
        <v>409</v>
      </c>
      <c r="H319" s="23">
        <v>44958.045034722221</v>
      </c>
      <c r="I319" s="1" t="b">
        <v>0</v>
      </c>
      <c r="K319" s="10">
        <f t="shared" si="22"/>
        <v>13.164166666567326</v>
      </c>
      <c r="L319" s="1" t="str">
        <f t="shared" si="23"/>
        <v>OK</v>
      </c>
      <c r="M319" s="1">
        <f t="shared" si="20"/>
        <v>1</v>
      </c>
      <c r="N319" s="1">
        <f t="shared" si="21"/>
        <v>409</v>
      </c>
      <c r="O319" s="10">
        <f t="shared" si="24"/>
        <v>13.164166666567326</v>
      </c>
    </row>
    <row r="320" spans="1:15">
      <c r="A320" s="1" t="s">
        <v>423</v>
      </c>
      <c r="B320" s="23">
        <v>44957.786805555559</v>
      </c>
      <c r="C320" s="1" t="s">
        <v>16</v>
      </c>
      <c r="D320" s="1" t="s">
        <v>21</v>
      </c>
      <c r="E320" s="1" t="s">
        <v>22</v>
      </c>
      <c r="F320" s="1" t="s">
        <v>237</v>
      </c>
      <c r="G320" s="1">
        <v>102</v>
      </c>
      <c r="H320" s="23">
        <v>44958.129560185182</v>
      </c>
      <c r="I320" s="1" t="b">
        <v>0</v>
      </c>
      <c r="J320" s="1">
        <v>2</v>
      </c>
      <c r="K320" s="10">
        <f t="shared" si="22"/>
        <v>8.2261111109401099</v>
      </c>
      <c r="L320" s="1" t="str">
        <f t="shared" si="23"/>
        <v>OK</v>
      </c>
      <c r="M320" s="1">
        <f t="shared" si="20"/>
        <v>1</v>
      </c>
      <c r="N320" s="1">
        <f t="shared" si="21"/>
        <v>102</v>
      </c>
      <c r="O320" s="10">
        <f t="shared" si="24"/>
        <v>8.2261111109401099</v>
      </c>
    </row>
    <row r="321" spans="1:15">
      <c r="A321" s="1" t="s">
        <v>424</v>
      </c>
      <c r="B321" s="23">
        <v>44957.87222222222</v>
      </c>
      <c r="C321" s="1" t="s">
        <v>16</v>
      </c>
      <c r="D321" s="1" t="s">
        <v>59</v>
      </c>
      <c r="E321" s="1" t="s">
        <v>33</v>
      </c>
      <c r="F321" s="1" t="s">
        <v>128</v>
      </c>
      <c r="G321" s="1">
        <v>18</v>
      </c>
      <c r="H321" s="23">
        <v>44960.369456018518</v>
      </c>
      <c r="I321" s="1" t="b">
        <v>0</v>
      </c>
      <c r="K321" s="10">
        <f t="shared" si="22"/>
        <v>59.933611111133359</v>
      </c>
      <c r="L321" s="1" t="str">
        <f t="shared" si="23"/>
        <v>OK</v>
      </c>
      <c r="M321" s="1">
        <f t="shared" si="20"/>
        <v>1</v>
      </c>
      <c r="N321" s="1">
        <f t="shared" si="21"/>
        <v>18</v>
      </c>
      <c r="O321" s="10">
        <f t="shared" si="24"/>
        <v>59.933611111133359</v>
      </c>
    </row>
    <row r="322" spans="1:15">
      <c r="A322" s="1" t="s">
        <v>425</v>
      </c>
      <c r="B322" s="23">
        <v>44958.044444444444</v>
      </c>
      <c r="C322" s="1" t="s">
        <v>43</v>
      </c>
      <c r="D322" s="1" t="s">
        <v>59</v>
      </c>
      <c r="E322" s="1" t="s">
        <v>33</v>
      </c>
      <c r="F322" s="1" t="s">
        <v>162</v>
      </c>
      <c r="G322" s="1">
        <v>302</v>
      </c>
      <c r="H322" s="23">
        <v>44965.723749999997</v>
      </c>
      <c r="I322" s="1" t="b">
        <v>0</v>
      </c>
      <c r="K322" s="10">
        <f t="shared" si="22"/>
        <v>184.30333333328599</v>
      </c>
      <c r="L322" s="1" t="str">
        <f t="shared" si="23"/>
        <v>OK</v>
      </c>
      <c r="M322" s="1">
        <f t="shared" ref="M322:M385" si="25">COUNTIF($A$2:$A$4001,A322)</f>
        <v>1</v>
      </c>
      <c r="N322" s="1">
        <f t="shared" ref="N322:N385" si="26">IF(OR(L322="Review",G322=""),"",G322)</f>
        <v>302</v>
      </c>
      <c r="O322" s="10">
        <f t="shared" si="24"/>
        <v>184.30333333328599</v>
      </c>
    </row>
    <row r="323" spans="1:15">
      <c r="A323" s="1" t="s">
        <v>426</v>
      </c>
      <c r="B323" s="23">
        <v>44958.118055555555</v>
      </c>
      <c r="C323" s="1" t="s">
        <v>11</v>
      </c>
      <c r="D323" s="1" t="s">
        <v>26</v>
      </c>
      <c r="E323" s="1" t="s">
        <v>18</v>
      </c>
      <c r="F323" s="1" t="s">
        <v>50</v>
      </c>
      <c r="G323" s="1">
        <v>9</v>
      </c>
      <c r="H323" s="23">
        <v>44967.008599537039</v>
      </c>
      <c r="I323" s="1" t="b">
        <v>0</v>
      </c>
      <c r="K323" s="10">
        <f t="shared" ref="K323:K386" si="27">IF(H323="","",(H323-B323)*24)</f>
        <v>213.37305555562489</v>
      </c>
      <c r="L323" s="1" t="str">
        <f t="shared" ref="L323:L386" si="28">IF(OR(G323="",K323=""),"Cannot check",IF(G323&gt;K323*60,"Review","OK"))</f>
        <v>OK</v>
      </c>
      <c r="M323" s="1">
        <f t="shared" si="25"/>
        <v>1</v>
      </c>
      <c r="N323" s="1">
        <f t="shared" si="26"/>
        <v>9</v>
      </c>
      <c r="O323" s="10">
        <f t="shared" ref="O323:O386" si="29">IF(OR(L323="Review",K323=""),"",K323)</f>
        <v>213.37305555562489</v>
      </c>
    </row>
    <row r="324" spans="1:15">
      <c r="A324" s="1" t="s">
        <v>427</v>
      </c>
      <c r="B324" s="23">
        <v>44958.129861111112</v>
      </c>
      <c r="C324" s="1" t="s">
        <v>16</v>
      </c>
      <c r="D324" s="1" t="s">
        <v>17</v>
      </c>
      <c r="E324" s="1" t="s">
        <v>18</v>
      </c>
      <c r="F324" s="1" t="s">
        <v>153</v>
      </c>
      <c r="G324" s="1">
        <v>265</v>
      </c>
      <c r="H324" s="23">
        <v>44958.533715277779</v>
      </c>
      <c r="I324" s="1" t="b">
        <v>0</v>
      </c>
      <c r="K324" s="10">
        <f t="shared" si="27"/>
        <v>9.6925000000046566</v>
      </c>
      <c r="L324" s="1" t="str">
        <f t="shared" si="28"/>
        <v>OK</v>
      </c>
      <c r="M324" s="1">
        <f t="shared" si="25"/>
        <v>1</v>
      </c>
      <c r="N324" s="1">
        <f t="shared" si="26"/>
        <v>265</v>
      </c>
      <c r="O324" s="10">
        <f t="shared" si="29"/>
        <v>9.6925000000046566</v>
      </c>
    </row>
    <row r="325" spans="1:15">
      <c r="A325" s="1" t="s">
        <v>428</v>
      </c>
      <c r="B325" s="23">
        <v>44958.158333333333</v>
      </c>
      <c r="C325" s="1" t="s">
        <v>16</v>
      </c>
      <c r="D325" s="1" t="s">
        <v>12</v>
      </c>
      <c r="E325" s="1" t="s">
        <v>33</v>
      </c>
      <c r="F325" s="1" t="s">
        <v>110</v>
      </c>
      <c r="G325" s="1">
        <v>706</v>
      </c>
      <c r="H325" s="23">
        <v>44963.22451388889</v>
      </c>
      <c r="I325" s="1" t="b">
        <v>0</v>
      </c>
      <c r="J325" s="1">
        <v>5</v>
      </c>
      <c r="K325" s="10">
        <f t="shared" si="27"/>
        <v>121.5883333333768</v>
      </c>
      <c r="L325" s="1" t="str">
        <f t="shared" si="28"/>
        <v>OK</v>
      </c>
      <c r="M325" s="1">
        <f t="shared" si="25"/>
        <v>1</v>
      </c>
      <c r="N325" s="1">
        <f t="shared" si="26"/>
        <v>706</v>
      </c>
      <c r="O325" s="10">
        <f t="shared" si="29"/>
        <v>121.5883333333768</v>
      </c>
    </row>
    <row r="326" spans="1:15">
      <c r="A326" s="1" t="s">
        <v>429</v>
      </c>
      <c r="B326" s="23">
        <v>44958.168749999997</v>
      </c>
      <c r="C326" s="1" t="s">
        <v>16</v>
      </c>
      <c r="D326" s="1" t="s">
        <v>17</v>
      </c>
      <c r="E326" s="1" t="s">
        <v>18</v>
      </c>
      <c r="F326" s="1" t="s">
        <v>57</v>
      </c>
      <c r="G326" s="1">
        <v>78</v>
      </c>
      <c r="H326" s="23">
        <v>44958.418020833335</v>
      </c>
      <c r="I326" s="1" t="b">
        <v>0</v>
      </c>
      <c r="J326" s="1">
        <v>4</v>
      </c>
      <c r="K326" s="10">
        <f t="shared" si="27"/>
        <v>5.9825000001001172</v>
      </c>
      <c r="L326" s="1" t="str">
        <f t="shared" si="28"/>
        <v>OK</v>
      </c>
      <c r="M326" s="1">
        <f t="shared" si="25"/>
        <v>1</v>
      </c>
      <c r="N326" s="1">
        <f t="shared" si="26"/>
        <v>78</v>
      </c>
      <c r="O326" s="10">
        <f t="shared" si="29"/>
        <v>5.9825000001001172</v>
      </c>
    </row>
    <row r="327" spans="1:15">
      <c r="A327" s="1" t="s">
        <v>430</v>
      </c>
      <c r="B327" s="23">
        <v>44958.381249999999</v>
      </c>
      <c r="C327" s="1" t="s">
        <v>16</v>
      </c>
      <c r="D327" s="1" t="s">
        <v>12</v>
      </c>
      <c r="E327" s="1" t="s">
        <v>18</v>
      </c>
      <c r="F327" s="1" t="s">
        <v>224</v>
      </c>
      <c r="G327" s="1">
        <v>87</v>
      </c>
      <c r="H327" s="23">
        <v>44960.099687499998</v>
      </c>
      <c r="I327" s="1" t="b">
        <v>0</v>
      </c>
      <c r="K327" s="10">
        <f t="shared" si="27"/>
        <v>41.242499999993015</v>
      </c>
      <c r="L327" s="1" t="str">
        <f t="shared" si="28"/>
        <v>OK</v>
      </c>
      <c r="M327" s="1">
        <f t="shared" si="25"/>
        <v>1</v>
      </c>
      <c r="N327" s="1">
        <f t="shared" si="26"/>
        <v>87</v>
      </c>
      <c r="O327" s="10">
        <f t="shared" si="29"/>
        <v>41.242499999993015</v>
      </c>
    </row>
    <row r="328" spans="1:15">
      <c r="A328" s="1" t="s">
        <v>431</v>
      </c>
      <c r="B328" s="23">
        <v>44958.486111111109</v>
      </c>
      <c r="C328" s="1" t="s">
        <v>16</v>
      </c>
      <c r="D328" s="1" t="s">
        <v>21</v>
      </c>
      <c r="E328" s="1" t="s">
        <v>13</v>
      </c>
      <c r="F328" s="1" t="s">
        <v>224</v>
      </c>
      <c r="G328" s="1">
        <v>113</v>
      </c>
      <c r="H328" s="23">
        <v>44958.541967592595</v>
      </c>
      <c r="I328" s="1" t="b">
        <v>0</v>
      </c>
      <c r="J328" s="1">
        <v>5</v>
      </c>
      <c r="K328" s="10">
        <f t="shared" si="27"/>
        <v>1.340555555652827</v>
      </c>
      <c r="L328" s="1" t="str">
        <f t="shared" si="28"/>
        <v>Review</v>
      </c>
      <c r="M328" s="1">
        <f t="shared" si="25"/>
        <v>1</v>
      </c>
      <c r="N328" s="1" t="str">
        <f t="shared" si="26"/>
        <v/>
      </c>
      <c r="O328" s="10" t="str">
        <f t="shared" si="29"/>
        <v/>
      </c>
    </row>
    <row r="329" spans="1:15">
      <c r="A329" s="1" t="s">
        <v>432</v>
      </c>
      <c r="B329" s="23">
        <v>44958.488194444442</v>
      </c>
      <c r="C329" s="1" t="s">
        <v>25</v>
      </c>
      <c r="D329" s="1" t="s">
        <v>59</v>
      </c>
      <c r="E329" s="1" t="s">
        <v>13</v>
      </c>
      <c r="F329" s="1" t="s">
        <v>54</v>
      </c>
      <c r="G329" s="1">
        <v>12</v>
      </c>
      <c r="H329" s="23">
        <v>44959.421249999999</v>
      </c>
      <c r="I329" s="1" t="b">
        <v>0</v>
      </c>
      <c r="K329" s="10">
        <f t="shared" si="27"/>
        <v>22.39333333336981</v>
      </c>
      <c r="L329" s="1" t="str">
        <f t="shared" si="28"/>
        <v>OK</v>
      </c>
      <c r="M329" s="1">
        <f t="shared" si="25"/>
        <v>1</v>
      </c>
      <c r="N329" s="1">
        <f t="shared" si="26"/>
        <v>12</v>
      </c>
      <c r="O329" s="10">
        <f t="shared" si="29"/>
        <v>22.39333333336981</v>
      </c>
    </row>
    <row r="330" spans="1:15">
      <c r="A330" s="1" t="s">
        <v>433</v>
      </c>
      <c r="B330" s="23">
        <v>44958.575694444444</v>
      </c>
      <c r="C330" s="1" t="s">
        <v>16</v>
      </c>
      <c r="D330" s="1" t="s">
        <v>17</v>
      </c>
      <c r="E330" s="1" t="s">
        <v>18</v>
      </c>
      <c r="F330" s="1" t="s">
        <v>110</v>
      </c>
      <c r="G330" s="1">
        <v>114</v>
      </c>
      <c r="H330" s="23">
        <v>44963.674050925925</v>
      </c>
      <c r="I330" s="1" t="b">
        <v>1</v>
      </c>
      <c r="K330" s="10">
        <f t="shared" si="27"/>
        <v>122.36055555555504</v>
      </c>
      <c r="L330" s="1" t="str">
        <f t="shared" si="28"/>
        <v>OK</v>
      </c>
      <c r="M330" s="1">
        <f t="shared" si="25"/>
        <v>1</v>
      </c>
      <c r="N330" s="1">
        <f t="shared" si="26"/>
        <v>114</v>
      </c>
      <c r="O330" s="10">
        <f t="shared" si="29"/>
        <v>122.36055555555504</v>
      </c>
    </row>
    <row r="331" spans="1:15">
      <c r="A331" s="1" t="s">
        <v>434</v>
      </c>
      <c r="B331" s="23">
        <v>44959.174305555556</v>
      </c>
      <c r="C331" s="1" t="s">
        <v>11</v>
      </c>
      <c r="D331" s="1" t="s">
        <v>17</v>
      </c>
      <c r="E331" s="1" t="s">
        <v>33</v>
      </c>
      <c r="F331" s="1" t="s">
        <v>23</v>
      </c>
      <c r="G331" s="1">
        <v>138</v>
      </c>
      <c r="H331" s="23">
        <v>44970.966458333336</v>
      </c>
      <c r="I331" s="1" t="b">
        <v>0</v>
      </c>
      <c r="J331" s="1">
        <v>5</v>
      </c>
      <c r="K331" s="10">
        <f t="shared" si="27"/>
        <v>283.01166666671634</v>
      </c>
      <c r="L331" s="1" t="str">
        <f t="shared" si="28"/>
        <v>OK</v>
      </c>
      <c r="M331" s="1">
        <f t="shared" si="25"/>
        <v>1</v>
      </c>
      <c r="N331" s="1">
        <f t="shared" si="26"/>
        <v>138</v>
      </c>
      <c r="O331" s="10">
        <f t="shared" si="29"/>
        <v>283.01166666671634</v>
      </c>
    </row>
    <row r="332" spans="1:15">
      <c r="A332" s="1" t="s">
        <v>435</v>
      </c>
      <c r="B332" s="23">
        <v>44959.298611111109</v>
      </c>
      <c r="C332" s="1" t="s">
        <v>16</v>
      </c>
      <c r="D332" s="1" t="s">
        <v>26</v>
      </c>
      <c r="E332" s="1" t="s">
        <v>18</v>
      </c>
      <c r="F332" s="1" t="s">
        <v>130</v>
      </c>
      <c r="G332" s="1">
        <v>31</v>
      </c>
      <c r="H332" s="23">
        <v>44960.7887962963</v>
      </c>
      <c r="I332" s="1" t="b">
        <v>0</v>
      </c>
      <c r="K332" s="10">
        <f t="shared" si="27"/>
        <v>35.764444444561377</v>
      </c>
      <c r="L332" s="1" t="str">
        <f t="shared" si="28"/>
        <v>OK</v>
      </c>
      <c r="M332" s="1">
        <f t="shared" si="25"/>
        <v>1</v>
      </c>
      <c r="N332" s="1">
        <f t="shared" si="26"/>
        <v>31</v>
      </c>
      <c r="O332" s="10">
        <f t="shared" si="29"/>
        <v>35.764444444561377</v>
      </c>
    </row>
    <row r="333" spans="1:15">
      <c r="A333" s="1" t="s">
        <v>436</v>
      </c>
      <c r="B333" s="23">
        <v>44959.38958333333</v>
      </c>
      <c r="C333" s="1" t="s">
        <v>11</v>
      </c>
      <c r="D333" s="1" t="s">
        <v>21</v>
      </c>
      <c r="E333" s="1" t="s">
        <v>13</v>
      </c>
      <c r="F333" s="1" t="s">
        <v>153</v>
      </c>
      <c r="G333" s="1">
        <v>43</v>
      </c>
      <c r="H333" s="23">
        <v>44960.048414351855</v>
      </c>
      <c r="I333" s="1" t="b">
        <v>0</v>
      </c>
      <c r="K333" s="10">
        <f t="shared" si="27"/>
        <v>15.811944444605615</v>
      </c>
      <c r="L333" s="1" t="str">
        <f t="shared" si="28"/>
        <v>OK</v>
      </c>
      <c r="M333" s="1">
        <f t="shared" si="25"/>
        <v>1</v>
      </c>
      <c r="N333" s="1">
        <f t="shared" si="26"/>
        <v>43</v>
      </c>
      <c r="O333" s="10">
        <f t="shared" si="29"/>
        <v>15.811944444605615</v>
      </c>
    </row>
    <row r="334" spans="1:15">
      <c r="A334" s="1" t="s">
        <v>437</v>
      </c>
      <c r="B334" s="23">
        <v>44959.493055555555</v>
      </c>
      <c r="C334" s="1" t="s">
        <v>25</v>
      </c>
      <c r="D334" s="1" t="s">
        <v>17</v>
      </c>
      <c r="E334" s="1" t="s">
        <v>18</v>
      </c>
      <c r="F334" s="1" t="s">
        <v>64</v>
      </c>
      <c r="G334" s="1">
        <v>140</v>
      </c>
      <c r="H334" s="23">
        <v>44968.179120370369</v>
      </c>
      <c r="I334" s="1" t="b">
        <v>0</v>
      </c>
      <c r="J334" s="1">
        <v>3</v>
      </c>
      <c r="K334" s="10">
        <f t="shared" si="27"/>
        <v>208.46555555553641</v>
      </c>
      <c r="L334" s="1" t="str">
        <f t="shared" si="28"/>
        <v>OK</v>
      </c>
      <c r="M334" s="1">
        <f t="shared" si="25"/>
        <v>1</v>
      </c>
      <c r="N334" s="1">
        <f t="shared" si="26"/>
        <v>140</v>
      </c>
      <c r="O334" s="10">
        <f t="shared" si="29"/>
        <v>208.46555555553641</v>
      </c>
    </row>
    <row r="335" spans="1:15">
      <c r="A335" s="1" t="s">
        <v>438</v>
      </c>
      <c r="B335" s="23">
        <v>44959.49722222222</v>
      </c>
      <c r="C335" s="1" t="s">
        <v>11</v>
      </c>
      <c r="D335" s="1" t="s">
        <v>21</v>
      </c>
      <c r="E335" s="1" t="s">
        <v>33</v>
      </c>
      <c r="F335" s="1" t="s">
        <v>326</v>
      </c>
      <c r="G335" s="1">
        <v>176</v>
      </c>
      <c r="H335" s="23">
        <v>44959.851851851854</v>
      </c>
      <c r="I335" s="1" t="b">
        <v>1</v>
      </c>
      <c r="J335" s="1">
        <v>4</v>
      </c>
      <c r="K335" s="10">
        <f t="shared" si="27"/>
        <v>8.5111111112055369</v>
      </c>
      <c r="L335" s="1" t="str">
        <f t="shared" si="28"/>
        <v>OK</v>
      </c>
      <c r="M335" s="1">
        <f t="shared" si="25"/>
        <v>1</v>
      </c>
      <c r="N335" s="1">
        <f t="shared" si="26"/>
        <v>176</v>
      </c>
      <c r="O335" s="10">
        <f t="shared" si="29"/>
        <v>8.5111111112055369</v>
      </c>
    </row>
    <row r="336" spans="1:15">
      <c r="A336" s="1" t="s">
        <v>439</v>
      </c>
      <c r="B336" s="23">
        <v>44959.696527777778</v>
      </c>
      <c r="C336" s="1" t="s">
        <v>25</v>
      </c>
      <c r="D336" s="1" t="s">
        <v>59</v>
      </c>
      <c r="E336" s="1" t="s">
        <v>18</v>
      </c>
      <c r="F336" s="1" t="s">
        <v>68</v>
      </c>
      <c r="H336" s="23">
        <v>44964.609548611108</v>
      </c>
      <c r="I336" s="1" t="b">
        <v>0</v>
      </c>
      <c r="K336" s="10">
        <f t="shared" si="27"/>
        <v>117.91249999991851</v>
      </c>
      <c r="L336" s="1" t="str">
        <f t="shared" si="28"/>
        <v>Cannot check</v>
      </c>
      <c r="M336" s="1">
        <f t="shared" si="25"/>
        <v>1</v>
      </c>
      <c r="N336" s="1" t="str">
        <f t="shared" si="26"/>
        <v/>
      </c>
      <c r="O336" s="10">
        <f t="shared" si="29"/>
        <v>117.91249999991851</v>
      </c>
    </row>
    <row r="337" spans="1:15">
      <c r="A337" s="1" t="s">
        <v>440</v>
      </c>
      <c r="B337" s="23">
        <v>44959.86041666667</v>
      </c>
      <c r="C337" s="1" t="s">
        <v>25</v>
      </c>
      <c r="D337" s="1" t="s">
        <v>59</v>
      </c>
      <c r="E337" s="1" t="s">
        <v>13</v>
      </c>
      <c r="F337" s="1" t="s">
        <v>254</v>
      </c>
      <c r="G337" s="1">
        <v>62</v>
      </c>
      <c r="H337" s="23">
        <v>44960.871898148151</v>
      </c>
      <c r="I337" s="1" t="b">
        <v>0</v>
      </c>
      <c r="J337" s="1">
        <v>5</v>
      </c>
      <c r="K337" s="10">
        <f t="shared" si="27"/>
        <v>24.275555555534083</v>
      </c>
      <c r="L337" s="1" t="str">
        <f t="shared" si="28"/>
        <v>OK</v>
      </c>
      <c r="M337" s="1">
        <f t="shared" si="25"/>
        <v>1</v>
      </c>
      <c r="N337" s="1">
        <f t="shared" si="26"/>
        <v>62</v>
      </c>
      <c r="O337" s="10">
        <f t="shared" si="29"/>
        <v>24.275555555534083</v>
      </c>
    </row>
    <row r="338" spans="1:15">
      <c r="A338" s="1" t="s">
        <v>441</v>
      </c>
      <c r="B338" s="23">
        <v>44959.98541666667</v>
      </c>
      <c r="C338" s="1" t="s">
        <v>25</v>
      </c>
      <c r="D338" s="1" t="s">
        <v>59</v>
      </c>
      <c r="E338" s="1" t="s">
        <v>22</v>
      </c>
      <c r="F338" s="1" t="s">
        <v>44</v>
      </c>
      <c r="G338" s="1">
        <v>9</v>
      </c>
      <c r="H338" s="23">
        <v>44960.102708333332</v>
      </c>
      <c r="I338" s="1" t="b">
        <v>0</v>
      </c>
      <c r="J338" s="1">
        <v>3</v>
      </c>
      <c r="K338" s="10">
        <f t="shared" si="27"/>
        <v>2.814999999885913</v>
      </c>
      <c r="L338" s="1" t="str">
        <f t="shared" si="28"/>
        <v>OK</v>
      </c>
      <c r="M338" s="1">
        <f t="shared" si="25"/>
        <v>1</v>
      </c>
      <c r="N338" s="1">
        <f t="shared" si="26"/>
        <v>9</v>
      </c>
      <c r="O338" s="10">
        <f t="shared" si="29"/>
        <v>2.814999999885913</v>
      </c>
    </row>
    <row r="339" spans="1:15">
      <c r="A339" s="1" t="s">
        <v>442</v>
      </c>
      <c r="B339" s="23">
        <v>44960.051388888889</v>
      </c>
      <c r="C339" s="1" t="s">
        <v>25</v>
      </c>
      <c r="D339" s="1" t="s">
        <v>21</v>
      </c>
      <c r="E339" s="1" t="s">
        <v>18</v>
      </c>
      <c r="F339" s="1" t="s">
        <v>88</v>
      </c>
      <c r="G339" s="1">
        <v>93</v>
      </c>
      <c r="H339" s="23">
        <v>44960.659837962965</v>
      </c>
      <c r="I339" s="1" t="b">
        <v>0</v>
      </c>
      <c r="K339" s="10">
        <f t="shared" si="27"/>
        <v>14.602777777821757</v>
      </c>
      <c r="L339" s="1" t="str">
        <f t="shared" si="28"/>
        <v>OK</v>
      </c>
      <c r="M339" s="1">
        <f t="shared" si="25"/>
        <v>1</v>
      </c>
      <c r="N339" s="1">
        <f t="shared" si="26"/>
        <v>93</v>
      </c>
      <c r="O339" s="10">
        <f t="shared" si="29"/>
        <v>14.602777777821757</v>
      </c>
    </row>
    <row r="340" spans="1:15">
      <c r="A340" s="1" t="s">
        <v>443</v>
      </c>
      <c r="B340" s="23">
        <v>44960.082638888889</v>
      </c>
      <c r="C340" s="1" t="s">
        <v>16</v>
      </c>
      <c r="D340" s="1" t="s">
        <v>21</v>
      </c>
      <c r="E340" s="1" t="s">
        <v>33</v>
      </c>
      <c r="F340" s="1" t="s">
        <v>148</v>
      </c>
      <c r="G340" s="1">
        <v>114</v>
      </c>
      <c r="H340" s="23">
        <v>44960.285902777781</v>
      </c>
      <c r="I340" s="1" t="b">
        <v>0</v>
      </c>
      <c r="J340" s="1">
        <v>5</v>
      </c>
      <c r="K340" s="10">
        <f t="shared" si="27"/>
        <v>4.878333333414048</v>
      </c>
      <c r="L340" s="1" t="str">
        <f t="shared" si="28"/>
        <v>OK</v>
      </c>
      <c r="M340" s="1">
        <f t="shared" si="25"/>
        <v>1</v>
      </c>
      <c r="N340" s="1">
        <f t="shared" si="26"/>
        <v>114</v>
      </c>
      <c r="O340" s="10">
        <f t="shared" si="29"/>
        <v>4.878333333414048</v>
      </c>
    </row>
    <row r="341" spans="1:15">
      <c r="A341" s="1" t="s">
        <v>444</v>
      </c>
      <c r="B341" s="23">
        <v>44960.200694444444</v>
      </c>
      <c r="C341" s="1" t="s">
        <v>43</v>
      </c>
      <c r="D341" s="1" t="s">
        <v>59</v>
      </c>
      <c r="E341" s="1" t="s">
        <v>13</v>
      </c>
      <c r="F341" s="1" t="s">
        <v>90</v>
      </c>
      <c r="G341" s="1">
        <v>56</v>
      </c>
      <c r="H341" s="23">
        <v>44960.247418981482</v>
      </c>
      <c r="I341" s="1" t="b">
        <v>0</v>
      </c>
      <c r="J341" s="1">
        <v>4</v>
      </c>
      <c r="K341" s="10">
        <f t="shared" si="27"/>
        <v>1.1213888889178634</v>
      </c>
      <c r="L341" s="1" t="str">
        <f t="shared" si="28"/>
        <v>OK</v>
      </c>
      <c r="M341" s="1">
        <f t="shared" si="25"/>
        <v>1</v>
      </c>
      <c r="N341" s="1">
        <f t="shared" si="26"/>
        <v>56</v>
      </c>
      <c r="O341" s="10">
        <f t="shared" si="29"/>
        <v>1.1213888889178634</v>
      </c>
    </row>
    <row r="342" spans="1:15">
      <c r="A342" s="1" t="s">
        <v>445</v>
      </c>
      <c r="B342" s="23">
        <v>44960.338888888888</v>
      </c>
      <c r="C342" s="1" t="s">
        <v>11</v>
      </c>
      <c r="D342" s="1" t="s">
        <v>21</v>
      </c>
      <c r="E342" s="1" t="s">
        <v>18</v>
      </c>
      <c r="F342" s="1" t="s">
        <v>415</v>
      </c>
      <c r="G342" s="1">
        <v>19</v>
      </c>
      <c r="H342" s="23">
        <v>44961.317743055559</v>
      </c>
      <c r="I342" s="1" t="b">
        <v>0</v>
      </c>
      <c r="J342" s="1">
        <v>4</v>
      </c>
      <c r="K342" s="10">
        <f t="shared" si="27"/>
        <v>23.49250000010943</v>
      </c>
      <c r="L342" s="1" t="str">
        <f t="shared" si="28"/>
        <v>OK</v>
      </c>
      <c r="M342" s="1">
        <f t="shared" si="25"/>
        <v>1</v>
      </c>
      <c r="N342" s="1">
        <f t="shared" si="26"/>
        <v>19</v>
      </c>
      <c r="O342" s="10">
        <f t="shared" si="29"/>
        <v>23.49250000010943</v>
      </c>
    </row>
    <row r="343" spans="1:15">
      <c r="A343" s="1" t="s">
        <v>446</v>
      </c>
      <c r="B343" s="23">
        <v>44960.474999999999</v>
      </c>
      <c r="C343" s="1" t="s">
        <v>25</v>
      </c>
      <c r="D343" s="1" t="s">
        <v>21</v>
      </c>
      <c r="E343" s="1" t="s">
        <v>18</v>
      </c>
      <c r="F343" s="1" t="s">
        <v>118</v>
      </c>
      <c r="G343" s="1">
        <v>89</v>
      </c>
      <c r="H343" s="23">
        <v>44960.613067129627</v>
      </c>
      <c r="I343" s="1" t="b">
        <v>0</v>
      </c>
      <c r="J343" s="1">
        <v>1</v>
      </c>
      <c r="K343" s="10">
        <f t="shared" si="27"/>
        <v>3.3136111110798083</v>
      </c>
      <c r="L343" s="1" t="str">
        <f t="shared" si="28"/>
        <v>OK</v>
      </c>
      <c r="M343" s="1">
        <f t="shared" si="25"/>
        <v>1</v>
      </c>
      <c r="N343" s="1">
        <f t="shared" si="26"/>
        <v>89</v>
      </c>
      <c r="O343" s="10">
        <f t="shared" si="29"/>
        <v>3.3136111110798083</v>
      </c>
    </row>
    <row r="344" spans="1:15">
      <c r="A344" s="1" t="s">
        <v>447</v>
      </c>
      <c r="B344" s="23">
        <v>44960.496527777781</v>
      </c>
      <c r="C344" s="1" t="s">
        <v>25</v>
      </c>
      <c r="D344" s="1" t="s">
        <v>26</v>
      </c>
      <c r="E344" s="1" t="s">
        <v>33</v>
      </c>
      <c r="F344" s="1" t="s">
        <v>367</v>
      </c>
      <c r="G344" s="1">
        <v>126</v>
      </c>
      <c r="H344" s="23">
        <v>44961.876770833333</v>
      </c>
      <c r="I344" s="1" t="b">
        <v>0</v>
      </c>
      <c r="J344" s="1">
        <v>4</v>
      </c>
      <c r="K344" s="10">
        <f t="shared" si="27"/>
        <v>33.125833333237097</v>
      </c>
      <c r="L344" s="1" t="str">
        <f t="shared" si="28"/>
        <v>OK</v>
      </c>
      <c r="M344" s="1">
        <f t="shared" si="25"/>
        <v>1</v>
      </c>
      <c r="N344" s="1">
        <f t="shared" si="26"/>
        <v>126</v>
      </c>
      <c r="O344" s="10">
        <f t="shared" si="29"/>
        <v>33.125833333237097</v>
      </c>
    </row>
    <row r="345" spans="1:15">
      <c r="A345" s="1" t="s">
        <v>448</v>
      </c>
      <c r="B345" s="23">
        <v>44960.59652777778</v>
      </c>
      <c r="C345" s="1" t="s">
        <v>16</v>
      </c>
      <c r="D345" s="1" t="s">
        <v>21</v>
      </c>
      <c r="E345" s="1" t="s">
        <v>18</v>
      </c>
      <c r="F345" s="1" t="s">
        <v>46</v>
      </c>
      <c r="G345" s="1">
        <v>210</v>
      </c>
      <c r="H345" s="23">
        <v>44962.494050925925</v>
      </c>
      <c r="I345" s="1" t="b">
        <v>0</v>
      </c>
      <c r="K345" s="10">
        <f t="shared" si="27"/>
        <v>45.540555555489846</v>
      </c>
      <c r="L345" s="1" t="str">
        <f t="shared" si="28"/>
        <v>OK</v>
      </c>
      <c r="M345" s="1">
        <f t="shared" si="25"/>
        <v>1</v>
      </c>
      <c r="N345" s="1">
        <f t="shared" si="26"/>
        <v>210</v>
      </c>
      <c r="O345" s="10">
        <f t="shared" si="29"/>
        <v>45.540555555489846</v>
      </c>
    </row>
    <row r="346" spans="1:15">
      <c r="A346" s="1" t="s">
        <v>449</v>
      </c>
      <c r="B346" s="23">
        <v>44960.927083333336</v>
      </c>
      <c r="C346" s="1" t="s">
        <v>11</v>
      </c>
      <c r="D346" s="1" t="s">
        <v>17</v>
      </c>
      <c r="E346" s="1" t="s">
        <v>18</v>
      </c>
      <c r="F346" s="1" t="s">
        <v>108</v>
      </c>
      <c r="G346" s="1">
        <v>145</v>
      </c>
      <c r="H346" s="23">
        <v>44967.30400462963</v>
      </c>
      <c r="I346" s="1" t="b">
        <v>0</v>
      </c>
      <c r="K346" s="10">
        <f t="shared" si="27"/>
        <v>153.04611111106351</v>
      </c>
      <c r="L346" s="1" t="str">
        <f t="shared" si="28"/>
        <v>OK</v>
      </c>
      <c r="M346" s="1">
        <f t="shared" si="25"/>
        <v>1</v>
      </c>
      <c r="N346" s="1">
        <f t="shared" si="26"/>
        <v>145</v>
      </c>
      <c r="O346" s="10">
        <f t="shared" si="29"/>
        <v>153.04611111106351</v>
      </c>
    </row>
    <row r="347" spans="1:15">
      <c r="A347" s="1" t="s">
        <v>450</v>
      </c>
      <c r="B347" s="23">
        <v>44960.952777777777</v>
      </c>
      <c r="C347" s="1" t="s">
        <v>16</v>
      </c>
      <c r="D347" s="1" t="s">
        <v>17</v>
      </c>
      <c r="E347" s="1" t="s">
        <v>18</v>
      </c>
      <c r="F347" s="1" t="s">
        <v>239</v>
      </c>
      <c r="G347" s="1">
        <v>90</v>
      </c>
      <c r="H347" s="23">
        <v>44966.383333333331</v>
      </c>
      <c r="I347" s="1" t="b">
        <v>0</v>
      </c>
      <c r="J347" s="1">
        <v>5</v>
      </c>
      <c r="K347" s="10">
        <f t="shared" si="27"/>
        <v>130.33333333331393</v>
      </c>
      <c r="L347" s="1" t="str">
        <f t="shared" si="28"/>
        <v>OK</v>
      </c>
      <c r="M347" s="1">
        <f t="shared" si="25"/>
        <v>1</v>
      </c>
      <c r="N347" s="1">
        <f t="shared" si="26"/>
        <v>90</v>
      </c>
      <c r="O347" s="10">
        <f t="shared" si="29"/>
        <v>130.33333333331393</v>
      </c>
    </row>
    <row r="348" spans="1:15">
      <c r="A348" s="1" t="s">
        <v>451</v>
      </c>
      <c r="B348" s="23">
        <v>44960.96875</v>
      </c>
      <c r="C348" s="1" t="s">
        <v>16</v>
      </c>
      <c r="D348" s="1" t="s">
        <v>12</v>
      </c>
      <c r="E348" s="1" t="s">
        <v>13</v>
      </c>
      <c r="F348" s="1" t="s">
        <v>215</v>
      </c>
      <c r="G348" s="1">
        <v>13</v>
      </c>
      <c r="H348" s="23">
        <v>44961.337881944448</v>
      </c>
      <c r="I348" s="1" t="b">
        <v>0</v>
      </c>
      <c r="K348" s="10">
        <f t="shared" si="27"/>
        <v>8.8591666667489335</v>
      </c>
      <c r="L348" s="1" t="str">
        <f t="shared" si="28"/>
        <v>OK</v>
      </c>
      <c r="M348" s="1">
        <f t="shared" si="25"/>
        <v>1</v>
      </c>
      <c r="N348" s="1">
        <f t="shared" si="26"/>
        <v>13</v>
      </c>
      <c r="O348" s="10">
        <f t="shared" si="29"/>
        <v>8.8591666667489335</v>
      </c>
    </row>
    <row r="349" spans="1:15">
      <c r="A349" s="1" t="s">
        <v>452</v>
      </c>
      <c r="B349" s="23">
        <v>44961.474999999999</v>
      </c>
      <c r="C349" s="1" t="s">
        <v>43</v>
      </c>
      <c r="D349" s="1" t="s">
        <v>17</v>
      </c>
      <c r="E349" s="1" t="s">
        <v>18</v>
      </c>
      <c r="F349" s="1" t="s">
        <v>62</v>
      </c>
      <c r="G349" s="1">
        <v>20</v>
      </c>
      <c r="I349" s="1" t="b">
        <v>0</v>
      </c>
      <c r="K349" s="10" t="str">
        <f t="shared" si="27"/>
        <v/>
      </c>
      <c r="L349" s="1" t="str">
        <f t="shared" si="28"/>
        <v>Cannot check</v>
      </c>
      <c r="M349" s="1">
        <f t="shared" si="25"/>
        <v>1</v>
      </c>
      <c r="N349" s="1">
        <f t="shared" si="26"/>
        <v>20</v>
      </c>
      <c r="O349" s="10" t="str">
        <f t="shared" si="29"/>
        <v/>
      </c>
    </row>
    <row r="350" spans="1:15">
      <c r="A350" s="1" t="s">
        <v>453</v>
      </c>
      <c r="B350" s="23">
        <v>44961.495833333334</v>
      </c>
      <c r="C350" s="1" t="s">
        <v>11</v>
      </c>
      <c r="D350" s="1" t="s">
        <v>12</v>
      </c>
      <c r="E350" s="1" t="s">
        <v>33</v>
      </c>
      <c r="F350" s="1" t="s">
        <v>256</v>
      </c>
      <c r="G350" s="1">
        <v>98</v>
      </c>
      <c r="H350" s="23">
        <v>44962.542256944442</v>
      </c>
      <c r="I350" s="1" t="b">
        <v>0</v>
      </c>
      <c r="K350" s="10">
        <f t="shared" si="27"/>
        <v>25.114166666578967</v>
      </c>
      <c r="L350" s="1" t="str">
        <f t="shared" si="28"/>
        <v>OK</v>
      </c>
      <c r="M350" s="1">
        <f t="shared" si="25"/>
        <v>1</v>
      </c>
      <c r="N350" s="1">
        <f t="shared" si="26"/>
        <v>98</v>
      </c>
      <c r="O350" s="10">
        <f t="shared" si="29"/>
        <v>25.114166666578967</v>
      </c>
    </row>
    <row r="351" spans="1:15">
      <c r="A351" s="1" t="s">
        <v>454</v>
      </c>
      <c r="B351" s="23">
        <v>44961.724305555559</v>
      </c>
      <c r="C351" s="1" t="s">
        <v>43</v>
      </c>
      <c r="D351" s="1" t="s">
        <v>12</v>
      </c>
      <c r="E351" s="1" t="s">
        <v>33</v>
      </c>
      <c r="F351" s="1" t="s">
        <v>35</v>
      </c>
      <c r="H351" s="23">
        <v>44963.176053240742</v>
      </c>
      <c r="I351" s="1" t="b">
        <v>0</v>
      </c>
      <c r="J351" s="1">
        <v>5</v>
      </c>
      <c r="K351" s="10">
        <f t="shared" si="27"/>
        <v>34.841944444400724</v>
      </c>
      <c r="L351" s="1" t="str">
        <f t="shared" si="28"/>
        <v>Cannot check</v>
      </c>
      <c r="M351" s="1">
        <f t="shared" si="25"/>
        <v>1</v>
      </c>
      <c r="N351" s="1" t="str">
        <f t="shared" si="26"/>
        <v/>
      </c>
      <c r="O351" s="10">
        <f t="shared" si="29"/>
        <v>34.841944444400724</v>
      </c>
    </row>
    <row r="352" spans="1:15">
      <c r="A352" s="1" t="s">
        <v>455</v>
      </c>
      <c r="B352" s="23">
        <v>44961.728472222225</v>
      </c>
      <c r="C352" s="1" t="s">
        <v>11</v>
      </c>
      <c r="D352" s="1" t="s">
        <v>12</v>
      </c>
      <c r="E352" s="1" t="s">
        <v>18</v>
      </c>
      <c r="F352" s="1" t="s">
        <v>132</v>
      </c>
      <c r="G352" s="1">
        <v>114</v>
      </c>
      <c r="H352" s="23">
        <v>44961.828657407408</v>
      </c>
      <c r="I352" s="1" t="b">
        <v>0</v>
      </c>
      <c r="K352" s="10">
        <f t="shared" si="27"/>
        <v>2.404444444400724</v>
      </c>
      <c r="L352" s="1" t="str">
        <f t="shared" si="28"/>
        <v>OK</v>
      </c>
      <c r="M352" s="1">
        <f t="shared" si="25"/>
        <v>1</v>
      </c>
      <c r="N352" s="1">
        <f t="shared" si="26"/>
        <v>114</v>
      </c>
      <c r="O352" s="10">
        <f t="shared" si="29"/>
        <v>2.404444444400724</v>
      </c>
    </row>
    <row r="353" spans="1:15">
      <c r="A353" s="1" t="s">
        <v>456</v>
      </c>
      <c r="B353" s="23">
        <v>44961.748611111114</v>
      </c>
      <c r="C353" s="1" t="s">
        <v>25</v>
      </c>
      <c r="D353" s="1" t="s">
        <v>17</v>
      </c>
      <c r="E353" s="1" t="s">
        <v>33</v>
      </c>
      <c r="F353" s="1" t="s">
        <v>162</v>
      </c>
      <c r="G353" s="1">
        <v>455</v>
      </c>
      <c r="I353" s="1" t="b">
        <v>0</v>
      </c>
      <c r="K353" s="10" t="str">
        <f t="shared" si="27"/>
        <v/>
      </c>
      <c r="L353" s="1" t="str">
        <f t="shared" si="28"/>
        <v>Cannot check</v>
      </c>
      <c r="M353" s="1">
        <f t="shared" si="25"/>
        <v>1</v>
      </c>
      <c r="N353" s="1">
        <f t="shared" si="26"/>
        <v>455</v>
      </c>
      <c r="O353" s="10" t="str">
        <f t="shared" si="29"/>
        <v/>
      </c>
    </row>
    <row r="354" spans="1:15">
      <c r="A354" s="1" t="s">
        <v>457</v>
      </c>
      <c r="B354" s="23">
        <v>44961.790972222225</v>
      </c>
      <c r="C354" s="1" t="s">
        <v>25</v>
      </c>
      <c r="D354" s="1" t="s">
        <v>17</v>
      </c>
      <c r="E354" s="1" t="s">
        <v>13</v>
      </c>
      <c r="F354" s="1" t="s">
        <v>120</v>
      </c>
      <c r="G354" s="1">
        <v>55</v>
      </c>
      <c r="H354" s="23">
        <v>44962.275902777779</v>
      </c>
      <c r="I354" s="1" t="b">
        <v>0</v>
      </c>
      <c r="K354" s="10">
        <f t="shared" si="27"/>
        <v>11.638333333306946</v>
      </c>
      <c r="L354" s="1" t="str">
        <f t="shared" si="28"/>
        <v>OK</v>
      </c>
      <c r="M354" s="1">
        <f t="shared" si="25"/>
        <v>1</v>
      </c>
      <c r="N354" s="1">
        <f t="shared" si="26"/>
        <v>55</v>
      </c>
      <c r="O354" s="10">
        <f t="shared" si="29"/>
        <v>11.638333333306946</v>
      </c>
    </row>
    <row r="355" spans="1:15">
      <c r="A355" s="1" t="s">
        <v>458</v>
      </c>
      <c r="B355" s="23">
        <v>44962.063888888886</v>
      </c>
      <c r="C355" s="1" t="s">
        <v>43</v>
      </c>
      <c r="D355" s="1" t="s">
        <v>17</v>
      </c>
      <c r="E355" s="1" t="s">
        <v>33</v>
      </c>
      <c r="F355" s="1" t="s">
        <v>57</v>
      </c>
      <c r="G355" s="1">
        <v>153</v>
      </c>
      <c r="H355" s="23">
        <v>44965.907812500001</v>
      </c>
      <c r="I355" s="1" t="b">
        <v>0</v>
      </c>
      <c r="J355" s="1">
        <v>5</v>
      </c>
      <c r="K355" s="10">
        <f t="shared" si="27"/>
        <v>92.25416666676756</v>
      </c>
      <c r="L355" s="1" t="str">
        <f t="shared" si="28"/>
        <v>OK</v>
      </c>
      <c r="M355" s="1">
        <f t="shared" si="25"/>
        <v>1</v>
      </c>
      <c r="N355" s="1">
        <f t="shared" si="26"/>
        <v>153</v>
      </c>
      <c r="O355" s="10">
        <f t="shared" si="29"/>
        <v>92.25416666676756</v>
      </c>
    </row>
    <row r="356" spans="1:15">
      <c r="A356" s="1" t="s">
        <v>459</v>
      </c>
      <c r="B356" s="23">
        <v>44962.777777777781</v>
      </c>
      <c r="C356" s="1" t="s">
        <v>16</v>
      </c>
      <c r="D356" s="1" t="s">
        <v>17</v>
      </c>
      <c r="E356" s="1" t="s">
        <v>18</v>
      </c>
      <c r="F356" s="1" t="s">
        <v>116</v>
      </c>
      <c r="G356" s="1">
        <v>285</v>
      </c>
      <c r="H356" s="23">
        <v>44978.237569444442</v>
      </c>
      <c r="I356" s="1" t="b">
        <v>0</v>
      </c>
      <c r="K356" s="10">
        <f t="shared" si="27"/>
        <v>371.03499999985797</v>
      </c>
      <c r="L356" s="1" t="str">
        <f t="shared" si="28"/>
        <v>OK</v>
      </c>
      <c r="M356" s="1">
        <f t="shared" si="25"/>
        <v>1</v>
      </c>
      <c r="N356" s="1">
        <f t="shared" si="26"/>
        <v>285</v>
      </c>
      <c r="O356" s="10">
        <f t="shared" si="29"/>
        <v>371.03499999985797</v>
      </c>
    </row>
    <row r="357" spans="1:15">
      <c r="A357" s="1" t="s">
        <v>460</v>
      </c>
      <c r="B357" s="23">
        <v>44962.84375</v>
      </c>
      <c r="C357" s="1" t="s">
        <v>11</v>
      </c>
      <c r="D357" s="1" t="s">
        <v>59</v>
      </c>
      <c r="E357" s="1" t="s">
        <v>33</v>
      </c>
      <c r="F357" s="1" t="s">
        <v>100</v>
      </c>
      <c r="G357" s="1">
        <v>1006</v>
      </c>
      <c r="H357" s="23">
        <v>44964.508564814816</v>
      </c>
      <c r="I357" s="1" t="b">
        <v>0</v>
      </c>
      <c r="K357" s="10">
        <f t="shared" si="27"/>
        <v>39.955555555585306</v>
      </c>
      <c r="L357" s="1" t="str">
        <f t="shared" si="28"/>
        <v>OK</v>
      </c>
      <c r="M357" s="1">
        <f t="shared" si="25"/>
        <v>1</v>
      </c>
      <c r="N357" s="1">
        <f t="shared" si="26"/>
        <v>1006</v>
      </c>
      <c r="O357" s="10">
        <f t="shared" si="29"/>
        <v>39.955555555585306</v>
      </c>
    </row>
    <row r="358" spans="1:15">
      <c r="A358" s="1" t="s">
        <v>461</v>
      </c>
      <c r="B358" s="23">
        <v>44963.04791666667</v>
      </c>
      <c r="C358" s="1" t="s">
        <v>25</v>
      </c>
      <c r="D358" s="1" t="s">
        <v>26</v>
      </c>
      <c r="E358" s="1" t="s">
        <v>13</v>
      </c>
      <c r="F358" s="1" t="s">
        <v>145</v>
      </c>
      <c r="G358" s="1">
        <v>77</v>
      </c>
      <c r="H358" s="23">
        <v>44964.037800925929</v>
      </c>
      <c r="I358" s="1" t="b">
        <v>0</v>
      </c>
      <c r="K358" s="10">
        <f t="shared" si="27"/>
        <v>23.757222222222481</v>
      </c>
      <c r="L358" s="1" t="str">
        <f t="shared" si="28"/>
        <v>OK</v>
      </c>
      <c r="M358" s="1">
        <f t="shared" si="25"/>
        <v>1</v>
      </c>
      <c r="N358" s="1">
        <f t="shared" si="26"/>
        <v>77</v>
      </c>
      <c r="O358" s="10">
        <f t="shared" si="29"/>
        <v>23.757222222222481</v>
      </c>
    </row>
    <row r="359" spans="1:15">
      <c r="A359" s="1" t="s">
        <v>462</v>
      </c>
      <c r="B359" s="23">
        <v>44963.057638888888</v>
      </c>
      <c r="C359" s="1" t="s">
        <v>11</v>
      </c>
      <c r="D359" s="1" t="s">
        <v>21</v>
      </c>
      <c r="E359" s="1" t="s">
        <v>18</v>
      </c>
      <c r="F359" s="1" t="s">
        <v>132</v>
      </c>
      <c r="G359" s="1">
        <v>176</v>
      </c>
      <c r="H359" s="23">
        <v>44964.22515046296</v>
      </c>
      <c r="I359" s="1" t="b">
        <v>0</v>
      </c>
      <c r="K359" s="10">
        <f t="shared" si="27"/>
        <v>28.020277777744923</v>
      </c>
      <c r="L359" s="1" t="str">
        <f t="shared" si="28"/>
        <v>OK</v>
      </c>
      <c r="M359" s="1">
        <f t="shared" si="25"/>
        <v>1</v>
      </c>
      <c r="N359" s="1">
        <f t="shared" si="26"/>
        <v>176</v>
      </c>
      <c r="O359" s="10">
        <f t="shared" si="29"/>
        <v>28.020277777744923</v>
      </c>
    </row>
    <row r="360" spans="1:15">
      <c r="A360" s="1" t="s">
        <v>463</v>
      </c>
      <c r="B360" s="23">
        <v>44963.18472222222</v>
      </c>
      <c r="C360" s="1" t="s">
        <v>16</v>
      </c>
      <c r="D360" s="1" t="s">
        <v>21</v>
      </c>
      <c r="E360" s="1" t="s">
        <v>13</v>
      </c>
      <c r="F360" s="1" t="s">
        <v>178</v>
      </c>
      <c r="G360" s="1">
        <v>184</v>
      </c>
      <c r="I360" s="1" t="b">
        <v>0</v>
      </c>
      <c r="K360" s="10" t="str">
        <f t="shared" si="27"/>
        <v/>
      </c>
      <c r="L360" s="1" t="str">
        <f t="shared" si="28"/>
        <v>Cannot check</v>
      </c>
      <c r="M360" s="1">
        <f t="shared" si="25"/>
        <v>1</v>
      </c>
      <c r="N360" s="1">
        <f t="shared" si="26"/>
        <v>184</v>
      </c>
      <c r="O360" s="10" t="str">
        <f t="shared" si="29"/>
        <v/>
      </c>
    </row>
    <row r="361" spans="1:15">
      <c r="A361" s="1" t="s">
        <v>464</v>
      </c>
      <c r="B361" s="23">
        <v>44963.305555555555</v>
      </c>
      <c r="C361" s="1" t="s">
        <v>16</v>
      </c>
      <c r="D361" s="1" t="s">
        <v>59</v>
      </c>
      <c r="E361" s="1" t="s">
        <v>33</v>
      </c>
      <c r="F361" s="1" t="s">
        <v>102</v>
      </c>
      <c r="G361" s="1">
        <v>421</v>
      </c>
      <c r="H361" s="23">
        <v>44964.116770833331</v>
      </c>
      <c r="I361" s="1" t="b">
        <v>0</v>
      </c>
      <c r="J361" s="1">
        <v>5</v>
      </c>
      <c r="K361" s="10">
        <f t="shared" si="27"/>
        <v>19.469166666618548</v>
      </c>
      <c r="L361" s="1" t="str">
        <f t="shared" si="28"/>
        <v>OK</v>
      </c>
      <c r="M361" s="1">
        <f t="shared" si="25"/>
        <v>1</v>
      </c>
      <c r="N361" s="1">
        <f t="shared" si="26"/>
        <v>421</v>
      </c>
      <c r="O361" s="10">
        <f t="shared" si="29"/>
        <v>19.469166666618548</v>
      </c>
    </row>
    <row r="362" spans="1:15">
      <c r="A362" s="1" t="s">
        <v>465</v>
      </c>
      <c r="B362" s="23">
        <v>44963.345138888886</v>
      </c>
      <c r="C362" s="1" t="s">
        <v>16</v>
      </c>
      <c r="D362" s="1" t="s">
        <v>26</v>
      </c>
      <c r="E362" s="1" t="s">
        <v>18</v>
      </c>
      <c r="F362" s="1" t="s">
        <v>132</v>
      </c>
      <c r="G362" s="1">
        <v>579</v>
      </c>
      <c r="H362" s="23">
        <v>44964.388032407405</v>
      </c>
      <c r="I362" s="1" t="b">
        <v>1</v>
      </c>
      <c r="J362" s="1">
        <v>5</v>
      </c>
      <c r="K362" s="10">
        <f t="shared" si="27"/>
        <v>25.029444444458932</v>
      </c>
      <c r="L362" s="1" t="str">
        <f t="shared" si="28"/>
        <v>OK</v>
      </c>
      <c r="M362" s="1">
        <f t="shared" si="25"/>
        <v>1</v>
      </c>
      <c r="N362" s="1">
        <f t="shared" si="26"/>
        <v>579</v>
      </c>
      <c r="O362" s="10">
        <f t="shared" si="29"/>
        <v>25.029444444458932</v>
      </c>
    </row>
    <row r="363" spans="1:15">
      <c r="A363" s="1" t="s">
        <v>466</v>
      </c>
      <c r="B363" s="23">
        <v>44963.384027777778</v>
      </c>
      <c r="C363" s="1" t="s">
        <v>11</v>
      </c>
      <c r="D363" s="1" t="s">
        <v>17</v>
      </c>
      <c r="E363" s="1" t="s">
        <v>22</v>
      </c>
      <c r="F363" s="1" t="s">
        <v>41</v>
      </c>
      <c r="G363" s="1">
        <v>22</v>
      </c>
      <c r="H363" s="23">
        <v>44963.973738425928</v>
      </c>
      <c r="I363" s="1" t="b">
        <v>0</v>
      </c>
      <c r="K363" s="10">
        <f t="shared" si="27"/>
        <v>14.153055555594619</v>
      </c>
      <c r="L363" s="1" t="str">
        <f t="shared" si="28"/>
        <v>OK</v>
      </c>
      <c r="M363" s="1">
        <f t="shared" si="25"/>
        <v>1</v>
      </c>
      <c r="N363" s="1">
        <f t="shared" si="26"/>
        <v>22</v>
      </c>
      <c r="O363" s="10">
        <f t="shared" si="29"/>
        <v>14.153055555594619</v>
      </c>
    </row>
    <row r="364" spans="1:15">
      <c r="A364" s="1" t="s">
        <v>467</v>
      </c>
      <c r="B364" s="23">
        <v>44963.42083333333</v>
      </c>
      <c r="C364" s="1" t="s">
        <v>16</v>
      </c>
      <c r="D364" s="1" t="s">
        <v>26</v>
      </c>
      <c r="E364" s="1" t="s">
        <v>33</v>
      </c>
      <c r="F364" s="1" t="s">
        <v>41</v>
      </c>
      <c r="G364" s="1">
        <v>72</v>
      </c>
      <c r="H364" s="23">
        <v>44966.008668981478</v>
      </c>
      <c r="I364" s="1" t="b">
        <v>0</v>
      </c>
      <c r="J364" s="1">
        <v>5</v>
      </c>
      <c r="K364" s="10">
        <f t="shared" si="27"/>
        <v>62.10805555555271</v>
      </c>
      <c r="L364" s="1" t="str">
        <f t="shared" si="28"/>
        <v>OK</v>
      </c>
      <c r="M364" s="1">
        <f t="shared" si="25"/>
        <v>1</v>
      </c>
      <c r="N364" s="1">
        <f t="shared" si="26"/>
        <v>72</v>
      </c>
      <c r="O364" s="10">
        <f t="shared" si="29"/>
        <v>62.10805555555271</v>
      </c>
    </row>
    <row r="365" spans="1:15">
      <c r="A365" s="1" t="s">
        <v>468</v>
      </c>
      <c r="B365" s="23">
        <v>44963.443055555559</v>
      </c>
      <c r="C365" s="1" t="s">
        <v>16</v>
      </c>
      <c r="D365" s="1" t="s">
        <v>21</v>
      </c>
      <c r="E365" s="1" t="s">
        <v>13</v>
      </c>
      <c r="F365" s="1" t="s">
        <v>302</v>
      </c>
      <c r="G365" s="1">
        <v>106</v>
      </c>
      <c r="H365" s="23">
        <v>44964.546805555554</v>
      </c>
      <c r="I365" s="1" t="b">
        <v>0</v>
      </c>
      <c r="K365" s="10">
        <f t="shared" si="27"/>
        <v>26.489999999874271</v>
      </c>
      <c r="L365" s="1" t="str">
        <f t="shared" si="28"/>
        <v>OK</v>
      </c>
      <c r="M365" s="1">
        <f t="shared" si="25"/>
        <v>1</v>
      </c>
      <c r="N365" s="1">
        <f t="shared" si="26"/>
        <v>106</v>
      </c>
      <c r="O365" s="10">
        <f t="shared" si="29"/>
        <v>26.489999999874271</v>
      </c>
    </row>
    <row r="366" spans="1:15">
      <c r="A366" s="1" t="s">
        <v>469</v>
      </c>
      <c r="B366" s="23">
        <v>44963.510416666664</v>
      </c>
      <c r="C366" s="1" t="s">
        <v>16</v>
      </c>
      <c r="D366" s="1" t="s">
        <v>17</v>
      </c>
      <c r="E366" s="1" t="s">
        <v>18</v>
      </c>
      <c r="F366" s="1" t="s">
        <v>130</v>
      </c>
      <c r="G366" s="1">
        <v>50</v>
      </c>
      <c r="H366" s="23">
        <v>44969.678391203706</v>
      </c>
      <c r="I366" s="1" t="b">
        <v>0</v>
      </c>
      <c r="K366" s="10">
        <f t="shared" si="27"/>
        <v>148.03138888900867</v>
      </c>
      <c r="L366" s="1" t="str">
        <f t="shared" si="28"/>
        <v>OK</v>
      </c>
      <c r="M366" s="1">
        <f t="shared" si="25"/>
        <v>1</v>
      </c>
      <c r="N366" s="1">
        <f t="shared" si="26"/>
        <v>50</v>
      </c>
      <c r="O366" s="10">
        <f t="shared" si="29"/>
        <v>148.03138888900867</v>
      </c>
    </row>
    <row r="367" spans="1:15">
      <c r="A367" s="1" t="s">
        <v>470</v>
      </c>
      <c r="B367" s="23">
        <v>44963.731944444444</v>
      </c>
      <c r="C367" s="1" t="s">
        <v>16</v>
      </c>
      <c r="D367" s="1" t="s">
        <v>21</v>
      </c>
      <c r="E367" s="1" t="s">
        <v>13</v>
      </c>
      <c r="F367" s="1" t="s">
        <v>39</v>
      </c>
      <c r="G367" s="1">
        <v>33</v>
      </c>
      <c r="H367" s="23">
        <v>44963.788923611108</v>
      </c>
      <c r="I367" s="1" t="b">
        <v>0</v>
      </c>
      <c r="K367" s="10">
        <f t="shared" si="27"/>
        <v>1.3674999999348074</v>
      </c>
      <c r="L367" s="1" t="str">
        <f t="shared" si="28"/>
        <v>OK</v>
      </c>
      <c r="M367" s="1">
        <f t="shared" si="25"/>
        <v>1</v>
      </c>
      <c r="N367" s="1">
        <f t="shared" si="26"/>
        <v>33</v>
      </c>
      <c r="O367" s="10">
        <f t="shared" si="29"/>
        <v>1.3674999999348074</v>
      </c>
    </row>
    <row r="368" spans="1:15">
      <c r="A368" s="1" t="s">
        <v>471</v>
      </c>
      <c r="B368" s="23">
        <v>44963.818055555559</v>
      </c>
      <c r="C368" s="1" t="s">
        <v>16</v>
      </c>
      <c r="D368" s="1" t="s">
        <v>59</v>
      </c>
      <c r="E368" s="1" t="s">
        <v>13</v>
      </c>
      <c r="F368" s="1" t="s">
        <v>114</v>
      </c>
      <c r="G368" s="1">
        <v>63</v>
      </c>
      <c r="H368" s="23">
        <v>44964.414918981478</v>
      </c>
      <c r="I368" s="1" t="b">
        <v>0</v>
      </c>
      <c r="K368" s="10">
        <f t="shared" si="27"/>
        <v>14.324722222052515</v>
      </c>
      <c r="L368" s="1" t="str">
        <f t="shared" si="28"/>
        <v>OK</v>
      </c>
      <c r="M368" s="1">
        <f t="shared" si="25"/>
        <v>1</v>
      </c>
      <c r="N368" s="1">
        <f t="shared" si="26"/>
        <v>63</v>
      </c>
      <c r="O368" s="10">
        <f t="shared" si="29"/>
        <v>14.324722222052515</v>
      </c>
    </row>
    <row r="369" spans="1:15">
      <c r="A369" s="1" t="s">
        <v>472</v>
      </c>
      <c r="B369" s="23">
        <v>44963.859722222223</v>
      </c>
      <c r="C369" s="1" t="s">
        <v>25</v>
      </c>
      <c r="D369" s="1" t="s">
        <v>12</v>
      </c>
      <c r="E369" s="1" t="s">
        <v>18</v>
      </c>
      <c r="F369" s="1" t="s">
        <v>237</v>
      </c>
      <c r="G369" s="1">
        <v>65</v>
      </c>
      <c r="H369" s="23">
        <v>44964.9765162037</v>
      </c>
      <c r="I369" s="1" t="b">
        <v>0</v>
      </c>
      <c r="K369" s="10">
        <f t="shared" si="27"/>
        <v>26.803055555443279</v>
      </c>
      <c r="L369" s="1" t="str">
        <f t="shared" si="28"/>
        <v>OK</v>
      </c>
      <c r="M369" s="1">
        <f t="shared" si="25"/>
        <v>1</v>
      </c>
      <c r="N369" s="1">
        <f t="shared" si="26"/>
        <v>65</v>
      </c>
      <c r="O369" s="10">
        <f t="shared" si="29"/>
        <v>26.803055555443279</v>
      </c>
    </row>
    <row r="370" spans="1:15">
      <c r="A370" s="1" t="s">
        <v>473</v>
      </c>
      <c r="B370" s="23">
        <v>44963.938194444447</v>
      </c>
      <c r="C370" s="1" t="s">
        <v>16</v>
      </c>
      <c r="D370" s="1" t="s">
        <v>59</v>
      </c>
      <c r="E370" s="1" t="s">
        <v>18</v>
      </c>
      <c r="F370" s="1" t="s">
        <v>120</v>
      </c>
      <c r="G370" s="1">
        <v>74</v>
      </c>
      <c r="H370" s="23">
        <v>44964.575335648151</v>
      </c>
      <c r="I370" s="1" t="b">
        <v>0</v>
      </c>
      <c r="K370" s="10">
        <f t="shared" si="27"/>
        <v>15.291388888901565</v>
      </c>
      <c r="L370" s="1" t="str">
        <f t="shared" si="28"/>
        <v>OK</v>
      </c>
      <c r="M370" s="1">
        <f t="shared" si="25"/>
        <v>1</v>
      </c>
      <c r="N370" s="1">
        <f t="shared" si="26"/>
        <v>74</v>
      </c>
      <c r="O370" s="10">
        <f t="shared" si="29"/>
        <v>15.291388888901565</v>
      </c>
    </row>
    <row r="371" spans="1:15">
      <c r="A371" s="1" t="s">
        <v>474</v>
      </c>
      <c r="B371" s="23">
        <v>44963.942361111112</v>
      </c>
      <c r="C371" s="1" t="s">
        <v>11</v>
      </c>
      <c r="D371" s="1" t="s">
        <v>17</v>
      </c>
      <c r="E371" s="1" t="s">
        <v>18</v>
      </c>
      <c r="F371" s="1" t="s">
        <v>68</v>
      </c>
      <c r="G371" s="1">
        <v>41</v>
      </c>
      <c r="H371" s="23">
        <v>44967.978506944448</v>
      </c>
      <c r="I371" s="1" t="b">
        <v>0</v>
      </c>
      <c r="K371" s="10">
        <f t="shared" si="27"/>
        <v>96.867500000051223</v>
      </c>
      <c r="L371" s="1" t="str">
        <f t="shared" si="28"/>
        <v>OK</v>
      </c>
      <c r="M371" s="1">
        <f t="shared" si="25"/>
        <v>1</v>
      </c>
      <c r="N371" s="1">
        <f t="shared" si="26"/>
        <v>41</v>
      </c>
      <c r="O371" s="10">
        <f t="shared" si="29"/>
        <v>96.867500000051223</v>
      </c>
    </row>
    <row r="372" spans="1:15">
      <c r="A372" s="1" t="s">
        <v>475</v>
      </c>
      <c r="B372" s="23">
        <v>44963.945138888892</v>
      </c>
      <c r="C372" s="1" t="s">
        <v>16</v>
      </c>
      <c r="D372" s="1" t="s">
        <v>21</v>
      </c>
      <c r="E372" s="1" t="s">
        <v>18</v>
      </c>
      <c r="F372" s="1" t="s">
        <v>31</v>
      </c>
      <c r="G372" s="1">
        <v>17</v>
      </c>
      <c r="H372" s="23">
        <v>44964.705208333333</v>
      </c>
      <c r="I372" s="1" t="b">
        <v>0</v>
      </c>
      <c r="K372" s="10">
        <f t="shared" si="27"/>
        <v>18.241666666581295</v>
      </c>
      <c r="L372" s="1" t="str">
        <f t="shared" si="28"/>
        <v>OK</v>
      </c>
      <c r="M372" s="1">
        <f t="shared" si="25"/>
        <v>1</v>
      </c>
      <c r="N372" s="1">
        <f t="shared" si="26"/>
        <v>17</v>
      </c>
      <c r="O372" s="10">
        <f t="shared" si="29"/>
        <v>18.241666666581295</v>
      </c>
    </row>
    <row r="373" spans="1:15">
      <c r="A373" s="1" t="s">
        <v>476</v>
      </c>
      <c r="B373" s="23">
        <v>44963.963194444441</v>
      </c>
      <c r="C373" s="1" t="s">
        <v>11</v>
      </c>
      <c r="D373" s="1" t="s">
        <v>17</v>
      </c>
      <c r="E373" s="1" t="s">
        <v>13</v>
      </c>
      <c r="F373" s="1" t="s">
        <v>52</v>
      </c>
      <c r="G373" s="1">
        <v>24</v>
      </c>
      <c r="H373" s="23">
        <v>44964.410416666666</v>
      </c>
      <c r="I373" s="1" t="b">
        <v>0</v>
      </c>
      <c r="J373" s="1">
        <v>4</v>
      </c>
      <c r="K373" s="10">
        <f t="shared" si="27"/>
        <v>10.733333333395422</v>
      </c>
      <c r="L373" s="1" t="str">
        <f t="shared" si="28"/>
        <v>OK</v>
      </c>
      <c r="M373" s="1">
        <f t="shared" si="25"/>
        <v>1</v>
      </c>
      <c r="N373" s="1">
        <f t="shared" si="26"/>
        <v>24</v>
      </c>
      <c r="O373" s="10">
        <f t="shared" si="29"/>
        <v>10.733333333395422</v>
      </c>
    </row>
    <row r="374" spans="1:15">
      <c r="A374" s="1" t="s">
        <v>477</v>
      </c>
      <c r="B374" s="23">
        <v>44964.026388888888</v>
      </c>
      <c r="C374" s="1" t="s">
        <v>16</v>
      </c>
      <c r="D374" s="1" t="s">
        <v>12</v>
      </c>
      <c r="E374" s="1" t="s">
        <v>22</v>
      </c>
      <c r="F374" s="1" t="s">
        <v>106</v>
      </c>
      <c r="G374" s="1">
        <v>82</v>
      </c>
      <c r="H374" s="23">
        <v>44964.716574074075</v>
      </c>
      <c r="I374" s="1" t="b">
        <v>0</v>
      </c>
      <c r="K374" s="10">
        <f t="shared" si="27"/>
        <v>16.564444444491528</v>
      </c>
      <c r="L374" s="1" t="str">
        <f t="shared" si="28"/>
        <v>OK</v>
      </c>
      <c r="M374" s="1">
        <f t="shared" si="25"/>
        <v>1</v>
      </c>
      <c r="N374" s="1">
        <f t="shared" si="26"/>
        <v>82</v>
      </c>
      <c r="O374" s="10">
        <f t="shared" si="29"/>
        <v>16.564444444491528</v>
      </c>
    </row>
    <row r="375" spans="1:15">
      <c r="A375" s="1" t="s">
        <v>478</v>
      </c>
      <c r="B375" s="23">
        <v>44964.053472222222</v>
      </c>
      <c r="C375" s="1" t="s">
        <v>25</v>
      </c>
      <c r="D375" s="1" t="s">
        <v>17</v>
      </c>
      <c r="E375" s="1" t="s">
        <v>18</v>
      </c>
      <c r="F375" s="1" t="s">
        <v>130</v>
      </c>
      <c r="G375" s="1">
        <v>38</v>
      </c>
      <c r="H375" s="23">
        <v>44966.357025462959</v>
      </c>
      <c r="I375" s="1" t="b">
        <v>0</v>
      </c>
      <c r="K375" s="10">
        <f t="shared" si="27"/>
        <v>55.285277777700685</v>
      </c>
      <c r="L375" s="1" t="str">
        <f t="shared" si="28"/>
        <v>OK</v>
      </c>
      <c r="M375" s="1">
        <f t="shared" si="25"/>
        <v>1</v>
      </c>
      <c r="N375" s="1">
        <f t="shared" si="26"/>
        <v>38</v>
      </c>
      <c r="O375" s="10">
        <f t="shared" si="29"/>
        <v>55.285277777700685</v>
      </c>
    </row>
    <row r="376" spans="1:15">
      <c r="A376" s="1" t="s">
        <v>479</v>
      </c>
      <c r="B376" s="23">
        <v>44964.304166666669</v>
      </c>
      <c r="C376" s="1" t="s">
        <v>16</v>
      </c>
      <c r="D376" s="1" t="s">
        <v>59</v>
      </c>
      <c r="E376" s="1" t="s">
        <v>18</v>
      </c>
      <c r="F376" s="1" t="s">
        <v>66</v>
      </c>
      <c r="G376" s="1">
        <v>143</v>
      </c>
      <c r="H376" s="23">
        <v>44964.991932870369</v>
      </c>
      <c r="I376" s="1" t="b">
        <v>0</v>
      </c>
      <c r="K376" s="10">
        <f t="shared" si="27"/>
        <v>16.506388888810761</v>
      </c>
      <c r="L376" s="1" t="str">
        <f t="shared" si="28"/>
        <v>OK</v>
      </c>
      <c r="M376" s="1">
        <f t="shared" si="25"/>
        <v>1</v>
      </c>
      <c r="N376" s="1">
        <f t="shared" si="26"/>
        <v>143</v>
      </c>
      <c r="O376" s="10">
        <f t="shared" si="29"/>
        <v>16.506388888810761</v>
      </c>
    </row>
    <row r="377" spans="1:15">
      <c r="A377" s="1" t="s">
        <v>480</v>
      </c>
      <c r="B377" s="23">
        <v>44964.404861111114</v>
      </c>
      <c r="C377" s="1" t="s">
        <v>25</v>
      </c>
      <c r="D377" s="1" t="s">
        <v>17</v>
      </c>
      <c r="E377" s="1" t="s">
        <v>13</v>
      </c>
      <c r="F377" s="1" t="s">
        <v>130</v>
      </c>
      <c r="G377" s="1">
        <v>52</v>
      </c>
      <c r="H377" s="23">
        <v>44969.024722222224</v>
      </c>
      <c r="I377" s="1" t="b">
        <v>1</v>
      </c>
      <c r="K377" s="10">
        <f t="shared" si="27"/>
        <v>110.87666666664882</v>
      </c>
      <c r="L377" s="1" t="str">
        <f t="shared" si="28"/>
        <v>OK</v>
      </c>
      <c r="M377" s="1">
        <f t="shared" si="25"/>
        <v>1</v>
      </c>
      <c r="N377" s="1">
        <f t="shared" si="26"/>
        <v>52</v>
      </c>
      <c r="O377" s="10">
        <f t="shared" si="29"/>
        <v>110.87666666664882</v>
      </c>
    </row>
    <row r="378" spans="1:15">
      <c r="A378" s="1" t="s">
        <v>481</v>
      </c>
      <c r="B378" s="23">
        <v>44964.427083333336</v>
      </c>
      <c r="C378" s="1" t="s">
        <v>16</v>
      </c>
      <c r="D378" s="1" t="s">
        <v>12</v>
      </c>
      <c r="E378" s="1" t="s">
        <v>18</v>
      </c>
      <c r="F378" s="1" t="s">
        <v>31</v>
      </c>
      <c r="G378" s="1">
        <v>29</v>
      </c>
      <c r="H378" s="23">
        <v>44965.741782407407</v>
      </c>
      <c r="I378" s="1" t="b">
        <v>0</v>
      </c>
      <c r="J378" s="1">
        <v>5</v>
      </c>
      <c r="K378" s="10">
        <f t="shared" si="27"/>
        <v>31.552777777716983</v>
      </c>
      <c r="L378" s="1" t="str">
        <f t="shared" si="28"/>
        <v>OK</v>
      </c>
      <c r="M378" s="1">
        <f t="shared" si="25"/>
        <v>1</v>
      </c>
      <c r="N378" s="1">
        <f t="shared" si="26"/>
        <v>29</v>
      </c>
      <c r="O378" s="10">
        <f t="shared" si="29"/>
        <v>31.552777777716983</v>
      </c>
    </row>
    <row r="379" spans="1:15">
      <c r="A379" s="1" t="s">
        <v>482</v>
      </c>
      <c r="B379" s="23">
        <v>44964.450694444444</v>
      </c>
      <c r="C379" s="1" t="s">
        <v>43</v>
      </c>
      <c r="D379" s="1" t="s">
        <v>12</v>
      </c>
      <c r="E379" s="1" t="s">
        <v>18</v>
      </c>
      <c r="F379" s="1" t="s">
        <v>94</v>
      </c>
      <c r="G379" s="1">
        <v>161</v>
      </c>
      <c r="H379" s="23">
        <v>44966.842939814815</v>
      </c>
      <c r="I379" s="1" t="b">
        <v>0</v>
      </c>
      <c r="K379" s="10">
        <f t="shared" si="27"/>
        <v>57.413888888899237</v>
      </c>
      <c r="L379" s="1" t="str">
        <f t="shared" si="28"/>
        <v>OK</v>
      </c>
      <c r="M379" s="1">
        <f t="shared" si="25"/>
        <v>1</v>
      </c>
      <c r="N379" s="1">
        <f t="shared" si="26"/>
        <v>161</v>
      </c>
      <c r="O379" s="10">
        <f t="shared" si="29"/>
        <v>57.413888888899237</v>
      </c>
    </row>
    <row r="380" spans="1:15">
      <c r="A380" s="1" t="s">
        <v>483</v>
      </c>
      <c r="B380" s="23">
        <v>44964.534722222219</v>
      </c>
      <c r="C380" s="1" t="s">
        <v>11</v>
      </c>
      <c r="D380" s="1" t="s">
        <v>21</v>
      </c>
      <c r="E380" s="1" t="s">
        <v>18</v>
      </c>
      <c r="F380" s="1" t="s">
        <v>84</v>
      </c>
      <c r="G380" s="1">
        <v>171</v>
      </c>
      <c r="H380" s="23">
        <v>44964.643935185188</v>
      </c>
      <c r="I380" s="1" t="b">
        <v>0</v>
      </c>
      <c r="J380" s="1">
        <v>5</v>
      </c>
      <c r="K380" s="10">
        <f t="shared" si="27"/>
        <v>2.6211111112497747</v>
      </c>
      <c r="L380" s="1" t="str">
        <f t="shared" si="28"/>
        <v>Review</v>
      </c>
      <c r="M380" s="1">
        <f t="shared" si="25"/>
        <v>1</v>
      </c>
      <c r="N380" s="1" t="str">
        <f t="shared" si="26"/>
        <v/>
      </c>
      <c r="O380" s="10" t="str">
        <f t="shared" si="29"/>
        <v/>
      </c>
    </row>
    <row r="381" spans="1:15">
      <c r="A381" s="1" t="s">
        <v>484</v>
      </c>
      <c r="B381" s="23">
        <v>44964.597916666666</v>
      </c>
      <c r="C381" s="1" t="s">
        <v>43</v>
      </c>
      <c r="D381" s="1" t="s">
        <v>26</v>
      </c>
      <c r="E381" s="1" t="s">
        <v>13</v>
      </c>
      <c r="F381" s="1" t="s">
        <v>224</v>
      </c>
      <c r="G381" s="1">
        <v>21</v>
      </c>
      <c r="H381" s="23">
        <v>44967.573252314818</v>
      </c>
      <c r="I381" s="1" t="b">
        <v>0</v>
      </c>
      <c r="K381" s="10">
        <f t="shared" si="27"/>
        <v>71.408055555657484</v>
      </c>
      <c r="L381" s="1" t="str">
        <f t="shared" si="28"/>
        <v>OK</v>
      </c>
      <c r="M381" s="1">
        <f t="shared" si="25"/>
        <v>1</v>
      </c>
      <c r="N381" s="1">
        <f t="shared" si="26"/>
        <v>21</v>
      </c>
      <c r="O381" s="10">
        <f t="shared" si="29"/>
        <v>71.408055555657484</v>
      </c>
    </row>
    <row r="382" spans="1:15">
      <c r="A382" s="1" t="s">
        <v>485</v>
      </c>
      <c r="B382" s="23">
        <v>44964.726388888892</v>
      </c>
      <c r="C382" s="1" t="s">
        <v>25</v>
      </c>
      <c r="D382" s="1" t="s">
        <v>26</v>
      </c>
      <c r="E382" s="1" t="s">
        <v>33</v>
      </c>
      <c r="F382" s="1" t="s">
        <v>486</v>
      </c>
      <c r="G382" s="1">
        <v>384</v>
      </c>
      <c r="H382" s="23">
        <v>44968.689953703702</v>
      </c>
      <c r="I382" s="1" t="b">
        <v>0</v>
      </c>
      <c r="J382" s="1">
        <v>4</v>
      </c>
      <c r="K382" s="10">
        <f t="shared" si="27"/>
        <v>95.125555555452593</v>
      </c>
      <c r="L382" s="1" t="str">
        <f t="shared" si="28"/>
        <v>OK</v>
      </c>
      <c r="M382" s="1">
        <f t="shared" si="25"/>
        <v>1</v>
      </c>
      <c r="N382" s="1">
        <f t="shared" si="26"/>
        <v>384</v>
      </c>
      <c r="O382" s="10">
        <f t="shared" si="29"/>
        <v>95.125555555452593</v>
      </c>
    </row>
    <row r="383" spans="1:15">
      <c r="A383" s="1" t="s">
        <v>487</v>
      </c>
      <c r="B383" s="23">
        <v>44964.75</v>
      </c>
      <c r="C383" s="1" t="s">
        <v>11</v>
      </c>
      <c r="D383" s="1" t="s">
        <v>17</v>
      </c>
      <c r="E383" s="1" t="s">
        <v>18</v>
      </c>
      <c r="F383" s="1" t="s">
        <v>14</v>
      </c>
      <c r="G383" s="1">
        <v>80</v>
      </c>
      <c r="H383" s="23">
        <v>44967.245648148149</v>
      </c>
      <c r="I383" s="1" t="b">
        <v>0</v>
      </c>
      <c r="K383" s="10">
        <f t="shared" si="27"/>
        <v>59.895555555587634</v>
      </c>
      <c r="L383" s="1" t="str">
        <f t="shared" si="28"/>
        <v>OK</v>
      </c>
      <c r="M383" s="1">
        <f t="shared" si="25"/>
        <v>1</v>
      </c>
      <c r="N383" s="1">
        <f t="shared" si="26"/>
        <v>80</v>
      </c>
      <c r="O383" s="10">
        <f t="shared" si="29"/>
        <v>59.895555555587634</v>
      </c>
    </row>
    <row r="384" spans="1:15">
      <c r="A384" s="1" t="s">
        <v>488</v>
      </c>
      <c r="B384" s="23">
        <v>44964.800000000003</v>
      </c>
      <c r="C384" s="1" t="s">
        <v>25</v>
      </c>
      <c r="D384" s="1" t="s">
        <v>21</v>
      </c>
      <c r="E384" s="1" t="s">
        <v>18</v>
      </c>
      <c r="F384" s="1" t="s">
        <v>88</v>
      </c>
      <c r="G384" s="1">
        <v>38</v>
      </c>
      <c r="H384" s="23">
        <v>44965.492060185185</v>
      </c>
      <c r="I384" s="1" t="b">
        <v>0</v>
      </c>
      <c r="K384" s="10">
        <f t="shared" si="27"/>
        <v>16.609444444358815</v>
      </c>
      <c r="L384" s="1" t="str">
        <f t="shared" si="28"/>
        <v>OK</v>
      </c>
      <c r="M384" s="1">
        <f t="shared" si="25"/>
        <v>1</v>
      </c>
      <c r="N384" s="1">
        <f t="shared" si="26"/>
        <v>38</v>
      </c>
      <c r="O384" s="10">
        <f t="shared" si="29"/>
        <v>16.609444444358815</v>
      </c>
    </row>
    <row r="385" spans="1:15">
      <c r="A385" s="1" t="s">
        <v>489</v>
      </c>
      <c r="B385" s="23">
        <v>44964.845833333333</v>
      </c>
      <c r="C385" s="1" t="s">
        <v>25</v>
      </c>
      <c r="D385" s="1" t="s">
        <v>26</v>
      </c>
      <c r="E385" s="1" t="s">
        <v>18</v>
      </c>
      <c r="F385" s="1" t="s">
        <v>226</v>
      </c>
      <c r="G385" s="1">
        <v>230</v>
      </c>
      <c r="H385" s="23">
        <v>44970.863541666666</v>
      </c>
      <c r="I385" s="1" t="b">
        <v>1</v>
      </c>
      <c r="J385" s="1">
        <v>4</v>
      </c>
      <c r="K385" s="10">
        <f t="shared" si="27"/>
        <v>144.42499999998836</v>
      </c>
      <c r="L385" s="1" t="str">
        <f t="shared" si="28"/>
        <v>OK</v>
      </c>
      <c r="M385" s="1">
        <f t="shared" si="25"/>
        <v>1</v>
      </c>
      <c r="N385" s="1">
        <f t="shared" si="26"/>
        <v>230</v>
      </c>
      <c r="O385" s="10">
        <f t="shared" si="29"/>
        <v>144.42499999998836</v>
      </c>
    </row>
    <row r="386" spans="1:15">
      <c r="A386" s="1" t="s">
        <v>490</v>
      </c>
      <c r="B386" s="23">
        <v>44964.867361111108</v>
      </c>
      <c r="C386" s="1" t="s">
        <v>25</v>
      </c>
      <c r="D386" s="1" t="s">
        <v>17</v>
      </c>
      <c r="E386" s="1" t="s">
        <v>18</v>
      </c>
      <c r="F386" s="1" t="s">
        <v>198</v>
      </c>
      <c r="G386" s="1">
        <v>19</v>
      </c>
      <c r="H386" s="23">
        <v>44969.116215277776</v>
      </c>
      <c r="I386" s="1" t="b">
        <v>0</v>
      </c>
      <c r="J386" s="1">
        <v>5</v>
      </c>
      <c r="K386" s="10">
        <f t="shared" si="27"/>
        <v>101.9725000000326</v>
      </c>
      <c r="L386" s="1" t="str">
        <f t="shared" si="28"/>
        <v>OK</v>
      </c>
      <c r="M386" s="1">
        <f t="shared" ref="M386:M449" si="30">COUNTIF($A$2:$A$4001,A386)</f>
        <v>1</v>
      </c>
      <c r="N386" s="1">
        <f t="shared" ref="N386:N449" si="31">IF(OR(L386="Review",G386=""),"",G386)</f>
        <v>19</v>
      </c>
      <c r="O386" s="10">
        <f t="shared" si="29"/>
        <v>101.9725000000326</v>
      </c>
    </row>
    <row r="387" spans="1:15">
      <c r="A387" s="1" t="s">
        <v>491</v>
      </c>
      <c r="B387" s="23">
        <v>44964.87222222222</v>
      </c>
      <c r="C387" s="1" t="s">
        <v>25</v>
      </c>
      <c r="D387" s="1" t="s">
        <v>59</v>
      </c>
      <c r="E387" s="1" t="s">
        <v>18</v>
      </c>
      <c r="F387" s="1" t="s">
        <v>120</v>
      </c>
      <c r="G387" s="1">
        <v>99</v>
      </c>
      <c r="H387" s="23">
        <v>44966.160185185188</v>
      </c>
      <c r="I387" s="1" t="b">
        <v>0</v>
      </c>
      <c r="K387" s="10">
        <f t="shared" ref="K387:K450" si="32">IF(H387="","",(H387-B387)*24)</f>
        <v>30.91111111122882</v>
      </c>
      <c r="L387" s="1" t="str">
        <f t="shared" ref="L387:L450" si="33">IF(OR(G387="",K387=""),"Cannot check",IF(G387&gt;K387*60,"Review","OK"))</f>
        <v>OK</v>
      </c>
      <c r="M387" s="1">
        <f t="shared" si="30"/>
        <v>1</v>
      </c>
      <c r="N387" s="1">
        <f t="shared" si="31"/>
        <v>99</v>
      </c>
      <c r="O387" s="10">
        <f t="shared" ref="O387:O450" si="34">IF(OR(L387="Review",K387=""),"",K387)</f>
        <v>30.91111111122882</v>
      </c>
    </row>
    <row r="388" spans="1:15">
      <c r="A388" s="1" t="s">
        <v>492</v>
      </c>
      <c r="B388" s="23">
        <v>44964.92083333333</v>
      </c>
      <c r="C388" s="1" t="s">
        <v>25</v>
      </c>
      <c r="D388" s="1" t="s">
        <v>17</v>
      </c>
      <c r="E388" s="1" t="s">
        <v>18</v>
      </c>
      <c r="F388" s="1" t="s">
        <v>19</v>
      </c>
      <c r="G388" s="1">
        <v>27</v>
      </c>
      <c r="H388" s="23">
        <v>44966.572280092594</v>
      </c>
      <c r="I388" s="1" t="b">
        <v>0</v>
      </c>
      <c r="K388" s="10">
        <f t="shared" si="32"/>
        <v>39.634722222341225</v>
      </c>
      <c r="L388" s="1" t="str">
        <f t="shared" si="33"/>
        <v>OK</v>
      </c>
      <c r="M388" s="1">
        <f t="shared" si="30"/>
        <v>1</v>
      </c>
      <c r="N388" s="1">
        <f t="shared" si="31"/>
        <v>27</v>
      </c>
      <c r="O388" s="10">
        <f t="shared" si="34"/>
        <v>39.634722222341225</v>
      </c>
    </row>
    <row r="389" spans="1:15">
      <c r="A389" s="1" t="s">
        <v>493</v>
      </c>
      <c r="B389" s="23">
        <v>44964.938194444447</v>
      </c>
      <c r="C389" s="1" t="s">
        <v>16</v>
      </c>
      <c r="D389" s="1" t="s">
        <v>59</v>
      </c>
      <c r="E389" s="1" t="s">
        <v>13</v>
      </c>
      <c r="F389" s="1" t="s">
        <v>94</v>
      </c>
      <c r="G389" s="1">
        <v>12</v>
      </c>
      <c r="H389" s="23">
        <v>44965.00986111111</v>
      </c>
      <c r="I389" s="1" t="b">
        <v>0</v>
      </c>
      <c r="J389" s="1">
        <v>5</v>
      </c>
      <c r="K389" s="10">
        <f t="shared" si="32"/>
        <v>1.7199999999138527</v>
      </c>
      <c r="L389" s="1" t="str">
        <f t="shared" si="33"/>
        <v>OK</v>
      </c>
      <c r="M389" s="1">
        <f t="shared" si="30"/>
        <v>1</v>
      </c>
      <c r="N389" s="1">
        <f t="shared" si="31"/>
        <v>12</v>
      </c>
      <c r="O389" s="10">
        <f t="shared" si="34"/>
        <v>1.7199999999138527</v>
      </c>
    </row>
    <row r="390" spans="1:15">
      <c r="A390" s="1" t="s">
        <v>494</v>
      </c>
      <c r="B390" s="23">
        <v>44964.970138888886</v>
      </c>
      <c r="C390" s="1" t="s">
        <v>11</v>
      </c>
      <c r="D390" s="1" t="s">
        <v>21</v>
      </c>
      <c r="E390" s="1" t="s">
        <v>33</v>
      </c>
      <c r="F390" s="1" t="s">
        <v>226</v>
      </c>
      <c r="G390" s="1">
        <v>139</v>
      </c>
      <c r="H390" s="23">
        <v>44970.437280092592</v>
      </c>
      <c r="I390" s="1" t="b">
        <v>0</v>
      </c>
      <c r="K390" s="10">
        <f t="shared" si="32"/>
        <v>131.21138888894347</v>
      </c>
      <c r="L390" s="1" t="str">
        <f t="shared" si="33"/>
        <v>OK</v>
      </c>
      <c r="M390" s="1">
        <f t="shared" si="30"/>
        <v>1</v>
      </c>
      <c r="N390" s="1">
        <f t="shared" si="31"/>
        <v>139</v>
      </c>
      <c r="O390" s="10">
        <f t="shared" si="34"/>
        <v>131.21138888894347</v>
      </c>
    </row>
    <row r="391" spans="1:15">
      <c r="A391" s="1" t="s">
        <v>495</v>
      </c>
      <c r="B391" s="23">
        <v>44965.035416666666</v>
      </c>
      <c r="C391" s="1" t="s">
        <v>25</v>
      </c>
      <c r="D391" s="1" t="s">
        <v>26</v>
      </c>
      <c r="E391" s="1" t="s">
        <v>13</v>
      </c>
      <c r="F391" s="1" t="s">
        <v>302</v>
      </c>
      <c r="G391" s="1">
        <v>113</v>
      </c>
      <c r="H391" s="23">
        <v>44966.303148148145</v>
      </c>
      <c r="I391" s="1" t="b">
        <v>0</v>
      </c>
      <c r="K391" s="10">
        <f t="shared" si="32"/>
        <v>30.425555555499159</v>
      </c>
      <c r="L391" s="1" t="str">
        <f t="shared" si="33"/>
        <v>OK</v>
      </c>
      <c r="M391" s="1">
        <f t="shared" si="30"/>
        <v>1</v>
      </c>
      <c r="N391" s="1">
        <f t="shared" si="31"/>
        <v>113</v>
      </c>
      <c r="O391" s="10">
        <f t="shared" si="34"/>
        <v>30.425555555499159</v>
      </c>
    </row>
    <row r="392" spans="1:15">
      <c r="A392" s="1" t="s">
        <v>496</v>
      </c>
      <c r="B392" s="23">
        <v>44965.112500000003</v>
      </c>
      <c r="C392" s="1" t="s">
        <v>16</v>
      </c>
      <c r="D392" s="1" t="s">
        <v>26</v>
      </c>
      <c r="E392" s="1" t="s">
        <v>33</v>
      </c>
      <c r="F392" s="1" t="s">
        <v>234</v>
      </c>
      <c r="G392" s="1">
        <v>151</v>
      </c>
      <c r="H392" s="23">
        <v>44968.56890046296</v>
      </c>
      <c r="I392" s="1" t="b">
        <v>0</v>
      </c>
      <c r="K392" s="10">
        <f t="shared" si="32"/>
        <v>82.953611110977363</v>
      </c>
      <c r="L392" s="1" t="str">
        <f t="shared" si="33"/>
        <v>OK</v>
      </c>
      <c r="M392" s="1">
        <f t="shared" si="30"/>
        <v>1</v>
      </c>
      <c r="N392" s="1">
        <f t="shared" si="31"/>
        <v>151</v>
      </c>
      <c r="O392" s="10">
        <f t="shared" si="34"/>
        <v>82.953611110977363</v>
      </c>
    </row>
    <row r="393" spans="1:15">
      <c r="A393" s="1" t="s">
        <v>497</v>
      </c>
      <c r="B393" s="23">
        <v>44965.17083333333</v>
      </c>
      <c r="C393" s="1" t="s">
        <v>25</v>
      </c>
      <c r="D393" s="1" t="s">
        <v>21</v>
      </c>
      <c r="E393" s="1" t="s">
        <v>18</v>
      </c>
      <c r="F393" s="1" t="s">
        <v>60</v>
      </c>
      <c r="G393" s="1">
        <v>572</v>
      </c>
      <c r="I393" s="1" t="b">
        <v>0</v>
      </c>
      <c r="K393" s="10" t="str">
        <f t="shared" si="32"/>
        <v/>
      </c>
      <c r="L393" s="1" t="str">
        <f t="shared" si="33"/>
        <v>Cannot check</v>
      </c>
      <c r="M393" s="1">
        <f t="shared" si="30"/>
        <v>1</v>
      </c>
      <c r="N393" s="1">
        <f t="shared" si="31"/>
        <v>572</v>
      </c>
      <c r="O393" s="10" t="str">
        <f t="shared" si="34"/>
        <v/>
      </c>
    </row>
    <row r="394" spans="1:15">
      <c r="A394" s="1" t="s">
        <v>498</v>
      </c>
      <c r="B394" s="23">
        <v>44965.248611111114</v>
      </c>
      <c r="C394" s="1" t="s">
        <v>43</v>
      </c>
      <c r="D394" s="1" t="s">
        <v>21</v>
      </c>
      <c r="E394" s="1" t="s">
        <v>13</v>
      </c>
      <c r="F394" s="1" t="s">
        <v>60</v>
      </c>
      <c r="G394" s="1">
        <v>37</v>
      </c>
      <c r="H394" s="23">
        <v>44970.233865740738</v>
      </c>
      <c r="I394" s="1" t="b">
        <v>0</v>
      </c>
      <c r="K394" s="10">
        <f t="shared" si="32"/>
        <v>119.64611111098202</v>
      </c>
      <c r="L394" s="1" t="str">
        <f t="shared" si="33"/>
        <v>OK</v>
      </c>
      <c r="M394" s="1">
        <f t="shared" si="30"/>
        <v>1</v>
      </c>
      <c r="N394" s="1">
        <f t="shared" si="31"/>
        <v>37</v>
      </c>
      <c r="O394" s="10">
        <f t="shared" si="34"/>
        <v>119.64611111098202</v>
      </c>
    </row>
    <row r="395" spans="1:15">
      <c r="A395" s="1" t="s">
        <v>499</v>
      </c>
      <c r="B395" s="23">
        <v>44965.292361111111</v>
      </c>
      <c r="C395" s="1" t="s">
        <v>16</v>
      </c>
      <c r="D395" s="1" t="s">
        <v>17</v>
      </c>
      <c r="E395" s="1" t="s">
        <v>13</v>
      </c>
      <c r="F395" s="1" t="s">
        <v>317</v>
      </c>
      <c r="G395" s="1">
        <v>25</v>
      </c>
      <c r="H395" s="23">
        <v>44966.060034722221</v>
      </c>
      <c r="I395" s="1" t="b">
        <v>0</v>
      </c>
      <c r="K395" s="10">
        <f t="shared" si="32"/>
        <v>18.424166666634846</v>
      </c>
      <c r="L395" s="1" t="str">
        <f t="shared" si="33"/>
        <v>OK</v>
      </c>
      <c r="M395" s="1">
        <f t="shared" si="30"/>
        <v>1</v>
      </c>
      <c r="N395" s="1">
        <f t="shared" si="31"/>
        <v>25</v>
      </c>
      <c r="O395" s="10">
        <f t="shared" si="34"/>
        <v>18.424166666634846</v>
      </c>
    </row>
    <row r="396" spans="1:15">
      <c r="A396" s="1" t="s">
        <v>500</v>
      </c>
      <c r="B396" s="23">
        <v>44966.319444444445</v>
      </c>
      <c r="C396" s="1" t="s">
        <v>25</v>
      </c>
      <c r="D396" s="1" t="s">
        <v>21</v>
      </c>
      <c r="E396" s="1" t="s">
        <v>18</v>
      </c>
      <c r="F396" s="1" t="s">
        <v>167</v>
      </c>
      <c r="G396" s="1">
        <v>409</v>
      </c>
      <c r="H396" s="23">
        <v>44967.849490740744</v>
      </c>
      <c r="I396" s="1" t="b">
        <v>0</v>
      </c>
      <c r="K396" s="10">
        <f t="shared" si="32"/>
        <v>36.721111111168284</v>
      </c>
      <c r="L396" s="1" t="str">
        <f t="shared" si="33"/>
        <v>OK</v>
      </c>
      <c r="M396" s="1">
        <f t="shared" si="30"/>
        <v>1</v>
      </c>
      <c r="N396" s="1">
        <f t="shared" si="31"/>
        <v>409</v>
      </c>
      <c r="O396" s="10">
        <f t="shared" si="34"/>
        <v>36.721111111168284</v>
      </c>
    </row>
    <row r="397" spans="1:15">
      <c r="A397" s="1" t="s">
        <v>501</v>
      </c>
      <c r="B397" s="23">
        <v>44966.40625</v>
      </c>
      <c r="C397" s="1" t="s">
        <v>25</v>
      </c>
      <c r="D397" s="1" t="s">
        <v>17</v>
      </c>
      <c r="E397" s="1" t="s">
        <v>18</v>
      </c>
      <c r="F397" s="1" t="s">
        <v>486</v>
      </c>
      <c r="G397" s="1">
        <v>291</v>
      </c>
      <c r="H397" s="23">
        <v>44969.918495370373</v>
      </c>
      <c r="I397" s="1" t="b">
        <v>0</v>
      </c>
      <c r="K397" s="10">
        <f t="shared" si="32"/>
        <v>84.293888888962101</v>
      </c>
      <c r="L397" s="1" t="str">
        <f t="shared" si="33"/>
        <v>OK</v>
      </c>
      <c r="M397" s="1">
        <f t="shared" si="30"/>
        <v>1</v>
      </c>
      <c r="N397" s="1">
        <f t="shared" si="31"/>
        <v>291</v>
      </c>
      <c r="O397" s="10">
        <f t="shared" si="34"/>
        <v>84.293888888962101</v>
      </c>
    </row>
    <row r="398" spans="1:15">
      <c r="A398" s="1" t="s">
        <v>502</v>
      </c>
      <c r="B398" s="23">
        <v>44966.417361111111</v>
      </c>
      <c r="C398" s="1" t="s">
        <v>11</v>
      </c>
      <c r="D398" s="1" t="s">
        <v>59</v>
      </c>
      <c r="E398" s="1" t="s">
        <v>33</v>
      </c>
      <c r="F398" s="1" t="s">
        <v>14</v>
      </c>
      <c r="G398" s="1">
        <v>141</v>
      </c>
      <c r="H398" s="23">
        <v>44967.374710648146</v>
      </c>
      <c r="I398" s="1" t="b">
        <v>0</v>
      </c>
      <c r="K398" s="10">
        <f t="shared" si="32"/>
        <v>22.976388888841029</v>
      </c>
      <c r="L398" s="1" t="str">
        <f t="shared" si="33"/>
        <v>OK</v>
      </c>
      <c r="M398" s="1">
        <f t="shared" si="30"/>
        <v>1</v>
      </c>
      <c r="N398" s="1">
        <f t="shared" si="31"/>
        <v>141</v>
      </c>
      <c r="O398" s="10">
        <f t="shared" si="34"/>
        <v>22.976388888841029</v>
      </c>
    </row>
    <row r="399" spans="1:15">
      <c r="A399" s="1" t="s">
        <v>503</v>
      </c>
      <c r="B399" s="23">
        <v>44966.4375</v>
      </c>
      <c r="C399" s="1" t="s">
        <v>25</v>
      </c>
      <c r="D399" s="1" t="s">
        <v>17</v>
      </c>
      <c r="E399" s="1" t="s">
        <v>22</v>
      </c>
      <c r="F399" s="1" t="s">
        <v>162</v>
      </c>
      <c r="G399" s="1">
        <v>37</v>
      </c>
      <c r="I399" s="1" t="b">
        <v>0</v>
      </c>
      <c r="K399" s="10" t="str">
        <f t="shared" si="32"/>
        <v/>
      </c>
      <c r="L399" s="1" t="str">
        <f t="shared" si="33"/>
        <v>Cannot check</v>
      </c>
      <c r="M399" s="1">
        <f t="shared" si="30"/>
        <v>1</v>
      </c>
      <c r="N399" s="1">
        <f t="shared" si="31"/>
        <v>37</v>
      </c>
      <c r="O399" s="10" t="str">
        <f t="shared" si="34"/>
        <v/>
      </c>
    </row>
    <row r="400" spans="1:15">
      <c r="A400" s="1" t="s">
        <v>504</v>
      </c>
      <c r="B400" s="23">
        <v>44966.542361111111</v>
      </c>
      <c r="C400" s="1" t="s">
        <v>25</v>
      </c>
      <c r="D400" s="1" t="s">
        <v>21</v>
      </c>
      <c r="E400" s="1" t="s">
        <v>22</v>
      </c>
      <c r="F400" s="1" t="s">
        <v>254</v>
      </c>
      <c r="G400" s="1">
        <v>15</v>
      </c>
      <c r="H400" s="23">
        <v>44966.776817129627</v>
      </c>
      <c r="I400" s="1" t="b">
        <v>0</v>
      </c>
      <c r="K400" s="10">
        <f t="shared" si="32"/>
        <v>5.6269444443751127</v>
      </c>
      <c r="L400" s="1" t="str">
        <f t="shared" si="33"/>
        <v>OK</v>
      </c>
      <c r="M400" s="1">
        <f t="shared" si="30"/>
        <v>1</v>
      </c>
      <c r="N400" s="1">
        <f t="shared" si="31"/>
        <v>15</v>
      </c>
      <c r="O400" s="10">
        <f t="shared" si="34"/>
        <v>5.6269444443751127</v>
      </c>
    </row>
    <row r="401" spans="1:15">
      <c r="A401" s="1" t="s">
        <v>505</v>
      </c>
      <c r="B401" s="23">
        <v>44966.761805555558</v>
      </c>
      <c r="C401" s="1" t="s">
        <v>25</v>
      </c>
      <c r="D401" s="1" t="s">
        <v>21</v>
      </c>
      <c r="E401" s="1" t="s">
        <v>13</v>
      </c>
      <c r="F401" s="1" t="s">
        <v>78</v>
      </c>
      <c r="G401" s="1">
        <v>56</v>
      </c>
      <c r="I401" s="1" t="b">
        <v>0</v>
      </c>
      <c r="K401" s="10" t="str">
        <f t="shared" si="32"/>
        <v/>
      </c>
      <c r="L401" s="1" t="str">
        <f t="shared" si="33"/>
        <v>Cannot check</v>
      </c>
      <c r="M401" s="1">
        <f t="shared" si="30"/>
        <v>1</v>
      </c>
      <c r="N401" s="1">
        <f t="shared" si="31"/>
        <v>56</v>
      </c>
      <c r="O401" s="10" t="str">
        <f t="shared" si="34"/>
        <v/>
      </c>
    </row>
    <row r="402" spans="1:15">
      <c r="A402" s="1" t="s">
        <v>506</v>
      </c>
      <c r="B402" s="23">
        <v>44966.772916666669</v>
      </c>
      <c r="C402" s="1" t="s">
        <v>25</v>
      </c>
      <c r="D402" s="1" t="s">
        <v>21</v>
      </c>
      <c r="E402" s="1" t="s">
        <v>18</v>
      </c>
      <c r="F402" s="1" t="s">
        <v>76</v>
      </c>
      <c r="G402" s="1">
        <v>352</v>
      </c>
      <c r="H402" s="23">
        <v>44968.355983796297</v>
      </c>
      <c r="I402" s="1" t="b">
        <v>0</v>
      </c>
      <c r="K402" s="10">
        <f t="shared" si="32"/>
        <v>37.993611111072823</v>
      </c>
      <c r="L402" s="1" t="str">
        <f t="shared" si="33"/>
        <v>OK</v>
      </c>
      <c r="M402" s="1">
        <f t="shared" si="30"/>
        <v>1</v>
      </c>
      <c r="N402" s="1">
        <f t="shared" si="31"/>
        <v>352</v>
      </c>
      <c r="O402" s="10">
        <f t="shared" si="34"/>
        <v>37.993611111072823</v>
      </c>
    </row>
    <row r="403" spans="1:15">
      <c r="A403" s="1" t="s">
        <v>507</v>
      </c>
      <c r="B403" s="23">
        <v>44966.826388888891</v>
      </c>
      <c r="C403" s="1" t="s">
        <v>16</v>
      </c>
      <c r="D403" s="1" t="s">
        <v>17</v>
      </c>
      <c r="E403" s="1" t="s">
        <v>18</v>
      </c>
      <c r="F403" s="1" t="s">
        <v>326</v>
      </c>
      <c r="H403" s="23">
        <v>44967.50508101852</v>
      </c>
      <c r="I403" s="1" t="b">
        <v>0</v>
      </c>
      <c r="K403" s="10">
        <f t="shared" si="32"/>
        <v>16.288611111114733</v>
      </c>
      <c r="L403" s="1" t="str">
        <f t="shared" si="33"/>
        <v>Cannot check</v>
      </c>
      <c r="M403" s="1">
        <f t="shared" si="30"/>
        <v>1</v>
      </c>
      <c r="N403" s="1" t="str">
        <f t="shared" si="31"/>
        <v/>
      </c>
      <c r="O403" s="10">
        <f t="shared" si="34"/>
        <v>16.288611111114733</v>
      </c>
    </row>
    <row r="404" spans="1:15">
      <c r="A404" s="1" t="s">
        <v>508</v>
      </c>
      <c r="B404" s="23">
        <v>44966.888194444444</v>
      </c>
      <c r="C404" s="1" t="s">
        <v>43</v>
      </c>
      <c r="D404" s="1" t="s">
        <v>17</v>
      </c>
      <c r="E404" s="1" t="s">
        <v>13</v>
      </c>
      <c r="F404" s="1" t="s">
        <v>186</v>
      </c>
      <c r="G404" s="1">
        <v>20</v>
      </c>
      <c r="H404" s="23">
        <v>44969.235486111109</v>
      </c>
      <c r="I404" s="1" t="b">
        <v>1</v>
      </c>
      <c r="K404" s="10">
        <f t="shared" si="32"/>
        <v>56.334999999962747</v>
      </c>
      <c r="L404" s="1" t="str">
        <f t="shared" si="33"/>
        <v>OK</v>
      </c>
      <c r="M404" s="1">
        <f t="shared" si="30"/>
        <v>1</v>
      </c>
      <c r="N404" s="1">
        <f t="shared" si="31"/>
        <v>20</v>
      </c>
      <c r="O404" s="10">
        <f t="shared" si="34"/>
        <v>56.334999999962747</v>
      </c>
    </row>
    <row r="405" spans="1:15">
      <c r="A405" s="1" t="s">
        <v>509</v>
      </c>
      <c r="B405" s="23">
        <v>44966.897222222222</v>
      </c>
      <c r="C405" s="1" t="s">
        <v>16</v>
      </c>
      <c r="D405" s="1" t="s">
        <v>26</v>
      </c>
      <c r="E405" s="1" t="s">
        <v>18</v>
      </c>
      <c r="F405" s="1" t="s">
        <v>78</v>
      </c>
      <c r="G405" s="1">
        <v>244</v>
      </c>
      <c r="H405" s="23">
        <v>44988.5153125</v>
      </c>
      <c r="I405" s="1" t="b">
        <v>0</v>
      </c>
      <c r="K405" s="10">
        <f t="shared" si="32"/>
        <v>518.83416666666744</v>
      </c>
      <c r="L405" s="1" t="str">
        <f t="shared" si="33"/>
        <v>OK</v>
      </c>
      <c r="M405" s="1">
        <f t="shared" si="30"/>
        <v>1</v>
      </c>
      <c r="N405" s="1">
        <f t="shared" si="31"/>
        <v>244</v>
      </c>
      <c r="O405" s="10">
        <f t="shared" si="34"/>
        <v>518.83416666666744</v>
      </c>
    </row>
    <row r="406" spans="1:15">
      <c r="A406" s="1" t="s">
        <v>510</v>
      </c>
      <c r="B406" s="23">
        <v>44967.126388888886</v>
      </c>
      <c r="C406" s="1" t="s">
        <v>43</v>
      </c>
      <c r="D406" s="1" t="s">
        <v>21</v>
      </c>
      <c r="E406" s="1" t="s">
        <v>33</v>
      </c>
      <c r="F406" s="1" t="s">
        <v>29</v>
      </c>
      <c r="G406" s="1">
        <v>90</v>
      </c>
      <c r="H406" s="23">
        <v>44968.138645833336</v>
      </c>
      <c r="I406" s="1" t="b">
        <v>0</v>
      </c>
      <c r="K406" s="10">
        <f t="shared" si="32"/>
        <v>24.294166666804813</v>
      </c>
      <c r="L406" s="1" t="str">
        <f t="shared" si="33"/>
        <v>OK</v>
      </c>
      <c r="M406" s="1">
        <f t="shared" si="30"/>
        <v>1</v>
      </c>
      <c r="N406" s="1">
        <f t="shared" si="31"/>
        <v>90</v>
      </c>
      <c r="O406" s="10">
        <f t="shared" si="34"/>
        <v>24.294166666804813</v>
      </c>
    </row>
    <row r="407" spans="1:15">
      <c r="A407" s="1" t="s">
        <v>511</v>
      </c>
      <c r="B407" s="23">
        <v>44967.136805555558</v>
      </c>
      <c r="C407" s="1" t="s">
        <v>16</v>
      </c>
      <c r="D407" s="1" t="s">
        <v>26</v>
      </c>
      <c r="E407" s="1" t="s">
        <v>18</v>
      </c>
      <c r="F407" s="1" t="s">
        <v>39</v>
      </c>
      <c r="G407" s="1">
        <v>97</v>
      </c>
      <c r="H407" s="23">
        <v>44967.687465277777</v>
      </c>
      <c r="I407" s="1" t="b">
        <v>0</v>
      </c>
      <c r="K407" s="10">
        <f t="shared" si="32"/>
        <v>13.215833333262708</v>
      </c>
      <c r="L407" s="1" t="str">
        <f t="shared" si="33"/>
        <v>OK</v>
      </c>
      <c r="M407" s="1">
        <f t="shared" si="30"/>
        <v>1</v>
      </c>
      <c r="N407" s="1">
        <f t="shared" si="31"/>
        <v>97</v>
      </c>
      <c r="O407" s="10">
        <f t="shared" si="34"/>
        <v>13.215833333262708</v>
      </c>
    </row>
    <row r="408" spans="1:15">
      <c r="A408" s="1" t="s">
        <v>512</v>
      </c>
      <c r="B408" s="23">
        <v>44967.18472222222</v>
      </c>
      <c r="C408" s="1" t="s">
        <v>16</v>
      </c>
      <c r="D408" s="1" t="s">
        <v>21</v>
      </c>
      <c r="E408" s="1" t="s">
        <v>13</v>
      </c>
      <c r="F408" s="1" t="s">
        <v>27</v>
      </c>
      <c r="G408" s="1">
        <v>51</v>
      </c>
      <c r="H408" s="23">
        <v>44967.686249999999</v>
      </c>
      <c r="I408" s="1" t="b">
        <v>0</v>
      </c>
      <c r="K408" s="10">
        <f t="shared" si="32"/>
        <v>12.036666666681413</v>
      </c>
      <c r="L408" s="1" t="str">
        <f t="shared" si="33"/>
        <v>OK</v>
      </c>
      <c r="M408" s="1">
        <f t="shared" si="30"/>
        <v>1</v>
      </c>
      <c r="N408" s="1">
        <f t="shared" si="31"/>
        <v>51</v>
      </c>
      <c r="O408" s="10">
        <f t="shared" si="34"/>
        <v>12.036666666681413</v>
      </c>
    </row>
    <row r="409" spans="1:15">
      <c r="A409" s="1" t="s">
        <v>513</v>
      </c>
      <c r="B409" s="23">
        <v>44967.197222222225</v>
      </c>
      <c r="C409" s="1" t="s">
        <v>11</v>
      </c>
      <c r="D409" s="1" t="s">
        <v>17</v>
      </c>
      <c r="E409" s="1" t="s">
        <v>18</v>
      </c>
      <c r="F409" s="1" t="s">
        <v>80</v>
      </c>
      <c r="G409" s="1">
        <v>103</v>
      </c>
      <c r="H409" s="23">
        <v>44970.269965277781</v>
      </c>
      <c r="I409" s="1" t="b">
        <v>0</v>
      </c>
      <c r="K409" s="10">
        <f t="shared" si="32"/>
        <v>73.745833333348855</v>
      </c>
      <c r="L409" s="1" t="str">
        <f t="shared" si="33"/>
        <v>OK</v>
      </c>
      <c r="M409" s="1">
        <f t="shared" si="30"/>
        <v>1</v>
      </c>
      <c r="N409" s="1">
        <f t="shared" si="31"/>
        <v>103</v>
      </c>
      <c r="O409" s="10">
        <f t="shared" si="34"/>
        <v>73.745833333348855</v>
      </c>
    </row>
    <row r="410" spans="1:15">
      <c r="A410" s="1" t="s">
        <v>514</v>
      </c>
      <c r="B410" s="23">
        <v>44967.261805555558</v>
      </c>
      <c r="C410" s="1" t="s">
        <v>25</v>
      </c>
      <c r="D410" s="1" t="s">
        <v>17</v>
      </c>
      <c r="E410" s="1" t="s">
        <v>22</v>
      </c>
      <c r="F410" s="1" t="s">
        <v>145</v>
      </c>
      <c r="G410" s="1">
        <v>3</v>
      </c>
      <c r="H410" s="23">
        <v>44967.941006944442</v>
      </c>
      <c r="I410" s="1" t="b">
        <v>0</v>
      </c>
      <c r="K410" s="10">
        <f t="shared" si="32"/>
        <v>16.300833333225455</v>
      </c>
      <c r="L410" s="1" t="str">
        <f t="shared" si="33"/>
        <v>OK</v>
      </c>
      <c r="M410" s="1">
        <f t="shared" si="30"/>
        <v>1</v>
      </c>
      <c r="N410" s="1">
        <f t="shared" si="31"/>
        <v>3</v>
      </c>
      <c r="O410" s="10">
        <f t="shared" si="34"/>
        <v>16.300833333225455</v>
      </c>
    </row>
    <row r="411" spans="1:15">
      <c r="A411" s="1" t="s">
        <v>515</v>
      </c>
      <c r="B411" s="23">
        <v>44967.262499999997</v>
      </c>
      <c r="C411" s="1" t="s">
        <v>43</v>
      </c>
      <c r="D411" s="1" t="s">
        <v>17</v>
      </c>
      <c r="E411" s="1" t="s">
        <v>18</v>
      </c>
      <c r="F411" s="1" t="s">
        <v>108</v>
      </c>
      <c r="G411" s="1">
        <v>69</v>
      </c>
      <c r="H411" s="23">
        <v>44968.536377314813</v>
      </c>
      <c r="I411" s="1" t="b">
        <v>0</v>
      </c>
      <c r="K411" s="10">
        <f t="shared" si="32"/>
        <v>30.573055555578321</v>
      </c>
      <c r="L411" s="1" t="str">
        <f t="shared" si="33"/>
        <v>OK</v>
      </c>
      <c r="M411" s="1">
        <f t="shared" si="30"/>
        <v>1</v>
      </c>
      <c r="N411" s="1">
        <f t="shared" si="31"/>
        <v>69</v>
      </c>
      <c r="O411" s="10">
        <f t="shared" si="34"/>
        <v>30.573055555578321</v>
      </c>
    </row>
    <row r="412" spans="1:15">
      <c r="A412" s="1" t="s">
        <v>516</v>
      </c>
      <c r="B412" s="23">
        <v>44967.286805555559</v>
      </c>
      <c r="C412" s="1" t="s">
        <v>16</v>
      </c>
      <c r="D412" s="1" t="s">
        <v>26</v>
      </c>
      <c r="E412" s="1" t="s">
        <v>33</v>
      </c>
      <c r="F412" s="1" t="s">
        <v>134</v>
      </c>
      <c r="G412" s="1">
        <v>194</v>
      </c>
      <c r="H412" s="23">
        <v>44967.627326388887</v>
      </c>
      <c r="I412" s="1" t="b">
        <v>0</v>
      </c>
      <c r="J412" s="1">
        <v>1</v>
      </c>
      <c r="K412" s="10">
        <f t="shared" si="32"/>
        <v>8.1724999998696148</v>
      </c>
      <c r="L412" s="1" t="str">
        <f t="shared" si="33"/>
        <v>OK</v>
      </c>
      <c r="M412" s="1">
        <f t="shared" si="30"/>
        <v>1</v>
      </c>
      <c r="N412" s="1">
        <f t="shared" si="31"/>
        <v>194</v>
      </c>
      <c r="O412" s="10">
        <f t="shared" si="34"/>
        <v>8.1724999998696148</v>
      </c>
    </row>
    <row r="413" spans="1:15">
      <c r="A413" s="1" t="s">
        <v>517</v>
      </c>
      <c r="B413" s="23">
        <v>44967.394444444442</v>
      </c>
      <c r="C413" s="1" t="s">
        <v>43</v>
      </c>
      <c r="D413" s="1" t="s">
        <v>26</v>
      </c>
      <c r="E413" s="1" t="s">
        <v>18</v>
      </c>
      <c r="F413" s="1" t="s">
        <v>256</v>
      </c>
      <c r="G413" s="1">
        <v>54</v>
      </c>
      <c r="H413" s="23">
        <v>44968.012673611112</v>
      </c>
      <c r="I413" s="1" t="b">
        <v>0</v>
      </c>
      <c r="J413" s="1">
        <v>4</v>
      </c>
      <c r="K413" s="10">
        <f t="shared" si="32"/>
        <v>14.837500000081491</v>
      </c>
      <c r="L413" s="1" t="str">
        <f t="shared" si="33"/>
        <v>OK</v>
      </c>
      <c r="M413" s="1">
        <f t="shared" si="30"/>
        <v>1</v>
      </c>
      <c r="N413" s="1">
        <f t="shared" si="31"/>
        <v>54</v>
      </c>
      <c r="O413" s="10">
        <f t="shared" si="34"/>
        <v>14.837500000081491</v>
      </c>
    </row>
    <row r="414" spans="1:15">
      <c r="A414" s="1" t="s">
        <v>518</v>
      </c>
      <c r="B414" s="23">
        <v>44967.44027777778</v>
      </c>
      <c r="C414" s="1" t="s">
        <v>25</v>
      </c>
      <c r="D414" s="1" t="s">
        <v>59</v>
      </c>
      <c r="E414" s="1" t="s">
        <v>22</v>
      </c>
      <c r="F414" s="1" t="s">
        <v>72</v>
      </c>
      <c r="G414" s="1">
        <v>13</v>
      </c>
      <c r="H414" s="23">
        <v>44967.492754629631</v>
      </c>
      <c r="I414" s="1" t="b">
        <v>0</v>
      </c>
      <c r="K414" s="10">
        <f t="shared" si="32"/>
        <v>1.2594444444403052</v>
      </c>
      <c r="L414" s="1" t="str">
        <f t="shared" si="33"/>
        <v>OK</v>
      </c>
      <c r="M414" s="1">
        <f t="shared" si="30"/>
        <v>1</v>
      </c>
      <c r="N414" s="1">
        <f t="shared" si="31"/>
        <v>13</v>
      </c>
      <c r="O414" s="10">
        <f t="shared" si="34"/>
        <v>1.2594444444403052</v>
      </c>
    </row>
    <row r="415" spans="1:15">
      <c r="A415" s="1" t="s">
        <v>519</v>
      </c>
      <c r="B415" s="23">
        <v>44967.539583333331</v>
      </c>
      <c r="C415" s="1" t="s">
        <v>43</v>
      </c>
      <c r="D415" s="1" t="s">
        <v>12</v>
      </c>
      <c r="E415" s="1" t="s">
        <v>18</v>
      </c>
      <c r="F415" s="1" t="s">
        <v>76</v>
      </c>
      <c r="G415" s="1">
        <v>116</v>
      </c>
      <c r="H415" s="23">
        <v>44967.807835648149</v>
      </c>
      <c r="I415" s="1" t="b">
        <v>0</v>
      </c>
      <c r="K415" s="10">
        <f t="shared" si="32"/>
        <v>6.4380555556272157</v>
      </c>
      <c r="L415" s="1" t="str">
        <f t="shared" si="33"/>
        <v>OK</v>
      </c>
      <c r="M415" s="1">
        <f t="shared" si="30"/>
        <v>1</v>
      </c>
      <c r="N415" s="1">
        <f t="shared" si="31"/>
        <v>116</v>
      </c>
      <c r="O415" s="10">
        <f t="shared" si="34"/>
        <v>6.4380555556272157</v>
      </c>
    </row>
    <row r="416" spans="1:15">
      <c r="A416" s="1" t="s">
        <v>520</v>
      </c>
      <c r="B416" s="23">
        <v>44967.794444444444</v>
      </c>
      <c r="C416" s="1" t="s">
        <v>25</v>
      </c>
      <c r="D416" s="1" t="s">
        <v>59</v>
      </c>
      <c r="E416" s="1" t="s">
        <v>13</v>
      </c>
      <c r="F416" s="1" t="s">
        <v>41</v>
      </c>
      <c r="G416" s="1">
        <v>18</v>
      </c>
      <c r="H416" s="23">
        <v>44969.271886574075</v>
      </c>
      <c r="I416" s="1" t="b">
        <v>0</v>
      </c>
      <c r="K416" s="10">
        <f t="shared" si="32"/>
        <v>35.458611111156642</v>
      </c>
      <c r="L416" s="1" t="str">
        <f t="shared" si="33"/>
        <v>OK</v>
      </c>
      <c r="M416" s="1">
        <f t="shared" si="30"/>
        <v>1</v>
      </c>
      <c r="N416" s="1">
        <f t="shared" si="31"/>
        <v>18</v>
      </c>
      <c r="O416" s="10">
        <f t="shared" si="34"/>
        <v>35.458611111156642</v>
      </c>
    </row>
    <row r="417" spans="1:15">
      <c r="A417" s="1" t="s">
        <v>521</v>
      </c>
      <c r="B417" s="23">
        <v>44967.845833333333</v>
      </c>
      <c r="C417" s="1" t="s">
        <v>16</v>
      </c>
      <c r="D417" s="1" t="s">
        <v>12</v>
      </c>
      <c r="E417" s="1" t="s">
        <v>18</v>
      </c>
      <c r="F417" s="1" t="s">
        <v>100</v>
      </c>
      <c r="G417" s="1">
        <v>65</v>
      </c>
      <c r="H417" s="23">
        <v>44968.23877314815</v>
      </c>
      <c r="I417" s="1" t="b">
        <v>0</v>
      </c>
      <c r="J417" s="1">
        <v>5</v>
      </c>
      <c r="K417" s="10">
        <f t="shared" si="32"/>
        <v>9.4305555556202307</v>
      </c>
      <c r="L417" s="1" t="str">
        <f t="shared" si="33"/>
        <v>OK</v>
      </c>
      <c r="M417" s="1">
        <f t="shared" si="30"/>
        <v>1</v>
      </c>
      <c r="N417" s="1">
        <f t="shared" si="31"/>
        <v>65</v>
      </c>
      <c r="O417" s="10">
        <f t="shared" si="34"/>
        <v>9.4305555556202307</v>
      </c>
    </row>
    <row r="418" spans="1:15">
      <c r="A418" s="1" t="s">
        <v>522</v>
      </c>
      <c r="B418" s="23">
        <v>44967.868750000001</v>
      </c>
      <c r="C418" s="1" t="s">
        <v>16</v>
      </c>
      <c r="D418" s="1" t="s">
        <v>21</v>
      </c>
      <c r="E418" s="1" t="s">
        <v>18</v>
      </c>
      <c r="F418" s="1" t="s">
        <v>132</v>
      </c>
      <c r="G418" s="1">
        <v>442</v>
      </c>
      <c r="H418" s="23">
        <v>44968.128946759258</v>
      </c>
      <c r="I418" s="1" t="b">
        <v>0</v>
      </c>
      <c r="K418" s="10">
        <f t="shared" si="32"/>
        <v>6.2447222221526317</v>
      </c>
      <c r="L418" s="1" t="str">
        <f t="shared" si="33"/>
        <v>Review</v>
      </c>
      <c r="M418" s="1">
        <f t="shared" si="30"/>
        <v>1</v>
      </c>
      <c r="N418" s="1" t="str">
        <f t="shared" si="31"/>
        <v/>
      </c>
      <c r="O418" s="10" t="str">
        <f t="shared" si="34"/>
        <v/>
      </c>
    </row>
    <row r="419" spans="1:15">
      <c r="A419" s="1" t="s">
        <v>523</v>
      </c>
      <c r="B419" s="23">
        <v>44967.951388888891</v>
      </c>
      <c r="C419" s="1" t="s">
        <v>16</v>
      </c>
      <c r="D419" s="1" t="s">
        <v>17</v>
      </c>
      <c r="E419" s="1" t="s">
        <v>13</v>
      </c>
      <c r="F419" s="1" t="s">
        <v>76</v>
      </c>
      <c r="G419" s="1">
        <v>40</v>
      </c>
      <c r="H419" s="23">
        <v>44968.366909722223</v>
      </c>
      <c r="I419" s="1" t="b">
        <v>0</v>
      </c>
      <c r="J419" s="1">
        <v>2</v>
      </c>
      <c r="K419" s="10">
        <f t="shared" si="32"/>
        <v>9.9724999999743886</v>
      </c>
      <c r="L419" s="1" t="str">
        <f t="shared" si="33"/>
        <v>OK</v>
      </c>
      <c r="M419" s="1">
        <f t="shared" si="30"/>
        <v>1</v>
      </c>
      <c r="N419" s="1">
        <f t="shared" si="31"/>
        <v>40</v>
      </c>
      <c r="O419" s="10">
        <f t="shared" si="34"/>
        <v>9.9724999999743886</v>
      </c>
    </row>
    <row r="420" spans="1:15">
      <c r="A420" s="1" t="s">
        <v>524</v>
      </c>
      <c r="B420" s="23">
        <v>44968.012499999997</v>
      </c>
      <c r="C420" s="1" t="s">
        <v>11</v>
      </c>
      <c r="D420" s="1" t="s">
        <v>26</v>
      </c>
      <c r="E420" s="1" t="s">
        <v>18</v>
      </c>
      <c r="F420" s="1" t="s">
        <v>80</v>
      </c>
      <c r="G420" s="1">
        <v>49</v>
      </c>
      <c r="H420" s="23">
        <v>44974.658506944441</v>
      </c>
      <c r="I420" s="1" t="b">
        <v>0</v>
      </c>
      <c r="J420" s="1">
        <v>5</v>
      </c>
      <c r="K420" s="10">
        <f t="shared" si="32"/>
        <v>159.50416666665114</v>
      </c>
      <c r="L420" s="1" t="str">
        <f t="shared" si="33"/>
        <v>OK</v>
      </c>
      <c r="M420" s="1">
        <f t="shared" si="30"/>
        <v>1</v>
      </c>
      <c r="N420" s="1">
        <f t="shared" si="31"/>
        <v>49</v>
      </c>
      <c r="O420" s="10">
        <f t="shared" si="34"/>
        <v>159.50416666665114</v>
      </c>
    </row>
    <row r="421" spans="1:15">
      <c r="A421" s="1" t="s">
        <v>525</v>
      </c>
      <c r="B421" s="23">
        <v>44968.022222222222</v>
      </c>
      <c r="C421" s="1" t="s">
        <v>25</v>
      </c>
      <c r="D421" s="1" t="s">
        <v>12</v>
      </c>
      <c r="E421" s="1" t="s">
        <v>18</v>
      </c>
      <c r="F421" s="1" t="s">
        <v>167</v>
      </c>
      <c r="G421" s="1">
        <v>117</v>
      </c>
      <c r="H421" s="23">
        <v>44969.592314814814</v>
      </c>
      <c r="I421" s="1" t="b">
        <v>0</v>
      </c>
      <c r="K421" s="10">
        <f t="shared" si="32"/>
        <v>37.682222222210839</v>
      </c>
      <c r="L421" s="1" t="str">
        <f t="shared" si="33"/>
        <v>OK</v>
      </c>
      <c r="M421" s="1">
        <f t="shared" si="30"/>
        <v>1</v>
      </c>
      <c r="N421" s="1">
        <f t="shared" si="31"/>
        <v>117</v>
      </c>
      <c r="O421" s="10">
        <f t="shared" si="34"/>
        <v>37.682222222210839</v>
      </c>
    </row>
    <row r="422" spans="1:15">
      <c r="A422" s="1" t="s">
        <v>526</v>
      </c>
      <c r="B422" s="23">
        <v>44968.074999999997</v>
      </c>
      <c r="C422" s="1" t="s">
        <v>16</v>
      </c>
      <c r="D422" s="1" t="s">
        <v>59</v>
      </c>
      <c r="E422" s="1" t="s">
        <v>18</v>
      </c>
      <c r="F422" s="1" t="s">
        <v>245</v>
      </c>
      <c r="G422" s="1">
        <v>151</v>
      </c>
      <c r="H422" s="23">
        <v>44970.919178240743</v>
      </c>
      <c r="I422" s="1" t="b">
        <v>0</v>
      </c>
      <c r="K422" s="10">
        <f t="shared" si="32"/>
        <v>68.260277777910233</v>
      </c>
      <c r="L422" s="1" t="str">
        <f t="shared" si="33"/>
        <v>OK</v>
      </c>
      <c r="M422" s="1">
        <f t="shared" si="30"/>
        <v>1</v>
      </c>
      <c r="N422" s="1">
        <f t="shared" si="31"/>
        <v>151</v>
      </c>
      <c r="O422" s="10">
        <f t="shared" si="34"/>
        <v>68.260277777910233</v>
      </c>
    </row>
    <row r="423" spans="1:15">
      <c r="A423" s="1" t="s">
        <v>527</v>
      </c>
      <c r="B423" s="23">
        <v>44968.124305555553</v>
      </c>
      <c r="C423" s="1" t="s">
        <v>11</v>
      </c>
      <c r="D423" s="1" t="s">
        <v>59</v>
      </c>
      <c r="E423" s="1" t="s">
        <v>13</v>
      </c>
      <c r="F423" s="1" t="s">
        <v>64</v>
      </c>
      <c r="G423" s="1">
        <v>132</v>
      </c>
      <c r="H423" s="23">
        <v>44968.670624999999</v>
      </c>
      <c r="I423" s="1" t="b">
        <v>0</v>
      </c>
      <c r="K423" s="10">
        <f t="shared" si="32"/>
        <v>13.111666666693054</v>
      </c>
      <c r="L423" s="1" t="str">
        <f t="shared" si="33"/>
        <v>OK</v>
      </c>
      <c r="M423" s="1">
        <f t="shared" si="30"/>
        <v>1</v>
      </c>
      <c r="N423" s="1">
        <f t="shared" si="31"/>
        <v>132</v>
      </c>
      <c r="O423" s="10">
        <f t="shared" si="34"/>
        <v>13.111666666693054</v>
      </c>
    </row>
    <row r="424" spans="1:15">
      <c r="A424" s="1" t="s">
        <v>528</v>
      </c>
      <c r="B424" s="23">
        <v>44968.165972222225</v>
      </c>
      <c r="C424" s="1" t="s">
        <v>25</v>
      </c>
      <c r="D424" s="1" t="s">
        <v>12</v>
      </c>
      <c r="E424" s="1" t="s">
        <v>18</v>
      </c>
      <c r="F424" s="1" t="s">
        <v>74</v>
      </c>
      <c r="G424" s="1">
        <v>87</v>
      </c>
      <c r="H424" s="23">
        <v>44968.613645833335</v>
      </c>
      <c r="I424" s="1" t="b">
        <v>0</v>
      </c>
      <c r="K424" s="10">
        <f t="shared" si="32"/>
        <v>10.744166666641831</v>
      </c>
      <c r="L424" s="1" t="str">
        <f t="shared" si="33"/>
        <v>OK</v>
      </c>
      <c r="M424" s="1">
        <f t="shared" si="30"/>
        <v>1</v>
      </c>
      <c r="N424" s="1">
        <f t="shared" si="31"/>
        <v>87</v>
      </c>
      <c r="O424" s="10">
        <f t="shared" si="34"/>
        <v>10.744166666641831</v>
      </c>
    </row>
    <row r="425" spans="1:15">
      <c r="A425" s="1" t="s">
        <v>529</v>
      </c>
      <c r="B425" s="23">
        <v>44968.318749999999</v>
      </c>
      <c r="C425" s="1" t="s">
        <v>25</v>
      </c>
      <c r="D425" s="1" t="s">
        <v>59</v>
      </c>
      <c r="E425" s="1" t="s">
        <v>33</v>
      </c>
      <c r="F425" s="1" t="s">
        <v>50</v>
      </c>
      <c r="G425" s="1">
        <v>335</v>
      </c>
      <c r="H425" s="23">
        <v>44970.142627314817</v>
      </c>
      <c r="I425" s="1" t="b">
        <v>0</v>
      </c>
      <c r="J425" s="1">
        <v>5</v>
      </c>
      <c r="K425" s="10">
        <f t="shared" si="32"/>
        <v>43.77305555564817</v>
      </c>
      <c r="L425" s="1" t="str">
        <f t="shared" si="33"/>
        <v>OK</v>
      </c>
      <c r="M425" s="1">
        <f t="shared" si="30"/>
        <v>1</v>
      </c>
      <c r="N425" s="1">
        <f t="shared" si="31"/>
        <v>335</v>
      </c>
      <c r="O425" s="10">
        <f t="shared" si="34"/>
        <v>43.77305555564817</v>
      </c>
    </row>
    <row r="426" spans="1:15">
      <c r="A426" s="1" t="s">
        <v>530</v>
      </c>
      <c r="B426" s="23">
        <v>44968.34375</v>
      </c>
      <c r="C426" s="1" t="s">
        <v>11</v>
      </c>
      <c r="D426" s="1" t="s">
        <v>17</v>
      </c>
      <c r="E426" s="1" t="s">
        <v>33</v>
      </c>
      <c r="F426" s="1" t="s">
        <v>134</v>
      </c>
      <c r="G426" s="1">
        <v>236</v>
      </c>
      <c r="H426" s="23">
        <v>44973.309317129628</v>
      </c>
      <c r="I426" s="1" t="b">
        <v>0</v>
      </c>
      <c r="K426" s="10">
        <f t="shared" si="32"/>
        <v>119.17361111106584</v>
      </c>
      <c r="L426" s="1" t="str">
        <f t="shared" si="33"/>
        <v>OK</v>
      </c>
      <c r="M426" s="1">
        <f t="shared" si="30"/>
        <v>1</v>
      </c>
      <c r="N426" s="1">
        <f t="shared" si="31"/>
        <v>236</v>
      </c>
      <c r="O426" s="10">
        <f t="shared" si="34"/>
        <v>119.17361111106584</v>
      </c>
    </row>
    <row r="427" spans="1:15">
      <c r="A427" s="1" t="s">
        <v>531</v>
      </c>
      <c r="B427" s="23">
        <v>44968.509722222225</v>
      </c>
      <c r="C427" s="1" t="s">
        <v>16</v>
      </c>
      <c r="D427" s="1" t="s">
        <v>12</v>
      </c>
      <c r="E427" s="1" t="s">
        <v>18</v>
      </c>
      <c r="F427" s="1" t="s">
        <v>88</v>
      </c>
      <c r="G427" s="1">
        <v>73</v>
      </c>
      <c r="H427" s="23">
        <v>44972.995451388888</v>
      </c>
      <c r="I427" s="1" t="b">
        <v>0</v>
      </c>
      <c r="K427" s="10">
        <f t="shared" si="32"/>
        <v>107.65749999991385</v>
      </c>
      <c r="L427" s="1" t="str">
        <f t="shared" si="33"/>
        <v>OK</v>
      </c>
      <c r="M427" s="1">
        <f t="shared" si="30"/>
        <v>1</v>
      </c>
      <c r="N427" s="1">
        <f t="shared" si="31"/>
        <v>73</v>
      </c>
      <c r="O427" s="10">
        <f t="shared" si="34"/>
        <v>107.65749999991385</v>
      </c>
    </row>
    <row r="428" spans="1:15">
      <c r="A428" s="1" t="s">
        <v>532</v>
      </c>
      <c r="B428" s="23">
        <v>44968.563194444447</v>
      </c>
      <c r="C428" s="1" t="s">
        <v>11</v>
      </c>
      <c r="D428" s="1" t="s">
        <v>12</v>
      </c>
      <c r="E428" s="1" t="s">
        <v>18</v>
      </c>
      <c r="F428" s="1" t="s">
        <v>102</v>
      </c>
      <c r="G428" s="1">
        <v>163</v>
      </c>
      <c r="I428" s="1" t="b">
        <v>0</v>
      </c>
      <c r="K428" s="10" t="str">
        <f t="shared" si="32"/>
        <v/>
      </c>
      <c r="L428" s="1" t="str">
        <f t="shared" si="33"/>
        <v>Cannot check</v>
      </c>
      <c r="M428" s="1">
        <f t="shared" si="30"/>
        <v>1</v>
      </c>
      <c r="N428" s="1">
        <f t="shared" si="31"/>
        <v>163</v>
      </c>
      <c r="O428" s="10" t="str">
        <f t="shared" si="34"/>
        <v/>
      </c>
    </row>
    <row r="429" spans="1:15">
      <c r="A429" s="1" t="s">
        <v>533</v>
      </c>
      <c r="B429" s="23">
        <v>44968.70208333333</v>
      </c>
      <c r="C429" s="1" t="s">
        <v>43</v>
      </c>
      <c r="D429" s="1" t="s">
        <v>12</v>
      </c>
      <c r="E429" s="1" t="s">
        <v>33</v>
      </c>
      <c r="F429" s="1" t="s">
        <v>345</v>
      </c>
      <c r="G429" s="1">
        <v>297</v>
      </c>
      <c r="H429" s="23">
        <v>44980.669270833336</v>
      </c>
      <c r="I429" s="1" t="b">
        <v>0</v>
      </c>
      <c r="K429" s="10">
        <f t="shared" si="32"/>
        <v>287.2125000001397</v>
      </c>
      <c r="L429" s="1" t="str">
        <f t="shared" si="33"/>
        <v>OK</v>
      </c>
      <c r="M429" s="1">
        <f t="shared" si="30"/>
        <v>1</v>
      </c>
      <c r="N429" s="1">
        <f t="shared" si="31"/>
        <v>297</v>
      </c>
      <c r="O429" s="10">
        <f t="shared" si="34"/>
        <v>287.2125000001397</v>
      </c>
    </row>
    <row r="430" spans="1:15">
      <c r="A430" s="1" t="s">
        <v>534</v>
      </c>
      <c r="B430" s="23">
        <v>44968.732638888891</v>
      </c>
      <c r="C430" s="1" t="s">
        <v>11</v>
      </c>
      <c r="D430" s="1" t="s">
        <v>17</v>
      </c>
      <c r="E430" s="1" t="s">
        <v>18</v>
      </c>
      <c r="F430" s="1" t="s">
        <v>114</v>
      </c>
      <c r="G430" s="1">
        <v>22</v>
      </c>
      <c r="H430" s="23">
        <v>44969.749618055554</v>
      </c>
      <c r="I430" s="1" t="b">
        <v>0</v>
      </c>
      <c r="K430" s="10">
        <f t="shared" si="32"/>
        <v>24.407499999913853</v>
      </c>
      <c r="L430" s="1" t="str">
        <f t="shared" si="33"/>
        <v>OK</v>
      </c>
      <c r="M430" s="1">
        <f t="shared" si="30"/>
        <v>1</v>
      </c>
      <c r="N430" s="1">
        <f t="shared" si="31"/>
        <v>22</v>
      </c>
      <c r="O430" s="10">
        <f t="shared" si="34"/>
        <v>24.407499999913853</v>
      </c>
    </row>
    <row r="431" spans="1:15">
      <c r="A431" s="1" t="s">
        <v>535</v>
      </c>
      <c r="B431" s="23">
        <v>44968.848611111112</v>
      </c>
      <c r="C431" s="1" t="s">
        <v>11</v>
      </c>
      <c r="D431" s="1" t="s">
        <v>59</v>
      </c>
      <c r="E431" s="1" t="s">
        <v>13</v>
      </c>
      <c r="F431" s="1" t="s">
        <v>153</v>
      </c>
      <c r="G431" s="1">
        <v>13</v>
      </c>
      <c r="H431" s="23">
        <v>44969.056851851848</v>
      </c>
      <c r="I431" s="1" t="b">
        <v>0</v>
      </c>
      <c r="K431" s="10">
        <f t="shared" si="32"/>
        <v>4.9977777776657604</v>
      </c>
      <c r="L431" s="1" t="str">
        <f t="shared" si="33"/>
        <v>OK</v>
      </c>
      <c r="M431" s="1">
        <f t="shared" si="30"/>
        <v>1</v>
      </c>
      <c r="N431" s="1">
        <f t="shared" si="31"/>
        <v>13</v>
      </c>
      <c r="O431" s="10">
        <f t="shared" si="34"/>
        <v>4.9977777776657604</v>
      </c>
    </row>
    <row r="432" spans="1:15">
      <c r="A432" s="1" t="s">
        <v>536</v>
      </c>
      <c r="B432" s="23">
        <v>44969.314583333333</v>
      </c>
      <c r="C432" s="1" t="s">
        <v>16</v>
      </c>
      <c r="D432" s="1" t="s">
        <v>21</v>
      </c>
      <c r="E432" s="1" t="s">
        <v>13</v>
      </c>
      <c r="F432" s="1" t="s">
        <v>80</v>
      </c>
      <c r="G432" s="1">
        <v>79</v>
      </c>
      <c r="H432" s="23">
        <v>44970.256979166668</v>
      </c>
      <c r="I432" s="1" t="b">
        <v>0</v>
      </c>
      <c r="K432" s="10">
        <f t="shared" si="32"/>
        <v>22.617500000051223</v>
      </c>
      <c r="L432" s="1" t="str">
        <f t="shared" si="33"/>
        <v>OK</v>
      </c>
      <c r="M432" s="1">
        <f t="shared" si="30"/>
        <v>1</v>
      </c>
      <c r="N432" s="1">
        <f t="shared" si="31"/>
        <v>79</v>
      </c>
      <c r="O432" s="10">
        <f t="shared" si="34"/>
        <v>22.617500000051223</v>
      </c>
    </row>
    <row r="433" spans="1:15">
      <c r="A433" s="1" t="s">
        <v>537</v>
      </c>
      <c r="B433" s="23">
        <v>44969.369444444441</v>
      </c>
      <c r="C433" s="1" t="s">
        <v>25</v>
      </c>
      <c r="D433" s="1" t="s">
        <v>21</v>
      </c>
      <c r="E433" s="1" t="s">
        <v>18</v>
      </c>
      <c r="F433" s="1" t="s">
        <v>224</v>
      </c>
      <c r="G433" s="1">
        <v>36</v>
      </c>
      <c r="H433" s="23">
        <v>44969.837002314816</v>
      </c>
      <c r="I433" s="1" t="b">
        <v>0</v>
      </c>
      <c r="K433" s="10">
        <f t="shared" si="32"/>
        <v>11.221388889010996</v>
      </c>
      <c r="L433" s="1" t="str">
        <f t="shared" si="33"/>
        <v>OK</v>
      </c>
      <c r="M433" s="1">
        <f t="shared" si="30"/>
        <v>1</v>
      </c>
      <c r="N433" s="1">
        <f t="shared" si="31"/>
        <v>36</v>
      </c>
      <c r="O433" s="10">
        <f t="shared" si="34"/>
        <v>11.221388889010996</v>
      </c>
    </row>
    <row r="434" spans="1:15">
      <c r="A434" s="1" t="s">
        <v>538</v>
      </c>
      <c r="B434" s="23">
        <v>44969.71597222222</v>
      </c>
      <c r="C434" s="1" t="s">
        <v>25</v>
      </c>
      <c r="D434" s="1" t="s">
        <v>21</v>
      </c>
      <c r="E434" s="1" t="s">
        <v>18</v>
      </c>
      <c r="F434" s="1" t="s">
        <v>92</v>
      </c>
      <c r="G434" s="1">
        <v>90</v>
      </c>
      <c r="H434" s="23">
        <v>44970.319421296299</v>
      </c>
      <c r="I434" s="1" t="b">
        <v>0</v>
      </c>
      <c r="K434" s="10">
        <f t="shared" si="32"/>
        <v>14.482777777884621</v>
      </c>
      <c r="L434" s="1" t="str">
        <f t="shared" si="33"/>
        <v>OK</v>
      </c>
      <c r="M434" s="1">
        <f t="shared" si="30"/>
        <v>1</v>
      </c>
      <c r="N434" s="1">
        <f t="shared" si="31"/>
        <v>90</v>
      </c>
      <c r="O434" s="10">
        <f t="shared" si="34"/>
        <v>14.482777777884621</v>
      </c>
    </row>
    <row r="435" spans="1:15">
      <c r="A435" s="1" t="s">
        <v>539</v>
      </c>
      <c r="B435" s="23">
        <v>44969.863194444442</v>
      </c>
      <c r="C435" s="1" t="s">
        <v>25</v>
      </c>
      <c r="D435" s="1" t="s">
        <v>26</v>
      </c>
      <c r="E435" s="1" t="s">
        <v>22</v>
      </c>
      <c r="F435" s="1" t="s">
        <v>415</v>
      </c>
      <c r="G435" s="1">
        <v>9</v>
      </c>
      <c r="H435" s="23">
        <v>44969.866909722223</v>
      </c>
      <c r="I435" s="1" t="b">
        <v>1</v>
      </c>
      <c r="K435" s="10">
        <f t="shared" si="32"/>
        <v>8.9166666730307043E-2</v>
      </c>
      <c r="L435" s="1" t="str">
        <f t="shared" si="33"/>
        <v>Review</v>
      </c>
      <c r="M435" s="1">
        <f t="shared" si="30"/>
        <v>1</v>
      </c>
      <c r="N435" s="1" t="str">
        <f t="shared" si="31"/>
        <v/>
      </c>
      <c r="O435" s="10" t="str">
        <f t="shared" si="34"/>
        <v/>
      </c>
    </row>
    <row r="436" spans="1:15">
      <c r="A436" s="1" t="s">
        <v>540</v>
      </c>
      <c r="B436" s="23">
        <v>44969.906944444447</v>
      </c>
      <c r="C436" s="1" t="s">
        <v>11</v>
      </c>
      <c r="D436" s="1" t="s">
        <v>17</v>
      </c>
      <c r="E436" s="1" t="s">
        <v>18</v>
      </c>
      <c r="F436" s="1" t="s">
        <v>178</v>
      </c>
      <c r="G436" s="1">
        <v>106</v>
      </c>
      <c r="H436" s="23">
        <v>44970.411620370367</v>
      </c>
      <c r="I436" s="1" t="b">
        <v>0</v>
      </c>
      <c r="J436" s="1">
        <v>5</v>
      </c>
      <c r="K436" s="10">
        <f t="shared" si="32"/>
        <v>12.112222222087439</v>
      </c>
      <c r="L436" s="1" t="str">
        <f t="shared" si="33"/>
        <v>OK</v>
      </c>
      <c r="M436" s="1">
        <f t="shared" si="30"/>
        <v>1</v>
      </c>
      <c r="N436" s="1">
        <f t="shared" si="31"/>
        <v>106</v>
      </c>
      <c r="O436" s="10">
        <f t="shared" si="34"/>
        <v>12.112222222087439</v>
      </c>
    </row>
    <row r="437" spans="1:15">
      <c r="A437" s="1" t="s">
        <v>541</v>
      </c>
      <c r="B437" s="23">
        <v>44970.036805555559</v>
      </c>
      <c r="C437" s="1" t="s">
        <v>11</v>
      </c>
      <c r="D437" s="1" t="s">
        <v>17</v>
      </c>
      <c r="E437" s="1" t="s">
        <v>13</v>
      </c>
      <c r="F437" s="1" t="s">
        <v>198</v>
      </c>
      <c r="G437" s="1">
        <v>11</v>
      </c>
      <c r="H437" s="23">
        <v>44970.896064814813</v>
      </c>
      <c r="I437" s="1" t="b">
        <v>0</v>
      </c>
      <c r="K437" s="10">
        <f t="shared" si="32"/>
        <v>20.622222222096752</v>
      </c>
      <c r="L437" s="1" t="str">
        <f t="shared" si="33"/>
        <v>OK</v>
      </c>
      <c r="M437" s="1">
        <f t="shared" si="30"/>
        <v>1</v>
      </c>
      <c r="N437" s="1">
        <f t="shared" si="31"/>
        <v>11</v>
      </c>
      <c r="O437" s="10">
        <f t="shared" si="34"/>
        <v>20.622222222096752</v>
      </c>
    </row>
    <row r="438" spans="1:15">
      <c r="A438" s="1" t="s">
        <v>542</v>
      </c>
      <c r="B438" s="23">
        <v>44970.128472222219</v>
      </c>
      <c r="C438" s="1" t="s">
        <v>25</v>
      </c>
      <c r="D438" s="1" t="s">
        <v>26</v>
      </c>
      <c r="E438" s="1" t="s">
        <v>18</v>
      </c>
      <c r="F438" s="1" t="s">
        <v>228</v>
      </c>
      <c r="G438" s="1">
        <v>284</v>
      </c>
      <c r="H438" s="23">
        <v>44972.710844907408</v>
      </c>
      <c r="I438" s="1" t="b">
        <v>0</v>
      </c>
      <c r="K438" s="10">
        <f t="shared" si="32"/>
        <v>61.976944444526453</v>
      </c>
      <c r="L438" s="1" t="str">
        <f t="shared" si="33"/>
        <v>OK</v>
      </c>
      <c r="M438" s="1">
        <f t="shared" si="30"/>
        <v>1</v>
      </c>
      <c r="N438" s="1">
        <f t="shared" si="31"/>
        <v>284</v>
      </c>
      <c r="O438" s="10">
        <f t="shared" si="34"/>
        <v>61.976944444526453</v>
      </c>
    </row>
    <row r="439" spans="1:15">
      <c r="A439" s="1" t="s">
        <v>543</v>
      </c>
      <c r="B439" s="23">
        <v>44970.17291666667</v>
      </c>
      <c r="C439" s="1" t="s">
        <v>25</v>
      </c>
      <c r="D439" s="1" t="s">
        <v>12</v>
      </c>
      <c r="E439" s="1" t="s">
        <v>13</v>
      </c>
      <c r="F439" s="1" t="s">
        <v>92</v>
      </c>
      <c r="G439" s="1">
        <v>98</v>
      </c>
      <c r="H439" s="23">
        <v>44970.731817129628</v>
      </c>
      <c r="I439" s="1" t="b">
        <v>0</v>
      </c>
      <c r="K439" s="10">
        <f t="shared" si="32"/>
        <v>13.413611110998318</v>
      </c>
      <c r="L439" s="1" t="str">
        <f t="shared" si="33"/>
        <v>OK</v>
      </c>
      <c r="M439" s="1">
        <f t="shared" si="30"/>
        <v>1</v>
      </c>
      <c r="N439" s="1">
        <f t="shared" si="31"/>
        <v>98</v>
      </c>
      <c r="O439" s="10">
        <f t="shared" si="34"/>
        <v>13.413611110998318</v>
      </c>
    </row>
    <row r="440" spans="1:15">
      <c r="A440" s="1" t="s">
        <v>544</v>
      </c>
      <c r="B440" s="23">
        <v>44970.25277777778</v>
      </c>
      <c r="C440" s="1" t="s">
        <v>25</v>
      </c>
      <c r="D440" s="1" t="s">
        <v>26</v>
      </c>
      <c r="E440" s="1" t="s">
        <v>18</v>
      </c>
      <c r="F440" s="1" t="s">
        <v>84</v>
      </c>
      <c r="H440" s="23">
        <v>44970.836550925924</v>
      </c>
      <c r="I440" s="1" t="b">
        <v>0</v>
      </c>
      <c r="J440" s="1">
        <v>4</v>
      </c>
      <c r="K440" s="10">
        <f t="shared" si="32"/>
        <v>14.010555555461906</v>
      </c>
      <c r="L440" s="1" t="str">
        <f t="shared" si="33"/>
        <v>Cannot check</v>
      </c>
      <c r="M440" s="1">
        <f t="shared" si="30"/>
        <v>1</v>
      </c>
      <c r="N440" s="1" t="str">
        <f t="shared" si="31"/>
        <v/>
      </c>
      <c r="O440" s="10">
        <f t="shared" si="34"/>
        <v>14.010555555461906</v>
      </c>
    </row>
    <row r="441" spans="1:15">
      <c r="A441" s="1" t="s">
        <v>545</v>
      </c>
      <c r="B441" s="23">
        <v>44970.275000000001</v>
      </c>
      <c r="C441" s="1" t="s">
        <v>25</v>
      </c>
      <c r="D441" s="1" t="s">
        <v>21</v>
      </c>
      <c r="E441" s="1" t="s">
        <v>18</v>
      </c>
      <c r="F441" s="1" t="s">
        <v>66</v>
      </c>
      <c r="G441" s="1">
        <v>33</v>
      </c>
      <c r="I441" s="1" t="b">
        <v>0</v>
      </c>
      <c r="K441" s="10" t="str">
        <f t="shared" si="32"/>
        <v/>
      </c>
      <c r="L441" s="1" t="str">
        <f t="shared" si="33"/>
        <v>Cannot check</v>
      </c>
      <c r="M441" s="1">
        <f t="shared" si="30"/>
        <v>1</v>
      </c>
      <c r="N441" s="1">
        <f t="shared" si="31"/>
        <v>33</v>
      </c>
      <c r="O441" s="10" t="str">
        <f t="shared" si="34"/>
        <v/>
      </c>
    </row>
    <row r="442" spans="1:15">
      <c r="A442" s="1" t="s">
        <v>546</v>
      </c>
      <c r="B442" s="23">
        <v>44970.375694444447</v>
      </c>
      <c r="C442" s="1" t="s">
        <v>11</v>
      </c>
      <c r="D442" s="1" t="s">
        <v>21</v>
      </c>
      <c r="E442" s="1" t="s">
        <v>22</v>
      </c>
      <c r="F442" s="1" t="s">
        <v>345</v>
      </c>
      <c r="G442" s="1">
        <v>14</v>
      </c>
      <c r="H442" s="23">
        <v>44970.429722222223</v>
      </c>
      <c r="I442" s="1" t="b">
        <v>0</v>
      </c>
      <c r="J442" s="1">
        <v>4</v>
      </c>
      <c r="K442" s="10">
        <f t="shared" si="32"/>
        <v>1.2966666666325182</v>
      </c>
      <c r="L442" s="1" t="str">
        <f t="shared" si="33"/>
        <v>OK</v>
      </c>
      <c r="M442" s="1">
        <f t="shared" si="30"/>
        <v>1</v>
      </c>
      <c r="N442" s="1">
        <f t="shared" si="31"/>
        <v>14</v>
      </c>
      <c r="O442" s="10">
        <f t="shared" si="34"/>
        <v>1.2966666666325182</v>
      </c>
    </row>
    <row r="443" spans="1:15">
      <c r="A443" s="1" t="s">
        <v>547</v>
      </c>
      <c r="B443" s="23">
        <v>44970.379861111112</v>
      </c>
      <c r="C443" s="1" t="s">
        <v>16</v>
      </c>
      <c r="D443" s="1" t="s">
        <v>21</v>
      </c>
      <c r="E443" s="1" t="s">
        <v>18</v>
      </c>
      <c r="F443" s="1" t="s">
        <v>159</v>
      </c>
      <c r="G443" s="1">
        <v>73</v>
      </c>
      <c r="H443" s="23">
        <v>44972.650347222225</v>
      </c>
      <c r="I443" s="1" t="b">
        <v>0</v>
      </c>
      <c r="K443" s="10">
        <f t="shared" si="32"/>
        <v>54.491666666697711</v>
      </c>
      <c r="L443" s="1" t="str">
        <f t="shared" si="33"/>
        <v>OK</v>
      </c>
      <c r="M443" s="1">
        <f t="shared" si="30"/>
        <v>1</v>
      </c>
      <c r="N443" s="1">
        <f t="shared" si="31"/>
        <v>73</v>
      </c>
      <c r="O443" s="10">
        <f t="shared" si="34"/>
        <v>54.491666666697711</v>
      </c>
    </row>
    <row r="444" spans="1:15">
      <c r="A444" s="1" t="s">
        <v>548</v>
      </c>
      <c r="B444" s="23">
        <v>44970.429861111108</v>
      </c>
      <c r="C444" s="1" t="s">
        <v>25</v>
      </c>
      <c r="D444" s="1" t="s">
        <v>26</v>
      </c>
      <c r="E444" s="1" t="s">
        <v>18</v>
      </c>
      <c r="F444" s="1" t="s">
        <v>206</v>
      </c>
      <c r="G444" s="1">
        <v>457</v>
      </c>
      <c r="H444" s="23">
        <v>44979.26934027778</v>
      </c>
      <c r="I444" s="1" t="b">
        <v>0</v>
      </c>
      <c r="K444" s="10">
        <f t="shared" si="32"/>
        <v>212.14750000013737</v>
      </c>
      <c r="L444" s="1" t="str">
        <f t="shared" si="33"/>
        <v>OK</v>
      </c>
      <c r="M444" s="1">
        <f t="shared" si="30"/>
        <v>1</v>
      </c>
      <c r="N444" s="1">
        <f t="shared" si="31"/>
        <v>457</v>
      </c>
      <c r="O444" s="10">
        <f t="shared" si="34"/>
        <v>212.14750000013737</v>
      </c>
    </row>
    <row r="445" spans="1:15">
      <c r="A445" s="1" t="s">
        <v>549</v>
      </c>
      <c r="B445" s="23">
        <v>44970.48541666667</v>
      </c>
      <c r="C445" s="1" t="s">
        <v>25</v>
      </c>
      <c r="D445" s="1" t="s">
        <v>21</v>
      </c>
      <c r="E445" s="1" t="s">
        <v>18</v>
      </c>
      <c r="F445" s="1" t="s">
        <v>104</v>
      </c>
      <c r="G445" s="1">
        <v>181</v>
      </c>
      <c r="H445" s="23">
        <v>44971.669502314813</v>
      </c>
      <c r="I445" s="1" t="b">
        <v>1</v>
      </c>
      <c r="K445" s="10">
        <f t="shared" si="32"/>
        <v>28.418055555433966</v>
      </c>
      <c r="L445" s="1" t="str">
        <f t="shared" si="33"/>
        <v>OK</v>
      </c>
      <c r="M445" s="1">
        <f t="shared" si="30"/>
        <v>1</v>
      </c>
      <c r="N445" s="1">
        <f t="shared" si="31"/>
        <v>181</v>
      </c>
      <c r="O445" s="10">
        <f t="shared" si="34"/>
        <v>28.418055555433966</v>
      </c>
    </row>
    <row r="446" spans="1:15">
      <c r="A446" s="1" t="s">
        <v>550</v>
      </c>
      <c r="B446" s="23">
        <v>44970.574999999997</v>
      </c>
      <c r="C446" s="1" t="s">
        <v>25</v>
      </c>
      <c r="D446" s="1" t="s">
        <v>21</v>
      </c>
      <c r="E446" s="1" t="s">
        <v>13</v>
      </c>
      <c r="F446" s="1" t="s">
        <v>70</v>
      </c>
      <c r="G446" s="1">
        <v>58</v>
      </c>
      <c r="H446" s="23">
        <v>44971.262777777774</v>
      </c>
      <c r="I446" s="1" t="b">
        <v>0</v>
      </c>
      <c r="K446" s="10">
        <f t="shared" si="32"/>
        <v>16.506666666653473</v>
      </c>
      <c r="L446" s="1" t="str">
        <f t="shared" si="33"/>
        <v>OK</v>
      </c>
      <c r="M446" s="1">
        <f t="shared" si="30"/>
        <v>1</v>
      </c>
      <c r="N446" s="1">
        <f t="shared" si="31"/>
        <v>58</v>
      </c>
      <c r="O446" s="10">
        <f t="shared" si="34"/>
        <v>16.506666666653473</v>
      </c>
    </row>
    <row r="447" spans="1:15">
      <c r="A447" s="1" t="s">
        <v>551</v>
      </c>
      <c r="B447" s="23">
        <v>44970.615277777775</v>
      </c>
      <c r="C447" s="1" t="s">
        <v>11</v>
      </c>
      <c r="D447" s="1" t="s">
        <v>59</v>
      </c>
      <c r="E447" s="1" t="s">
        <v>33</v>
      </c>
      <c r="F447" s="1" t="s">
        <v>486</v>
      </c>
      <c r="G447" s="1">
        <v>128</v>
      </c>
      <c r="H447" s="23">
        <v>44971.474398148152</v>
      </c>
      <c r="I447" s="1" t="b">
        <v>0</v>
      </c>
      <c r="K447" s="10">
        <f t="shared" si="32"/>
        <v>20.61888888903195</v>
      </c>
      <c r="L447" s="1" t="str">
        <f t="shared" si="33"/>
        <v>OK</v>
      </c>
      <c r="M447" s="1">
        <f t="shared" si="30"/>
        <v>1</v>
      </c>
      <c r="N447" s="1">
        <f t="shared" si="31"/>
        <v>128</v>
      </c>
      <c r="O447" s="10">
        <f t="shared" si="34"/>
        <v>20.61888888903195</v>
      </c>
    </row>
    <row r="448" spans="1:15">
      <c r="A448" s="1" t="s">
        <v>552</v>
      </c>
      <c r="B448" s="23">
        <v>44970.754861111112</v>
      </c>
      <c r="C448" s="1" t="s">
        <v>16</v>
      </c>
      <c r="D448" s="1" t="s">
        <v>59</v>
      </c>
      <c r="E448" s="1" t="s">
        <v>13</v>
      </c>
      <c r="F448" s="1" t="s">
        <v>256</v>
      </c>
      <c r="G448" s="1">
        <v>58</v>
      </c>
      <c r="H448" s="23">
        <v>44973.336643518516</v>
      </c>
      <c r="I448" s="1" t="b">
        <v>0</v>
      </c>
      <c r="K448" s="10">
        <f t="shared" si="32"/>
        <v>61.962777777691372</v>
      </c>
      <c r="L448" s="1" t="str">
        <f t="shared" si="33"/>
        <v>OK</v>
      </c>
      <c r="M448" s="1">
        <f t="shared" si="30"/>
        <v>1</v>
      </c>
      <c r="N448" s="1">
        <f t="shared" si="31"/>
        <v>58</v>
      </c>
      <c r="O448" s="10">
        <f t="shared" si="34"/>
        <v>61.962777777691372</v>
      </c>
    </row>
    <row r="449" spans="1:15">
      <c r="A449" s="1" t="s">
        <v>553</v>
      </c>
      <c r="B449" s="23">
        <v>44970.95416666667</v>
      </c>
      <c r="C449" s="1" t="s">
        <v>11</v>
      </c>
      <c r="D449" s="1" t="s">
        <v>59</v>
      </c>
      <c r="E449" s="1" t="s">
        <v>33</v>
      </c>
      <c r="F449" s="1" t="s">
        <v>66</v>
      </c>
      <c r="G449" s="1">
        <v>269</v>
      </c>
      <c r="H449" s="23">
        <v>44975.335740740738</v>
      </c>
      <c r="I449" s="1" t="b">
        <v>0</v>
      </c>
      <c r="K449" s="10">
        <f t="shared" si="32"/>
        <v>105.15777777764015</v>
      </c>
      <c r="L449" s="1" t="str">
        <f t="shared" si="33"/>
        <v>OK</v>
      </c>
      <c r="M449" s="1">
        <f t="shared" si="30"/>
        <v>1</v>
      </c>
      <c r="N449" s="1">
        <f t="shared" si="31"/>
        <v>269</v>
      </c>
      <c r="O449" s="10">
        <f t="shared" si="34"/>
        <v>105.15777777764015</v>
      </c>
    </row>
    <row r="450" spans="1:15">
      <c r="A450" s="1" t="s">
        <v>554</v>
      </c>
      <c r="B450" s="23">
        <v>44970.966666666667</v>
      </c>
      <c r="C450" s="1" t="s">
        <v>11</v>
      </c>
      <c r="D450" s="1" t="s">
        <v>21</v>
      </c>
      <c r="E450" s="1" t="s">
        <v>18</v>
      </c>
      <c r="F450" s="1" t="s">
        <v>44</v>
      </c>
      <c r="G450" s="1">
        <v>318</v>
      </c>
      <c r="H450" s="23">
        <v>44971.48505787037</v>
      </c>
      <c r="I450" s="1" t="b">
        <v>0</v>
      </c>
      <c r="J450" s="1">
        <v>5</v>
      </c>
      <c r="K450" s="10">
        <f t="shared" si="32"/>
        <v>12.441388888866641</v>
      </c>
      <c r="L450" s="1" t="str">
        <f t="shared" si="33"/>
        <v>OK</v>
      </c>
      <c r="M450" s="1">
        <f t="shared" ref="M450:M513" si="35">COUNTIF($A$2:$A$4001,A450)</f>
        <v>1</v>
      </c>
      <c r="N450" s="1">
        <f t="shared" ref="N450:N513" si="36">IF(OR(L450="Review",G450=""),"",G450)</f>
        <v>318</v>
      </c>
      <c r="O450" s="10">
        <f t="shared" si="34"/>
        <v>12.441388888866641</v>
      </c>
    </row>
    <row r="451" spans="1:15">
      <c r="A451" s="1" t="s">
        <v>555</v>
      </c>
      <c r="B451" s="23">
        <v>44971.121527777781</v>
      </c>
      <c r="C451" s="1" t="s">
        <v>25</v>
      </c>
      <c r="D451" s="1" t="s">
        <v>17</v>
      </c>
      <c r="E451" s="1" t="s">
        <v>33</v>
      </c>
      <c r="F451" s="1" t="s">
        <v>175</v>
      </c>
      <c r="G451" s="1">
        <v>52</v>
      </c>
      <c r="H451" s="23">
        <v>44974.466377314813</v>
      </c>
      <c r="I451" s="1" t="b">
        <v>0</v>
      </c>
      <c r="K451" s="10">
        <f t="shared" ref="K451:K514" si="37">IF(H451="","",(H451-B451)*24)</f>
        <v>80.27638888877118</v>
      </c>
      <c r="L451" s="1" t="str">
        <f t="shared" ref="L451:L514" si="38">IF(OR(G451="",K451=""),"Cannot check",IF(G451&gt;K451*60,"Review","OK"))</f>
        <v>OK</v>
      </c>
      <c r="M451" s="1">
        <f t="shared" si="35"/>
        <v>1</v>
      </c>
      <c r="N451" s="1">
        <f t="shared" si="36"/>
        <v>52</v>
      </c>
      <c r="O451" s="10">
        <f t="shared" ref="O451:O514" si="39">IF(OR(L451="Review",K451=""),"",K451)</f>
        <v>80.27638888877118</v>
      </c>
    </row>
    <row r="452" spans="1:15">
      <c r="A452" s="1" t="s">
        <v>556</v>
      </c>
      <c r="B452" s="23">
        <v>44971.123611111114</v>
      </c>
      <c r="C452" s="1" t="s">
        <v>16</v>
      </c>
      <c r="D452" s="1" t="s">
        <v>59</v>
      </c>
      <c r="E452" s="1" t="s">
        <v>33</v>
      </c>
      <c r="F452" s="1" t="s">
        <v>224</v>
      </c>
      <c r="G452" s="1">
        <v>297</v>
      </c>
      <c r="H452" s="23">
        <v>44975.795289351852</v>
      </c>
      <c r="I452" s="1" t="b">
        <v>0</v>
      </c>
      <c r="J452" s="1">
        <v>5</v>
      </c>
      <c r="K452" s="10">
        <f t="shared" si="37"/>
        <v>112.12027777772164</v>
      </c>
      <c r="L452" s="1" t="str">
        <f t="shared" si="38"/>
        <v>OK</v>
      </c>
      <c r="M452" s="1">
        <f t="shared" si="35"/>
        <v>1</v>
      </c>
      <c r="N452" s="1">
        <f t="shared" si="36"/>
        <v>297</v>
      </c>
      <c r="O452" s="10">
        <f t="shared" si="39"/>
        <v>112.12027777772164</v>
      </c>
    </row>
    <row r="453" spans="1:15">
      <c r="A453" s="1" t="s">
        <v>557</v>
      </c>
      <c r="B453" s="23">
        <v>44971.158333333333</v>
      </c>
      <c r="C453" s="1" t="s">
        <v>25</v>
      </c>
      <c r="D453" s="1" t="s">
        <v>17</v>
      </c>
      <c r="E453" s="1" t="s">
        <v>18</v>
      </c>
      <c r="F453" s="1" t="s">
        <v>68</v>
      </c>
      <c r="G453" s="1">
        <v>92</v>
      </c>
      <c r="H453" s="23">
        <v>44972.933645833335</v>
      </c>
      <c r="I453" s="1" t="b">
        <v>0</v>
      </c>
      <c r="K453" s="10">
        <f t="shared" si="37"/>
        <v>42.60750000004191</v>
      </c>
      <c r="L453" s="1" t="str">
        <f t="shared" si="38"/>
        <v>OK</v>
      </c>
      <c r="M453" s="1">
        <f t="shared" si="35"/>
        <v>1</v>
      </c>
      <c r="N453" s="1">
        <f t="shared" si="36"/>
        <v>92</v>
      </c>
      <c r="O453" s="10">
        <f t="shared" si="39"/>
        <v>42.60750000004191</v>
      </c>
    </row>
    <row r="454" spans="1:15">
      <c r="A454" s="1" t="s">
        <v>558</v>
      </c>
      <c r="B454" s="23">
        <v>44971.32708333333</v>
      </c>
      <c r="C454" s="1" t="s">
        <v>16</v>
      </c>
      <c r="D454" s="1" t="s">
        <v>17</v>
      </c>
      <c r="E454" s="1" t="s">
        <v>18</v>
      </c>
      <c r="F454" s="1" t="s">
        <v>76</v>
      </c>
      <c r="G454" s="1">
        <v>96</v>
      </c>
      <c r="H454" s="23">
        <v>44973.307812500003</v>
      </c>
      <c r="I454" s="1" t="b">
        <v>0</v>
      </c>
      <c r="K454" s="10">
        <f t="shared" si="37"/>
        <v>47.53750000015134</v>
      </c>
      <c r="L454" s="1" t="str">
        <f t="shared" si="38"/>
        <v>OK</v>
      </c>
      <c r="M454" s="1">
        <f t="shared" si="35"/>
        <v>1</v>
      </c>
      <c r="N454" s="1">
        <f t="shared" si="36"/>
        <v>96</v>
      </c>
      <c r="O454" s="10">
        <f t="shared" si="39"/>
        <v>47.53750000015134</v>
      </c>
    </row>
    <row r="455" spans="1:15">
      <c r="A455" s="1" t="s">
        <v>559</v>
      </c>
      <c r="B455" s="23">
        <v>44971.379166666666</v>
      </c>
      <c r="C455" s="1" t="s">
        <v>11</v>
      </c>
      <c r="D455" s="1" t="s">
        <v>12</v>
      </c>
      <c r="E455" s="1" t="s">
        <v>18</v>
      </c>
      <c r="F455" s="1" t="s">
        <v>74</v>
      </c>
      <c r="G455" s="1">
        <v>41</v>
      </c>
      <c r="H455" s="23">
        <v>44971.590937499997</v>
      </c>
      <c r="I455" s="1" t="b">
        <v>0</v>
      </c>
      <c r="K455" s="10">
        <f t="shared" si="37"/>
        <v>5.0824999999604188</v>
      </c>
      <c r="L455" s="1" t="str">
        <f t="shared" si="38"/>
        <v>OK</v>
      </c>
      <c r="M455" s="1">
        <f t="shared" si="35"/>
        <v>1</v>
      </c>
      <c r="N455" s="1">
        <f t="shared" si="36"/>
        <v>41</v>
      </c>
      <c r="O455" s="10">
        <f t="shared" si="39"/>
        <v>5.0824999999604188</v>
      </c>
    </row>
    <row r="456" spans="1:15">
      <c r="A456" s="1" t="s">
        <v>560</v>
      </c>
      <c r="B456" s="23">
        <v>44971.42083333333</v>
      </c>
      <c r="C456" s="1" t="s">
        <v>16</v>
      </c>
      <c r="D456" s="1" t="s">
        <v>21</v>
      </c>
      <c r="E456" s="1" t="s">
        <v>13</v>
      </c>
      <c r="F456" s="1" t="s">
        <v>96</v>
      </c>
      <c r="G456" s="1">
        <v>37</v>
      </c>
      <c r="H456" s="23">
        <v>44971.759120370371</v>
      </c>
      <c r="I456" s="1" t="b">
        <v>0</v>
      </c>
      <c r="K456" s="10">
        <f t="shared" si="37"/>
        <v>8.1188888889737427</v>
      </c>
      <c r="L456" s="1" t="str">
        <f t="shared" si="38"/>
        <v>OK</v>
      </c>
      <c r="M456" s="1">
        <f t="shared" si="35"/>
        <v>1</v>
      </c>
      <c r="N456" s="1">
        <f t="shared" si="36"/>
        <v>37</v>
      </c>
      <c r="O456" s="10">
        <f t="shared" si="39"/>
        <v>8.1188888889737427</v>
      </c>
    </row>
    <row r="457" spans="1:15">
      <c r="A457" s="1" t="s">
        <v>561</v>
      </c>
      <c r="B457" s="23">
        <v>44971.78402777778</v>
      </c>
      <c r="C457" s="1" t="s">
        <v>11</v>
      </c>
      <c r="D457" s="1" t="s">
        <v>21</v>
      </c>
      <c r="E457" s="1" t="s">
        <v>18</v>
      </c>
      <c r="F457" s="1" t="s">
        <v>317</v>
      </c>
      <c r="G457" s="1">
        <v>73</v>
      </c>
      <c r="H457" s="23">
        <v>44972.046898148146</v>
      </c>
      <c r="I457" s="1" t="b">
        <v>1</v>
      </c>
      <c r="K457" s="10">
        <f t="shared" si="37"/>
        <v>6.308888888801448</v>
      </c>
      <c r="L457" s="1" t="str">
        <f t="shared" si="38"/>
        <v>OK</v>
      </c>
      <c r="M457" s="1">
        <f t="shared" si="35"/>
        <v>1</v>
      </c>
      <c r="N457" s="1">
        <f t="shared" si="36"/>
        <v>73</v>
      </c>
      <c r="O457" s="10">
        <f t="shared" si="39"/>
        <v>6.308888888801448</v>
      </c>
    </row>
    <row r="458" spans="1:15">
      <c r="A458" s="1" t="s">
        <v>562</v>
      </c>
      <c r="B458" s="23">
        <v>44971.794444444444</v>
      </c>
      <c r="C458" s="1" t="s">
        <v>11</v>
      </c>
      <c r="D458" s="1" t="s">
        <v>21</v>
      </c>
      <c r="E458" s="1" t="s">
        <v>18</v>
      </c>
      <c r="F458" s="1" t="s">
        <v>112</v>
      </c>
      <c r="G458" s="1">
        <v>13</v>
      </c>
      <c r="H458" s="23">
        <v>44974.195289351854</v>
      </c>
      <c r="I458" s="1" t="b">
        <v>0</v>
      </c>
      <c r="K458" s="10">
        <f t="shared" si="37"/>
        <v>57.620277777838055</v>
      </c>
      <c r="L458" s="1" t="str">
        <f t="shared" si="38"/>
        <v>OK</v>
      </c>
      <c r="M458" s="1">
        <f t="shared" si="35"/>
        <v>1</v>
      </c>
      <c r="N458" s="1">
        <f t="shared" si="36"/>
        <v>13</v>
      </c>
      <c r="O458" s="10">
        <f t="shared" si="39"/>
        <v>57.620277777838055</v>
      </c>
    </row>
    <row r="459" spans="1:15">
      <c r="A459" s="1" t="s">
        <v>563</v>
      </c>
      <c r="B459" s="23">
        <v>44971.834722222222</v>
      </c>
      <c r="C459" s="1" t="s">
        <v>16</v>
      </c>
      <c r="D459" s="1" t="s">
        <v>17</v>
      </c>
      <c r="E459" s="1" t="s">
        <v>18</v>
      </c>
      <c r="F459" s="1" t="s">
        <v>116</v>
      </c>
      <c r="G459" s="1">
        <v>19</v>
      </c>
      <c r="H459" s="23">
        <v>44987.41678240741</v>
      </c>
      <c r="I459" s="1" t="b">
        <v>0</v>
      </c>
      <c r="J459" s="1">
        <v>5</v>
      </c>
      <c r="K459" s="10">
        <f t="shared" si="37"/>
        <v>373.96944444451947</v>
      </c>
      <c r="L459" s="1" t="str">
        <f t="shared" si="38"/>
        <v>OK</v>
      </c>
      <c r="M459" s="1">
        <f t="shared" si="35"/>
        <v>1</v>
      </c>
      <c r="N459" s="1">
        <f t="shared" si="36"/>
        <v>19</v>
      </c>
      <c r="O459" s="10">
        <f t="shared" si="39"/>
        <v>373.96944444451947</v>
      </c>
    </row>
    <row r="460" spans="1:15">
      <c r="A460" s="1" t="s">
        <v>564</v>
      </c>
      <c r="B460" s="23">
        <v>44971.866666666669</v>
      </c>
      <c r="C460" s="1" t="s">
        <v>11</v>
      </c>
      <c r="D460" s="1" t="s">
        <v>21</v>
      </c>
      <c r="E460" s="1" t="s">
        <v>18</v>
      </c>
      <c r="F460" s="1" t="s">
        <v>215</v>
      </c>
      <c r="G460" s="1">
        <v>60</v>
      </c>
      <c r="H460" s="23">
        <v>44972.358958333331</v>
      </c>
      <c r="I460" s="1" t="b">
        <v>0</v>
      </c>
      <c r="K460" s="10">
        <f t="shared" si="37"/>
        <v>11.814999999885913</v>
      </c>
      <c r="L460" s="1" t="str">
        <f t="shared" si="38"/>
        <v>OK</v>
      </c>
      <c r="M460" s="1">
        <f t="shared" si="35"/>
        <v>1</v>
      </c>
      <c r="N460" s="1">
        <f t="shared" si="36"/>
        <v>60</v>
      </c>
      <c r="O460" s="10">
        <f t="shared" si="39"/>
        <v>11.814999999885913</v>
      </c>
    </row>
    <row r="461" spans="1:15">
      <c r="A461" s="1" t="s">
        <v>565</v>
      </c>
      <c r="B461" s="23">
        <v>44972.097222222219</v>
      </c>
      <c r="C461" s="1" t="s">
        <v>16</v>
      </c>
      <c r="D461" s="1" t="s">
        <v>21</v>
      </c>
      <c r="E461" s="1" t="s">
        <v>33</v>
      </c>
      <c r="F461" s="1" t="s">
        <v>70</v>
      </c>
      <c r="G461" s="1">
        <v>156</v>
      </c>
      <c r="H461" s="23">
        <v>44973.951909722222</v>
      </c>
      <c r="I461" s="1" t="b">
        <v>0</v>
      </c>
      <c r="J461" s="1">
        <v>2</v>
      </c>
      <c r="K461" s="10">
        <f t="shared" si="37"/>
        <v>44.512500000069849</v>
      </c>
      <c r="L461" s="1" t="str">
        <f t="shared" si="38"/>
        <v>OK</v>
      </c>
      <c r="M461" s="1">
        <f t="shared" si="35"/>
        <v>1</v>
      </c>
      <c r="N461" s="1">
        <f t="shared" si="36"/>
        <v>156</v>
      </c>
      <c r="O461" s="10">
        <f t="shared" si="39"/>
        <v>44.512500000069849</v>
      </c>
    </row>
    <row r="462" spans="1:15">
      <c r="A462" s="1" t="s">
        <v>566</v>
      </c>
      <c r="B462" s="23">
        <v>44972.418749999997</v>
      </c>
      <c r="C462" s="1" t="s">
        <v>11</v>
      </c>
      <c r="D462" s="1" t="s">
        <v>26</v>
      </c>
      <c r="E462" s="1" t="s">
        <v>18</v>
      </c>
      <c r="F462" s="1" t="s">
        <v>72</v>
      </c>
      <c r="G462" s="1">
        <v>134</v>
      </c>
      <c r="H462" s="23">
        <v>45015.902627314812</v>
      </c>
      <c r="I462" s="1" t="b">
        <v>0</v>
      </c>
      <c r="J462" s="1">
        <v>5</v>
      </c>
      <c r="K462" s="10">
        <f t="shared" si="37"/>
        <v>1043.6130555555574</v>
      </c>
      <c r="L462" s="1" t="str">
        <f t="shared" si="38"/>
        <v>OK</v>
      </c>
      <c r="M462" s="1">
        <f t="shared" si="35"/>
        <v>1</v>
      </c>
      <c r="N462" s="1">
        <f t="shared" si="36"/>
        <v>134</v>
      </c>
      <c r="O462" s="10">
        <f t="shared" si="39"/>
        <v>1043.6130555555574</v>
      </c>
    </row>
    <row r="463" spans="1:15">
      <c r="A463" s="1" t="s">
        <v>567</v>
      </c>
      <c r="B463" s="23">
        <v>44972.45416666667</v>
      </c>
      <c r="C463" s="1" t="s">
        <v>43</v>
      </c>
      <c r="D463" s="1" t="s">
        <v>21</v>
      </c>
      <c r="E463" s="1" t="s">
        <v>18</v>
      </c>
      <c r="F463" s="1" t="s">
        <v>76</v>
      </c>
      <c r="G463" s="1">
        <v>136</v>
      </c>
      <c r="H463" s="23">
        <v>44973.41983796296</v>
      </c>
      <c r="I463" s="1" t="b">
        <v>0</v>
      </c>
      <c r="J463" s="1">
        <v>4</v>
      </c>
      <c r="K463" s="10">
        <f t="shared" si="37"/>
        <v>23.176111110951751</v>
      </c>
      <c r="L463" s="1" t="str">
        <f t="shared" si="38"/>
        <v>OK</v>
      </c>
      <c r="M463" s="1">
        <f t="shared" si="35"/>
        <v>1</v>
      </c>
      <c r="N463" s="1">
        <f t="shared" si="36"/>
        <v>136</v>
      </c>
      <c r="O463" s="10">
        <f t="shared" si="39"/>
        <v>23.176111110951751</v>
      </c>
    </row>
    <row r="464" spans="1:15">
      <c r="A464" s="1" t="s">
        <v>568</v>
      </c>
      <c r="B464" s="23">
        <v>44972.673611111109</v>
      </c>
      <c r="C464" s="1" t="s">
        <v>16</v>
      </c>
      <c r="D464" s="1" t="s">
        <v>59</v>
      </c>
      <c r="E464" s="1" t="s">
        <v>18</v>
      </c>
      <c r="F464" s="1" t="s">
        <v>57</v>
      </c>
      <c r="G464" s="1">
        <v>71</v>
      </c>
      <c r="H464" s="23">
        <v>44972.966516203705</v>
      </c>
      <c r="I464" s="1" t="b">
        <v>0</v>
      </c>
      <c r="K464" s="10">
        <f t="shared" si="37"/>
        <v>7.0297222223016433</v>
      </c>
      <c r="L464" s="1" t="str">
        <f t="shared" si="38"/>
        <v>OK</v>
      </c>
      <c r="M464" s="1">
        <f t="shared" si="35"/>
        <v>1</v>
      </c>
      <c r="N464" s="1">
        <f t="shared" si="36"/>
        <v>71</v>
      </c>
      <c r="O464" s="10">
        <f t="shared" si="39"/>
        <v>7.0297222223016433</v>
      </c>
    </row>
    <row r="465" spans="1:15">
      <c r="A465" s="1" t="s">
        <v>569</v>
      </c>
      <c r="B465" s="23">
        <v>44972.791666666664</v>
      </c>
      <c r="C465" s="1" t="s">
        <v>11</v>
      </c>
      <c r="D465" s="1" t="s">
        <v>59</v>
      </c>
      <c r="E465" s="1" t="s">
        <v>33</v>
      </c>
      <c r="F465" s="1" t="s">
        <v>80</v>
      </c>
      <c r="G465" s="1">
        <v>150</v>
      </c>
      <c r="H465" s="23">
        <v>44975.168009259258</v>
      </c>
      <c r="I465" s="1" t="b">
        <v>0</v>
      </c>
      <c r="J465" s="1">
        <v>5</v>
      </c>
      <c r="K465" s="10">
        <f t="shared" si="37"/>
        <v>57.032222222245764</v>
      </c>
      <c r="L465" s="1" t="str">
        <f t="shared" si="38"/>
        <v>OK</v>
      </c>
      <c r="M465" s="1">
        <f t="shared" si="35"/>
        <v>1</v>
      </c>
      <c r="N465" s="1">
        <f t="shared" si="36"/>
        <v>150</v>
      </c>
      <c r="O465" s="10">
        <f t="shared" si="39"/>
        <v>57.032222222245764</v>
      </c>
    </row>
    <row r="466" spans="1:15">
      <c r="A466" s="1" t="s">
        <v>570</v>
      </c>
      <c r="B466" s="23">
        <v>44973.538888888892</v>
      </c>
      <c r="C466" s="1" t="s">
        <v>16</v>
      </c>
      <c r="D466" s="1" t="s">
        <v>17</v>
      </c>
      <c r="E466" s="1" t="s">
        <v>18</v>
      </c>
      <c r="F466" s="1" t="s">
        <v>224</v>
      </c>
      <c r="G466" s="1">
        <v>151</v>
      </c>
      <c r="H466" s="23">
        <v>44973.646620370368</v>
      </c>
      <c r="I466" s="1" t="b">
        <v>0</v>
      </c>
      <c r="J466" s="1">
        <v>5</v>
      </c>
      <c r="K466" s="10">
        <f t="shared" si="37"/>
        <v>2.5855555554153398</v>
      </c>
      <c r="L466" s="1" t="str">
        <f t="shared" si="38"/>
        <v>OK</v>
      </c>
      <c r="M466" s="1">
        <f t="shared" si="35"/>
        <v>1</v>
      </c>
      <c r="N466" s="1">
        <f t="shared" si="36"/>
        <v>151</v>
      </c>
      <c r="O466" s="10">
        <f t="shared" si="39"/>
        <v>2.5855555554153398</v>
      </c>
    </row>
    <row r="467" spans="1:15">
      <c r="A467" s="1" t="s">
        <v>571</v>
      </c>
      <c r="B467" s="23">
        <v>44973.55</v>
      </c>
      <c r="C467" s="1" t="s">
        <v>16</v>
      </c>
      <c r="D467" s="1" t="s">
        <v>17</v>
      </c>
      <c r="E467" s="1" t="s">
        <v>18</v>
      </c>
      <c r="F467" s="1" t="s">
        <v>228</v>
      </c>
      <c r="G467" s="1">
        <v>130</v>
      </c>
      <c r="H467" s="23">
        <v>44974.301041666666</v>
      </c>
      <c r="I467" s="1" t="b">
        <v>0</v>
      </c>
      <c r="K467" s="10">
        <f t="shared" si="37"/>
        <v>18.024999999906868</v>
      </c>
      <c r="L467" s="1" t="str">
        <f t="shared" si="38"/>
        <v>OK</v>
      </c>
      <c r="M467" s="1">
        <f t="shared" si="35"/>
        <v>1</v>
      </c>
      <c r="N467" s="1">
        <f t="shared" si="36"/>
        <v>130</v>
      </c>
      <c r="O467" s="10">
        <f t="shared" si="39"/>
        <v>18.024999999906868</v>
      </c>
    </row>
    <row r="468" spans="1:15">
      <c r="A468" s="1" t="s">
        <v>572</v>
      </c>
      <c r="B468" s="23">
        <v>44973.640972222223</v>
      </c>
      <c r="C468" s="1" t="s">
        <v>43</v>
      </c>
      <c r="D468" s="1" t="s">
        <v>21</v>
      </c>
      <c r="E468" s="1" t="s">
        <v>13</v>
      </c>
      <c r="F468" s="1" t="s">
        <v>44</v>
      </c>
      <c r="G468" s="1">
        <v>92</v>
      </c>
      <c r="H468" s="23">
        <v>44974.699745370373</v>
      </c>
      <c r="I468" s="1" t="b">
        <v>0</v>
      </c>
      <c r="K468" s="10">
        <f t="shared" si="37"/>
        <v>25.410555555601604</v>
      </c>
      <c r="L468" s="1" t="str">
        <f t="shared" si="38"/>
        <v>OK</v>
      </c>
      <c r="M468" s="1">
        <f t="shared" si="35"/>
        <v>1</v>
      </c>
      <c r="N468" s="1">
        <f t="shared" si="36"/>
        <v>92</v>
      </c>
      <c r="O468" s="10">
        <f t="shared" si="39"/>
        <v>25.410555555601604</v>
      </c>
    </row>
    <row r="469" spans="1:15">
      <c r="A469" s="1" t="s">
        <v>573</v>
      </c>
      <c r="B469" s="23">
        <v>44973.820138888892</v>
      </c>
      <c r="C469" s="1" t="s">
        <v>11</v>
      </c>
      <c r="D469" s="1" t="s">
        <v>59</v>
      </c>
      <c r="E469" s="1" t="s">
        <v>13</v>
      </c>
      <c r="F469" s="1" t="s">
        <v>237</v>
      </c>
      <c r="G469" s="1">
        <v>30</v>
      </c>
      <c r="H469" s="23">
        <v>44973.890405092592</v>
      </c>
      <c r="I469" s="1" t="b">
        <v>0</v>
      </c>
      <c r="K469" s="10">
        <f t="shared" si="37"/>
        <v>1.6863888888037764</v>
      </c>
      <c r="L469" s="1" t="str">
        <f t="shared" si="38"/>
        <v>OK</v>
      </c>
      <c r="M469" s="1">
        <f t="shared" si="35"/>
        <v>1</v>
      </c>
      <c r="N469" s="1">
        <f t="shared" si="36"/>
        <v>30</v>
      </c>
      <c r="O469" s="10">
        <f t="shared" si="39"/>
        <v>1.6863888888037764</v>
      </c>
    </row>
    <row r="470" spans="1:15">
      <c r="A470" s="1" t="s">
        <v>574</v>
      </c>
      <c r="B470" s="23">
        <v>44974.00277777778</v>
      </c>
      <c r="C470" s="1" t="s">
        <v>16</v>
      </c>
      <c r="D470" s="1" t="s">
        <v>21</v>
      </c>
      <c r="E470" s="1" t="s">
        <v>18</v>
      </c>
      <c r="F470" s="1" t="s">
        <v>41</v>
      </c>
      <c r="H470" s="23">
        <v>44976.108796296299</v>
      </c>
      <c r="I470" s="1" t="b">
        <v>0</v>
      </c>
      <c r="J470" s="1">
        <v>5</v>
      </c>
      <c r="K470" s="10">
        <f t="shared" si="37"/>
        <v>50.544444444472902</v>
      </c>
      <c r="L470" s="1" t="str">
        <f t="shared" si="38"/>
        <v>Cannot check</v>
      </c>
      <c r="M470" s="1">
        <f t="shared" si="35"/>
        <v>1</v>
      </c>
      <c r="N470" s="1" t="str">
        <f t="shared" si="36"/>
        <v/>
      </c>
      <c r="O470" s="10">
        <f t="shared" si="39"/>
        <v>50.544444444472902</v>
      </c>
    </row>
    <row r="471" spans="1:15">
      <c r="A471" s="1" t="s">
        <v>575</v>
      </c>
      <c r="B471" s="23">
        <v>44974.136111111111</v>
      </c>
      <c r="C471" s="1" t="s">
        <v>16</v>
      </c>
      <c r="D471" s="1" t="s">
        <v>59</v>
      </c>
      <c r="E471" s="1" t="s">
        <v>33</v>
      </c>
      <c r="F471" s="1" t="s">
        <v>162</v>
      </c>
      <c r="G471" s="1">
        <v>1760</v>
      </c>
      <c r="H471" s="23">
        <v>44975.633391203701</v>
      </c>
      <c r="I471" s="1" t="b">
        <v>0</v>
      </c>
      <c r="K471" s="10">
        <f t="shared" si="37"/>
        <v>35.93472222215496</v>
      </c>
      <c r="L471" s="1" t="str">
        <f t="shared" si="38"/>
        <v>OK</v>
      </c>
      <c r="M471" s="1">
        <f t="shared" si="35"/>
        <v>1</v>
      </c>
      <c r="N471" s="1">
        <f t="shared" si="36"/>
        <v>1760</v>
      </c>
      <c r="O471" s="10">
        <f t="shared" si="39"/>
        <v>35.93472222215496</v>
      </c>
    </row>
    <row r="472" spans="1:15">
      <c r="A472" s="1" t="s">
        <v>576</v>
      </c>
      <c r="B472" s="23">
        <v>44974.274305555555</v>
      </c>
      <c r="C472" s="1" t="s">
        <v>16</v>
      </c>
      <c r="D472" s="1" t="s">
        <v>17</v>
      </c>
      <c r="E472" s="1" t="s">
        <v>33</v>
      </c>
      <c r="F472" s="1" t="s">
        <v>84</v>
      </c>
      <c r="G472" s="1">
        <v>110</v>
      </c>
      <c r="H472" s="23">
        <v>44977.717974537038</v>
      </c>
      <c r="I472" s="1" t="b">
        <v>0</v>
      </c>
      <c r="J472" s="1">
        <v>4</v>
      </c>
      <c r="K472" s="10">
        <f t="shared" si="37"/>
        <v>82.648055555589963</v>
      </c>
      <c r="L472" s="1" t="str">
        <f t="shared" si="38"/>
        <v>OK</v>
      </c>
      <c r="M472" s="1">
        <f t="shared" si="35"/>
        <v>1</v>
      </c>
      <c r="N472" s="1">
        <f t="shared" si="36"/>
        <v>110</v>
      </c>
      <c r="O472" s="10">
        <f t="shared" si="39"/>
        <v>82.648055555589963</v>
      </c>
    </row>
    <row r="473" spans="1:15">
      <c r="A473" s="1" t="s">
        <v>577</v>
      </c>
      <c r="B473" s="23">
        <v>44974.309027777781</v>
      </c>
      <c r="C473" s="1" t="s">
        <v>16</v>
      </c>
      <c r="D473" s="1" t="s">
        <v>26</v>
      </c>
      <c r="E473" s="1" t="s">
        <v>18</v>
      </c>
      <c r="F473" s="1" t="s">
        <v>186</v>
      </c>
      <c r="G473" s="1">
        <v>112</v>
      </c>
      <c r="H473" s="23">
        <v>44978.436805555553</v>
      </c>
      <c r="I473" s="1" t="b">
        <v>0</v>
      </c>
      <c r="K473" s="10">
        <f t="shared" si="37"/>
        <v>99.066666666534729</v>
      </c>
      <c r="L473" s="1" t="str">
        <f t="shared" si="38"/>
        <v>OK</v>
      </c>
      <c r="M473" s="1">
        <f t="shared" si="35"/>
        <v>1</v>
      </c>
      <c r="N473" s="1">
        <f t="shared" si="36"/>
        <v>112</v>
      </c>
      <c r="O473" s="10">
        <f t="shared" si="39"/>
        <v>99.066666666534729</v>
      </c>
    </row>
    <row r="474" spans="1:15">
      <c r="A474" s="1" t="s">
        <v>578</v>
      </c>
      <c r="B474" s="23">
        <v>44974.382638888892</v>
      </c>
      <c r="C474" s="1" t="s">
        <v>11</v>
      </c>
      <c r="D474" s="1" t="s">
        <v>21</v>
      </c>
      <c r="E474" s="1" t="s">
        <v>18</v>
      </c>
      <c r="F474" s="1" t="s">
        <v>98</v>
      </c>
      <c r="G474" s="1">
        <v>146</v>
      </c>
      <c r="H474" s="23">
        <v>44974.59715277778</v>
      </c>
      <c r="I474" s="1" t="b">
        <v>0</v>
      </c>
      <c r="J474" s="1">
        <v>3</v>
      </c>
      <c r="K474" s="10">
        <f t="shared" si="37"/>
        <v>5.1483333333162591</v>
      </c>
      <c r="L474" s="1" t="str">
        <f t="shared" si="38"/>
        <v>OK</v>
      </c>
      <c r="M474" s="1">
        <f t="shared" si="35"/>
        <v>1</v>
      </c>
      <c r="N474" s="1">
        <f t="shared" si="36"/>
        <v>146</v>
      </c>
      <c r="O474" s="10">
        <f t="shared" si="39"/>
        <v>5.1483333333162591</v>
      </c>
    </row>
    <row r="475" spans="1:15">
      <c r="A475" s="1" t="s">
        <v>579</v>
      </c>
      <c r="B475" s="23">
        <v>44974.412499999999</v>
      </c>
      <c r="C475" s="1" t="s">
        <v>16</v>
      </c>
      <c r="D475" s="1" t="s">
        <v>17</v>
      </c>
      <c r="E475" s="1" t="s">
        <v>18</v>
      </c>
      <c r="F475" s="1" t="s">
        <v>201</v>
      </c>
      <c r="G475" s="1">
        <v>125</v>
      </c>
      <c r="H475" s="23">
        <v>44984.070092592592</v>
      </c>
      <c r="I475" s="1" t="b">
        <v>0</v>
      </c>
      <c r="K475" s="10">
        <f t="shared" si="37"/>
        <v>231.78222222224576</v>
      </c>
      <c r="L475" s="1" t="str">
        <f t="shared" si="38"/>
        <v>OK</v>
      </c>
      <c r="M475" s="1">
        <f t="shared" si="35"/>
        <v>1</v>
      </c>
      <c r="N475" s="1">
        <f t="shared" si="36"/>
        <v>125</v>
      </c>
      <c r="O475" s="10">
        <f t="shared" si="39"/>
        <v>231.78222222224576</v>
      </c>
    </row>
    <row r="476" spans="1:15">
      <c r="A476" s="1" t="s">
        <v>580</v>
      </c>
      <c r="B476" s="23">
        <v>44974.500694444447</v>
      </c>
      <c r="C476" s="1" t="s">
        <v>11</v>
      </c>
      <c r="D476" s="1" t="s">
        <v>59</v>
      </c>
      <c r="E476" s="1" t="s">
        <v>33</v>
      </c>
      <c r="F476" s="1" t="s">
        <v>35</v>
      </c>
      <c r="G476" s="1">
        <v>154</v>
      </c>
      <c r="H476" s="23">
        <v>44975.334930555553</v>
      </c>
      <c r="I476" s="1" t="b">
        <v>0</v>
      </c>
      <c r="K476" s="10">
        <f t="shared" si="37"/>
        <v>20.021666666551027</v>
      </c>
      <c r="L476" s="1" t="str">
        <f t="shared" si="38"/>
        <v>OK</v>
      </c>
      <c r="M476" s="1">
        <f t="shared" si="35"/>
        <v>1</v>
      </c>
      <c r="N476" s="1">
        <f t="shared" si="36"/>
        <v>154</v>
      </c>
      <c r="O476" s="10">
        <f t="shared" si="39"/>
        <v>20.021666666551027</v>
      </c>
    </row>
    <row r="477" spans="1:15">
      <c r="A477" s="1" t="s">
        <v>581</v>
      </c>
      <c r="B477" s="23">
        <v>44974.686805555553</v>
      </c>
      <c r="C477" s="1" t="s">
        <v>16</v>
      </c>
      <c r="D477" s="1" t="s">
        <v>59</v>
      </c>
      <c r="E477" s="1" t="s">
        <v>13</v>
      </c>
      <c r="F477" s="1" t="s">
        <v>44</v>
      </c>
      <c r="G477" s="1">
        <v>30</v>
      </c>
      <c r="H477" s="23">
        <v>44974.952094907407</v>
      </c>
      <c r="I477" s="1" t="b">
        <v>0</v>
      </c>
      <c r="K477" s="10">
        <f t="shared" si="37"/>
        <v>6.3669444444822147</v>
      </c>
      <c r="L477" s="1" t="str">
        <f t="shared" si="38"/>
        <v>OK</v>
      </c>
      <c r="M477" s="1">
        <f t="shared" si="35"/>
        <v>1</v>
      </c>
      <c r="N477" s="1">
        <f t="shared" si="36"/>
        <v>30</v>
      </c>
      <c r="O477" s="10">
        <f t="shared" si="39"/>
        <v>6.3669444444822147</v>
      </c>
    </row>
    <row r="478" spans="1:15">
      <c r="A478" s="1" t="s">
        <v>582</v>
      </c>
      <c r="B478" s="23">
        <v>44974.712500000001</v>
      </c>
      <c r="C478" s="1" t="s">
        <v>11</v>
      </c>
      <c r="D478" s="1" t="s">
        <v>26</v>
      </c>
      <c r="E478" s="1" t="s">
        <v>18</v>
      </c>
      <c r="F478" s="1" t="s">
        <v>39</v>
      </c>
      <c r="G478" s="1">
        <v>120</v>
      </c>
      <c r="H478" s="23">
        <v>44976.651562500003</v>
      </c>
      <c r="I478" s="1" t="b">
        <v>0</v>
      </c>
      <c r="K478" s="10">
        <f t="shared" si="37"/>
        <v>46.537500000034925</v>
      </c>
      <c r="L478" s="1" t="str">
        <f t="shared" si="38"/>
        <v>OK</v>
      </c>
      <c r="M478" s="1">
        <f t="shared" si="35"/>
        <v>1</v>
      </c>
      <c r="N478" s="1">
        <f t="shared" si="36"/>
        <v>120</v>
      </c>
      <c r="O478" s="10">
        <f t="shared" si="39"/>
        <v>46.537500000034925</v>
      </c>
    </row>
    <row r="479" spans="1:15">
      <c r="A479" s="1" t="s">
        <v>583</v>
      </c>
      <c r="B479" s="23">
        <v>44974.763888888891</v>
      </c>
      <c r="C479" s="1" t="s">
        <v>11</v>
      </c>
      <c r="D479" s="1" t="s">
        <v>17</v>
      </c>
      <c r="E479" s="1" t="s">
        <v>33</v>
      </c>
      <c r="F479" s="1" t="s">
        <v>110</v>
      </c>
      <c r="G479" s="1">
        <v>49</v>
      </c>
      <c r="I479" s="1" t="b">
        <v>0</v>
      </c>
      <c r="K479" s="10" t="str">
        <f t="shared" si="37"/>
        <v/>
      </c>
      <c r="L479" s="1" t="str">
        <f t="shared" si="38"/>
        <v>Cannot check</v>
      </c>
      <c r="M479" s="1">
        <f t="shared" si="35"/>
        <v>1</v>
      </c>
      <c r="N479" s="1">
        <f t="shared" si="36"/>
        <v>49</v>
      </c>
      <c r="O479" s="10" t="str">
        <f t="shared" si="39"/>
        <v/>
      </c>
    </row>
    <row r="480" spans="1:15">
      <c r="A480" s="1" t="s">
        <v>584</v>
      </c>
      <c r="B480" s="23">
        <v>44974.870138888888</v>
      </c>
      <c r="C480" s="1" t="s">
        <v>16</v>
      </c>
      <c r="D480" s="1" t="s">
        <v>21</v>
      </c>
      <c r="E480" s="1" t="s">
        <v>18</v>
      </c>
      <c r="F480" s="1" t="s">
        <v>239</v>
      </c>
      <c r="G480" s="1">
        <v>107</v>
      </c>
      <c r="H480" s="23">
        <v>44977.136296296296</v>
      </c>
      <c r="I480" s="1" t="b">
        <v>0</v>
      </c>
      <c r="K480" s="10">
        <f t="shared" si="37"/>
        <v>54.387777777796146</v>
      </c>
      <c r="L480" s="1" t="str">
        <f t="shared" si="38"/>
        <v>OK</v>
      </c>
      <c r="M480" s="1">
        <f t="shared" si="35"/>
        <v>1</v>
      </c>
      <c r="N480" s="1">
        <f t="shared" si="36"/>
        <v>107</v>
      </c>
      <c r="O480" s="10">
        <f t="shared" si="39"/>
        <v>54.387777777796146</v>
      </c>
    </row>
    <row r="481" spans="1:15">
      <c r="A481" s="1" t="s">
        <v>585</v>
      </c>
      <c r="B481" s="23">
        <v>44975.012499999997</v>
      </c>
      <c r="C481" s="1" t="s">
        <v>16</v>
      </c>
      <c r="D481" s="1" t="s">
        <v>21</v>
      </c>
      <c r="E481" s="1" t="s">
        <v>18</v>
      </c>
      <c r="F481" s="1" t="s">
        <v>226</v>
      </c>
      <c r="G481" s="1">
        <v>19</v>
      </c>
      <c r="H481" s="23">
        <v>44975.145162037035</v>
      </c>
      <c r="I481" s="1" t="b">
        <v>0</v>
      </c>
      <c r="K481" s="10">
        <f t="shared" si="37"/>
        <v>3.1838888889178634</v>
      </c>
      <c r="L481" s="1" t="str">
        <f t="shared" si="38"/>
        <v>OK</v>
      </c>
      <c r="M481" s="1">
        <f t="shared" si="35"/>
        <v>1</v>
      </c>
      <c r="N481" s="1">
        <f t="shared" si="36"/>
        <v>19</v>
      </c>
      <c r="O481" s="10">
        <f t="shared" si="39"/>
        <v>3.1838888889178634</v>
      </c>
    </row>
    <row r="482" spans="1:15">
      <c r="A482" s="1" t="s">
        <v>586</v>
      </c>
      <c r="B482" s="23">
        <v>44975.279861111114</v>
      </c>
      <c r="C482" s="1" t="s">
        <v>43</v>
      </c>
      <c r="D482" s="1" t="s">
        <v>17</v>
      </c>
      <c r="E482" s="1" t="s">
        <v>22</v>
      </c>
      <c r="F482" s="1" t="s">
        <v>108</v>
      </c>
      <c r="G482" s="1">
        <v>9</v>
      </c>
      <c r="H482" s="23">
        <v>44975.519305555557</v>
      </c>
      <c r="I482" s="1" t="b">
        <v>0</v>
      </c>
      <c r="K482" s="10">
        <f t="shared" si="37"/>
        <v>5.7466666666441597</v>
      </c>
      <c r="L482" s="1" t="str">
        <f t="shared" si="38"/>
        <v>OK</v>
      </c>
      <c r="M482" s="1">
        <f t="shared" si="35"/>
        <v>1</v>
      </c>
      <c r="N482" s="1">
        <f t="shared" si="36"/>
        <v>9</v>
      </c>
      <c r="O482" s="10">
        <f t="shared" si="39"/>
        <v>5.7466666666441597</v>
      </c>
    </row>
    <row r="483" spans="1:15">
      <c r="A483" s="1" t="s">
        <v>587</v>
      </c>
      <c r="B483" s="23">
        <v>44975.300694444442</v>
      </c>
      <c r="C483" s="1" t="s">
        <v>11</v>
      </c>
      <c r="D483" s="1" t="s">
        <v>17</v>
      </c>
      <c r="E483" s="1" t="s">
        <v>18</v>
      </c>
      <c r="F483" s="1" t="s">
        <v>120</v>
      </c>
      <c r="G483" s="1">
        <v>165</v>
      </c>
      <c r="I483" s="1" t="b">
        <v>0</v>
      </c>
      <c r="K483" s="10" t="str">
        <f t="shared" si="37"/>
        <v/>
      </c>
      <c r="L483" s="1" t="str">
        <f t="shared" si="38"/>
        <v>Cannot check</v>
      </c>
      <c r="M483" s="1">
        <f t="shared" si="35"/>
        <v>1</v>
      </c>
      <c r="N483" s="1">
        <f t="shared" si="36"/>
        <v>165</v>
      </c>
      <c r="O483" s="10" t="str">
        <f t="shared" si="39"/>
        <v/>
      </c>
    </row>
    <row r="484" spans="1:15">
      <c r="A484" s="1" t="s">
        <v>588</v>
      </c>
      <c r="B484" s="23">
        <v>44975.305555555555</v>
      </c>
      <c r="C484" s="1" t="s">
        <v>16</v>
      </c>
      <c r="D484" s="1" t="s">
        <v>21</v>
      </c>
      <c r="E484" s="1" t="s">
        <v>18</v>
      </c>
      <c r="F484" s="1" t="s">
        <v>134</v>
      </c>
      <c r="G484" s="1">
        <v>22</v>
      </c>
      <c r="H484" s="23">
        <v>44975.954745370371</v>
      </c>
      <c r="I484" s="1" t="b">
        <v>0</v>
      </c>
      <c r="K484" s="10">
        <f t="shared" si="37"/>
        <v>15.580555555585306</v>
      </c>
      <c r="L484" s="1" t="str">
        <f t="shared" si="38"/>
        <v>OK</v>
      </c>
      <c r="M484" s="1">
        <f t="shared" si="35"/>
        <v>1</v>
      </c>
      <c r="N484" s="1">
        <f t="shared" si="36"/>
        <v>22</v>
      </c>
      <c r="O484" s="10">
        <f t="shared" si="39"/>
        <v>15.580555555585306</v>
      </c>
    </row>
    <row r="485" spans="1:15">
      <c r="A485" s="1" t="s">
        <v>589</v>
      </c>
      <c r="B485" s="23">
        <v>44975.315972222219</v>
      </c>
      <c r="C485" s="1" t="s">
        <v>16</v>
      </c>
      <c r="D485" s="1" t="s">
        <v>21</v>
      </c>
      <c r="E485" s="1" t="s">
        <v>33</v>
      </c>
      <c r="F485" s="1" t="s">
        <v>224</v>
      </c>
      <c r="G485" s="1">
        <v>361</v>
      </c>
      <c r="H485" s="23">
        <v>44975.914270833331</v>
      </c>
      <c r="I485" s="1" t="b">
        <v>0</v>
      </c>
      <c r="K485" s="10">
        <f t="shared" si="37"/>
        <v>14.359166666690726</v>
      </c>
      <c r="L485" s="1" t="str">
        <f t="shared" si="38"/>
        <v>OK</v>
      </c>
      <c r="M485" s="1">
        <f t="shared" si="35"/>
        <v>1</v>
      </c>
      <c r="N485" s="1">
        <f t="shared" si="36"/>
        <v>361</v>
      </c>
      <c r="O485" s="10">
        <f t="shared" si="39"/>
        <v>14.359166666690726</v>
      </c>
    </row>
    <row r="486" spans="1:15">
      <c r="A486" s="1" t="s">
        <v>590</v>
      </c>
      <c r="B486" s="23">
        <v>44975.340277777781</v>
      </c>
      <c r="C486" s="1" t="s">
        <v>25</v>
      </c>
      <c r="D486" s="1" t="s">
        <v>12</v>
      </c>
      <c r="E486" s="1" t="s">
        <v>22</v>
      </c>
      <c r="F486" s="1" t="s">
        <v>19</v>
      </c>
      <c r="G486" s="1">
        <v>15</v>
      </c>
      <c r="I486" s="1" t="b">
        <v>0</v>
      </c>
      <c r="K486" s="10" t="str">
        <f t="shared" si="37"/>
        <v/>
      </c>
      <c r="L486" s="1" t="str">
        <f t="shared" si="38"/>
        <v>Cannot check</v>
      </c>
      <c r="M486" s="1">
        <f t="shared" si="35"/>
        <v>1</v>
      </c>
      <c r="N486" s="1">
        <f t="shared" si="36"/>
        <v>15</v>
      </c>
      <c r="O486" s="10" t="str">
        <f t="shared" si="39"/>
        <v/>
      </c>
    </row>
    <row r="487" spans="1:15">
      <c r="A487" s="1" t="s">
        <v>591</v>
      </c>
      <c r="B487" s="23">
        <v>44975.365972222222</v>
      </c>
      <c r="C487" s="1" t="s">
        <v>16</v>
      </c>
      <c r="D487" s="1" t="s">
        <v>12</v>
      </c>
      <c r="E487" s="1" t="s">
        <v>18</v>
      </c>
      <c r="F487" s="1" t="s">
        <v>178</v>
      </c>
      <c r="G487" s="1">
        <v>114</v>
      </c>
      <c r="H487" s="23">
        <v>44975.602997685186</v>
      </c>
      <c r="I487" s="1" t="b">
        <v>0</v>
      </c>
      <c r="K487" s="10">
        <f t="shared" si="37"/>
        <v>5.688611111138016</v>
      </c>
      <c r="L487" s="1" t="str">
        <f t="shared" si="38"/>
        <v>OK</v>
      </c>
      <c r="M487" s="1">
        <f t="shared" si="35"/>
        <v>1</v>
      </c>
      <c r="N487" s="1">
        <f t="shared" si="36"/>
        <v>114</v>
      </c>
      <c r="O487" s="10">
        <f t="shared" si="39"/>
        <v>5.688611111138016</v>
      </c>
    </row>
    <row r="488" spans="1:15">
      <c r="A488" s="1" t="s">
        <v>592</v>
      </c>
      <c r="B488" s="23">
        <v>44975.648611111108</v>
      </c>
      <c r="C488" s="1" t="s">
        <v>43</v>
      </c>
      <c r="D488" s="1" t="s">
        <v>17</v>
      </c>
      <c r="E488" s="1" t="s">
        <v>18</v>
      </c>
      <c r="F488" s="1" t="s">
        <v>19</v>
      </c>
      <c r="G488" s="1">
        <v>24</v>
      </c>
      <c r="H488" s="23">
        <v>44978.099328703705</v>
      </c>
      <c r="I488" s="1" t="b">
        <v>0</v>
      </c>
      <c r="J488" s="1">
        <v>5</v>
      </c>
      <c r="K488" s="10">
        <f t="shared" si="37"/>
        <v>58.817222222336568</v>
      </c>
      <c r="L488" s="1" t="str">
        <f t="shared" si="38"/>
        <v>OK</v>
      </c>
      <c r="M488" s="1">
        <f t="shared" si="35"/>
        <v>1</v>
      </c>
      <c r="N488" s="1">
        <f t="shared" si="36"/>
        <v>24</v>
      </c>
      <c r="O488" s="10">
        <f t="shared" si="39"/>
        <v>58.817222222336568</v>
      </c>
    </row>
    <row r="489" spans="1:15">
      <c r="A489" s="1" t="s">
        <v>593</v>
      </c>
      <c r="B489" s="23">
        <v>44975.70208333333</v>
      </c>
      <c r="C489" s="1" t="s">
        <v>25</v>
      </c>
      <c r="D489" s="1" t="s">
        <v>17</v>
      </c>
      <c r="E489" s="1" t="s">
        <v>13</v>
      </c>
      <c r="F489" s="1" t="s">
        <v>239</v>
      </c>
      <c r="G489" s="1">
        <v>64</v>
      </c>
      <c r="H489" s="23">
        <v>44979.614016203705</v>
      </c>
      <c r="I489" s="1" t="b">
        <v>0</v>
      </c>
      <c r="K489" s="10">
        <f t="shared" si="37"/>
        <v>93.886388888990041</v>
      </c>
      <c r="L489" s="1" t="str">
        <f t="shared" si="38"/>
        <v>OK</v>
      </c>
      <c r="M489" s="1">
        <f t="shared" si="35"/>
        <v>1</v>
      </c>
      <c r="N489" s="1">
        <f t="shared" si="36"/>
        <v>64</v>
      </c>
      <c r="O489" s="10">
        <f t="shared" si="39"/>
        <v>93.886388888990041</v>
      </c>
    </row>
    <row r="490" spans="1:15">
      <c r="A490" s="1" t="s">
        <v>594</v>
      </c>
      <c r="B490" s="23">
        <v>44975.760416666664</v>
      </c>
      <c r="C490" s="1" t="s">
        <v>43</v>
      </c>
      <c r="D490" s="1" t="s">
        <v>26</v>
      </c>
      <c r="E490" s="1" t="s">
        <v>33</v>
      </c>
      <c r="F490" s="1" t="s">
        <v>302</v>
      </c>
      <c r="G490" s="1">
        <v>222</v>
      </c>
      <c r="I490" s="1" t="b">
        <v>0</v>
      </c>
      <c r="K490" s="10" t="str">
        <f t="shared" si="37"/>
        <v/>
      </c>
      <c r="L490" s="1" t="str">
        <f t="shared" si="38"/>
        <v>Cannot check</v>
      </c>
      <c r="M490" s="1">
        <f t="shared" si="35"/>
        <v>1</v>
      </c>
      <c r="N490" s="1">
        <f t="shared" si="36"/>
        <v>222</v>
      </c>
      <c r="O490" s="10" t="str">
        <f t="shared" si="39"/>
        <v/>
      </c>
    </row>
    <row r="491" spans="1:15">
      <c r="A491" s="1" t="s">
        <v>595</v>
      </c>
      <c r="B491" s="23">
        <v>44975.963194444441</v>
      </c>
      <c r="C491" s="1" t="s">
        <v>25</v>
      </c>
      <c r="D491" s="1" t="s">
        <v>12</v>
      </c>
      <c r="E491" s="1" t="s">
        <v>18</v>
      </c>
      <c r="F491" s="1" t="s">
        <v>98</v>
      </c>
      <c r="G491" s="1">
        <v>231</v>
      </c>
      <c r="H491" s="23">
        <v>44977.795347222222</v>
      </c>
      <c r="I491" s="1" t="b">
        <v>0</v>
      </c>
      <c r="K491" s="10">
        <f t="shared" si="37"/>
        <v>43.971666666737292</v>
      </c>
      <c r="L491" s="1" t="str">
        <f t="shared" si="38"/>
        <v>OK</v>
      </c>
      <c r="M491" s="1">
        <f t="shared" si="35"/>
        <v>1</v>
      </c>
      <c r="N491" s="1">
        <f t="shared" si="36"/>
        <v>231</v>
      </c>
      <c r="O491" s="10">
        <f t="shared" si="39"/>
        <v>43.971666666737292</v>
      </c>
    </row>
    <row r="492" spans="1:15">
      <c r="A492" s="1" t="s">
        <v>596</v>
      </c>
      <c r="B492" s="23">
        <v>44976.163194444445</v>
      </c>
      <c r="C492" s="1" t="s">
        <v>16</v>
      </c>
      <c r="D492" s="1" t="s">
        <v>17</v>
      </c>
      <c r="E492" s="1" t="s">
        <v>13</v>
      </c>
      <c r="F492" s="1" t="s">
        <v>50</v>
      </c>
      <c r="G492" s="1">
        <v>25</v>
      </c>
      <c r="H492" s="23">
        <v>44982.162280092591</v>
      </c>
      <c r="I492" s="1" t="b">
        <v>0</v>
      </c>
      <c r="K492" s="10">
        <f t="shared" si="37"/>
        <v>143.97805555548985</v>
      </c>
      <c r="L492" s="1" t="str">
        <f t="shared" si="38"/>
        <v>OK</v>
      </c>
      <c r="M492" s="1">
        <f t="shared" si="35"/>
        <v>1</v>
      </c>
      <c r="N492" s="1">
        <f t="shared" si="36"/>
        <v>25</v>
      </c>
      <c r="O492" s="10">
        <f t="shared" si="39"/>
        <v>143.97805555548985</v>
      </c>
    </row>
    <row r="493" spans="1:15">
      <c r="A493" s="1" t="s">
        <v>597</v>
      </c>
      <c r="B493" s="23">
        <v>44976.258333333331</v>
      </c>
      <c r="C493" s="1" t="s">
        <v>16</v>
      </c>
      <c r="D493" s="1" t="s">
        <v>21</v>
      </c>
      <c r="E493" s="1" t="s">
        <v>13</v>
      </c>
      <c r="F493" s="1" t="s">
        <v>130</v>
      </c>
      <c r="G493" s="1">
        <v>53</v>
      </c>
      <c r="H493" s="23">
        <v>44976.849675925929</v>
      </c>
      <c r="I493" s="1" t="b">
        <v>0</v>
      </c>
      <c r="J493" s="1">
        <v>4</v>
      </c>
      <c r="K493" s="10">
        <f t="shared" si="37"/>
        <v>14.192222222336568</v>
      </c>
      <c r="L493" s="1" t="str">
        <f t="shared" si="38"/>
        <v>OK</v>
      </c>
      <c r="M493" s="1">
        <f t="shared" si="35"/>
        <v>1</v>
      </c>
      <c r="N493" s="1">
        <f t="shared" si="36"/>
        <v>53</v>
      </c>
      <c r="O493" s="10">
        <f t="shared" si="39"/>
        <v>14.192222222336568</v>
      </c>
    </row>
    <row r="494" spans="1:15">
      <c r="A494" s="1" t="s">
        <v>598</v>
      </c>
      <c r="B494" s="23">
        <v>44976.334722222222</v>
      </c>
      <c r="C494" s="1" t="s">
        <v>25</v>
      </c>
      <c r="D494" s="1" t="s">
        <v>21</v>
      </c>
      <c r="E494" s="1" t="s">
        <v>18</v>
      </c>
      <c r="F494" s="1" t="s">
        <v>237</v>
      </c>
      <c r="G494" s="1">
        <v>106</v>
      </c>
      <c r="H494" s="23">
        <v>44976.601956018516</v>
      </c>
      <c r="I494" s="1" t="b">
        <v>0</v>
      </c>
      <c r="K494" s="10">
        <f t="shared" si="37"/>
        <v>6.4136111110565253</v>
      </c>
      <c r="L494" s="1" t="str">
        <f t="shared" si="38"/>
        <v>OK</v>
      </c>
      <c r="M494" s="1">
        <f t="shared" si="35"/>
        <v>1</v>
      </c>
      <c r="N494" s="1">
        <f t="shared" si="36"/>
        <v>106</v>
      </c>
      <c r="O494" s="10">
        <f t="shared" si="39"/>
        <v>6.4136111110565253</v>
      </c>
    </row>
    <row r="495" spans="1:15">
      <c r="A495" s="1" t="s">
        <v>599</v>
      </c>
      <c r="B495" s="23">
        <v>44976.367361111108</v>
      </c>
      <c r="C495" s="1" t="s">
        <v>11</v>
      </c>
      <c r="D495" s="1" t="s">
        <v>12</v>
      </c>
      <c r="E495" s="1" t="s">
        <v>18</v>
      </c>
      <c r="F495" s="1" t="s">
        <v>84</v>
      </c>
      <c r="G495" s="1">
        <v>307</v>
      </c>
      <c r="H495" s="23">
        <v>44977.313032407408</v>
      </c>
      <c r="I495" s="1" t="b">
        <v>0</v>
      </c>
      <c r="J495" s="1">
        <v>5</v>
      </c>
      <c r="K495" s="10">
        <f t="shared" si="37"/>
        <v>22.696111111203209</v>
      </c>
      <c r="L495" s="1" t="str">
        <f t="shared" si="38"/>
        <v>OK</v>
      </c>
      <c r="M495" s="1">
        <f t="shared" si="35"/>
        <v>1</v>
      </c>
      <c r="N495" s="1">
        <f t="shared" si="36"/>
        <v>307</v>
      </c>
      <c r="O495" s="10">
        <f t="shared" si="39"/>
        <v>22.696111111203209</v>
      </c>
    </row>
    <row r="496" spans="1:15">
      <c r="A496" s="1" t="s">
        <v>600</v>
      </c>
      <c r="B496" s="23">
        <v>44976.431944444441</v>
      </c>
      <c r="C496" s="1" t="s">
        <v>25</v>
      </c>
      <c r="D496" s="1" t="s">
        <v>12</v>
      </c>
      <c r="E496" s="1" t="s">
        <v>22</v>
      </c>
      <c r="F496" s="1" t="s">
        <v>39</v>
      </c>
      <c r="G496" s="1">
        <v>49</v>
      </c>
      <c r="H496" s="23">
        <v>44976.511203703703</v>
      </c>
      <c r="I496" s="1" t="b">
        <v>0</v>
      </c>
      <c r="K496" s="10">
        <f t="shared" si="37"/>
        <v>1.902222222299315</v>
      </c>
      <c r="L496" s="1" t="str">
        <f t="shared" si="38"/>
        <v>OK</v>
      </c>
      <c r="M496" s="1">
        <f t="shared" si="35"/>
        <v>1</v>
      </c>
      <c r="N496" s="1">
        <f t="shared" si="36"/>
        <v>49</v>
      </c>
      <c r="O496" s="10">
        <f t="shared" si="39"/>
        <v>1.902222222299315</v>
      </c>
    </row>
    <row r="497" spans="1:15">
      <c r="A497" s="1" t="s">
        <v>601</v>
      </c>
      <c r="B497" s="23">
        <v>44976.655555555553</v>
      </c>
      <c r="C497" s="1" t="s">
        <v>16</v>
      </c>
      <c r="D497" s="1" t="s">
        <v>17</v>
      </c>
      <c r="E497" s="1" t="s">
        <v>13</v>
      </c>
      <c r="F497" s="1" t="s">
        <v>317</v>
      </c>
      <c r="G497" s="1">
        <v>40</v>
      </c>
      <c r="H497" s="23">
        <v>44977.475949074076</v>
      </c>
      <c r="I497" s="1" t="b">
        <v>0</v>
      </c>
      <c r="K497" s="10">
        <f t="shared" si="37"/>
        <v>19.689444444549736</v>
      </c>
      <c r="L497" s="1" t="str">
        <f t="shared" si="38"/>
        <v>OK</v>
      </c>
      <c r="M497" s="1">
        <f t="shared" si="35"/>
        <v>1</v>
      </c>
      <c r="N497" s="1">
        <f t="shared" si="36"/>
        <v>40</v>
      </c>
      <c r="O497" s="10">
        <f t="shared" si="39"/>
        <v>19.689444444549736</v>
      </c>
    </row>
    <row r="498" spans="1:15">
      <c r="A498" s="1" t="s">
        <v>602</v>
      </c>
      <c r="B498" s="23">
        <v>44976.677083333336</v>
      </c>
      <c r="C498" s="1" t="s">
        <v>43</v>
      </c>
      <c r="D498" s="1" t="s">
        <v>12</v>
      </c>
      <c r="E498" s="1" t="s">
        <v>18</v>
      </c>
      <c r="F498" s="1" t="s">
        <v>228</v>
      </c>
      <c r="G498" s="1">
        <v>132</v>
      </c>
      <c r="H498" s="23">
        <v>44976.96025462963</v>
      </c>
      <c r="I498" s="1" t="b">
        <v>0</v>
      </c>
      <c r="K498" s="10">
        <f t="shared" si="37"/>
        <v>6.7961111110635102</v>
      </c>
      <c r="L498" s="1" t="str">
        <f t="shared" si="38"/>
        <v>OK</v>
      </c>
      <c r="M498" s="1">
        <f t="shared" si="35"/>
        <v>1</v>
      </c>
      <c r="N498" s="1">
        <f t="shared" si="36"/>
        <v>132</v>
      </c>
      <c r="O498" s="10">
        <f t="shared" si="39"/>
        <v>6.7961111110635102</v>
      </c>
    </row>
    <row r="499" spans="1:15">
      <c r="A499" s="1" t="s">
        <v>603</v>
      </c>
      <c r="B499" s="23">
        <v>44976.736805555556</v>
      </c>
      <c r="C499" s="1" t="s">
        <v>25</v>
      </c>
      <c r="D499" s="1" t="s">
        <v>17</v>
      </c>
      <c r="E499" s="1" t="s">
        <v>18</v>
      </c>
      <c r="F499" s="1" t="s">
        <v>60</v>
      </c>
      <c r="G499" s="1">
        <v>119</v>
      </c>
      <c r="I499" s="1" t="b">
        <v>0</v>
      </c>
      <c r="K499" s="10" t="str">
        <f t="shared" si="37"/>
        <v/>
      </c>
      <c r="L499" s="1" t="str">
        <f t="shared" si="38"/>
        <v>Cannot check</v>
      </c>
      <c r="M499" s="1">
        <f t="shared" si="35"/>
        <v>1</v>
      </c>
      <c r="N499" s="1">
        <f t="shared" si="36"/>
        <v>119</v>
      </c>
      <c r="O499" s="10" t="str">
        <f t="shared" si="39"/>
        <v/>
      </c>
    </row>
    <row r="500" spans="1:15">
      <c r="A500" s="1" t="s">
        <v>604</v>
      </c>
      <c r="B500" s="23">
        <v>44976.761111111111</v>
      </c>
      <c r="C500" s="1" t="s">
        <v>43</v>
      </c>
      <c r="D500" s="1" t="s">
        <v>17</v>
      </c>
      <c r="E500" s="1" t="s">
        <v>13</v>
      </c>
      <c r="F500" s="1" t="s">
        <v>39</v>
      </c>
      <c r="G500" s="1">
        <v>55</v>
      </c>
      <c r="H500" s="23">
        <v>44985.25408564815</v>
      </c>
      <c r="I500" s="1" t="b">
        <v>0</v>
      </c>
      <c r="J500" s="1">
        <v>4</v>
      </c>
      <c r="K500" s="10">
        <f t="shared" si="37"/>
        <v>203.83138888893882</v>
      </c>
      <c r="L500" s="1" t="str">
        <f t="shared" si="38"/>
        <v>OK</v>
      </c>
      <c r="M500" s="1">
        <f t="shared" si="35"/>
        <v>1</v>
      </c>
      <c r="N500" s="1">
        <f t="shared" si="36"/>
        <v>55</v>
      </c>
      <c r="O500" s="10">
        <f t="shared" si="39"/>
        <v>203.83138888893882</v>
      </c>
    </row>
    <row r="501" spans="1:15">
      <c r="A501" s="1" t="s">
        <v>605</v>
      </c>
      <c r="B501" s="23">
        <v>44976.834027777775</v>
      </c>
      <c r="C501" s="1" t="s">
        <v>43</v>
      </c>
      <c r="D501" s="1" t="s">
        <v>12</v>
      </c>
      <c r="E501" s="1" t="s">
        <v>13</v>
      </c>
      <c r="F501" s="1" t="s">
        <v>50</v>
      </c>
      <c r="G501" s="1">
        <v>157</v>
      </c>
      <c r="H501" s="23">
        <v>44977.715856481482</v>
      </c>
      <c r="I501" s="1" t="b">
        <v>0</v>
      </c>
      <c r="K501" s="10">
        <f t="shared" si="37"/>
        <v>21.163888888957445</v>
      </c>
      <c r="L501" s="1" t="str">
        <f t="shared" si="38"/>
        <v>OK</v>
      </c>
      <c r="M501" s="1">
        <f t="shared" si="35"/>
        <v>1</v>
      </c>
      <c r="N501" s="1">
        <f t="shared" si="36"/>
        <v>157</v>
      </c>
      <c r="O501" s="10">
        <f t="shared" si="39"/>
        <v>21.163888888957445</v>
      </c>
    </row>
    <row r="502" spans="1:15">
      <c r="A502" s="1" t="s">
        <v>606</v>
      </c>
      <c r="B502" s="23">
        <v>44976.927777777775</v>
      </c>
      <c r="C502" s="1" t="s">
        <v>11</v>
      </c>
      <c r="D502" s="1" t="s">
        <v>59</v>
      </c>
      <c r="E502" s="1" t="s">
        <v>22</v>
      </c>
      <c r="F502" s="1" t="s">
        <v>367</v>
      </c>
      <c r="G502" s="1">
        <v>10</v>
      </c>
      <c r="H502" s="23">
        <v>44976.935578703706</v>
      </c>
      <c r="I502" s="1" t="b">
        <v>0</v>
      </c>
      <c r="K502" s="10">
        <f t="shared" si="37"/>
        <v>0.18722222233191133</v>
      </c>
      <c r="L502" s="1" t="str">
        <f t="shared" si="38"/>
        <v>OK</v>
      </c>
      <c r="M502" s="1">
        <f t="shared" si="35"/>
        <v>1</v>
      </c>
      <c r="N502" s="1">
        <f t="shared" si="36"/>
        <v>10</v>
      </c>
      <c r="O502" s="10">
        <f t="shared" si="39"/>
        <v>0.18722222233191133</v>
      </c>
    </row>
    <row r="503" spans="1:15">
      <c r="A503" s="1" t="s">
        <v>607</v>
      </c>
      <c r="B503" s="23">
        <v>44976.961111111108</v>
      </c>
      <c r="C503" s="1" t="s">
        <v>25</v>
      </c>
      <c r="D503" s="1" t="s">
        <v>59</v>
      </c>
      <c r="E503" s="1" t="s">
        <v>33</v>
      </c>
      <c r="F503" s="1" t="s">
        <v>46</v>
      </c>
      <c r="G503" s="1">
        <v>45</v>
      </c>
      <c r="H503" s="23">
        <v>44981.077314814815</v>
      </c>
      <c r="I503" s="1" t="b">
        <v>0</v>
      </c>
      <c r="J503" s="1">
        <v>5</v>
      </c>
      <c r="K503" s="10">
        <f t="shared" si="37"/>
        <v>98.788888888957445</v>
      </c>
      <c r="L503" s="1" t="str">
        <f t="shared" si="38"/>
        <v>OK</v>
      </c>
      <c r="M503" s="1">
        <f t="shared" si="35"/>
        <v>1</v>
      </c>
      <c r="N503" s="1">
        <f t="shared" si="36"/>
        <v>45</v>
      </c>
      <c r="O503" s="10">
        <f t="shared" si="39"/>
        <v>98.788888888957445</v>
      </c>
    </row>
    <row r="504" spans="1:15">
      <c r="A504" s="1" t="s">
        <v>608</v>
      </c>
      <c r="B504" s="23">
        <v>44977.126388888886</v>
      </c>
      <c r="C504" s="1" t="s">
        <v>11</v>
      </c>
      <c r="D504" s="1" t="s">
        <v>17</v>
      </c>
      <c r="E504" s="1" t="s">
        <v>18</v>
      </c>
      <c r="F504" s="1" t="s">
        <v>256</v>
      </c>
      <c r="H504" s="23">
        <v>44994.620312500003</v>
      </c>
      <c r="I504" s="1" t="b">
        <v>0</v>
      </c>
      <c r="K504" s="10">
        <f t="shared" si="37"/>
        <v>419.85416666680248</v>
      </c>
      <c r="L504" s="1" t="str">
        <f t="shared" si="38"/>
        <v>Cannot check</v>
      </c>
      <c r="M504" s="1">
        <f t="shared" si="35"/>
        <v>1</v>
      </c>
      <c r="N504" s="1" t="str">
        <f t="shared" si="36"/>
        <v/>
      </c>
      <c r="O504" s="10">
        <f t="shared" si="39"/>
        <v>419.85416666680248</v>
      </c>
    </row>
    <row r="505" spans="1:15">
      <c r="A505" s="1" t="s">
        <v>609</v>
      </c>
      <c r="B505" s="23">
        <v>44977.201388888891</v>
      </c>
      <c r="C505" s="1" t="s">
        <v>25</v>
      </c>
      <c r="D505" s="1" t="s">
        <v>21</v>
      </c>
      <c r="E505" s="1" t="s">
        <v>33</v>
      </c>
      <c r="F505" s="1" t="s">
        <v>228</v>
      </c>
      <c r="G505" s="1">
        <v>436</v>
      </c>
      <c r="H505" s="23">
        <v>44981.262858796297</v>
      </c>
      <c r="I505" s="1" t="b">
        <v>1</v>
      </c>
      <c r="K505" s="10">
        <f t="shared" si="37"/>
        <v>97.475277777761221</v>
      </c>
      <c r="L505" s="1" t="str">
        <f t="shared" si="38"/>
        <v>OK</v>
      </c>
      <c r="M505" s="1">
        <f t="shared" si="35"/>
        <v>1</v>
      </c>
      <c r="N505" s="1">
        <f t="shared" si="36"/>
        <v>436</v>
      </c>
      <c r="O505" s="10">
        <f t="shared" si="39"/>
        <v>97.475277777761221</v>
      </c>
    </row>
    <row r="506" spans="1:15">
      <c r="A506" s="1" t="s">
        <v>610</v>
      </c>
      <c r="B506" s="23">
        <v>44977.222222222219</v>
      </c>
      <c r="C506" s="1" t="s">
        <v>43</v>
      </c>
      <c r="D506" s="1" t="s">
        <v>26</v>
      </c>
      <c r="E506" s="1" t="s">
        <v>33</v>
      </c>
      <c r="F506" s="1" t="s">
        <v>153</v>
      </c>
      <c r="G506" s="1">
        <v>978</v>
      </c>
      <c r="H506" s="23">
        <v>44977.913229166668</v>
      </c>
      <c r="I506" s="1" t="b">
        <v>0</v>
      </c>
      <c r="K506" s="10">
        <f t="shared" si="37"/>
        <v>16.584166666783858</v>
      </c>
      <c r="L506" s="1" t="str">
        <f t="shared" si="38"/>
        <v>OK</v>
      </c>
      <c r="M506" s="1">
        <f t="shared" si="35"/>
        <v>1</v>
      </c>
      <c r="N506" s="1">
        <f t="shared" si="36"/>
        <v>978</v>
      </c>
      <c r="O506" s="10">
        <f t="shared" si="39"/>
        <v>16.584166666783858</v>
      </c>
    </row>
    <row r="507" spans="1:15">
      <c r="A507" s="1" t="s">
        <v>611</v>
      </c>
      <c r="B507" s="23">
        <v>44977.334722222222</v>
      </c>
      <c r="C507" s="1" t="s">
        <v>25</v>
      </c>
      <c r="D507" s="1" t="s">
        <v>17</v>
      </c>
      <c r="E507" s="1" t="s">
        <v>13</v>
      </c>
      <c r="F507" s="1" t="s">
        <v>64</v>
      </c>
      <c r="G507" s="1">
        <v>25</v>
      </c>
      <c r="H507" s="23">
        <v>44977.498101851852</v>
      </c>
      <c r="I507" s="1" t="b">
        <v>0</v>
      </c>
      <c r="K507" s="10">
        <f t="shared" si="37"/>
        <v>3.9211111111217178</v>
      </c>
      <c r="L507" s="1" t="str">
        <f t="shared" si="38"/>
        <v>OK</v>
      </c>
      <c r="M507" s="1">
        <f t="shared" si="35"/>
        <v>1</v>
      </c>
      <c r="N507" s="1">
        <f t="shared" si="36"/>
        <v>25</v>
      </c>
      <c r="O507" s="10">
        <f t="shared" si="39"/>
        <v>3.9211111111217178</v>
      </c>
    </row>
    <row r="508" spans="1:15">
      <c r="A508" s="1" t="s">
        <v>612</v>
      </c>
      <c r="B508" s="23">
        <v>44977.775000000001</v>
      </c>
      <c r="C508" s="1" t="s">
        <v>16</v>
      </c>
      <c r="D508" s="1" t="s">
        <v>12</v>
      </c>
      <c r="E508" s="1" t="s">
        <v>33</v>
      </c>
      <c r="F508" s="1" t="s">
        <v>148</v>
      </c>
      <c r="G508" s="1">
        <v>490</v>
      </c>
      <c r="H508" s="23">
        <v>44982.558761574073</v>
      </c>
      <c r="I508" s="1" t="b">
        <v>0</v>
      </c>
      <c r="K508" s="10">
        <f t="shared" si="37"/>
        <v>114.81027777772397</v>
      </c>
      <c r="L508" s="1" t="str">
        <f t="shared" si="38"/>
        <v>OK</v>
      </c>
      <c r="M508" s="1">
        <f t="shared" si="35"/>
        <v>1</v>
      </c>
      <c r="N508" s="1">
        <f t="shared" si="36"/>
        <v>490</v>
      </c>
      <c r="O508" s="10">
        <f t="shared" si="39"/>
        <v>114.81027777772397</v>
      </c>
    </row>
    <row r="509" spans="1:15">
      <c r="A509" s="1" t="s">
        <v>613</v>
      </c>
      <c r="B509" s="23">
        <v>44977.964583333334</v>
      </c>
      <c r="C509" s="1" t="s">
        <v>25</v>
      </c>
      <c r="D509" s="1" t="s">
        <v>17</v>
      </c>
      <c r="E509" s="1" t="s">
        <v>18</v>
      </c>
      <c r="F509" s="1" t="s">
        <v>118</v>
      </c>
      <c r="G509" s="1">
        <v>103</v>
      </c>
      <c r="H509" s="23">
        <v>44979.837187500001</v>
      </c>
      <c r="I509" s="1" t="b">
        <v>0</v>
      </c>
      <c r="K509" s="10">
        <f t="shared" si="37"/>
        <v>44.942500000004657</v>
      </c>
      <c r="L509" s="1" t="str">
        <f t="shared" si="38"/>
        <v>OK</v>
      </c>
      <c r="M509" s="1">
        <f t="shared" si="35"/>
        <v>1</v>
      </c>
      <c r="N509" s="1">
        <f t="shared" si="36"/>
        <v>103</v>
      </c>
      <c r="O509" s="10">
        <f t="shared" si="39"/>
        <v>44.942500000004657</v>
      </c>
    </row>
    <row r="510" spans="1:15">
      <c r="A510" s="1" t="s">
        <v>614</v>
      </c>
      <c r="B510" s="23">
        <v>44978.048611111109</v>
      </c>
      <c r="C510" s="1" t="s">
        <v>16</v>
      </c>
      <c r="D510" s="1" t="s">
        <v>21</v>
      </c>
      <c r="E510" s="1" t="s">
        <v>18</v>
      </c>
      <c r="F510" s="1" t="s">
        <v>392</v>
      </c>
      <c r="G510" s="1">
        <v>39</v>
      </c>
      <c r="H510" s="23">
        <v>44979.65388888889</v>
      </c>
      <c r="I510" s="1" t="b">
        <v>0</v>
      </c>
      <c r="J510" s="1">
        <v>5</v>
      </c>
      <c r="K510" s="10">
        <f t="shared" si="37"/>
        <v>38.526666666730307</v>
      </c>
      <c r="L510" s="1" t="str">
        <f t="shared" si="38"/>
        <v>OK</v>
      </c>
      <c r="M510" s="1">
        <f t="shared" si="35"/>
        <v>1</v>
      </c>
      <c r="N510" s="1">
        <f t="shared" si="36"/>
        <v>39</v>
      </c>
      <c r="O510" s="10">
        <f t="shared" si="39"/>
        <v>38.526666666730307</v>
      </c>
    </row>
    <row r="511" spans="1:15">
      <c r="A511" s="1" t="s">
        <v>615</v>
      </c>
      <c r="B511" s="23">
        <v>44978.113194444442</v>
      </c>
      <c r="C511" s="1" t="s">
        <v>16</v>
      </c>
      <c r="D511" s="1" t="s">
        <v>17</v>
      </c>
      <c r="E511" s="1" t="s">
        <v>13</v>
      </c>
      <c r="F511" s="1" t="s">
        <v>70</v>
      </c>
      <c r="G511" s="1">
        <v>123</v>
      </c>
      <c r="H511" s="23">
        <v>44978.383310185185</v>
      </c>
      <c r="I511" s="1" t="b">
        <v>0</v>
      </c>
      <c r="K511" s="10">
        <f t="shared" si="37"/>
        <v>6.4827777778264135</v>
      </c>
      <c r="L511" s="1" t="str">
        <f t="shared" si="38"/>
        <v>OK</v>
      </c>
      <c r="M511" s="1">
        <f t="shared" si="35"/>
        <v>1</v>
      </c>
      <c r="N511" s="1">
        <f t="shared" si="36"/>
        <v>123</v>
      </c>
      <c r="O511" s="10">
        <f t="shared" si="39"/>
        <v>6.4827777778264135</v>
      </c>
    </row>
    <row r="512" spans="1:15">
      <c r="A512" s="1" t="s">
        <v>616</v>
      </c>
      <c r="B512" s="23">
        <v>44978.200694444444</v>
      </c>
      <c r="C512" s="1" t="s">
        <v>11</v>
      </c>
      <c r="D512" s="1" t="s">
        <v>17</v>
      </c>
      <c r="E512" s="1" t="s">
        <v>13</v>
      </c>
      <c r="F512" s="1" t="s">
        <v>178</v>
      </c>
      <c r="G512" s="1">
        <v>62</v>
      </c>
      <c r="H512" s="23">
        <v>44978.68173611111</v>
      </c>
      <c r="I512" s="1" t="b">
        <v>0</v>
      </c>
      <c r="J512" s="1">
        <v>2</v>
      </c>
      <c r="K512" s="10">
        <f t="shared" si="37"/>
        <v>11.544999999983702</v>
      </c>
      <c r="L512" s="1" t="str">
        <f t="shared" si="38"/>
        <v>OK</v>
      </c>
      <c r="M512" s="1">
        <f t="shared" si="35"/>
        <v>1</v>
      </c>
      <c r="N512" s="1">
        <f t="shared" si="36"/>
        <v>62</v>
      </c>
      <c r="O512" s="10">
        <f t="shared" si="39"/>
        <v>11.544999999983702</v>
      </c>
    </row>
    <row r="513" spans="1:15">
      <c r="A513" s="1" t="s">
        <v>617</v>
      </c>
      <c r="B513" s="23">
        <v>44978.345833333333</v>
      </c>
      <c r="C513" s="1" t="s">
        <v>43</v>
      </c>
      <c r="D513" s="1" t="s">
        <v>21</v>
      </c>
      <c r="E513" s="1" t="s">
        <v>13</v>
      </c>
      <c r="F513" s="1" t="s">
        <v>254</v>
      </c>
      <c r="G513" s="1">
        <v>42</v>
      </c>
      <c r="H513" s="23">
        <v>44978.793993055559</v>
      </c>
      <c r="I513" s="1" t="b">
        <v>0</v>
      </c>
      <c r="K513" s="10">
        <f t="shared" si="37"/>
        <v>10.755833333416376</v>
      </c>
      <c r="L513" s="1" t="str">
        <f t="shared" si="38"/>
        <v>OK</v>
      </c>
      <c r="M513" s="1">
        <f t="shared" si="35"/>
        <v>1</v>
      </c>
      <c r="N513" s="1">
        <f t="shared" si="36"/>
        <v>42</v>
      </c>
      <c r="O513" s="10">
        <f t="shared" si="39"/>
        <v>10.755833333416376</v>
      </c>
    </row>
    <row r="514" spans="1:15">
      <c r="A514" s="1" t="s">
        <v>618</v>
      </c>
      <c r="B514" s="23">
        <v>44978.393055555556</v>
      </c>
      <c r="C514" s="1" t="s">
        <v>43</v>
      </c>
      <c r="D514" s="1" t="s">
        <v>12</v>
      </c>
      <c r="E514" s="1" t="s">
        <v>18</v>
      </c>
      <c r="F514" s="1" t="s">
        <v>72</v>
      </c>
      <c r="G514" s="1">
        <v>93</v>
      </c>
      <c r="H514" s="23">
        <v>44979.061238425929</v>
      </c>
      <c r="I514" s="1" t="b">
        <v>0</v>
      </c>
      <c r="K514" s="10">
        <f t="shared" si="37"/>
        <v>16.036388888955116</v>
      </c>
      <c r="L514" s="1" t="str">
        <f t="shared" si="38"/>
        <v>OK</v>
      </c>
      <c r="M514" s="1">
        <f t="shared" ref="M514:M577" si="40">COUNTIF($A$2:$A$4001,A514)</f>
        <v>1</v>
      </c>
      <c r="N514" s="1">
        <f t="shared" ref="N514:N577" si="41">IF(OR(L514="Review",G514=""),"",G514)</f>
        <v>93</v>
      </c>
      <c r="O514" s="10">
        <f t="shared" si="39"/>
        <v>16.036388888955116</v>
      </c>
    </row>
    <row r="515" spans="1:15">
      <c r="A515" s="1" t="s">
        <v>619</v>
      </c>
      <c r="B515" s="23">
        <v>44978.470138888886</v>
      </c>
      <c r="C515" s="1" t="s">
        <v>25</v>
      </c>
      <c r="D515" s="1" t="s">
        <v>12</v>
      </c>
      <c r="E515" s="1" t="s">
        <v>33</v>
      </c>
      <c r="F515" s="1" t="s">
        <v>415</v>
      </c>
      <c r="H515" s="23">
        <v>44994.523530092592</v>
      </c>
      <c r="I515" s="1" t="b">
        <v>0</v>
      </c>
      <c r="K515" s="10">
        <f t="shared" ref="K515:K578" si="42">IF(H515="","",(H515-B515)*24)</f>
        <v>385.28138888895046</v>
      </c>
      <c r="L515" s="1" t="str">
        <f t="shared" ref="L515:L578" si="43">IF(OR(G515="",K515=""),"Cannot check",IF(G515&gt;K515*60,"Review","OK"))</f>
        <v>Cannot check</v>
      </c>
      <c r="M515" s="1">
        <f t="shared" si="40"/>
        <v>1</v>
      </c>
      <c r="N515" s="1" t="str">
        <f t="shared" si="41"/>
        <v/>
      </c>
      <c r="O515" s="10">
        <f t="shared" ref="O515:O578" si="44">IF(OR(L515="Review",K515=""),"",K515)</f>
        <v>385.28138888895046</v>
      </c>
    </row>
    <row r="516" spans="1:15">
      <c r="A516" s="1" t="s">
        <v>620</v>
      </c>
      <c r="B516" s="23">
        <v>44978.509027777778</v>
      </c>
      <c r="C516" s="1" t="s">
        <v>25</v>
      </c>
      <c r="D516" s="1" t="s">
        <v>17</v>
      </c>
      <c r="E516" s="1" t="s">
        <v>33</v>
      </c>
      <c r="F516" s="1" t="s">
        <v>153</v>
      </c>
      <c r="G516" s="1">
        <v>75</v>
      </c>
      <c r="H516" s="23">
        <v>44984.737511574072</v>
      </c>
      <c r="I516" s="1" t="b">
        <v>0</v>
      </c>
      <c r="K516" s="10">
        <f t="shared" si="42"/>
        <v>149.48361111106351</v>
      </c>
      <c r="L516" s="1" t="str">
        <f t="shared" si="43"/>
        <v>OK</v>
      </c>
      <c r="M516" s="1">
        <f t="shared" si="40"/>
        <v>1</v>
      </c>
      <c r="N516" s="1">
        <f t="shared" si="41"/>
        <v>75</v>
      </c>
      <c r="O516" s="10">
        <f t="shared" si="44"/>
        <v>149.48361111106351</v>
      </c>
    </row>
    <row r="517" spans="1:15">
      <c r="A517" s="1" t="s">
        <v>621</v>
      </c>
      <c r="B517" s="23">
        <v>44978.652083333334</v>
      </c>
      <c r="C517" s="1" t="s">
        <v>25</v>
      </c>
      <c r="D517" s="1" t="s">
        <v>21</v>
      </c>
      <c r="E517" s="1" t="s">
        <v>13</v>
      </c>
      <c r="F517" s="1" t="s">
        <v>19</v>
      </c>
      <c r="G517" s="1">
        <v>55</v>
      </c>
      <c r="I517" s="1" t="b">
        <v>0</v>
      </c>
      <c r="K517" s="10" t="str">
        <f t="shared" si="42"/>
        <v/>
      </c>
      <c r="L517" s="1" t="str">
        <f t="shared" si="43"/>
        <v>Cannot check</v>
      </c>
      <c r="M517" s="1">
        <f t="shared" si="40"/>
        <v>1</v>
      </c>
      <c r="N517" s="1">
        <f t="shared" si="41"/>
        <v>55</v>
      </c>
      <c r="O517" s="10" t="str">
        <f t="shared" si="44"/>
        <v/>
      </c>
    </row>
    <row r="518" spans="1:15">
      <c r="A518" s="1" t="s">
        <v>622</v>
      </c>
      <c r="B518" s="23">
        <v>44978.658333333333</v>
      </c>
      <c r="C518" s="1" t="s">
        <v>25</v>
      </c>
      <c r="D518" s="1" t="s">
        <v>59</v>
      </c>
      <c r="E518" s="1" t="s">
        <v>18</v>
      </c>
      <c r="F518" s="1" t="s">
        <v>106</v>
      </c>
      <c r="G518" s="1">
        <v>66</v>
      </c>
      <c r="H518" s="23">
        <v>44978.908379629633</v>
      </c>
      <c r="I518" s="1" t="b">
        <v>0</v>
      </c>
      <c r="K518" s="10">
        <f t="shared" si="42"/>
        <v>6.0011111111962236</v>
      </c>
      <c r="L518" s="1" t="str">
        <f t="shared" si="43"/>
        <v>OK</v>
      </c>
      <c r="M518" s="1">
        <f t="shared" si="40"/>
        <v>1</v>
      </c>
      <c r="N518" s="1">
        <f t="shared" si="41"/>
        <v>66</v>
      </c>
      <c r="O518" s="10">
        <f t="shared" si="44"/>
        <v>6.0011111111962236</v>
      </c>
    </row>
    <row r="519" spans="1:15">
      <c r="A519" s="1" t="s">
        <v>623</v>
      </c>
      <c r="B519" s="23">
        <v>44978.761111111111</v>
      </c>
      <c r="C519" s="1" t="s">
        <v>11</v>
      </c>
      <c r="D519" s="1" t="s">
        <v>17</v>
      </c>
      <c r="E519" s="1" t="s">
        <v>13</v>
      </c>
      <c r="F519" s="1" t="s">
        <v>19</v>
      </c>
      <c r="G519" s="1">
        <v>43</v>
      </c>
      <c r="I519" s="1" t="b">
        <v>0</v>
      </c>
      <c r="K519" s="10" t="str">
        <f t="shared" si="42"/>
        <v/>
      </c>
      <c r="L519" s="1" t="str">
        <f t="shared" si="43"/>
        <v>Cannot check</v>
      </c>
      <c r="M519" s="1">
        <f t="shared" si="40"/>
        <v>1</v>
      </c>
      <c r="N519" s="1">
        <f t="shared" si="41"/>
        <v>43</v>
      </c>
      <c r="O519" s="10" t="str">
        <f t="shared" si="44"/>
        <v/>
      </c>
    </row>
    <row r="520" spans="1:15">
      <c r="A520" s="1" t="s">
        <v>624</v>
      </c>
      <c r="B520" s="23">
        <v>44978.940972222219</v>
      </c>
      <c r="C520" s="1" t="s">
        <v>11</v>
      </c>
      <c r="D520" s="1" t="s">
        <v>59</v>
      </c>
      <c r="E520" s="1" t="s">
        <v>18</v>
      </c>
      <c r="F520" s="1" t="s">
        <v>226</v>
      </c>
      <c r="G520" s="1">
        <v>20</v>
      </c>
      <c r="H520" s="23">
        <v>44979.649097222224</v>
      </c>
      <c r="I520" s="1" t="b">
        <v>0</v>
      </c>
      <c r="J520" s="1">
        <v>4</v>
      </c>
      <c r="K520" s="10">
        <f t="shared" si="42"/>
        <v>16.995000000111759</v>
      </c>
      <c r="L520" s="1" t="str">
        <f t="shared" si="43"/>
        <v>OK</v>
      </c>
      <c r="M520" s="1">
        <f t="shared" si="40"/>
        <v>1</v>
      </c>
      <c r="N520" s="1">
        <f t="shared" si="41"/>
        <v>20</v>
      </c>
      <c r="O520" s="10">
        <f t="shared" si="44"/>
        <v>16.995000000111759</v>
      </c>
    </row>
    <row r="521" spans="1:15">
      <c r="A521" s="1" t="s">
        <v>625</v>
      </c>
      <c r="B521" s="23">
        <v>44979.07708333333</v>
      </c>
      <c r="C521" s="1" t="s">
        <v>16</v>
      </c>
      <c r="D521" s="1" t="s">
        <v>21</v>
      </c>
      <c r="E521" s="1" t="s">
        <v>33</v>
      </c>
      <c r="F521" s="1" t="s">
        <v>72</v>
      </c>
      <c r="G521" s="1">
        <v>221</v>
      </c>
      <c r="H521" s="23">
        <v>44982.988136574073</v>
      </c>
      <c r="I521" s="1" t="b">
        <v>0</v>
      </c>
      <c r="J521" s="1">
        <v>5</v>
      </c>
      <c r="K521" s="10">
        <f t="shared" si="42"/>
        <v>93.865277777833398</v>
      </c>
      <c r="L521" s="1" t="str">
        <f t="shared" si="43"/>
        <v>OK</v>
      </c>
      <c r="M521" s="1">
        <f t="shared" si="40"/>
        <v>1</v>
      </c>
      <c r="N521" s="1">
        <f t="shared" si="41"/>
        <v>221</v>
      </c>
      <c r="O521" s="10">
        <f t="shared" si="44"/>
        <v>93.865277777833398</v>
      </c>
    </row>
    <row r="522" spans="1:15">
      <c r="A522" s="1" t="s">
        <v>626</v>
      </c>
      <c r="B522" s="23">
        <v>44979.174305555556</v>
      </c>
      <c r="C522" s="1" t="s">
        <v>11</v>
      </c>
      <c r="D522" s="1" t="s">
        <v>17</v>
      </c>
      <c r="E522" s="1" t="s">
        <v>18</v>
      </c>
      <c r="F522" s="1" t="s">
        <v>302</v>
      </c>
      <c r="G522" s="1">
        <v>167</v>
      </c>
      <c r="H522" s="23">
        <v>44988.282268518517</v>
      </c>
      <c r="I522" s="1" t="b">
        <v>0</v>
      </c>
      <c r="J522" s="1">
        <v>4</v>
      </c>
      <c r="K522" s="10">
        <f t="shared" si="42"/>
        <v>218.59111111104721</v>
      </c>
      <c r="L522" s="1" t="str">
        <f t="shared" si="43"/>
        <v>OK</v>
      </c>
      <c r="M522" s="1">
        <f t="shared" si="40"/>
        <v>1</v>
      </c>
      <c r="N522" s="1">
        <f t="shared" si="41"/>
        <v>167</v>
      </c>
      <c r="O522" s="10">
        <f t="shared" si="44"/>
        <v>218.59111111104721</v>
      </c>
    </row>
    <row r="523" spans="1:15">
      <c r="A523" s="1" t="s">
        <v>627</v>
      </c>
      <c r="B523" s="23">
        <v>44979.26666666667</v>
      </c>
      <c r="C523" s="1" t="s">
        <v>16</v>
      </c>
      <c r="D523" s="1" t="s">
        <v>17</v>
      </c>
      <c r="E523" s="1" t="s">
        <v>33</v>
      </c>
      <c r="F523" s="1" t="s">
        <v>29</v>
      </c>
      <c r="G523" s="1">
        <v>42</v>
      </c>
      <c r="H523" s="23">
        <v>44980.929131944446</v>
      </c>
      <c r="I523" s="1" t="b">
        <v>0</v>
      </c>
      <c r="K523" s="10">
        <f t="shared" si="42"/>
        <v>39.899166666611563</v>
      </c>
      <c r="L523" s="1" t="str">
        <f t="shared" si="43"/>
        <v>OK</v>
      </c>
      <c r="M523" s="1">
        <f t="shared" si="40"/>
        <v>1</v>
      </c>
      <c r="N523" s="1">
        <f t="shared" si="41"/>
        <v>42</v>
      </c>
      <c r="O523" s="10">
        <f t="shared" si="44"/>
        <v>39.899166666611563</v>
      </c>
    </row>
    <row r="524" spans="1:15">
      <c r="A524" s="1" t="s">
        <v>628</v>
      </c>
      <c r="B524" s="23">
        <v>44979.448611111111</v>
      </c>
      <c r="C524" s="1" t="s">
        <v>43</v>
      </c>
      <c r="D524" s="1" t="s">
        <v>26</v>
      </c>
      <c r="E524" s="1" t="s">
        <v>18</v>
      </c>
      <c r="F524" s="1" t="s">
        <v>201</v>
      </c>
      <c r="G524" s="1">
        <v>114</v>
      </c>
      <c r="H524" s="23">
        <v>44980.605717592596</v>
      </c>
      <c r="I524" s="1" t="b">
        <v>0</v>
      </c>
      <c r="J524" s="1">
        <v>4</v>
      </c>
      <c r="K524" s="10">
        <f t="shared" si="42"/>
        <v>27.770555555645842</v>
      </c>
      <c r="L524" s="1" t="str">
        <f t="shared" si="43"/>
        <v>OK</v>
      </c>
      <c r="M524" s="1">
        <f t="shared" si="40"/>
        <v>1</v>
      </c>
      <c r="N524" s="1">
        <f t="shared" si="41"/>
        <v>114</v>
      </c>
      <c r="O524" s="10">
        <f t="shared" si="44"/>
        <v>27.770555555645842</v>
      </c>
    </row>
    <row r="525" spans="1:15">
      <c r="A525" s="1" t="s">
        <v>629</v>
      </c>
      <c r="B525" s="23">
        <v>44979.480555555558</v>
      </c>
      <c r="C525" s="1" t="s">
        <v>16</v>
      </c>
      <c r="D525" s="1" t="s">
        <v>21</v>
      </c>
      <c r="E525" s="1" t="s">
        <v>18</v>
      </c>
      <c r="F525" s="1" t="s">
        <v>392</v>
      </c>
      <c r="G525" s="1">
        <v>86</v>
      </c>
      <c r="H525" s="23">
        <v>44980.062430555554</v>
      </c>
      <c r="I525" s="1" t="b">
        <v>0</v>
      </c>
      <c r="K525" s="10">
        <f t="shared" si="42"/>
        <v>13.964999999909196</v>
      </c>
      <c r="L525" s="1" t="str">
        <f t="shared" si="43"/>
        <v>OK</v>
      </c>
      <c r="M525" s="1">
        <f t="shared" si="40"/>
        <v>1</v>
      </c>
      <c r="N525" s="1">
        <f t="shared" si="41"/>
        <v>86</v>
      </c>
      <c r="O525" s="10">
        <f t="shared" si="44"/>
        <v>13.964999999909196</v>
      </c>
    </row>
    <row r="526" spans="1:15">
      <c r="A526" s="1" t="s">
        <v>630</v>
      </c>
      <c r="B526" s="23">
        <v>44979.488194444442</v>
      </c>
      <c r="C526" s="1" t="s">
        <v>25</v>
      </c>
      <c r="D526" s="1" t="s">
        <v>21</v>
      </c>
      <c r="E526" s="1" t="s">
        <v>18</v>
      </c>
      <c r="F526" s="1" t="s">
        <v>159</v>
      </c>
      <c r="G526" s="1">
        <v>113</v>
      </c>
      <c r="H526" s="23">
        <v>44980.16479166667</v>
      </c>
      <c r="I526" s="1" t="b">
        <v>0</v>
      </c>
      <c r="K526" s="10">
        <f t="shared" si="42"/>
        <v>16.238333333458286</v>
      </c>
      <c r="L526" s="1" t="str">
        <f t="shared" si="43"/>
        <v>OK</v>
      </c>
      <c r="M526" s="1">
        <f t="shared" si="40"/>
        <v>1</v>
      </c>
      <c r="N526" s="1">
        <f t="shared" si="41"/>
        <v>113</v>
      </c>
      <c r="O526" s="10">
        <f t="shared" si="44"/>
        <v>16.238333333458286</v>
      </c>
    </row>
    <row r="527" spans="1:15">
      <c r="A527" s="1" t="s">
        <v>631</v>
      </c>
      <c r="B527" s="23">
        <v>44979.691666666666</v>
      </c>
      <c r="C527" s="1" t="s">
        <v>25</v>
      </c>
      <c r="D527" s="1" t="s">
        <v>21</v>
      </c>
      <c r="E527" s="1" t="s">
        <v>18</v>
      </c>
      <c r="F527" s="1" t="s">
        <v>19</v>
      </c>
      <c r="G527" s="1">
        <v>149</v>
      </c>
      <c r="H527" s="23">
        <v>44980.900833333333</v>
      </c>
      <c r="I527" s="1" t="b">
        <v>0</v>
      </c>
      <c r="K527" s="10">
        <f t="shared" si="42"/>
        <v>29.020000000018626</v>
      </c>
      <c r="L527" s="1" t="str">
        <f t="shared" si="43"/>
        <v>OK</v>
      </c>
      <c r="M527" s="1">
        <f t="shared" si="40"/>
        <v>1</v>
      </c>
      <c r="N527" s="1">
        <f t="shared" si="41"/>
        <v>149</v>
      </c>
      <c r="O527" s="10">
        <f t="shared" si="44"/>
        <v>29.020000000018626</v>
      </c>
    </row>
    <row r="528" spans="1:15">
      <c r="A528" s="1" t="s">
        <v>632</v>
      </c>
      <c r="B528" s="23">
        <v>44979.768055555556</v>
      </c>
      <c r="C528" s="1" t="s">
        <v>16</v>
      </c>
      <c r="D528" s="1" t="s">
        <v>17</v>
      </c>
      <c r="E528" s="1" t="s">
        <v>18</v>
      </c>
      <c r="F528" s="1" t="s">
        <v>66</v>
      </c>
      <c r="G528" s="1">
        <v>50</v>
      </c>
      <c r="I528" s="1" t="b">
        <v>0</v>
      </c>
      <c r="K528" s="10" t="str">
        <f t="shared" si="42"/>
        <v/>
      </c>
      <c r="L528" s="1" t="str">
        <f t="shared" si="43"/>
        <v>Cannot check</v>
      </c>
      <c r="M528" s="1">
        <f t="shared" si="40"/>
        <v>1</v>
      </c>
      <c r="N528" s="1">
        <f t="shared" si="41"/>
        <v>50</v>
      </c>
      <c r="O528" s="10" t="str">
        <f t="shared" si="44"/>
        <v/>
      </c>
    </row>
    <row r="529" spans="1:15">
      <c r="A529" s="1" t="s">
        <v>633</v>
      </c>
      <c r="B529" s="23">
        <v>44979.852777777778</v>
      </c>
      <c r="C529" s="1" t="s">
        <v>43</v>
      </c>
      <c r="D529" s="1" t="s">
        <v>59</v>
      </c>
      <c r="E529" s="1" t="s">
        <v>18</v>
      </c>
      <c r="F529" s="1" t="s">
        <v>228</v>
      </c>
      <c r="G529" s="1">
        <v>67</v>
      </c>
      <c r="H529" s="23">
        <v>44982.115798611114</v>
      </c>
      <c r="I529" s="1" t="b">
        <v>0</v>
      </c>
      <c r="K529" s="10">
        <f t="shared" si="42"/>
        <v>54.312500000058208</v>
      </c>
      <c r="L529" s="1" t="str">
        <f t="shared" si="43"/>
        <v>OK</v>
      </c>
      <c r="M529" s="1">
        <f t="shared" si="40"/>
        <v>1</v>
      </c>
      <c r="N529" s="1">
        <f t="shared" si="41"/>
        <v>67</v>
      </c>
      <c r="O529" s="10">
        <f t="shared" si="44"/>
        <v>54.312500000058208</v>
      </c>
    </row>
    <row r="530" spans="1:15">
      <c r="A530" s="1" t="s">
        <v>634</v>
      </c>
      <c r="B530" s="23">
        <v>44979.90625</v>
      </c>
      <c r="C530" s="1" t="s">
        <v>25</v>
      </c>
      <c r="D530" s="1" t="s">
        <v>17</v>
      </c>
      <c r="E530" s="1" t="s">
        <v>13</v>
      </c>
      <c r="F530" s="1" t="s">
        <v>130</v>
      </c>
      <c r="G530" s="1">
        <v>43</v>
      </c>
      <c r="H530" s="23">
        <v>44980.083819444444</v>
      </c>
      <c r="I530" s="1" t="b">
        <v>0</v>
      </c>
      <c r="K530" s="10">
        <f t="shared" si="42"/>
        <v>4.2616666666581295</v>
      </c>
      <c r="L530" s="1" t="str">
        <f t="shared" si="43"/>
        <v>OK</v>
      </c>
      <c r="M530" s="1">
        <f t="shared" si="40"/>
        <v>1</v>
      </c>
      <c r="N530" s="1">
        <f t="shared" si="41"/>
        <v>43</v>
      </c>
      <c r="O530" s="10">
        <f t="shared" si="44"/>
        <v>4.2616666666581295</v>
      </c>
    </row>
    <row r="531" spans="1:15">
      <c r="A531" s="1" t="s">
        <v>635</v>
      </c>
      <c r="B531" s="23">
        <v>44979.919444444444</v>
      </c>
      <c r="C531" s="1" t="s">
        <v>43</v>
      </c>
      <c r="D531" s="1" t="s">
        <v>17</v>
      </c>
      <c r="E531" s="1" t="s">
        <v>18</v>
      </c>
      <c r="F531" s="1" t="s">
        <v>54</v>
      </c>
      <c r="G531" s="1">
        <v>268</v>
      </c>
      <c r="H531" s="23">
        <v>44981.21266203704</v>
      </c>
      <c r="I531" s="1" t="b">
        <v>0</v>
      </c>
      <c r="J531" s="1">
        <v>5</v>
      </c>
      <c r="K531" s="10">
        <f t="shared" si="42"/>
        <v>31.037222222308628</v>
      </c>
      <c r="L531" s="1" t="str">
        <f t="shared" si="43"/>
        <v>OK</v>
      </c>
      <c r="M531" s="1">
        <f t="shared" si="40"/>
        <v>1</v>
      </c>
      <c r="N531" s="1">
        <f t="shared" si="41"/>
        <v>268</v>
      </c>
      <c r="O531" s="10">
        <f t="shared" si="44"/>
        <v>31.037222222308628</v>
      </c>
    </row>
    <row r="532" spans="1:15">
      <c r="A532" s="1" t="s">
        <v>636</v>
      </c>
      <c r="B532" s="23">
        <v>44980.030555555553</v>
      </c>
      <c r="C532" s="1" t="s">
        <v>16</v>
      </c>
      <c r="D532" s="1" t="s">
        <v>17</v>
      </c>
      <c r="E532" s="1" t="s">
        <v>18</v>
      </c>
      <c r="F532" s="1" t="s">
        <v>116</v>
      </c>
      <c r="G532" s="1">
        <v>312</v>
      </c>
      <c r="H532" s="23">
        <v>44982.36755787037</v>
      </c>
      <c r="I532" s="1" t="b">
        <v>0</v>
      </c>
      <c r="J532" s="1">
        <v>5</v>
      </c>
      <c r="K532" s="10">
        <f t="shared" si="42"/>
        <v>56.088055555592291</v>
      </c>
      <c r="L532" s="1" t="str">
        <f t="shared" si="43"/>
        <v>OK</v>
      </c>
      <c r="M532" s="1">
        <f t="shared" si="40"/>
        <v>1</v>
      </c>
      <c r="N532" s="1">
        <f t="shared" si="41"/>
        <v>312</v>
      </c>
      <c r="O532" s="10">
        <f t="shared" si="44"/>
        <v>56.088055555592291</v>
      </c>
    </row>
    <row r="533" spans="1:15">
      <c r="A533" s="1" t="s">
        <v>637</v>
      </c>
      <c r="B533" s="23">
        <v>44980.147916666669</v>
      </c>
      <c r="C533" s="1" t="s">
        <v>16</v>
      </c>
      <c r="D533" s="1" t="s">
        <v>59</v>
      </c>
      <c r="E533" s="1" t="s">
        <v>13</v>
      </c>
      <c r="F533" s="1" t="s">
        <v>228</v>
      </c>
      <c r="G533" s="1">
        <v>31</v>
      </c>
      <c r="H533" s="23">
        <v>44980.999652777777</v>
      </c>
      <c r="I533" s="1" t="b">
        <v>0</v>
      </c>
      <c r="K533" s="10">
        <f t="shared" si="42"/>
        <v>20.441666666592937</v>
      </c>
      <c r="L533" s="1" t="str">
        <f t="shared" si="43"/>
        <v>OK</v>
      </c>
      <c r="M533" s="1">
        <f t="shared" si="40"/>
        <v>1</v>
      </c>
      <c r="N533" s="1">
        <f t="shared" si="41"/>
        <v>31</v>
      </c>
      <c r="O533" s="10">
        <f t="shared" si="44"/>
        <v>20.441666666592937</v>
      </c>
    </row>
    <row r="534" spans="1:15">
      <c r="A534" s="1" t="s">
        <v>638</v>
      </c>
      <c r="B534" s="23">
        <v>44980.226388888892</v>
      </c>
      <c r="C534" s="1" t="s">
        <v>25</v>
      </c>
      <c r="D534" s="1" t="s">
        <v>12</v>
      </c>
      <c r="E534" s="1" t="s">
        <v>22</v>
      </c>
      <c r="F534" s="1" t="s">
        <v>239</v>
      </c>
      <c r="G534" s="1">
        <v>5</v>
      </c>
      <c r="H534" s="23">
        <v>44980.348229166666</v>
      </c>
      <c r="I534" s="1" t="b">
        <v>0</v>
      </c>
      <c r="J534" s="1">
        <v>5</v>
      </c>
      <c r="K534" s="10">
        <f t="shared" si="42"/>
        <v>2.9241666665766388</v>
      </c>
      <c r="L534" s="1" t="str">
        <f t="shared" si="43"/>
        <v>OK</v>
      </c>
      <c r="M534" s="1">
        <f t="shared" si="40"/>
        <v>1</v>
      </c>
      <c r="N534" s="1">
        <f t="shared" si="41"/>
        <v>5</v>
      </c>
      <c r="O534" s="10">
        <f t="shared" si="44"/>
        <v>2.9241666665766388</v>
      </c>
    </row>
    <row r="535" spans="1:15">
      <c r="A535" s="1" t="s">
        <v>639</v>
      </c>
      <c r="B535" s="23">
        <v>44980.247916666667</v>
      </c>
      <c r="C535" s="1" t="s">
        <v>43</v>
      </c>
      <c r="D535" s="1" t="s">
        <v>21</v>
      </c>
      <c r="E535" s="1" t="s">
        <v>22</v>
      </c>
      <c r="F535" s="1" t="s">
        <v>70</v>
      </c>
      <c r="G535" s="1">
        <v>22</v>
      </c>
      <c r="H535" s="23">
        <v>44980.637708333335</v>
      </c>
      <c r="I535" s="1" t="b">
        <v>0</v>
      </c>
      <c r="K535" s="10">
        <f t="shared" si="42"/>
        <v>9.3550000000395812</v>
      </c>
      <c r="L535" s="1" t="str">
        <f t="shared" si="43"/>
        <v>OK</v>
      </c>
      <c r="M535" s="1">
        <f t="shared" si="40"/>
        <v>1</v>
      </c>
      <c r="N535" s="1">
        <f t="shared" si="41"/>
        <v>22</v>
      </c>
      <c r="O535" s="10">
        <f t="shared" si="44"/>
        <v>9.3550000000395812</v>
      </c>
    </row>
    <row r="536" spans="1:15">
      <c r="A536" s="1" t="s">
        <v>640</v>
      </c>
      <c r="B536" s="23">
        <v>44980.306944444441</v>
      </c>
      <c r="C536" s="1" t="s">
        <v>25</v>
      </c>
      <c r="D536" s="1" t="s">
        <v>21</v>
      </c>
      <c r="E536" s="1" t="s">
        <v>18</v>
      </c>
      <c r="F536" s="1" t="s">
        <v>23</v>
      </c>
      <c r="G536" s="1">
        <v>190</v>
      </c>
      <c r="H536" s="23">
        <v>44982.050092592595</v>
      </c>
      <c r="I536" s="1" t="b">
        <v>0</v>
      </c>
      <c r="J536" s="1">
        <v>5</v>
      </c>
      <c r="K536" s="10">
        <f t="shared" si="42"/>
        <v>41.835555555706378</v>
      </c>
      <c r="L536" s="1" t="str">
        <f t="shared" si="43"/>
        <v>OK</v>
      </c>
      <c r="M536" s="1">
        <f t="shared" si="40"/>
        <v>1</v>
      </c>
      <c r="N536" s="1">
        <f t="shared" si="41"/>
        <v>190</v>
      </c>
      <c r="O536" s="10">
        <f t="shared" si="44"/>
        <v>41.835555555706378</v>
      </c>
    </row>
    <row r="537" spans="1:15">
      <c r="A537" s="1" t="s">
        <v>641</v>
      </c>
      <c r="B537" s="23">
        <v>44980.504166666666</v>
      </c>
      <c r="C537" s="1" t="s">
        <v>16</v>
      </c>
      <c r="D537" s="1" t="s">
        <v>12</v>
      </c>
      <c r="E537" s="1" t="s">
        <v>18</v>
      </c>
      <c r="F537" s="1" t="s">
        <v>108</v>
      </c>
      <c r="G537" s="1">
        <v>102</v>
      </c>
      <c r="H537" s="23">
        <v>44981.23710648148</v>
      </c>
      <c r="I537" s="1" t="b">
        <v>0</v>
      </c>
      <c r="K537" s="10">
        <f t="shared" si="42"/>
        <v>17.590555555536412</v>
      </c>
      <c r="L537" s="1" t="str">
        <f t="shared" si="43"/>
        <v>OK</v>
      </c>
      <c r="M537" s="1">
        <f t="shared" si="40"/>
        <v>1</v>
      </c>
      <c r="N537" s="1">
        <f t="shared" si="41"/>
        <v>102</v>
      </c>
      <c r="O537" s="10">
        <f t="shared" si="44"/>
        <v>17.590555555536412</v>
      </c>
    </row>
    <row r="538" spans="1:15">
      <c r="A538" s="1" t="s">
        <v>642</v>
      </c>
      <c r="B538" s="23">
        <v>44980.538888888892</v>
      </c>
      <c r="C538" s="1" t="s">
        <v>25</v>
      </c>
      <c r="D538" s="1" t="s">
        <v>17</v>
      </c>
      <c r="E538" s="1" t="s">
        <v>18</v>
      </c>
      <c r="F538" s="1" t="s">
        <v>254</v>
      </c>
      <c r="G538" s="1">
        <v>71</v>
      </c>
      <c r="H538" s="23">
        <v>44982.126435185186</v>
      </c>
      <c r="I538" s="1" t="b">
        <v>0</v>
      </c>
      <c r="K538" s="10">
        <f t="shared" si="42"/>
        <v>38.101111111056525</v>
      </c>
      <c r="L538" s="1" t="str">
        <f t="shared" si="43"/>
        <v>OK</v>
      </c>
      <c r="M538" s="1">
        <f t="shared" si="40"/>
        <v>1</v>
      </c>
      <c r="N538" s="1">
        <f t="shared" si="41"/>
        <v>71</v>
      </c>
      <c r="O538" s="10">
        <f t="shared" si="44"/>
        <v>38.101111111056525</v>
      </c>
    </row>
    <row r="539" spans="1:15">
      <c r="A539" s="1" t="s">
        <v>643</v>
      </c>
      <c r="B539" s="23">
        <v>44980.656944444447</v>
      </c>
      <c r="C539" s="1" t="s">
        <v>16</v>
      </c>
      <c r="D539" s="1" t="s">
        <v>17</v>
      </c>
      <c r="E539" s="1" t="s">
        <v>18</v>
      </c>
      <c r="F539" s="1" t="s">
        <v>23</v>
      </c>
      <c r="G539" s="1">
        <v>143</v>
      </c>
      <c r="H539" s="23">
        <v>44981.817430555559</v>
      </c>
      <c r="I539" s="1" t="b">
        <v>0</v>
      </c>
      <c r="J539" s="1">
        <v>5</v>
      </c>
      <c r="K539" s="10">
        <f t="shared" si="42"/>
        <v>27.851666666683741</v>
      </c>
      <c r="L539" s="1" t="str">
        <f t="shared" si="43"/>
        <v>OK</v>
      </c>
      <c r="M539" s="1">
        <f t="shared" si="40"/>
        <v>1</v>
      </c>
      <c r="N539" s="1">
        <f t="shared" si="41"/>
        <v>143</v>
      </c>
      <c r="O539" s="10">
        <f t="shared" si="44"/>
        <v>27.851666666683741</v>
      </c>
    </row>
    <row r="540" spans="1:15">
      <c r="A540" s="1" t="s">
        <v>644</v>
      </c>
      <c r="B540" s="23">
        <v>44980.844444444447</v>
      </c>
      <c r="C540" s="1" t="s">
        <v>25</v>
      </c>
      <c r="D540" s="1" t="s">
        <v>21</v>
      </c>
      <c r="E540" s="1" t="s">
        <v>13</v>
      </c>
      <c r="F540" s="1" t="s">
        <v>80</v>
      </c>
      <c r="G540" s="1">
        <v>174</v>
      </c>
      <c r="H540" s="23">
        <v>44980.891770833332</v>
      </c>
      <c r="I540" s="1" t="b">
        <v>0</v>
      </c>
      <c r="K540" s="10">
        <f t="shared" si="42"/>
        <v>1.1358333332464099</v>
      </c>
      <c r="L540" s="1" t="str">
        <f t="shared" si="43"/>
        <v>Review</v>
      </c>
      <c r="M540" s="1">
        <f t="shared" si="40"/>
        <v>1</v>
      </c>
      <c r="N540" s="1" t="str">
        <f t="shared" si="41"/>
        <v/>
      </c>
      <c r="O540" s="10" t="str">
        <f t="shared" si="44"/>
        <v/>
      </c>
    </row>
    <row r="541" spans="1:15">
      <c r="A541" s="1" t="s">
        <v>645</v>
      </c>
      <c r="B541" s="23">
        <v>44980.852083333331</v>
      </c>
      <c r="C541" s="1" t="s">
        <v>43</v>
      </c>
      <c r="D541" s="1" t="s">
        <v>26</v>
      </c>
      <c r="E541" s="1" t="s">
        <v>33</v>
      </c>
      <c r="F541" s="1" t="s">
        <v>104</v>
      </c>
      <c r="G541" s="1">
        <v>41</v>
      </c>
      <c r="H541" s="23">
        <v>44999.899074074077</v>
      </c>
      <c r="I541" s="1" t="b">
        <v>0</v>
      </c>
      <c r="K541" s="10">
        <f t="shared" si="42"/>
        <v>457.12777777790325</v>
      </c>
      <c r="L541" s="1" t="str">
        <f t="shared" si="43"/>
        <v>OK</v>
      </c>
      <c r="M541" s="1">
        <f t="shared" si="40"/>
        <v>1</v>
      </c>
      <c r="N541" s="1">
        <f t="shared" si="41"/>
        <v>41</v>
      </c>
      <c r="O541" s="10">
        <f t="shared" si="44"/>
        <v>457.12777777790325</v>
      </c>
    </row>
    <row r="542" spans="1:15">
      <c r="A542" s="1" t="s">
        <v>646</v>
      </c>
      <c r="B542" s="23">
        <v>44980.888194444444</v>
      </c>
      <c r="C542" s="1" t="s">
        <v>25</v>
      </c>
      <c r="D542" s="1" t="s">
        <v>59</v>
      </c>
      <c r="E542" s="1" t="s">
        <v>18</v>
      </c>
      <c r="F542" s="1" t="s">
        <v>175</v>
      </c>
      <c r="G542" s="1">
        <v>44</v>
      </c>
      <c r="H542" s="23">
        <v>44981.399652777778</v>
      </c>
      <c r="I542" s="1" t="b">
        <v>0</v>
      </c>
      <c r="J542" s="1">
        <v>5</v>
      </c>
      <c r="K542" s="10">
        <f t="shared" si="42"/>
        <v>12.275000000023283</v>
      </c>
      <c r="L542" s="1" t="str">
        <f t="shared" si="43"/>
        <v>OK</v>
      </c>
      <c r="M542" s="1">
        <f t="shared" si="40"/>
        <v>1</v>
      </c>
      <c r="N542" s="1">
        <f t="shared" si="41"/>
        <v>44</v>
      </c>
      <c r="O542" s="10">
        <f t="shared" si="44"/>
        <v>12.275000000023283</v>
      </c>
    </row>
    <row r="543" spans="1:15">
      <c r="A543" s="1" t="s">
        <v>647</v>
      </c>
      <c r="B543" s="23">
        <v>44981.175694444442</v>
      </c>
      <c r="C543" s="1" t="s">
        <v>16</v>
      </c>
      <c r="D543" s="1" t="s">
        <v>21</v>
      </c>
      <c r="E543" s="1" t="s">
        <v>18</v>
      </c>
      <c r="F543" s="1" t="s">
        <v>70</v>
      </c>
      <c r="G543" s="1">
        <v>1062</v>
      </c>
      <c r="H543" s="23">
        <v>44981.897314814814</v>
      </c>
      <c r="I543" s="1" t="b">
        <v>0</v>
      </c>
      <c r="J543" s="1">
        <v>5</v>
      </c>
      <c r="K543" s="10">
        <f t="shared" si="42"/>
        <v>17.318888888927177</v>
      </c>
      <c r="L543" s="1" t="str">
        <f t="shared" si="43"/>
        <v>Review</v>
      </c>
      <c r="M543" s="1">
        <f t="shared" si="40"/>
        <v>1</v>
      </c>
      <c r="N543" s="1" t="str">
        <f t="shared" si="41"/>
        <v/>
      </c>
      <c r="O543" s="10" t="str">
        <f t="shared" si="44"/>
        <v/>
      </c>
    </row>
    <row r="544" spans="1:15">
      <c r="A544" s="1" t="s">
        <v>648</v>
      </c>
      <c r="B544" s="23">
        <v>44981.186805555553</v>
      </c>
      <c r="C544" s="1" t="s">
        <v>16</v>
      </c>
      <c r="D544" s="1" t="s">
        <v>21</v>
      </c>
      <c r="E544" s="1" t="s">
        <v>18</v>
      </c>
      <c r="F544" s="1" t="s">
        <v>78</v>
      </c>
      <c r="G544" s="1">
        <v>24</v>
      </c>
      <c r="H544" s="23">
        <v>44981.725254629629</v>
      </c>
      <c r="I544" s="1" t="b">
        <v>0</v>
      </c>
      <c r="K544" s="10">
        <f t="shared" si="42"/>
        <v>12.922777777828742</v>
      </c>
      <c r="L544" s="1" t="str">
        <f t="shared" si="43"/>
        <v>OK</v>
      </c>
      <c r="M544" s="1">
        <f t="shared" si="40"/>
        <v>1</v>
      </c>
      <c r="N544" s="1">
        <f t="shared" si="41"/>
        <v>24</v>
      </c>
      <c r="O544" s="10">
        <f t="shared" si="44"/>
        <v>12.922777777828742</v>
      </c>
    </row>
    <row r="545" spans="1:15">
      <c r="A545" s="1" t="s">
        <v>649</v>
      </c>
      <c r="B545" s="23">
        <v>44981.216666666667</v>
      </c>
      <c r="C545" s="1" t="s">
        <v>11</v>
      </c>
      <c r="D545" s="1" t="s">
        <v>17</v>
      </c>
      <c r="E545" s="1" t="s">
        <v>33</v>
      </c>
      <c r="F545" s="1" t="s">
        <v>415</v>
      </c>
      <c r="G545" s="1">
        <v>97</v>
      </c>
      <c r="H545" s="23">
        <v>44989.097928240742</v>
      </c>
      <c r="I545" s="1" t="b">
        <v>0</v>
      </c>
      <c r="K545" s="10">
        <f t="shared" si="42"/>
        <v>189.15027777780779</v>
      </c>
      <c r="L545" s="1" t="str">
        <f t="shared" si="43"/>
        <v>OK</v>
      </c>
      <c r="M545" s="1">
        <f t="shared" si="40"/>
        <v>1</v>
      </c>
      <c r="N545" s="1">
        <f t="shared" si="41"/>
        <v>97</v>
      </c>
      <c r="O545" s="10">
        <f t="shared" si="44"/>
        <v>189.15027777780779</v>
      </c>
    </row>
    <row r="546" spans="1:15">
      <c r="A546" s="1" t="s">
        <v>650</v>
      </c>
      <c r="B546" s="23">
        <v>44981.273611111108</v>
      </c>
      <c r="C546" s="1" t="s">
        <v>25</v>
      </c>
      <c r="D546" s="1" t="s">
        <v>26</v>
      </c>
      <c r="E546" s="1" t="s">
        <v>18</v>
      </c>
      <c r="F546" s="1" t="s">
        <v>100</v>
      </c>
      <c r="G546" s="1">
        <v>122</v>
      </c>
      <c r="H546" s="23">
        <v>44985.028449074074</v>
      </c>
      <c r="I546" s="1" t="b">
        <v>0</v>
      </c>
      <c r="K546" s="10">
        <f t="shared" si="42"/>
        <v>90.11611111118691</v>
      </c>
      <c r="L546" s="1" t="str">
        <f t="shared" si="43"/>
        <v>OK</v>
      </c>
      <c r="M546" s="1">
        <f t="shared" si="40"/>
        <v>1</v>
      </c>
      <c r="N546" s="1">
        <f t="shared" si="41"/>
        <v>122</v>
      </c>
      <c r="O546" s="10">
        <f t="shared" si="44"/>
        <v>90.11611111118691</v>
      </c>
    </row>
    <row r="547" spans="1:15">
      <c r="A547" s="1" t="s">
        <v>651</v>
      </c>
      <c r="B547" s="23">
        <v>44981.279861111114</v>
      </c>
      <c r="C547" s="1" t="s">
        <v>16</v>
      </c>
      <c r="D547" s="1" t="s">
        <v>26</v>
      </c>
      <c r="E547" s="1" t="s">
        <v>18</v>
      </c>
      <c r="F547" s="1" t="s">
        <v>94</v>
      </c>
      <c r="G547" s="1">
        <v>66</v>
      </c>
      <c r="H547" s="23">
        <v>44984.876747685186</v>
      </c>
      <c r="I547" s="1" t="b">
        <v>0</v>
      </c>
      <c r="K547" s="10">
        <f t="shared" si="42"/>
        <v>86.325277777737938</v>
      </c>
      <c r="L547" s="1" t="str">
        <f t="shared" si="43"/>
        <v>OK</v>
      </c>
      <c r="M547" s="1">
        <f t="shared" si="40"/>
        <v>1</v>
      </c>
      <c r="N547" s="1">
        <f t="shared" si="41"/>
        <v>66</v>
      </c>
      <c r="O547" s="10">
        <f t="shared" si="44"/>
        <v>86.325277777737938</v>
      </c>
    </row>
    <row r="548" spans="1:15">
      <c r="A548" s="1" t="s">
        <v>652</v>
      </c>
      <c r="B548" s="23">
        <v>44981.680555555555</v>
      </c>
      <c r="C548" s="1" t="s">
        <v>16</v>
      </c>
      <c r="D548" s="1" t="s">
        <v>21</v>
      </c>
      <c r="E548" s="1" t="s">
        <v>33</v>
      </c>
      <c r="F548" s="1" t="s">
        <v>118</v>
      </c>
      <c r="H548" s="23">
        <v>44982.025914351849</v>
      </c>
      <c r="I548" s="1" t="b">
        <v>0</v>
      </c>
      <c r="J548" s="1">
        <v>1</v>
      </c>
      <c r="K548" s="10">
        <f t="shared" si="42"/>
        <v>8.2886111110565253</v>
      </c>
      <c r="L548" s="1" t="str">
        <f t="shared" si="43"/>
        <v>Cannot check</v>
      </c>
      <c r="M548" s="1">
        <f t="shared" si="40"/>
        <v>1</v>
      </c>
      <c r="N548" s="1" t="str">
        <f t="shared" si="41"/>
        <v/>
      </c>
      <c r="O548" s="10">
        <f t="shared" si="44"/>
        <v>8.2886111110565253</v>
      </c>
    </row>
    <row r="549" spans="1:15">
      <c r="A549" s="1" t="s">
        <v>653</v>
      </c>
      <c r="B549" s="23">
        <v>44981.702777777777</v>
      </c>
      <c r="C549" s="1" t="s">
        <v>16</v>
      </c>
      <c r="D549" s="1" t="s">
        <v>59</v>
      </c>
      <c r="E549" s="1" t="s">
        <v>33</v>
      </c>
      <c r="F549" s="1" t="s">
        <v>78</v>
      </c>
      <c r="G549" s="1">
        <v>68</v>
      </c>
      <c r="H549" s="23">
        <v>44999.128738425927</v>
      </c>
      <c r="I549" s="1" t="b">
        <v>0</v>
      </c>
      <c r="K549" s="10">
        <f t="shared" si="42"/>
        <v>418.2230555556016</v>
      </c>
      <c r="L549" s="1" t="str">
        <f t="shared" si="43"/>
        <v>OK</v>
      </c>
      <c r="M549" s="1">
        <f t="shared" si="40"/>
        <v>1</v>
      </c>
      <c r="N549" s="1">
        <f t="shared" si="41"/>
        <v>68</v>
      </c>
      <c r="O549" s="10">
        <f t="shared" si="44"/>
        <v>418.2230555556016</v>
      </c>
    </row>
    <row r="550" spans="1:15">
      <c r="A550" s="1" t="s">
        <v>654</v>
      </c>
      <c r="B550" s="23">
        <v>44981.93472222222</v>
      </c>
      <c r="C550" s="1" t="s">
        <v>16</v>
      </c>
      <c r="D550" s="1" t="s">
        <v>17</v>
      </c>
      <c r="E550" s="1" t="s">
        <v>18</v>
      </c>
      <c r="F550" s="1" t="s">
        <v>145</v>
      </c>
      <c r="G550" s="1">
        <v>16</v>
      </c>
      <c r="H550" s="23">
        <v>44985.495995370373</v>
      </c>
      <c r="I550" s="1" t="b">
        <v>1</v>
      </c>
      <c r="K550" s="10">
        <f t="shared" si="42"/>
        <v>85.470555555657484</v>
      </c>
      <c r="L550" s="1" t="str">
        <f t="shared" si="43"/>
        <v>OK</v>
      </c>
      <c r="M550" s="1">
        <f t="shared" si="40"/>
        <v>1</v>
      </c>
      <c r="N550" s="1">
        <f t="shared" si="41"/>
        <v>16</v>
      </c>
      <c r="O550" s="10">
        <f t="shared" si="44"/>
        <v>85.470555555657484</v>
      </c>
    </row>
    <row r="551" spans="1:15">
      <c r="A551" s="1" t="s">
        <v>655</v>
      </c>
      <c r="B551" s="23">
        <v>44982.053472222222</v>
      </c>
      <c r="C551" s="1" t="s">
        <v>25</v>
      </c>
      <c r="D551" s="1" t="s">
        <v>17</v>
      </c>
      <c r="E551" s="1" t="s">
        <v>18</v>
      </c>
      <c r="F551" s="1" t="s">
        <v>167</v>
      </c>
      <c r="G551" s="1">
        <v>86</v>
      </c>
      <c r="H551" s="23">
        <v>44983.546585648146</v>
      </c>
      <c r="I551" s="1" t="b">
        <v>0</v>
      </c>
      <c r="K551" s="10">
        <f t="shared" si="42"/>
        <v>35.834722222178243</v>
      </c>
      <c r="L551" s="1" t="str">
        <f t="shared" si="43"/>
        <v>OK</v>
      </c>
      <c r="M551" s="1">
        <f t="shared" si="40"/>
        <v>1</v>
      </c>
      <c r="N551" s="1">
        <f t="shared" si="41"/>
        <v>86</v>
      </c>
      <c r="O551" s="10">
        <f t="shared" si="44"/>
        <v>35.834722222178243</v>
      </c>
    </row>
    <row r="552" spans="1:15">
      <c r="A552" s="1" t="s">
        <v>656</v>
      </c>
      <c r="B552" s="23">
        <v>44982.086805555555</v>
      </c>
      <c r="C552" s="1" t="s">
        <v>16</v>
      </c>
      <c r="D552" s="1" t="s">
        <v>21</v>
      </c>
      <c r="E552" s="1" t="s">
        <v>13</v>
      </c>
      <c r="F552" s="1" t="s">
        <v>94</v>
      </c>
      <c r="G552" s="1">
        <v>34</v>
      </c>
      <c r="H552" s="23">
        <v>44982.154548611114</v>
      </c>
      <c r="I552" s="1" t="b">
        <v>0</v>
      </c>
      <c r="J552" s="1">
        <v>3</v>
      </c>
      <c r="K552" s="10">
        <f t="shared" si="42"/>
        <v>1.6258333334117197</v>
      </c>
      <c r="L552" s="1" t="str">
        <f t="shared" si="43"/>
        <v>OK</v>
      </c>
      <c r="M552" s="1">
        <f t="shared" si="40"/>
        <v>1</v>
      </c>
      <c r="N552" s="1">
        <f t="shared" si="41"/>
        <v>34</v>
      </c>
      <c r="O552" s="10">
        <f t="shared" si="44"/>
        <v>1.6258333334117197</v>
      </c>
    </row>
    <row r="553" spans="1:15">
      <c r="A553" s="1" t="s">
        <v>657</v>
      </c>
      <c r="B553" s="23">
        <v>44982.311805555553</v>
      </c>
      <c r="C553" s="1" t="s">
        <v>11</v>
      </c>
      <c r="D553" s="1" t="s">
        <v>59</v>
      </c>
      <c r="E553" s="1" t="s">
        <v>18</v>
      </c>
      <c r="F553" s="1" t="s">
        <v>198</v>
      </c>
      <c r="G553" s="1">
        <v>128</v>
      </c>
      <c r="H553" s="23">
        <v>44983.107604166667</v>
      </c>
      <c r="I553" s="1" t="b">
        <v>0</v>
      </c>
      <c r="K553" s="10">
        <f t="shared" si="42"/>
        <v>19.09916666673962</v>
      </c>
      <c r="L553" s="1" t="str">
        <f t="shared" si="43"/>
        <v>OK</v>
      </c>
      <c r="M553" s="1">
        <f t="shared" si="40"/>
        <v>1</v>
      </c>
      <c r="N553" s="1">
        <f t="shared" si="41"/>
        <v>128</v>
      </c>
      <c r="O553" s="10">
        <f t="shared" si="44"/>
        <v>19.09916666673962</v>
      </c>
    </row>
    <row r="554" spans="1:15">
      <c r="A554" s="1" t="s">
        <v>658</v>
      </c>
      <c r="B554" s="23">
        <v>44982.32708333333</v>
      </c>
      <c r="C554" s="1" t="s">
        <v>25</v>
      </c>
      <c r="D554" s="1" t="s">
        <v>59</v>
      </c>
      <c r="E554" s="1" t="s">
        <v>18</v>
      </c>
      <c r="F554" s="1" t="s">
        <v>259</v>
      </c>
      <c r="G554" s="1">
        <v>186</v>
      </c>
      <c r="H554" s="23">
        <v>44982.756631944445</v>
      </c>
      <c r="I554" s="1" t="b">
        <v>0</v>
      </c>
      <c r="K554" s="10">
        <f t="shared" si="42"/>
        <v>10.309166666760575</v>
      </c>
      <c r="L554" s="1" t="str">
        <f t="shared" si="43"/>
        <v>OK</v>
      </c>
      <c r="M554" s="1">
        <f t="shared" si="40"/>
        <v>1</v>
      </c>
      <c r="N554" s="1">
        <f t="shared" si="41"/>
        <v>186</v>
      </c>
      <c r="O554" s="10">
        <f t="shared" si="44"/>
        <v>10.309166666760575</v>
      </c>
    </row>
    <row r="555" spans="1:15">
      <c r="A555" s="1" t="s">
        <v>659</v>
      </c>
      <c r="B555" s="23">
        <v>44982.334722222222</v>
      </c>
      <c r="C555" s="1" t="s">
        <v>16</v>
      </c>
      <c r="D555" s="1" t="s">
        <v>17</v>
      </c>
      <c r="E555" s="1" t="s">
        <v>33</v>
      </c>
      <c r="F555" s="1" t="s">
        <v>72</v>
      </c>
      <c r="G555" s="1">
        <v>259</v>
      </c>
      <c r="H555" s="23">
        <v>44993.898657407408</v>
      </c>
      <c r="I555" s="1" t="b">
        <v>0</v>
      </c>
      <c r="K555" s="10">
        <f t="shared" si="42"/>
        <v>277.53444444446359</v>
      </c>
      <c r="L555" s="1" t="str">
        <f t="shared" si="43"/>
        <v>OK</v>
      </c>
      <c r="M555" s="1">
        <f t="shared" si="40"/>
        <v>1</v>
      </c>
      <c r="N555" s="1">
        <f t="shared" si="41"/>
        <v>259</v>
      </c>
      <c r="O555" s="10">
        <f t="shared" si="44"/>
        <v>277.53444444446359</v>
      </c>
    </row>
    <row r="556" spans="1:15">
      <c r="A556" s="1" t="s">
        <v>660</v>
      </c>
      <c r="B556" s="23">
        <v>44982.384027777778</v>
      </c>
      <c r="C556" s="1" t="s">
        <v>16</v>
      </c>
      <c r="D556" s="1" t="s">
        <v>17</v>
      </c>
      <c r="E556" s="1" t="s">
        <v>22</v>
      </c>
      <c r="F556" s="1" t="s">
        <v>130</v>
      </c>
      <c r="G556" s="1">
        <v>11</v>
      </c>
      <c r="H556" s="23">
        <v>44983.103877314818</v>
      </c>
      <c r="I556" s="1" t="b">
        <v>0</v>
      </c>
      <c r="K556" s="10">
        <f t="shared" si="42"/>
        <v>17.276388888945803</v>
      </c>
      <c r="L556" s="1" t="str">
        <f t="shared" si="43"/>
        <v>OK</v>
      </c>
      <c r="M556" s="1">
        <f t="shared" si="40"/>
        <v>1</v>
      </c>
      <c r="N556" s="1">
        <f t="shared" si="41"/>
        <v>11</v>
      </c>
      <c r="O556" s="10">
        <f t="shared" si="44"/>
        <v>17.276388888945803</v>
      </c>
    </row>
    <row r="557" spans="1:15">
      <c r="A557" s="1" t="s">
        <v>661</v>
      </c>
      <c r="B557" s="23">
        <v>44982.387499999997</v>
      </c>
      <c r="C557" s="1" t="s">
        <v>16</v>
      </c>
      <c r="D557" s="1" t="s">
        <v>59</v>
      </c>
      <c r="E557" s="1" t="s">
        <v>33</v>
      </c>
      <c r="F557" s="1" t="s">
        <v>234</v>
      </c>
      <c r="G557" s="1">
        <v>816</v>
      </c>
      <c r="H557" s="23">
        <v>44984.602476851855</v>
      </c>
      <c r="I557" s="1" t="b">
        <v>0</v>
      </c>
      <c r="K557" s="10">
        <f t="shared" si="42"/>
        <v>53.159444444580004</v>
      </c>
      <c r="L557" s="1" t="str">
        <f t="shared" si="43"/>
        <v>OK</v>
      </c>
      <c r="M557" s="1">
        <f t="shared" si="40"/>
        <v>1</v>
      </c>
      <c r="N557" s="1">
        <f t="shared" si="41"/>
        <v>816</v>
      </c>
      <c r="O557" s="10">
        <f t="shared" si="44"/>
        <v>53.159444444580004</v>
      </c>
    </row>
    <row r="558" spans="1:15">
      <c r="A558" s="1" t="s">
        <v>662</v>
      </c>
      <c r="B558" s="23">
        <v>44982.505555555559</v>
      </c>
      <c r="C558" s="1" t="s">
        <v>16</v>
      </c>
      <c r="D558" s="1" t="s">
        <v>21</v>
      </c>
      <c r="E558" s="1" t="s">
        <v>33</v>
      </c>
      <c r="F558" s="1" t="s">
        <v>326</v>
      </c>
      <c r="G558" s="1">
        <v>706</v>
      </c>
      <c r="H558" s="23">
        <v>44983.498749999999</v>
      </c>
      <c r="I558" s="1" t="b">
        <v>0</v>
      </c>
      <c r="K558" s="10">
        <f t="shared" si="42"/>
        <v>23.836666666553356</v>
      </c>
      <c r="L558" s="1" t="str">
        <f t="shared" si="43"/>
        <v>OK</v>
      </c>
      <c r="M558" s="1">
        <f t="shared" si="40"/>
        <v>1</v>
      </c>
      <c r="N558" s="1">
        <f t="shared" si="41"/>
        <v>706</v>
      </c>
      <c r="O558" s="10">
        <f t="shared" si="44"/>
        <v>23.836666666553356</v>
      </c>
    </row>
    <row r="559" spans="1:15">
      <c r="A559" s="1" t="s">
        <v>663</v>
      </c>
      <c r="B559" s="23">
        <v>44982.51458333333</v>
      </c>
      <c r="C559" s="1" t="s">
        <v>25</v>
      </c>
      <c r="D559" s="1" t="s">
        <v>17</v>
      </c>
      <c r="E559" s="1" t="s">
        <v>33</v>
      </c>
      <c r="F559" s="1" t="s">
        <v>159</v>
      </c>
      <c r="G559" s="1">
        <v>150</v>
      </c>
      <c r="H559" s="23">
        <v>44987.316412037035</v>
      </c>
      <c r="I559" s="1" t="b">
        <v>0</v>
      </c>
      <c r="K559" s="10">
        <f t="shared" si="42"/>
        <v>115.24388888891554</v>
      </c>
      <c r="L559" s="1" t="str">
        <f t="shared" si="43"/>
        <v>OK</v>
      </c>
      <c r="M559" s="1">
        <f t="shared" si="40"/>
        <v>1</v>
      </c>
      <c r="N559" s="1">
        <f t="shared" si="41"/>
        <v>150</v>
      </c>
      <c r="O559" s="10">
        <f t="shared" si="44"/>
        <v>115.24388888891554</v>
      </c>
    </row>
    <row r="560" spans="1:15">
      <c r="A560" s="1" t="s">
        <v>664</v>
      </c>
      <c r="B560" s="23">
        <v>44982.545138888891</v>
      </c>
      <c r="C560" s="1" t="s">
        <v>25</v>
      </c>
      <c r="D560" s="1" t="s">
        <v>21</v>
      </c>
      <c r="E560" s="1" t="s">
        <v>18</v>
      </c>
      <c r="F560" s="1" t="s">
        <v>35</v>
      </c>
      <c r="H560" s="23">
        <v>44983.017048611109</v>
      </c>
      <c r="I560" s="1" t="b">
        <v>0</v>
      </c>
      <c r="J560" s="1">
        <v>1</v>
      </c>
      <c r="K560" s="10">
        <f t="shared" si="42"/>
        <v>11.325833333248738</v>
      </c>
      <c r="L560" s="1" t="str">
        <f t="shared" si="43"/>
        <v>Cannot check</v>
      </c>
      <c r="M560" s="1">
        <f t="shared" si="40"/>
        <v>1</v>
      </c>
      <c r="N560" s="1" t="str">
        <f t="shared" si="41"/>
        <v/>
      </c>
      <c r="O560" s="10">
        <f t="shared" si="44"/>
        <v>11.325833333248738</v>
      </c>
    </row>
    <row r="561" spans="1:15">
      <c r="A561" s="1" t="s">
        <v>665</v>
      </c>
      <c r="B561" s="23">
        <v>44982.752083333333</v>
      </c>
      <c r="C561" s="1" t="s">
        <v>16</v>
      </c>
      <c r="D561" s="1" t="s">
        <v>26</v>
      </c>
      <c r="E561" s="1" t="s">
        <v>33</v>
      </c>
      <c r="F561" s="1" t="s">
        <v>120</v>
      </c>
      <c r="H561" s="23">
        <v>45009.561331018522</v>
      </c>
      <c r="I561" s="1" t="b">
        <v>1</v>
      </c>
      <c r="K561" s="10">
        <f t="shared" si="42"/>
        <v>643.42194444453344</v>
      </c>
      <c r="L561" s="1" t="str">
        <f t="shared" si="43"/>
        <v>Cannot check</v>
      </c>
      <c r="M561" s="1">
        <f t="shared" si="40"/>
        <v>1</v>
      </c>
      <c r="N561" s="1" t="str">
        <f t="shared" si="41"/>
        <v/>
      </c>
      <c r="O561" s="10">
        <f t="shared" si="44"/>
        <v>643.42194444453344</v>
      </c>
    </row>
    <row r="562" spans="1:15">
      <c r="A562" s="1" t="s">
        <v>666</v>
      </c>
      <c r="B562" s="23">
        <v>44982.907638888886</v>
      </c>
      <c r="C562" s="1" t="s">
        <v>11</v>
      </c>
      <c r="D562" s="1" t="s">
        <v>17</v>
      </c>
      <c r="E562" s="1" t="s">
        <v>18</v>
      </c>
      <c r="F562" s="1" t="s">
        <v>54</v>
      </c>
      <c r="G562" s="1">
        <v>156</v>
      </c>
      <c r="I562" s="1" t="b">
        <v>0</v>
      </c>
      <c r="K562" s="10" t="str">
        <f t="shared" si="42"/>
        <v/>
      </c>
      <c r="L562" s="1" t="str">
        <f t="shared" si="43"/>
        <v>Cannot check</v>
      </c>
      <c r="M562" s="1">
        <f t="shared" si="40"/>
        <v>1</v>
      </c>
      <c r="N562" s="1">
        <f t="shared" si="41"/>
        <v>156</v>
      </c>
      <c r="O562" s="10" t="str">
        <f t="shared" si="44"/>
        <v/>
      </c>
    </row>
    <row r="563" spans="1:15">
      <c r="A563" s="1" t="s">
        <v>667</v>
      </c>
      <c r="B563" s="23">
        <v>44983.021527777775</v>
      </c>
      <c r="C563" s="1" t="s">
        <v>25</v>
      </c>
      <c r="D563" s="1" t="s">
        <v>59</v>
      </c>
      <c r="E563" s="1" t="s">
        <v>18</v>
      </c>
      <c r="F563" s="1" t="s">
        <v>224</v>
      </c>
      <c r="G563" s="1">
        <v>99</v>
      </c>
      <c r="H563" s="23">
        <v>44984.98746527778</v>
      </c>
      <c r="I563" s="1" t="b">
        <v>0</v>
      </c>
      <c r="K563" s="10">
        <f t="shared" si="42"/>
        <v>47.182500000111759</v>
      </c>
      <c r="L563" s="1" t="str">
        <f t="shared" si="43"/>
        <v>OK</v>
      </c>
      <c r="M563" s="1">
        <f t="shared" si="40"/>
        <v>1</v>
      </c>
      <c r="N563" s="1">
        <f t="shared" si="41"/>
        <v>99</v>
      </c>
      <c r="O563" s="10">
        <f t="shared" si="44"/>
        <v>47.182500000111759</v>
      </c>
    </row>
    <row r="564" spans="1:15">
      <c r="A564" s="1" t="s">
        <v>668</v>
      </c>
      <c r="B564" s="23">
        <v>44983.083333333336</v>
      </c>
      <c r="C564" s="1" t="s">
        <v>11</v>
      </c>
      <c r="D564" s="1" t="s">
        <v>12</v>
      </c>
      <c r="E564" s="1" t="s">
        <v>18</v>
      </c>
      <c r="F564" s="1" t="s">
        <v>415</v>
      </c>
      <c r="G564" s="1">
        <v>298</v>
      </c>
      <c r="H564" s="23">
        <v>44983.393217592595</v>
      </c>
      <c r="I564" s="1" t="b">
        <v>0</v>
      </c>
      <c r="J564" s="1">
        <v>4</v>
      </c>
      <c r="K564" s="10">
        <f t="shared" si="42"/>
        <v>7.437222222215496</v>
      </c>
      <c r="L564" s="1" t="str">
        <f t="shared" si="43"/>
        <v>OK</v>
      </c>
      <c r="M564" s="1">
        <f t="shared" si="40"/>
        <v>1</v>
      </c>
      <c r="N564" s="1">
        <f t="shared" si="41"/>
        <v>298</v>
      </c>
      <c r="O564" s="10">
        <f t="shared" si="44"/>
        <v>7.437222222215496</v>
      </c>
    </row>
    <row r="565" spans="1:15">
      <c r="A565" s="1" t="s">
        <v>669</v>
      </c>
      <c r="B565" s="23">
        <v>44983.238888888889</v>
      </c>
      <c r="C565" s="1" t="s">
        <v>11</v>
      </c>
      <c r="D565" s="1" t="s">
        <v>12</v>
      </c>
      <c r="E565" s="1" t="s">
        <v>33</v>
      </c>
      <c r="F565" s="1" t="s">
        <v>116</v>
      </c>
      <c r="G565" s="1">
        <v>36</v>
      </c>
      <c r="H565" s="23">
        <v>44986.023402777777</v>
      </c>
      <c r="I565" s="1" t="b">
        <v>0</v>
      </c>
      <c r="K565" s="10">
        <f t="shared" si="42"/>
        <v>66.828333333309274</v>
      </c>
      <c r="L565" s="1" t="str">
        <f t="shared" si="43"/>
        <v>OK</v>
      </c>
      <c r="M565" s="1">
        <f t="shared" si="40"/>
        <v>1</v>
      </c>
      <c r="N565" s="1">
        <f t="shared" si="41"/>
        <v>36</v>
      </c>
      <c r="O565" s="10">
        <f t="shared" si="44"/>
        <v>66.828333333309274</v>
      </c>
    </row>
    <row r="566" spans="1:15">
      <c r="A566" s="1" t="s">
        <v>670</v>
      </c>
      <c r="B566" s="23">
        <v>44983.248611111114</v>
      </c>
      <c r="C566" s="1" t="s">
        <v>16</v>
      </c>
      <c r="D566" s="1" t="s">
        <v>17</v>
      </c>
      <c r="E566" s="1" t="s">
        <v>18</v>
      </c>
      <c r="F566" s="1" t="s">
        <v>78</v>
      </c>
      <c r="G566" s="1">
        <v>85</v>
      </c>
      <c r="H566" s="23">
        <v>44990.642372685186</v>
      </c>
      <c r="I566" s="1" t="b">
        <v>1</v>
      </c>
      <c r="K566" s="10">
        <f t="shared" si="42"/>
        <v>177.45027777773794</v>
      </c>
      <c r="L566" s="1" t="str">
        <f t="shared" si="43"/>
        <v>OK</v>
      </c>
      <c r="M566" s="1">
        <f t="shared" si="40"/>
        <v>1</v>
      </c>
      <c r="N566" s="1">
        <f t="shared" si="41"/>
        <v>85</v>
      </c>
      <c r="O566" s="10">
        <f t="shared" si="44"/>
        <v>177.45027777773794</v>
      </c>
    </row>
    <row r="567" spans="1:15">
      <c r="A567" s="1" t="s">
        <v>671</v>
      </c>
      <c r="B567" s="23">
        <v>44983.300694444442</v>
      </c>
      <c r="C567" s="1" t="s">
        <v>16</v>
      </c>
      <c r="D567" s="1" t="s">
        <v>12</v>
      </c>
      <c r="E567" s="1" t="s">
        <v>18</v>
      </c>
      <c r="F567" s="1" t="s">
        <v>118</v>
      </c>
      <c r="G567" s="1">
        <v>161</v>
      </c>
      <c r="H567" s="23">
        <v>44984.070138888892</v>
      </c>
      <c r="I567" s="1" t="b">
        <v>0</v>
      </c>
      <c r="J567" s="1">
        <v>5</v>
      </c>
      <c r="K567" s="10">
        <f t="shared" si="42"/>
        <v>18.466666666790843</v>
      </c>
      <c r="L567" s="1" t="str">
        <f t="shared" si="43"/>
        <v>OK</v>
      </c>
      <c r="M567" s="1">
        <f t="shared" si="40"/>
        <v>1</v>
      </c>
      <c r="N567" s="1">
        <f t="shared" si="41"/>
        <v>161</v>
      </c>
      <c r="O567" s="10">
        <f t="shared" si="44"/>
        <v>18.466666666790843</v>
      </c>
    </row>
    <row r="568" spans="1:15">
      <c r="A568" s="1" t="s">
        <v>672</v>
      </c>
      <c r="B568" s="23">
        <v>44983.349305555559</v>
      </c>
      <c r="C568" s="1" t="s">
        <v>16</v>
      </c>
      <c r="D568" s="1" t="s">
        <v>17</v>
      </c>
      <c r="E568" s="1" t="s">
        <v>33</v>
      </c>
      <c r="F568" s="1" t="s">
        <v>134</v>
      </c>
      <c r="G568" s="1">
        <v>2632</v>
      </c>
      <c r="H568" s="23">
        <v>44983.74496527778</v>
      </c>
      <c r="I568" s="1" t="b">
        <v>0</v>
      </c>
      <c r="K568" s="10">
        <f t="shared" si="42"/>
        <v>9.4958333332906477</v>
      </c>
      <c r="L568" s="1" t="str">
        <f t="shared" si="43"/>
        <v>Review</v>
      </c>
      <c r="M568" s="1">
        <f t="shared" si="40"/>
        <v>1</v>
      </c>
      <c r="N568" s="1" t="str">
        <f t="shared" si="41"/>
        <v/>
      </c>
      <c r="O568" s="10" t="str">
        <f t="shared" si="44"/>
        <v/>
      </c>
    </row>
    <row r="569" spans="1:15">
      <c r="A569" s="1" t="s">
        <v>673</v>
      </c>
      <c r="B569" s="23">
        <v>44983.381249999999</v>
      </c>
      <c r="C569" s="1" t="s">
        <v>16</v>
      </c>
      <c r="D569" s="1" t="s">
        <v>21</v>
      </c>
      <c r="E569" s="1" t="s">
        <v>18</v>
      </c>
      <c r="F569" s="1" t="s">
        <v>178</v>
      </c>
      <c r="G569" s="1">
        <v>9</v>
      </c>
      <c r="H569" s="23">
        <v>44986.045868055553</v>
      </c>
      <c r="I569" s="1" t="b">
        <v>0</v>
      </c>
      <c r="J569" s="1">
        <v>5</v>
      </c>
      <c r="K569" s="10">
        <f t="shared" si="42"/>
        <v>63.950833333306946</v>
      </c>
      <c r="L569" s="1" t="str">
        <f t="shared" si="43"/>
        <v>OK</v>
      </c>
      <c r="M569" s="1">
        <f t="shared" si="40"/>
        <v>1</v>
      </c>
      <c r="N569" s="1">
        <f t="shared" si="41"/>
        <v>9</v>
      </c>
      <c r="O569" s="10">
        <f t="shared" si="44"/>
        <v>63.950833333306946</v>
      </c>
    </row>
    <row r="570" spans="1:15">
      <c r="A570" s="1" t="s">
        <v>674</v>
      </c>
      <c r="B570" s="23">
        <v>44983.40625</v>
      </c>
      <c r="C570" s="1" t="s">
        <v>16</v>
      </c>
      <c r="D570" s="1" t="s">
        <v>17</v>
      </c>
      <c r="E570" s="1" t="s">
        <v>18</v>
      </c>
      <c r="F570" s="1" t="s">
        <v>317</v>
      </c>
      <c r="G570" s="1">
        <v>190</v>
      </c>
      <c r="H570" s="23">
        <v>44987.89916666667</v>
      </c>
      <c r="I570" s="1" t="b">
        <v>0</v>
      </c>
      <c r="K570" s="10">
        <f t="shared" si="42"/>
        <v>107.83000000007451</v>
      </c>
      <c r="L570" s="1" t="str">
        <f t="shared" si="43"/>
        <v>OK</v>
      </c>
      <c r="M570" s="1">
        <f t="shared" si="40"/>
        <v>1</v>
      </c>
      <c r="N570" s="1">
        <f t="shared" si="41"/>
        <v>190</v>
      </c>
      <c r="O570" s="10">
        <f t="shared" si="44"/>
        <v>107.83000000007451</v>
      </c>
    </row>
    <row r="571" spans="1:15">
      <c r="A571" s="1" t="s">
        <v>675</v>
      </c>
      <c r="B571" s="23">
        <v>44983.427777777775</v>
      </c>
      <c r="C571" s="1" t="s">
        <v>16</v>
      </c>
      <c r="D571" s="1" t="s">
        <v>59</v>
      </c>
      <c r="E571" s="1" t="s">
        <v>18</v>
      </c>
      <c r="F571" s="1" t="s">
        <v>100</v>
      </c>
      <c r="G571" s="1">
        <v>88</v>
      </c>
      <c r="H571" s="23">
        <v>44986.118923611109</v>
      </c>
      <c r="I571" s="1" t="b">
        <v>0</v>
      </c>
      <c r="K571" s="10">
        <f t="shared" si="42"/>
        <v>64.587500000023283</v>
      </c>
      <c r="L571" s="1" t="str">
        <f t="shared" si="43"/>
        <v>OK</v>
      </c>
      <c r="M571" s="1">
        <f t="shared" si="40"/>
        <v>1</v>
      </c>
      <c r="N571" s="1">
        <f t="shared" si="41"/>
        <v>88</v>
      </c>
      <c r="O571" s="10">
        <f t="shared" si="44"/>
        <v>64.587500000023283</v>
      </c>
    </row>
    <row r="572" spans="1:15">
      <c r="A572" s="1" t="s">
        <v>676</v>
      </c>
      <c r="B572" s="23">
        <v>44983.503472222219</v>
      </c>
      <c r="C572" s="1" t="s">
        <v>11</v>
      </c>
      <c r="D572" s="1" t="s">
        <v>17</v>
      </c>
      <c r="E572" s="1" t="s">
        <v>18</v>
      </c>
      <c r="F572" s="1" t="s">
        <v>50</v>
      </c>
      <c r="G572" s="1">
        <v>88</v>
      </c>
      <c r="H572" s="23">
        <v>44984.977430555555</v>
      </c>
      <c r="I572" s="1" t="b">
        <v>0</v>
      </c>
      <c r="J572" s="1">
        <v>4</v>
      </c>
      <c r="K572" s="10">
        <f t="shared" si="42"/>
        <v>35.375000000058208</v>
      </c>
      <c r="L572" s="1" t="str">
        <f t="shared" si="43"/>
        <v>OK</v>
      </c>
      <c r="M572" s="1">
        <f t="shared" si="40"/>
        <v>1</v>
      </c>
      <c r="N572" s="1">
        <f t="shared" si="41"/>
        <v>88</v>
      </c>
      <c r="O572" s="10">
        <f t="shared" si="44"/>
        <v>35.375000000058208</v>
      </c>
    </row>
    <row r="573" spans="1:15">
      <c r="A573" s="1" t="s">
        <v>677</v>
      </c>
      <c r="B573" s="23">
        <v>44983.504166666666</v>
      </c>
      <c r="C573" s="1" t="s">
        <v>25</v>
      </c>
      <c r="D573" s="1" t="s">
        <v>26</v>
      </c>
      <c r="E573" s="1" t="s">
        <v>33</v>
      </c>
      <c r="F573" s="1" t="s">
        <v>162</v>
      </c>
      <c r="G573" s="1">
        <v>131</v>
      </c>
      <c r="H573" s="23">
        <v>44992.73537037037</v>
      </c>
      <c r="I573" s="1" t="b">
        <v>0</v>
      </c>
      <c r="K573" s="10">
        <f t="shared" si="42"/>
        <v>221.54888888890855</v>
      </c>
      <c r="L573" s="1" t="str">
        <f t="shared" si="43"/>
        <v>OK</v>
      </c>
      <c r="M573" s="1">
        <f t="shared" si="40"/>
        <v>1</v>
      </c>
      <c r="N573" s="1">
        <f t="shared" si="41"/>
        <v>131</v>
      </c>
      <c r="O573" s="10">
        <f t="shared" si="44"/>
        <v>221.54888888890855</v>
      </c>
    </row>
    <row r="574" spans="1:15">
      <c r="A574" s="1" t="s">
        <v>678</v>
      </c>
      <c r="B574" s="23">
        <v>44983.535416666666</v>
      </c>
      <c r="C574" s="1" t="s">
        <v>25</v>
      </c>
      <c r="D574" s="1" t="s">
        <v>17</v>
      </c>
      <c r="E574" s="1" t="s">
        <v>33</v>
      </c>
      <c r="F574" s="1" t="s">
        <v>64</v>
      </c>
      <c r="G574" s="1">
        <v>52</v>
      </c>
      <c r="H574" s="23">
        <v>44986.554942129631</v>
      </c>
      <c r="I574" s="1" t="b">
        <v>1</v>
      </c>
      <c r="K574" s="10">
        <f t="shared" si="42"/>
        <v>72.468611111165956</v>
      </c>
      <c r="L574" s="1" t="str">
        <f t="shared" si="43"/>
        <v>OK</v>
      </c>
      <c r="M574" s="1">
        <f t="shared" si="40"/>
        <v>1</v>
      </c>
      <c r="N574" s="1">
        <f t="shared" si="41"/>
        <v>52</v>
      </c>
      <c r="O574" s="10">
        <f t="shared" si="44"/>
        <v>72.468611111165956</v>
      </c>
    </row>
    <row r="575" spans="1:15">
      <c r="A575" s="1" t="s">
        <v>679</v>
      </c>
      <c r="B575" s="23">
        <v>44983.583333333336</v>
      </c>
      <c r="C575" s="1" t="s">
        <v>25</v>
      </c>
      <c r="D575" s="1" t="s">
        <v>17</v>
      </c>
      <c r="E575" s="1" t="s">
        <v>18</v>
      </c>
      <c r="F575" s="1" t="s">
        <v>29</v>
      </c>
      <c r="G575" s="1">
        <v>101</v>
      </c>
      <c r="H575" s="23">
        <v>44984.636493055557</v>
      </c>
      <c r="I575" s="1" t="b">
        <v>0</v>
      </c>
      <c r="K575" s="10">
        <f t="shared" si="42"/>
        <v>25.275833333318587</v>
      </c>
      <c r="L575" s="1" t="str">
        <f t="shared" si="43"/>
        <v>OK</v>
      </c>
      <c r="M575" s="1">
        <f t="shared" si="40"/>
        <v>1</v>
      </c>
      <c r="N575" s="1">
        <f t="shared" si="41"/>
        <v>101</v>
      </c>
      <c r="O575" s="10">
        <f t="shared" si="44"/>
        <v>25.275833333318587</v>
      </c>
    </row>
    <row r="576" spans="1:15">
      <c r="A576" s="1" t="s">
        <v>680</v>
      </c>
      <c r="B576" s="23">
        <v>44983.604861111111</v>
      </c>
      <c r="C576" s="1" t="s">
        <v>25</v>
      </c>
      <c r="D576" s="1" t="s">
        <v>12</v>
      </c>
      <c r="E576" s="1" t="s">
        <v>13</v>
      </c>
      <c r="F576" s="1" t="s">
        <v>66</v>
      </c>
      <c r="G576" s="1">
        <v>36</v>
      </c>
      <c r="H576" s="23">
        <v>44983.715717592589</v>
      </c>
      <c r="I576" s="1" t="b">
        <v>1</v>
      </c>
      <c r="K576" s="10">
        <f t="shared" si="42"/>
        <v>2.660555555485189</v>
      </c>
      <c r="L576" s="1" t="str">
        <f t="shared" si="43"/>
        <v>OK</v>
      </c>
      <c r="M576" s="1">
        <f t="shared" si="40"/>
        <v>1</v>
      </c>
      <c r="N576" s="1">
        <f t="shared" si="41"/>
        <v>36</v>
      </c>
      <c r="O576" s="10">
        <f t="shared" si="44"/>
        <v>2.660555555485189</v>
      </c>
    </row>
    <row r="577" spans="1:15">
      <c r="A577" s="1" t="s">
        <v>681</v>
      </c>
      <c r="B577" s="23">
        <v>44983.771527777775</v>
      </c>
      <c r="C577" s="1" t="s">
        <v>43</v>
      </c>
      <c r="D577" s="1" t="s">
        <v>17</v>
      </c>
      <c r="E577" s="1" t="s">
        <v>18</v>
      </c>
      <c r="F577" s="1" t="s">
        <v>178</v>
      </c>
      <c r="G577" s="1">
        <v>40</v>
      </c>
      <c r="H577" s="23">
        <v>44994.391828703701</v>
      </c>
      <c r="I577" s="1" t="b">
        <v>0</v>
      </c>
      <c r="K577" s="10">
        <f t="shared" si="42"/>
        <v>254.88722222222714</v>
      </c>
      <c r="L577" s="1" t="str">
        <f t="shared" si="43"/>
        <v>OK</v>
      </c>
      <c r="M577" s="1">
        <f t="shared" si="40"/>
        <v>1</v>
      </c>
      <c r="N577" s="1">
        <f t="shared" si="41"/>
        <v>40</v>
      </c>
      <c r="O577" s="10">
        <f t="shared" si="44"/>
        <v>254.88722222222714</v>
      </c>
    </row>
    <row r="578" spans="1:15">
      <c r="A578" s="1" t="s">
        <v>682</v>
      </c>
      <c r="B578" s="23">
        <v>44983.922222222223</v>
      </c>
      <c r="C578" s="1" t="s">
        <v>25</v>
      </c>
      <c r="D578" s="1" t="s">
        <v>21</v>
      </c>
      <c r="E578" s="1" t="s">
        <v>18</v>
      </c>
      <c r="F578" s="1" t="s">
        <v>52</v>
      </c>
      <c r="G578" s="1">
        <v>80</v>
      </c>
      <c r="H578" s="23">
        <v>44984.639803240738</v>
      </c>
      <c r="I578" s="1" t="b">
        <v>0</v>
      </c>
      <c r="K578" s="10">
        <f t="shared" si="42"/>
        <v>17.221944444347173</v>
      </c>
      <c r="L578" s="1" t="str">
        <f t="shared" si="43"/>
        <v>OK</v>
      </c>
      <c r="M578" s="1">
        <f t="shared" ref="M578:M641" si="45">COUNTIF($A$2:$A$4001,A578)</f>
        <v>1</v>
      </c>
      <c r="N578" s="1">
        <f t="shared" ref="N578:N641" si="46">IF(OR(L578="Review",G578=""),"",G578)</f>
        <v>80</v>
      </c>
      <c r="O578" s="10">
        <f t="shared" si="44"/>
        <v>17.221944444347173</v>
      </c>
    </row>
    <row r="579" spans="1:15">
      <c r="A579" s="1" t="s">
        <v>683</v>
      </c>
      <c r="B579" s="23">
        <v>44983.956250000003</v>
      </c>
      <c r="C579" s="1" t="s">
        <v>16</v>
      </c>
      <c r="D579" s="1" t="s">
        <v>17</v>
      </c>
      <c r="E579" s="1" t="s">
        <v>33</v>
      </c>
      <c r="F579" s="1" t="s">
        <v>112</v>
      </c>
      <c r="G579" s="1">
        <v>168</v>
      </c>
      <c r="I579" s="1" t="b">
        <v>0</v>
      </c>
      <c r="K579" s="10" t="str">
        <f t="shared" ref="K579:K642" si="47">IF(H579="","",(H579-B579)*24)</f>
        <v/>
      </c>
      <c r="L579" s="1" t="str">
        <f t="shared" ref="L579:L642" si="48">IF(OR(G579="",K579=""),"Cannot check",IF(G579&gt;K579*60,"Review","OK"))</f>
        <v>Cannot check</v>
      </c>
      <c r="M579" s="1">
        <f t="shared" si="45"/>
        <v>1</v>
      </c>
      <c r="N579" s="1">
        <f t="shared" si="46"/>
        <v>168</v>
      </c>
      <c r="O579" s="10" t="str">
        <f t="shared" ref="O579:O642" si="49">IF(OR(L579="Review",K579=""),"",K579)</f>
        <v/>
      </c>
    </row>
    <row r="580" spans="1:15">
      <c r="A580" s="1" t="s">
        <v>684</v>
      </c>
      <c r="B580" s="23">
        <v>44984.025694444441</v>
      </c>
      <c r="C580" s="1" t="s">
        <v>11</v>
      </c>
      <c r="D580" s="1" t="s">
        <v>17</v>
      </c>
      <c r="E580" s="1" t="s">
        <v>18</v>
      </c>
      <c r="F580" s="1" t="s">
        <v>41</v>
      </c>
      <c r="G580" s="1">
        <v>33</v>
      </c>
      <c r="H580" s="23">
        <v>45035.722418981481</v>
      </c>
      <c r="I580" s="1" t="b">
        <v>0</v>
      </c>
      <c r="K580" s="10">
        <f t="shared" si="47"/>
        <v>1240.7213888889528</v>
      </c>
      <c r="L580" s="1" t="str">
        <f t="shared" si="48"/>
        <v>OK</v>
      </c>
      <c r="M580" s="1">
        <f t="shared" si="45"/>
        <v>1</v>
      </c>
      <c r="N580" s="1">
        <f t="shared" si="46"/>
        <v>33</v>
      </c>
      <c r="O580" s="10">
        <f t="shared" si="49"/>
        <v>1240.7213888889528</v>
      </c>
    </row>
    <row r="581" spans="1:15">
      <c r="A581" s="1" t="s">
        <v>685</v>
      </c>
      <c r="B581" s="23">
        <v>44984.035416666666</v>
      </c>
      <c r="C581" s="1" t="s">
        <v>43</v>
      </c>
      <c r="D581" s="1" t="s">
        <v>21</v>
      </c>
      <c r="E581" s="1" t="s">
        <v>33</v>
      </c>
      <c r="F581" s="1" t="s">
        <v>37</v>
      </c>
      <c r="G581" s="1">
        <v>135</v>
      </c>
      <c r="H581" s="23">
        <v>44985.246134259258</v>
      </c>
      <c r="I581" s="1" t="b">
        <v>0</v>
      </c>
      <c r="J581" s="1">
        <v>5</v>
      </c>
      <c r="K581" s="10">
        <f t="shared" si="47"/>
        <v>29.057222222210839</v>
      </c>
      <c r="L581" s="1" t="str">
        <f t="shared" si="48"/>
        <v>OK</v>
      </c>
      <c r="M581" s="1">
        <f t="shared" si="45"/>
        <v>1</v>
      </c>
      <c r="N581" s="1">
        <f t="shared" si="46"/>
        <v>135</v>
      </c>
      <c r="O581" s="10">
        <f t="shared" si="49"/>
        <v>29.057222222210839</v>
      </c>
    </row>
    <row r="582" spans="1:15">
      <c r="A582" s="1" t="s">
        <v>686</v>
      </c>
      <c r="B582" s="23">
        <v>44984.040972222225</v>
      </c>
      <c r="C582" s="1" t="s">
        <v>25</v>
      </c>
      <c r="D582" s="1" t="s">
        <v>59</v>
      </c>
      <c r="E582" s="1" t="s">
        <v>18</v>
      </c>
      <c r="F582" s="1" t="s">
        <v>237</v>
      </c>
      <c r="G582" s="1">
        <v>260</v>
      </c>
      <c r="H582" s="23">
        <v>44985.304201388892</v>
      </c>
      <c r="I582" s="1" t="b">
        <v>1</v>
      </c>
      <c r="K582" s="10">
        <f t="shared" si="47"/>
        <v>30.317500000004657</v>
      </c>
      <c r="L582" s="1" t="str">
        <f t="shared" si="48"/>
        <v>OK</v>
      </c>
      <c r="M582" s="1">
        <f t="shared" si="45"/>
        <v>1</v>
      </c>
      <c r="N582" s="1">
        <f t="shared" si="46"/>
        <v>260</v>
      </c>
      <c r="O582" s="10">
        <f t="shared" si="49"/>
        <v>30.317500000004657</v>
      </c>
    </row>
    <row r="583" spans="1:15">
      <c r="A583" s="1" t="s">
        <v>687</v>
      </c>
      <c r="B583" s="23">
        <v>44984.083333333336</v>
      </c>
      <c r="C583" s="1" t="s">
        <v>16</v>
      </c>
      <c r="D583" s="1" t="s">
        <v>21</v>
      </c>
      <c r="E583" s="1" t="s">
        <v>33</v>
      </c>
      <c r="F583" s="1" t="s">
        <v>70</v>
      </c>
      <c r="G583" s="1">
        <v>170</v>
      </c>
      <c r="H583" s="23">
        <v>44988.779027777775</v>
      </c>
      <c r="I583" s="1" t="b">
        <v>0</v>
      </c>
      <c r="K583" s="10">
        <f t="shared" si="47"/>
        <v>112.69666666653939</v>
      </c>
      <c r="L583" s="1" t="str">
        <f t="shared" si="48"/>
        <v>OK</v>
      </c>
      <c r="M583" s="1">
        <f t="shared" si="45"/>
        <v>1</v>
      </c>
      <c r="N583" s="1">
        <f t="shared" si="46"/>
        <v>170</v>
      </c>
      <c r="O583" s="10">
        <f t="shared" si="49"/>
        <v>112.69666666653939</v>
      </c>
    </row>
    <row r="584" spans="1:15">
      <c r="A584" s="1" t="s">
        <v>688</v>
      </c>
      <c r="B584" s="23">
        <v>44984.158333333333</v>
      </c>
      <c r="C584" s="1" t="s">
        <v>43</v>
      </c>
      <c r="D584" s="1" t="s">
        <v>26</v>
      </c>
      <c r="E584" s="1" t="s">
        <v>18</v>
      </c>
      <c r="F584" s="1" t="s">
        <v>245</v>
      </c>
      <c r="G584" s="1">
        <v>146</v>
      </c>
      <c r="H584" s="23">
        <v>44985.577106481483</v>
      </c>
      <c r="I584" s="1" t="b">
        <v>0</v>
      </c>
      <c r="K584" s="10">
        <f t="shared" si="47"/>
        <v>34.050555555615574</v>
      </c>
      <c r="L584" s="1" t="str">
        <f t="shared" si="48"/>
        <v>OK</v>
      </c>
      <c r="M584" s="1">
        <f t="shared" si="45"/>
        <v>1</v>
      </c>
      <c r="N584" s="1">
        <f t="shared" si="46"/>
        <v>146</v>
      </c>
      <c r="O584" s="10">
        <f t="shared" si="49"/>
        <v>34.050555555615574</v>
      </c>
    </row>
    <row r="585" spans="1:15">
      <c r="A585" s="1" t="s">
        <v>689</v>
      </c>
      <c r="B585" s="23">
        <v>44984.1875</v>
      </c>
      <c r="C585" s="1" t="s">
        <v>25</v>
      </c>
      <c r="D585" s="1" t="s">
        <v>21</v>
      </c>
      <c r="E585" s="1" t="s">
        <v>18</v>
      </c>
      <c r="F585" s="1" t="s">
        <v>98</v>
      </c>
      <c r="G585" s="1">
        <v>143</v>
      </c>
      <c r="H585" s="23">
        <v>44984.324907407405</v>
      </c>
      <c r="I585" s="1" t="b">
        <v>0</v>
      </c>
      <c r="J585" s="1">
        <v>4</v>
      </c>
      <c r="K585" s="10">
        <f t="shared" si="47"/>
        <v>3.2977777777123265</v>
      </c>
      <c r="L585" s="1" t="str">
        <f t="shared" si="48"/>
        <v>OK</v>
      </c>
      <c r="M585" s="1">
        <f t="shared" si="45"/>
        <v>1</v>
      </c>
      <c r="N585" s="1">
        <f t="shared" si="46"/>
        <v>143</v>
      </c>
      <c r="O585" s="10">
        <f t="shared" si="49"/>
        <v>3.2977777777123265</v>
      </c>
    </row>
    <row r="586" spans="1:15">
      <c r="A586" s="1" t="s">
        <v>690</v>
      </c>
      <c r="B586" s="23">
        <v>44984.324305555558</v>
      </c>
      <c r="C586" s="1" t="s">
        <v>16</v>
      </c>
      <c r="D586" s="1" t="s">
        <v>59</v>
      </c>
      <c r="E586" s="1" t="s">
        <v>18</v>
      </c>
      <c r="F586" s="1" t="s">
        <v>162</v>
      </c>
      <c r="G586" s="1">
        <v>64</v>
      </c>
      <c r="H586" s="23">
        <v>44984.681701388887</v>
      </c>
      <c r="I586" s="1" t="b">
        <v>0</v>
      </c>
      <c r="J586" s="1">
        <v>4</v>
      </c>
      <c r="K586" s="10">
        <f t="shared" si="47"/>
        <v>8.5774999998975545</v>
      </c>
      <c r="L586" s="1" t="str">
        <f t="shared" si="48"/>
        <v>OK</v>
      </c>
      <c r="M586" s="1">
        <f t="shared" si="45"/>
        <v>1</v>
      </c>
      <c r="N586" s="1">
        <f t="shared" si="46"/>
        <v>64</v>
      </c>
      <c r="O586" s="10">
        <f t="shared" si="49"/>
        <v>8.5774999998975545</v>
      </c>
    </row>
    <row r="587" spans="1:15">
      <c r="A587" s="1" t="s">
        <v>691</v>
      </c>
      <c r="B587" s="23">
        <v>44984.439583333333</v>
      </c>
      <c r="C587" s="1" t="s">
        <v>25</v>
      </c>
      <c r="D587" s="1" t="s">
        <v>17</v>
      </c>
      <c r="E587" s="1" t="s">
        <v>18</v>
      </c>
      <c r="F587" s="1" t="s">
        <v>84</v>
      </c>
      <c r="G587" s="1">
        <v>21</v>
      </c>
      <c r="H587" s="23">
        <v>44985.62060185185</v>
      </c>
      <c r="I587" s="1" t="b">
        <v>0</v>
      </c>
      <c r="K587" s="10">
        <f t="shared" si="47"/>
        <v>28.344444444403052</v>
      </c>
      <c r="L587" s="1" t="str">
        <f t="shared" si="48"/>
        <v>OK</v>
      </c>
      <c r="M587" s="1">
        <f t="shared" si="45"/>
        <v>1</v>
      </c>
      <c r="N587" s="1">
        <f t="shared" si="46"/>
        <v>21</v>
      </c>
      <c r="O587" s="10">
        <f t="shared" si="49"/>
        <v>28.344444444403052</v>
      </c>
    </row>
    <row r="588" spans="1:15">
      <c r="A588" s="1" t="s">
        <v>692</v>
      </c>
      <c r="B588" s="23">
        <v>44984.497916666667</v>
      </c>
      <c r="C588" s="1" t="s">
        <v>16</v>
      </c>
      <c r="D588" s="1" t="s">
        <v>21</v>
      </c>
      <c r="E588" s="1" t="s">
        <v>33</v>
      </c>
      <c r="F588" s="1" t="s">
        <v>96</v>
      </c>
      <c r="G588" s="1">
        <v>569</v>
      </c>
      <c r="H588" s="23">
        <v>44988.987233796295</v>
      </c>
      <c r="I588" s="1" t="b">
        <v>0</v>
      </c>
      <c r="K588" s="10">
        <f t="shared" si="47"/>
        <v>107.74361111107282</v>
      </c>
      <c r="L588" s="1" t="str">
        <f t="shared" si="48"/>
        <v>OK</v>
      </c>
      <c r="M588" s="1">
        <f t="shared" si="45"/>
        <v>1</v>
      </c>
      <c r="N588" s="1">
        <f t="shared" si="46"/>
        <v>569</v>
      </c>
      <c r="O588" s="10">
        <f t="shared" si="49"/>
        <v>107.74361111107282</v>
      </c>
    </row>
    <row r="589" spans="1:15">
      <c r="A589" s="1" t="s">
        <v>693</v>
      </c>
      <c r="B589" s="23">
        <v>44984.500694444447</v>
      </c>
      <c r="C589" s="1" t="s">
        <v>11</v>
      </c>
      <c r="D589" s="1" t="s">
        <v>21</v>
      </c>
      <c r="E589" s="1" t="s">
        <v>13</v>
      </c>
      <c r="F589" s="1" t="s">
        <v>41</v>
      </c>
      <c r="G589" s="1">
        <v>64</v>
      </c>
      <c r="H589" s="23">
        <v>44985.760381944441</v>
      </c>
      <c r="I589" s="1" t="b">
        <v>0</v>
      </c>
      <c r="K589" s="10">
        <f t="shared" si="47"/>
        <v>30.232499999867287</v>
      </c>
      <c r="L589" s="1" t="str">
        <f t="shared" si="48"/>
        <v>OK</v>
      </c>
      <c r="M589" s="1">
        <f t="shared" si="45"/>
        <v>1</v>
      </c>
      <c r="N589" s="1">
        <f t="shared" si="46"/>
        <v>64</v>
      </c>
      <c r="O589" s="10">
        <f t="shared" si="49"/>
        <v>30.232499999867287</v>
      </c>
    </row>
    <row r="590" spans="1:15">
      <c r="A590" s="1" t="s">
        <v>694</v>
      </c>
      <c r="B590" s="23">
        <v>44984.520833333336</v>
      </c>
      <c r="C590" s="1" t="s">
        <v>16</v>
      </c>
      <c r="D590" s="1" t="s">
        <v>21</v>
      </c>
      <c r="E590" s="1" t="s">
        <v>13</v>
      </c>
      <c r="F590" s="1" t="s">
        <v>76</v>
      </c>
      <c r="G590" s="1">
        <v>71</v>
      </c>
      <c r="I590" s="1" t="b">
        <v>0</v>
      </c>
      <c r="K590" s="10" t="str">
        <f t="shared" si="47"/>
        <v/>
      </c>
      <c r="L590" s="1" t="str">
        <f t="shared" si="48"/>
        <v>Cannot check</v>
      </c>
      <c r="M590" s="1">
        <f t="shared" si="45"/>
        <v>1</v>
      </c>
      <c r="N590" s="1">
        <f t="shared" si="46"/>
        <v>71</v>
      </c>
      <c r="O590" s="10" t="str">
        <f t="shared" si="49"/>
        <v/>
      </c>
    </row>
    <row r="591" spans="1:15">
      <c r="A591" s="1" t="s">
        <v>695</v>
      </c>
      <c r="B591" s="23">
        <v>44984.56527777778</v>
      </c>
      <c r="C591" s="1" t="s">
        <v>25</v>
      </c>
      <c r="D591" s="1" t="s">
        <v>59</v>
      </c>
      <c r="E591" s="1" t="s">
        <v>13</v>
      </c>
      <c r="F591" s="1" t="s">
        <v>198</v>
      </c>
      <c r="G591" s="1">
        <v>135</v>
      </c>
      <c r="H591" s="23">
        <v>44984.632164351853</v>
      </c>
      <c r="I591" s="1" t="b">
        <v>0</v>
      </c>
      <c r="K591" s="10">
        <f t="shared" si="47"/>
        <v>1.6052777777658775</v>
      </c>
      <c r="L591" s="1" t="str">
        <f t="shared" si="48"/>
        <v>Review</v>
      </c>
      <c r="M591" s="1">
        <f t="shared" si="45"/>
        <v>1</v>
      </c>
      <c r="N591" s="1" t="str">
        <f t="shared" si="46"/>
        <v/>
      </c>
      <c r="O591" s="10" t="str">
        <f t="shared" si="49"/>
        <v/>
      </c>
    </row>
    <row r="592" spans="1:15">
      <c r="A592" s="1" t="s">
        <v>696</v>
      </c>
      <c r="B592" s="23">
        <v>44984.774305555555</v>
      </c>
      <c r="C592" s="1" t="s">
        <v>16</v>
      </c>
      <c r="D592" s="1" t="s">
        <v>26</v>
      </c>
      <c r="E592" s="1" t="s">
        <v>18</v>
      </c>
      <c r="F592" s="1" t="s">
        <v>128</v>
      </c>
      <c r="G592" s="1">
        <v>129</v>
      </c>
      <c r="H592" s="23">
        <v>44986.991967592592</v>
      </c>
      <c r="I592" s="1" t="b">
        <v>0</v>
      </c>
      <c r="J592" s="1">
        <v>5</v>
      </c>
      <c r="K592" s="10">
        <f t="shared" si="47"/>
        <v>53.223888888896909</v>
      </c>
      <c r="L592" s="1" t="str">
        <f t="shared" si="48"/>
        <v>OK</v>
      </c>
      <c r="M592" s="1">
        <f t="shared" si="45"/>
        <v>1</v>
      </c>
      <c r="N592" s="1">
        <f t="shared" si="46"/>
        <v>129</v>
      </c>
      <c r="O592" s="10">
        <f t="shared" si="49"/>
        <v>53.223888888896909</v>
      </c>
    </row>
    <row r="593" spans="1:15">
      <c r="A593" s="1" t="s">
        <v>697</v>
      </c>
      <c r="B593" s="23">
        <v>44985</v>
      </c>
      <c r="C593" s="1" t="s">
        <v>16</v>
      </c>
      <c r="D593" s="1" t="s">
        <v>21</v>
      </c>
      <c r="E593" s="1" t="s">
        <v>13</v>
      </c>
      <c r="F593" s="1" t="s">
        <v>162</v>
      </c>
      <c r="G593" s="1">
        <v>57</v>
      </c>
      <c r="H593" s="23">
        <v>44985.194328703707</v>
      </c>
      <c r="I593" s="1" t="b">
        <v>0</v>
      </c>
      <c r="K593" s="10">
        <f t="shared" si="47"/>
        <v>4.6638888889574446</v>
      </c>
      <c r="L593" s="1" t="str">
        <f t="shared" si="48"/>
        <v>OK</v>
      </c>
      <c r="M593" s="1">
        <f t="shared" si="45"/>
        <v>1</v>
      </c>
      <c r="N593" s="1">
        <f t="shared" si="46"/>
        <v>57</v>
      </c>
      <c r="O593" s="10">
        <f t="shared" si="49"/>
        <v>4.6638888889574446</v>
      </c>
    </row>
    <row r="594" spans="1:15">
      <c r="A594" s="1" t="s">
        <v>698</v>
      </c>
      <c r="B594" s="23">
        <v>44985.025694444441</v>
      </c>
      <c r="C594" s="1" t="s">
        <v>43</v>
      </c>
      <c r="D594" s="1" t="s">
        <v>21</v>
      </c>
      <c r="E594" s="1" t="s">
        <v>33</v>
      </c>
      <c r="F594" s="1" t="s">
        <v>84</v>
      </c>
      <c r="G594" s="1">
        <v>378</v>
      </c>
      <c r="H594" s="23">
        <v>44986.254027777781</v>
      </c>
      <c r="I594" s="1" t="b">
        <v>0</v>
      </c>
      <c r="K594" s="10">
        <f t="shared" si="47"/>
        <v>29.480000000155997</v>
      </c>
      <c r="L594" s="1" t="str">
        <f t="shared" si="48"/>
        <v>OK</v>
      </c>
      <c r="M594" s="1">
        <f t="shared" si="45"/>
        <v>1</v>
      </c>
      <c r="N594" s="1">
        <f t="shared" si="46"/>
        <v>378</v>
      </c>
      <c r="O594" s="10">
        <f t="shared" si="49"/>
        <v>29.480000000155997</v>
      </c>
    </row>
    <row r="595" spans="1:15">
      <c r="A595" s="1" t="s">
        <v>699</v>
      </c>
      <c r="B595" s="23">
        <v>44985.048611111109</v>
      </c>
      <c r="C595" s="1" t="s">
        <v>25</v>
      </c>
      <c r="D595" s="1" t="s">
        <v>26</v>
      </c>
      <c r="E595" s="1" t="s">
        <v>18</v>
      </c>
      <c r="F595" s="1" t="s">
        <v>120</v>
      </c>
      <c r="G595" s="1">
        <v>50</v>
      </c>
      <c r="H595" s="23">
        <v>44986.034305555557</v>
      </c>
      <c r="I595" s="1" t="b">
        <v>1</v>
      </c>
      <c r="K595" s="10">
        <f t="shared" si="47"/>
        <v>23.656666666734964</v>
      </c>
      <c r="L595" s="1" t="str">
        <f t="shared" si="48"/>
        <v>OK</v>
      </c>
      <c r="M595" s="1">
        <f t="shared" si="45"/>
        <v>1</v>
      </c>
      <c r="N595" s="1">
        <f t="shared" si="46"/>
        <v>50</v>
      </c>
      <c r="O595" s="10">
        <f t="shared" si="49"/>
        <v>23.656666666734964</v>
      </c>
    </row>
    <row r="596" spans="1:15">
      <c r="A596" s="1" t="s">
        <v>700</v>
      </c>
      <c r="B596" s="23">
        <v>44985.060416666667</v>
      </c>
      <c r="C596" s="1" t="s">
        <v>11</v>
      </c>
      <c r="D596" s="1" t="s">
        <v>59</v>
      </c>
      <c r="E596" s="1" t="s">
        <v>18</v>
      </c>
      <c r="F596" s="1" t="s">
        <v>100</v>
      </c>
      <c r="G596" s="1">
        <v>33</v>
      </c>
      <c r="H596" s="23">
        <v>44985.224537037036</v>
      </c>
      <c r="I596" s="1" t="b">
        <v>0</v>
      </c>
      <c r="K596" s="10">
        <f t="shared" si="47"/>
        <v>3.9388888888643123</v>
      </c>
      <c r="L596" s="1" t="str">
        <f t="shared" si="48"/>
        <v>OK</v>
      </c>
      <c r="M596" s="1">
        <f t="shared" si="45"/>
        <v>1</v>
      </c>
      <c r="N596" s="1">
        <f t="shared" si="46"/>
        <v>33</v>
      </c>
      <c r="O596" s="10">
        <f t="shared" si="49"/>
        <v>3.9388888888643123</v>
      </c>
    </row>
    <row r="597" spans="1:15">
      <c r="A597" s="1" t="s">
        <v>701</v>
      </c>
      <c r="B597" s="23">
        <v>44985.068749999999</v>
      </c>
      <c r="C597" s="1" t="s">
        <v>25</v>
      </c>
      <c r="D597" s="1" t="s">
        <v>17</v>
      </c>
      <c r="E597" s="1" t="s">
        <v>33</v>
      </c>
      <c r="F597" s="1" t="s">
        <v>104</v>
      </c>
      <c r="G597" s="1">
        <v>195</v>
      </c>
      <c r="H597" s="23">
        <v>44991.612060185187</v>
      </c>
      <c r="I597" s="1" t="b">
        <v>0</v>
      </c>
      <c r="J597" s="1">
        <v>5</v>
      </c>
      <c r="K597" s="10">
        <f t="shared" si="47"/>
        <v>157.03944444452645</v>
      </c>
      <c r="L597" s="1" t="str">
        <f t="shared" si="48"/>
        <v>OK</v>
      </c>
      <c r="M597" s="1">
        <f t="shared" si="45"/>
        <v>1</v>
      </c>
      <c r="N597" s="1">
        <f t="shared" si="46"/>
        <v>195</v>
      </c>
      <c r="O597" s="10">
        <f t="shared" si="49"/>
        <v>157.03944444452645</v>
      </c>
    </row>
    <row r="598" spans="1:15">
      <c r="A598" s="1" t="s">
        <v>702</v>
      </c>
      <c r="B598" s="23">
        <v>44985.144444444442</v>
      </c>
      <c r="C598" s="1" t="s">
        <v>11</v>
      </c>
      <c r="D598" s="1" t="s">
        <v>17</v>
      </c>
      <c r="E598" s="1" t="s">
        <v>18</v>
      </c>
      <c r="F598" s="1" t="s">
        <v>120</v>
      </c>
      <c r="G598" s="1">
        <v>63</v>
      </c>
      <c r="H598" s="23">
        <v>44986.476909722223</v>
      </c>
      <c r="I598" s="1" t="b">
        <v>0</v>
      </c>
      <c r="J598" s="1">
        <v>1</v>
      </c>
      <c r="K598" s="10">
        <f t="shared" si="47"/>
        <v>31.979166666744277</v>
      </c>
      <c r="L598" s="1" t="str">
        <f t="shared" si="48"/>
        <v>OK</v>
      </c>
      <c r="M598" s="1">
        <f t="shared" si="45"/>
        <v>1</v>
      </c>
      <c r="N598" s="1">
        <f t="shared" si="46"/>
        <v>63</v>
      </c>
      <c r="O598" s="10">
        <f t="shared" si="49"/>
        <v>31.979166666744277</v>
      </c>
    </row>
    <row r="599" spans="1:15">
      <c r="A599" s="1" t="s">
        <v>703</v>
      </c>
      <c r="B599" s="23">
        <v>44985.161805555559</v>
      </c>
      <c r="C599" s="1" t="s">
        <v>11</v>
      </c>
      <c r="D599" s="1" t="s">
        <v>17</v>
      </c>
      <c r="E599" s="1" t="s">
        <v>13</v>
      </c>
      <c r="F599" s="1" t="s">
        <v>92</v>
      </c>
      <c r="G599" s="1">
        <v>36</v>
      </c>
      <c r="H599" s="23">
        <v>44985.541863425926</v>
      </c>
      <c r="I599" s="1" t="b">
        <v>0</v>
      </c>
      <c r="K599" s="10">
        <f t="shared" si="47"/>
        <v>9.121388888801448</v>
      </c>
      <c r="L599" s="1" t="str">
        <f t="shared" si="48"/>
        <v>OK</v>
      </c>
      <c r="M599" s="1">
        <f t="shared" si="45"/>
        <v>1</v>
      </c>
      <c r="N599" s="1">
        <f t="shared" si="46"/>
        <v>36</v>
      </c>
      <c r="O599" s="10">
        <f t="shared" si="49"/>
        <v>9.121388888801448</v>
      </c>
    </row>
    <row r="600" spans="1:15">
      <c r="A600" s="1" t="s">
        <v>704</v>
      </c>
      <c r="B600" s="23">
        <v>44985.220833333333</v>
      </c>
      <c r="C600" s="1" t="s">
        <v>11</v>
      </c>
      <c r="D600" s="1" t="s">
        <v>21</v>
      </c>
      <c r="E600" s="1" t="s">
        <v>33</v>
      </c>
      <c r="F600" s="1" t="s">
        <v>228</v>
      </c>
      <c r="G600" s="1">
        <v>228</v>
      </c>
      <c r="H600" s="23">
        <v>44998.932280092595</v>
      </c>
      <c r="I600" s="1" t="b">
        <v>0</v>
      </c>
      <c r="J600" s="1">
        <v>1</v>
      </c>
      <c r="K600" s="10">
        <f t="shared" si="47"/>
        <v>329.07472222228535</v>
      </c>
      <c r="L600" s="1" t="str">
        <f t="shared" si="48"/>
        <v>OK</v>
      </c>
      <c r="M600" s="1">
        <f t="shared" si="45"/>
        <v>1</v>
      </c>
      <c r="N600" s="1">
        <f t="shared" si="46"/>
        <v>228</v>
      </c>
      <c r="O600" s="10">
        <f t="shared" si="49"/>
        <v>329.07472222228535</v>
      </c>
    </row>
    <row r="601" spans="1:15">
      <c r="A601" s="1" t="s">
        <v>705</v>
      </c>
      <c r="B601" s="23">
        <v>44985.231944444444</v>
      </c>
      <c r="C601" s="1" t="s">
        <v>11</v>
      </c>
      <c r="D601" s="1" t="s">
        <v>59</v>
      </c>
      <c r="E601" s="1" t="s">
        <v>18</v>
      </c>
      <c r="F601" s="1" t="s">
        <v>148</v>
      </c>
      <c r="G601" s="1">
        <v>169</v>
      </c>
      <c r="H601" s="23">
        <v>44990.756921296299</v>
      </c>
      <c r="I601" s="1" t="b">
        <v>0</v>
      </c>
      <c r="K601" s="10">
        <f t="shared" si="47"/>
        <v>132.59944444452412</v>
      </c>
      <c r="L601" s="1" t="str">
        <f t="shared" si="48"/>
        <v>OK</v>
      </c>
      <c r="M601" s="1">
        <f t="shared" si="45"/>
        <v>1</v>
      </c>
      <c r="N601" s="1">
        <f t="shared" si="46"/>
        <v>169</v>
      </c>
      <c r="O601" s="10">
        <f t="shared" si="49"/>
        <v>132.59944444452412</v>
      </c>
    </row>
    <row r="602" spans="1:15">
      <c r="A602" s="1" t="s">
        <v>706</v>
      </c>
      <c r="B602" s="23">
        <v>44985.250694444447</v>
      </c>
      <c r="C602" s="1" t="s">
        <v>25</v>
      </c>
      <c r="D602" s="1" t="s">
        <v>21</v>
      </c>
      <c r="E602" s="1" t="s">
        <v>18</v>
      </c>
      <c r="F602" s="1" t="s">
        <v>178</v>
      </c>
      <c r="G602" s="1">
        <v>42</v>
      </c>
      <c r="H602" s="23">
        <v>44985.606736111113</v>
      </c>
      <c r="I602" s="1" t="b">
        <v>0</v>
      </c>
      <c r="K602" s="10">
        <f t="shared" si="47"/>
        <v>8.5449999999837019</v>
      </c>
      <c r="L602" s="1" t="str">
        <f t="shared" si="48"/>
        <v>OK</v>
      </c>
      <c r="M602" s="1">
        <f t="shared" si="45"/>
        <v>1</v>
      </c>
      <c r="N602" s="1">
        <f t="shared" si="46"/>
        <v>42</v>
      </c>
      <c r="O602" s="10">
        <f t="shared" si="49"/>
        <v>8.5449999999837019</v>
      </c>
    </row>
    <row r="603" spans="1:15">
      <c r="A603" s="1" t="s">
        <v>707</v>
      </c>
      <c r="B603" s="23">
        <v>44985.272222222222</v>
      </c>
      <c r="C603" s="1" t="s">
        <v>16</v>
      </c>
      <c r="D603" s="1" t="s">
        <v>21</v>
      </c>
      <c r="E603" s="1" t="s">
        <v>13</v>
      </c>
      <c r="F603" s="1" t="s">
        <v>52</v>
      </c>
      <c r="G603" s="1">
        <v>6</v>
      </c>
      <c r="H603" s="23">
        <v>44985.419328703705</v>
      </c>
      <c r="I603" s="1" t="b">
        <v>0</v>
      </c>
      <c r="K603" s="10">
        <f t="shared" si="47"/>
        <v>3.5305555555969477</v>
      </c>
      <c r="L603" s="1" t="str">
        <f t="shared" si="48"/>
        <v>OK</v>
      </c>
      <c r="M603" s="1">
        <f t="shared" si="45"/>
        <v>1</v>
      </c>
      <c r="N603" s="1">
        <f t="shared" si="46"/>
        <v>6</v>
      </c>
      <c r="O603" s="10">
        <f t="shared" si="49"/>
        <v>3.5305555555969477</v>
      </c>
    </row>
    <row r="604" spans="1:15">
      <c r="A604" s="1" t="s">
        <v>708</v>
      </c>
      <c r="B604" s="23">
        <v>44985.288194444445</v>
      </c>
      <c r="C604" s="1" t="s">
        <v>25</v>
      </c>
      <c r="D604" s="1" t="s">
        <v>12</v>
      </c>
      <c r="E604" s="1" t="s">
        <v>22</v>
      </c>
      <c r="F604" s="1" t="s">
        <v>709</v>
      </c>
      <c r="G604" s="1">
        <v>10</v>
      </c>
      <c r="H604" s="23">
        <v>44985.515682870369</v>
      </c>
      <c r="I604" s="1" t="b">
        <v>0</v>
      </c>
      <c r="K604" s="10">
        <f t="shared" si="47"/>
        <v>5.4597222221782431</v>
      </c>
      <c r="L604" s="1" t="str">
        <f t="shared" si="48"/>
        <v>OK</v>
      </c>
      <c r="M604" s="1">
        <f t="shared" si="45"/>
        <v>1</v>
      </c>
      <c r="N604" s="1">
        <f t="shared" si="46"/>
        <v>10</v>
      </c>
      <c r="O604" s="10">
        <f t="shared" si="49"/>
        <v>5.4597222221782431</v>
      </c>
    </row>
    <row r="605" spans="1:15">
      <c r="A605" s="1" t="s">
        <v>710</v>
      </c>
      <c r="B605" s="23">
        <v>44985.402083333334</v>
      </c>
      <c r="C605" s="1" t="s">
        <v>11</v>
      </c>
      <c r="D605" s="1" t="s">
        <v>12</v>
      </c>
      <c r="E605" s="1" t="s">
        <v>18</v>
      </c>
      <c r="F605" s="1" t="s">
        <v>60</v>
      </c>
      <c r="G605" s="1">
        <v>422</v>
      </c>
      <c r="H605" s="23">
        <v>44991.444687499999</v>
      </c>
      <c r="I605" s="1" t="b">
        <v>0</v>
      </c>
      <c r="K605" s="10">
        <f t="shared" si="47"/>
        <v>145.02249999996275</v>
      </c>
      <c r="L605" s="1" t="str">
        <f t="shared" si="48"/>
        <v>OK</v>
      </c>
      <c r="M605" s="1">
        <f t="shared" si="45"/>
        <v>1</v>
      </c>
      <c r="N605" s="1">
        <f t="shared" si="46"/>
        <v>422</v>
      </c>
      <c r="O605" s="10">
        <f t="shared" si="49"/>
        <v>145.02249999996275</v>
      </c>
    </row>
    <row r="606" spans="1:15">
      <c r="A606" s="1" t="s">
        <v>711</v>
      </c>
      <c r="B606" s="23">
        <v>44985.518055555556</v>
      </c>
      <c r="C606" s="1" t="s">
        <v>16</v>
      </c>
      <c r="D606" s="1" t="s">
        <v>21</v>
      </c>
      <c r="E606" s="1" t="s">
        <v>33</v>
      </c>
      <c r="F606" s="1" t="s">
        <v>224</v>
      </c>
      <c r="G606" s="1">
        <v>65</v>
      </c>
      <c r="H606" s="23">
        <v>44986.45207175926</v>
      </c>
      <c r="I606" s="1" t="b">
        <v>0</v>
      </c>
      <c r="K606" s="10">
        <f t="shared" si="47"/>
        <v>22.416388888901565</v>
      </c>
      <c r="L606" s="1" t="str">
        <f t="shared" si="48"/>
        <v>OK</v>
      </c>
      <c r="M606" s="1">
        <f t="shared" si="45"/>
        <v>1</v>
      </c>
      <c r="N606" s="1">
        <f t="shared" si="46"/>
        <v>65</v>
      </c>
      <c r="O606" s="10">
        <f t="shared" si="49"/>
        <v>22.416388888901565</v>
      </c>
    </row>
    <row r="607" spans="1:15">
      <c r="A607" s="1" t="s">
        <v>712</v>
      </c>
      <c r="B607" s="23">
        <v>44985.57708333333</v>
      </c>
      <c r="C607" s="1" t="s">
        <v>16</v>
      </c>
      <c r="D607" s="1" t="s">
        <v>21</v>
      </c>
      <c r="E607" s="1" t="s">
        <v>18</v>
      </c>
      <c r="F607" s="1" t="s">
        <v>14</v>
      </c>
      <c r="G607" s="1">
        <v>102</v>
      </c>
      <c r="H607" s="23">
        <v>44988.163449074076</v>
      </c>
      <c r="I607" s="1" t="b">
        <v>0</v>
      </c>
      <c r="K607" s="10">
        <f t="shared" si="47"/>
        <v>62.072777777910233</v>
      </c>
      <c r="L607" s="1" t="str">
        <f t="shared" si="48"/>
        <v>OK</v>
      </c>
      <c r="M607" s="1">
        <f t="shared" si="45"/>
        <v>1</v>
      </c>
      <c r="N607" s="1">
        <f t="shared" si="46"/>
        <v>102</v>
      </c>
      <c r="O607" s="10">
        <f t="shared" si="49"/>
        <v>62.072777777910233</v>
      </c>
    </row>
    <row r="608" spans="1:15">
      <c r="A608" s="1" t="s">
        <v>713</v>
      </c>
      <c r="B608" s="23">
        <v>44985.597222222219</v>
      </c>
      <c r="C608" s="1" t="s">
        <v>25</v>
      </c>
      <c r="D608" s="1" t="s">
        <v>21</v>
      </c>
      <c r="E608" s="1" t="s">
        <v>33</v>
      </c>
      <c r="F608" s="1" t="s">
        <v>130</v>
      </c>
      <c r="G608" s="1">
        <v>654</v>
      </c>
      <c r="H608" s="23">
        <v>44988.866724537038</v>
      </c>
      <c r="I608" s="1" t="b">
        <v>0</v>
      </c>
      <c r="K608" s="10">
        <f t="shared" si="47"/>
        <v>78.468055555655155</v>
      </c>
      <c r="L608" s="1" t="str">
        <f t="shared" si="48"/>
        <v>OK</v>
      </c>
      <c r="M608" s="1">
        <f t="shared" si="45"/>
        <v>1</v>
      </c>
      <c r="N608" s="1">
        <f t="shared" si="46"/>
        <v>654</v>
      </c>
      <c r="O608" s="10">
        <f t="shared" si="49"/>
        <v>78.468055555655155</v>
      </c>
    </row>
    <row r="609" spans="1:15">
      <c r="A609" s="1" t="s">
        <v>714</v>
      </c>
      <c r="B609" s="23">
        <v>44985.640277777777</v>
      </c>
      <c r="C609" s="1" t="s">
        <v>16</v>
      </c>
      <c r="D609" s="1" t="s">
        <v>17</v>
      </c>
      <c r="E609" s="1" t="s">
        <v>22</v>
      </c>
      <c r="F609" s="1" t="s">
        <v>198</v>
      </c>
      <c r="G609" s="1">
        <v>54</v>
      </c>
      <c r="H609" s="23">
        <v>44985.964166666665</v>
      </c>
      <c r="I609" s="1" t="b">
        <v>0</v>
      </c>
      <c r="J609" s="1">
        <v>5</v>
      </c>
      <c r="K609" s="10">
        <f t="shared" si="47"/>
        <v>7.7733333333162591</v>
      </c>
      <c r="L609" s="1" t="str">
        <f t="shared" si="48"/>
        <v>OK</v>
      </c>
      <c r="M609" s="1">
        <f t="shared" si="45"/>
        <v>1</v>
      </c>
      <c r="N609" s="1">
        <f t="shared" si="46"/>
        <v>54</v>
      </c>
      <c r="O609" s="10">
        <f t="shared" si="49"/>
        <v>7.7733333333162591</v>
      </c>
    </row>
    <row r="610" spans="1:15">
      <c r="A610" s="1" t="s">
        <v>715</v>
      </c>
      <c r="B610" s="23">
        <v>44985.760416666664</v>
      </c>
      <c r="C610" s="1" t="s">
        <v>16</v>
      </c>
      <c r="D610" s="1" t="s">
        <v>59</v>
      </c>
      <c r="E610" s="1" t="s">
        <v>22</v>
      </c>
      <c r="F610" s="1" t="s">
        <v>186</v>
      </c>
      <c r="G610" s="1">
        <v>18</v>
      </c>
      <c r="H610" s="23">
        <v>44985.822476851848</v>
      </c>
      <c r="I610" s="1" t="b">
        <v>0</v>
      </c>
      <c r="J610" s="1">
        <v>5</v>
      </c>
      <c r="K610" s="10">
        <f t="shared" si="47"/>
        <v>1.4894444444216788</v>
      </c>
      <c r="L610" s="1" t="str">
        <f t="shared" si="48"/>
        <v>OK</v>
      </c>
      <c r="M610" s="1">
        <f t="shared" si="45"/>
        <v>1</v>
      </c>
      <c r="N610" s="1">
        <f t="shared" si="46"/>
        <v>18</v>
      </c>
      <c r="O610" s="10">
        <f t="shared" si="49"/>
        <v>1.4894444444216788</v>
      </c>
    </row>
    <row r="611" spans="1:15">
      <c r="A611" s="1" t="s">
        <v>716</v>
      </c>
      <c r="B611" s="23">
        <v>44985.837500000001</v>
      </c>
      <c r="C611" s="1" t="s">
        <v>11</v>
      </c>
      <c r="D611" s="1" t="s">
        <v>26</v>
      </c>
      <c r="E611" s="1" t="s">
        <v>22</v>
      </c>
      <c r="F611" s="1" t="s">
        <v>116</v>
      </c>
      <c r="G611" s="1">
        <v>22</v>
      </c>
      <c r="H611" s="23">
        <v>44985.927824074075</v>
      </c>
      <c r="I611" s="1" t="b">
        <v>0</v>
      </c>
      <c r="J611" s="1">
        <v>4</v>
      </c>
      <c r="K611" s="10">
        <f t="shared" si="47"/>
        <v>2.1677777777658775</v>
      </c>
      <c r="L611" s="1" t="str">
        <f t="shared" si="48"/>
        <v>OK</v>
      </c>
      <c r="M611" s="1">
        <f t="shared" si="45"/>
        <v>1</v>
      </c>
      <c r="N611" s="1">
        <f t="shared" si="46"/>
        <v>22</v>
      </c>
      <c r="O611" s="10">
        <f t="shared" si="49"/>
        <v>2.1677777777658775</v>
      </c>
    </row>
    <row r="612" spans="1:15">
      <c r="A612" s="1" t="s">
        <v>717</v>
      </c>
      <c r="B612" s="23">
        <v>44986.007638888892</v>
      </c>
      <c r="C612" s="1" t="s">
        <v>16</v>
      </c>
      <c r="D612" s="1" t="s">
        <v>12</v>
      </c>
      <c r="E612" s="1" t="s">
        <v>13</v>
      </c>
      <c r="F612" s="1" t="s">
        <v>94</v>
      </c>
      <c r="G612" s="1">
        <v>249</v>
      </c>
      <c r="H612" s="23">
        <v>44986.578912037039</v>
      </c>
      <c r="I612" s="1" t="b">
        <v>0</v>
      </c>
      <c r="K612" s="10">
        <f t="shared" si="47"/>
        <v>13.710555555531755</v>
      </c>
      <c r="L612" s="1" t="str">
        <f t="shared" si="48"/>
        <v>OK</v>
      </c>
      <c r="M612" s="1">
        <f t="shared" si="45"/>
        <v>1</v>
      </c>
      <c r="N612" s="1">
        <f t="shared" si="46"/>
        <v>249</v>
      </c>
      <c r="O612" s="10">
        <f t="shared" si="49"/>
        <v>13.710555555531755</v>
      </c>
    </row>
    <row r="613" spans="1:15">
      <c r="A613" s="1" t="s">
        <v>718</v>
      </c>
      <c r="B613" s="23">
        <v>44986.136805555558</v>
      </c>
      <c r="C613" s="1" t="s">
        <v>25</v>
      </c>
      <c r="D613" s="1" t="s">
        <v>21</v>
      </c>
      <c r="E613" s="1" t="s">
        <v>22</v>
      </c>
      <c r="F613" s="1" t="s">
        <v>128</v>
      </c>
      <c r="G613" s="1">
        <v>14</v>
      </c>
      <c r="H613" s="23">
        <v>44986.264803240738</v>
      </c>
      <c r="I613" s="1" t="b">
        <v>0</v>
      </c>
      <c r="K613" s="10">
        <f t="shared" si="47"/>
        <v>3.0719444443238899</v>
      </c>
      <c r="L613" s="1" t="str">
        <f t="shared" si="48"/>
        <v>OK</v>
      </c>
      <c r="M613" s="1">
        <f t="shared" si="45"/>
        <v>1</v>
      </c>
      <c r="N613" s="1">
        <f t="shared" si="46"/>
        <v>14</v>
      </c>
      <c r="O613" s="10">
        <f t="shared" si="49"/>
        <v>3.0719444443238899</v>
      </c>
    </row>
    <row r="614" spans="1:15">
      <c r="A614" s="1" t="s">
        <v>719</v>
      </c>
      <c r="B614" s="23">
        <v>44986.238194444442</v>
      </c>
      <c r="C614" s="1" t="s">
        <v>11</v>
      </c>
      <c r="D614" s="1" t="s">
        <v>12</v>
      </c>
      <c r="E614" s="1" t="s">
        <v>13</v>
      </c>
      <c r="F614" s="1" t="s">
        <v>326</v>
      </c>
      <c r="G614" s="1">
        <v>40</v>
      </c>
      <c r="H614" s="23">
        <v>44986.329687500001</v>
      </c>
      <c r="I614" s="1" t="b">
        <v>0</v>
      </c>
      <c r="J614" s="1">
        <v>5</v>
      </c>
      <c r="K614" s="10">
        <f t="shared" si="47"/>
        <v>2.1958333334187046</v>
      </c>
      <c r="L614" s="1" t="str">
        <f t="shared" si="48"/>
        <v>OK</v>
      </c>
      <c r="M614" s="1">
        <f t="shared" si="45"/>
        <v>1</v>
      </c>
      <c r="N614" s="1">
        <f t="shared" si="46"/>
        <v>40</v>
      </c>
      <c r="O614" s="10">
        <f t="shared" si="49"/>
        <v>2.1958333334187046</v>
      </c>
    </row>
    <row r="615" spans="1:15">
      <c r="A615" s="1" t="s">
        <v>720</v>
      </c>
      <c r="B615" s="23">
        <v>44986.339583333334</v>
      </c>
      <c r="C615" s="1" t="s">
        <v>25</v>
      </c>
      <c r="D615" s="1" t="s">
        <v>59</v>
      </c>
      <c r="E615" s="1" t="s">
        <v>13</v>
      </c>
      <c r="F615" s="1" t="s">
        <v>88</v>
      </c>
      <c r="G615" s="1">
        <v>106</v>
      </c>
      <c r="H615" s="23">
        <v>44988.78334490741</v>
      </c>
      <c r="I615" s="1" t="b">
        <v>0</v>
      </c>
      <c r="K615" s="10">
        <f t="shared" si="47"/>
        <v>58.650277777807787</v>
      </c>
      <c r="L615" s="1" t="str">
        <f t="shared" si="48"/>
        <v>OK</v>
      </c>
      <c r="M615" s="1">
        <f t="shared" si="45"/>
        <v>1</v>
      </c>
      <c r="N615" s="1">
        <f t="shared" si="46"/>
        <v>106</v>
      </c>
      <c r="O615" s="10">
        <f t="shared" si="49"/>
        <v>58.650277777807787</v>
      </c>
    </row>
    <row r="616" spans="1:15">
      <c r="A616" s="1" t="s">
        <v>721</v>
      </c>
      <c r="B616" s="23">
        <v>44986.399305555555</v>
      </c>
      <c r="C616" s="1" t="s">
        <v>25</v>
      </c>
      <c r="D616" s="1" t="s">
        <v>17</v>
      </c>
      <c r="E616" s="1" t="s">
        <v>13</v>
      </c>
      <c r="F616" s="1" t="s">
        <v>215</v>
      </c>
      <c r="G616" s="1">
        <v>106</v>
      </c>
      <c r="H616" s="23">
        <v>44987.304502314815</v>
      </c>
      <c r="I616" s="1" t="b">
        <v>0</v>
      </c>
      <c r="J616" s="1">
        <v>5</v>
      </c>
      <c r="K616" s="10">
        <f t="shared" si="47"/>
        <v>21.724722222250421</v>
      </c>
      <c r="L616" s="1" t="str">
        <f t="shared" si="48"/>
        <v>OK</v>
      </c>
      <c r="M616" s="1">
        <f t="shared" si="45"/>
        <v>1</v>
      </c>
      <c r="N616" s="1">
        <f t="shared" si="46"/>
        <v>106</v>
      </c>
      <c r="O616" s="10">
        <f t="shared" si="49"/>
        <v>21.724722222250421</v>
      </c>
    </row>
    <row r="617" spans="1:15">
      <c r="A617" s="1" t="s">
        <v>722</v>
      </c>
      <c r="B617" s="23">
        <v>44986.401388888888</v>
      </c>
      <c r="C617" s="1" t="s">
        <v>11</v>
      </c>
      <c r="D617" s="1" t="s">
        <v>17</v>
      </c>
      <c r="E617" s="1" t="s">
        <v>18</v>
      </c>
      <c r="F617" s="1" t="s">
        <v>392</v>
      </c>
      <c r="G617" s="1">
        <v>136</v>
      </c>
      <c r="H617" s="23">
        <v>44994.768287037034</v>
      </c>
      <c r="I617" s="1" t="b">
        <v>0</v>
      </c>
      <c r="K617" s="10">
        <f t="shared" si="47"/>
        <v>200.80555555550382</v>
      </c>
      <c r="L617" s="1" t="str">
        <f t="shared" si="48"/>
        <v>OK</v>
      </c>
      <c r="M617" s="1">
        <f t="shared" si="45"/>
        <v>1</v>
      </c>
      <c r="N617" s="1">
        <f t="shared" si="46"/>
        <v>136</v>
      </c>
      <c r="O617" s="10">
        <f t="shared" si="49"/>
        <v>200.80555555550382</v>
      </c>
    </row>
    <row r="618" spans="1:15">
      <c r="A618" s="1" t="s">
        <v>723</v>
      </c>
      <c r="B618" s="23">
        <v>44986.45416666667</v>
      </c>
      <c r="C618" s="1" t="s">
        <v>16</v>
      </c>
      <c r="D618" s="1" t="s">
        <v>17</v>
      </c>
      <c r="E618" s="1" t="s">
        <v>33</v>
      </c>
      <c r="F618" s="1" t="s">
        <v>201</v>
      </c>
      <c r="G618" s="1">
        <v>31</v>
      </c>
      <c r="H618" s="23">
        <v>44988.017094907409</v>
      </c>
      <c r="I618" s="1" t="b">
        <v>0</v>
      </c>
      <c r="K618" s="10">
        <f t="shared" si="47"/>
        <v>37.51027777773561</v>
      </c>
      <c r="L618" s="1" t="str">
        <f t="shared" si="48"/>
        <v>OK</v>
      </c>
      <c r="M618" s="1">
        <f t="shared" si="45"/>
        <v>1</v>
      </c>
      <c r="N618" s="1">
        <f t="shared" si="46"/>
        <v>31</v>
      </c>
      <c r="O618" s="10">
        <f t="shared" si="49"/>
        <v>37.51027777773561</v>
      </c>
    </row>
    <row r="619" spans="1:15">
      <c r="A619" s="1" t="s">
        <v>724</v>
      </c>
      <c r="B619" s="23">
        <v>44986.628472222219</v>
      </c>
      <c r="C619" s="1" t="s">
        <v>16</v>
      </c>
      <c r="D619" s="1" t="s">
        <v>26</v>
      </c>
      <c r="E619" s="1" t="s">
        <v>22</v>
      </c>
      <c r="F619" s="1" t="s">
        <v>41</v>
      </c>
      <c r="G619" s="1">
        <v>66</v>
      </c>
      <c r="H619" s="23">
        <v>44988.32340277778</v>
      </c>
      <c r="I619" s="1" t="b">
        <v>0</v>
      </c>
      <c r="K619" s="10">
        <f t="shared" si="47"/>
        <v>40.678333333460614</v>
      </c>
      <c r="L619" s="1" t="str">
        <f t="shared" si="48"/>
        <v>OK</v>
      </c>
      <c r="M619" s="1">
        <f t="shared" si="45"/>
        <v>1</v>
      </c>
      <c r="N619" s="1">
        <f t="shared" si="46"/>
        <v>66</v>
      </c>
      <c r="O619" s="10">
        <f t="shared" si="49"/>
        <v>40.678333333460614</v>
      </c>
    </row>
    <row r="620" spans="1:15">
      <c r="A620" s="1" t="s">
        <v>725</v>
      </c>
      <c r="B620" s="23">
        <v>44986.73333333333</v>
      </c>
      <c r="C620" s="1" t="s">
        <v>25</v>
      </c>
      <c r="D620" s="1" t="s">
        <v>17</v>
      </c>
      <c r="E620" s="1" t="s">
        <v>18</v>
      </c>
      <c r="F620" s="1" t="s">
        <v>74</v>
      </c>
      <c r="G620" s="1">
        <v>71</v>
      </c>
      <c r="H620" s="23">
        <v>44989.620509259257</v>
      </c>
      <c r="I620" s="1" t="b">
        <v>0</v>
      </c>
      <c r="J620" s="1">
        <v>3</v>
      </c>
      <c r="K620" s="10">
        <f t="shared" si="47"/>
        <v>69.292222222255077</v>
      </c>
      <c r="L620" s="1" t="str">
        <f t="shared" si="48"/>
        <v>OK</v>
      </c>
      <c r="M620" s="1">
        <f t="shared" si="45"/>
        <v>1</v>
      </c>
      <c r="N620" s="1">
        <f t="shared" si="46"/>
        <v>71</v>
      </c>
      <c r="O620" s="10">
        <f t="shared" si="49"/>
        <v>69.292222222255077</v>
      </c>
    </row>
    <row r="621" spans="1:15">
      <c r="A621" s="1" t="s">
        <v>726</v>
      </c>
      <c r="B621" s="23">
        <v>44986.754166666666</v>
      </c>
      <c r="C621" s="1" t="s">
        <v>16</v>
      </c>
      <c r="D621" s="1" t="s">
        <v>26</v>
      </c>
      <c r="E621" s="1" t="s">
        <v>13</v>
      </c>
      <c r="F621" s="1" t="s">
        <v>486</v>
      </c>
      <c r="G621" s="1">
        <v>47</v>
      </c>
      <c r="H621" s="23">
        <v>44987.126782407409</v>
      </c>
      <c r="I621" s="1" t="b">
        <v>1</v>
      </c>
      <c r="K621" s="10">
        <f t="shared" si="47"/>
        <v>8.9427777778473683</v>
      </c>
      <c r="L621" s="1" t="str">
        <f t="shared" si="48"/>
        <v>OK</v>
      </c>
      <c r="M621" s="1">
        <f t="shared" si="45"/>
        <v>1</v>
      </c>
      <c r="N621" s="1">
        <f t="shared" si="46"/>
        <v>47</v>
      </c>
      <c r="O621" s="10">
        <f t="shared" si="49"/>
        <v>8.9427777778473683</v>
      </c>
    </row>
    <row r="622" spans="1:15">
      <c r="A622" s="1" t="s">
        <v>727</v>
      </c>
      <c r="B622" s="23">
        <v>44986.893055555556</v>
      </c>
      <c r="C622" s="1" t="s">
        <v>43</v>
      </c>
      <c r="D622" s="1" t="s">
        <v>21</v>
      </c>
      <c r="E622" s="1" t="s">
        <v>33</v>
      </c>
      <c r="F622" s="1" t="s">
        <v>52</v>
      </c>
      <c r="G622" s="1">
        <v>233</v>
      </c>
      <c r="H622" s="23">
        <v>44987.639976851853</v>
      </c>
      <c r="I622" s="1" t="b">
        <v>1</v>
      </c>
      <c r="K622" s="10">
        <f t="shared" si="47"/>
        <v>17.926111111126374</v>
      </c>
      <c r="L622" s="1" t="str">
        <f t="shared" si="48"/>
        <v>OK</v>
      </c>
      <c r="M622" s="1">
        <f t="shared" si="45"/>
        <v>1</v>
      </c>
      <c r="N622" s="1">
        <f t="shared" si="46"/>
        <v>233</v>
      </c>
      <c r="O622" s="10">
        <f t="shared" si="49"/>
        <v>17.926111111126374</v>
      </c>
    </row>
    <row r="623" spans="1:15">
      <c r="A623" s="1" t="s">
        <v>728</v>
      </c>
      <c r="B623" s="23">
        <v>44987.104861111111</v>
      </c>
      <c r="C623" s="1" t="s">
        <v>11</v>
      </c>
      <c r="D623" s="1" t="s">
        <v>26</v>
      </c>
      <c r="E623" s="1" t="s">
        <v>22</v>
      </c>
      <c r="F623" s="1" t="s">
        <v>72</v>
      </c>
      <c r="I623" s="1" t="b">
        <v>0</v>
      </c>
      <c r="K623" s="10" t="str">
        <f t="shared" si="47"/>
        <v/>
      </c>
      <c r="L623" s="1" t="str">
        <f t="shared" si="48"/>
        <v>Cannot check</v>
      </c>
      <c r="M623" s="1">
        <f t="shared" si="45"/>
        <v>1</v>
      </c>
      <c r="N623" s="1" t="str">
        <f t="shared" si="46"/>
        <v/>
      </c>
      <c r="O623" s="10" t="str">
        <f t="shared" si="49"/>
        <v/>
      </c>
    </row>
    <row r="624" spans="1:15">
      <c r="A624" s="1" t="s">
        <v>729</v>
      </c>
      <c r="B624" s="23">
        <v>44987.197222222225</v>
      </c>
      <c r="C624" s="1" t="s">
        <v>25</v>
      </c>
      <c r="D624" s="1" t="s">
        <v>17</v>
      </c>
      <c r="E624" s="1" t="s">
        <v>13</v>
      </c>
      <c r="F624" s="1" t="s">
        <v>237</v>
      </c>
      <c r="G624" s="1">
        <v>82</v>
      </c>
      <c r="H624" s="23">
        <v>44990.210694444446</v>
      </c>
      <c r="I624" s="1" t="b">
        <v>0</v>
      </c>
      <c r="K624" s="10">
        <f t="shared" si="47"/>
        <v>72.323333333304618</v>
      </c>
      <c r="L624" s="1" t="str">
        <f t="shared" si="48"/>
        <v>OK</v>
      </c>
      <c r="M624" s="1">
        <f t="shared" si="45"/>
        <v>1</v>
      </c>
      <c r="N624" s="1">
        <f t="shared" si="46"/>
        <v>82</v>
      </c>
      <c r="O624" s="10">
        <f t="shared" si="49"/>
        <v>72.323333333304618</v>
      </c>
    </row>
    <row r="625" spans="1:15">
      <c r="A625" s="1" t="s">
        <v>730</v>
      </c>
      <c r="B625" s="23">
        <v>44987.365972222222</v>
      </c>
      <c r="C625" s="1" t="s">
        <v>25</v>
      </c>
      <c r="D625" s="1" t="s">
        <v>17</v>
      </c>
      <c r="E625" s="1" t="s">
        <v>33</v>
      </c>
      <c r="F625" s="1" t="s">
        <v>27</v>
      </c>
      <c r="G625" s="1">
        <v>3391</v>
      </c>
      <c r="H625" s="23">
        <v>44989.526284722226</v>
      </c>
      <c r="I625" s="1" t="b">
        <v>0</v>
      </c>
      <c r="J625" s="1">
        <v>3</v>
      </c>
      <c r="K625" s="10">
        <f t="shared" si="47"/>
        <v>51.847500000090804</v>
      </c>
      <c r="L625" s="1" t="str">
        <f t="shared" si="48"/>
        <v>Review</v>
      </c>
      <c r="M625" s="1">
        <f t="shared" si="45"/>
        <v>1</v>
      </c>
      <c r="N625" s="1" t="str">
        <f t="shared" si="46"/>
        <v/>
      </c>
      <c r="O625" s="10" t="str">
        <f t="shared" si="49"/>
        <v/>
      </c>
    </row>
    <row r="626" spans="1:15">
      <c r="A626" s="1" t="s">
        <v>731</v>
      </c>
      <c r="B626" s="23">
        <v>44987.394444444442</v>
      </c>
      <c r="C626" s="1" t="s">
        <v>25</v>
      </c>
      <c r="D626" s="1" t="s">
        <v>59</v>
      </c>
      <c r="E626" s="1" t="s">
        <v>33</v>
      </c>
      <c r="F626" s="1" t="s">
        <v>50</v>
      </c>
      <c r="G626" s="1">
        <v>214</v>
      </c>
      <c r="H626" s="23">
        <v>44999.528935185182</v>
      </c>
      <c r="I626" s="1" t="b">
        <v>0</v>
      </c>
      <c r="K626" s="10">
        <f t="shared" si="47"/>
        <v>291.22777777776355</v>
      </c>
      <c r="L626" s="1" t="str">
        <f t="shared" si="48"/>
        <v>OK</v>
      </c>
      <c r="M626" s="1">
        <f t="shared" si="45"/>
        <v>1</v>
      </c>
      <c r="N626" s="1">
        <f t="shared" si="46"/>
        <v>214</v>
      </c>
      <c r="O626" s="10">
        <f t="shared" si="49"/>
        <v>291.22777777776355</v>
      </c>
    </row>
    <row r="627" spans="1:15">
      <c r="A627" s="1" t="s">
        <v>732</v>
      </c>
      <c r="B627" s="23">
        <v>44987.47152777778</v>
      </c>
      <c r="C627" s="1" t="s">
        <v>25</v>
      </c>
      <c r="D627" s="1" t="s">
        <v>17</v>
      </c>
      <c r="E627" s="1" t="s">
        <v>33</v>
      </c>
      <c r="F627" s="1" t="s">
        <v>96</v>
      </c>
      <c r="G627" s="1">
        <v>494</v>
      </c>
      <c r="H627" s="23">
        <v>44988.420277777775</v>
      </c>
      <c r="I627" s="1" t="b">
        <v>0</v>
      </c>
      <c r="J627" s="1">
        <v>1</v>
      </c>
      <c r="K627" s="10">
        <f t="shared" si="47"/>
        <v>22.769999999902211</v>
      </c>
      <c r="L627" s="1" t="str">
        <f t="shared" si="48"/>
        <v>OK</v>
      </c>
      <c r="M627" s="1">
        <f t="shared" si="45"/>
        <v>1</v>
      </c>
      <c r="N627" s="1">
        <f t="shared" si="46"/>
        <v>494</v>
      </c>
      <c r="O627" s="10">
        <f t="shared" si="49"/>
        <v>22.769999999902211</v>
      </c>
    </row>
    <row r="628" spans="1:15">
      <c r="A628" s="1" t="s">
        <v>733</v>
      </c>
      <c r="B628" s="23">
        <v>44987.568055555559</v>
      </c>
      <c r="C628" s="1" t="s">
        <v>25</v>
      </c>
      <c r="D628" s="1" t="s">
        <v>21</v>
      </c>
      <c r="E628" s="1" t="s">
        <v>33</v>
      </c>
      <c r="F628" s="1" t="s">
        <v>228</v>
      </c>
      <c r="G628" s="1">
        <v>107</v>
      </c>
      <c r="H628" s="23">
        <v>44987.992199074077</v>
      </c>
      <c r="I628" s="1" t="b">
        <v>0</v>
      </c>
      <c r="K628" s="10">
        <f t="shared" si="47"/>
        <v>10.179444444424007</v>
      </c>
      <c r="L628" s="1" t="str">
        <f t="shared" si="48"/>
        <v>OK</v>
      </c>
      <c r="M628" s="1">
        <f t="shared" si="45"/>
        <v>1</v>
      </c>
      <c r="N628" s="1">
        <f t="shared" si="46"/>
        <v>107</v>
      </c>
      <c r="O628" s="10">
        <f t="shared" si="49"/>
        <v>10.179444444424007</v>
      </c>
    </row>
    <row r="629" spans="1:15">
      <c r="A629" s="1" t="s">
        <v>734</v>
      </c>
      <c r="B629" s="23">
        <v>44987.600694444445</v>
      </c>
      <c r="C629" s="1" t="s">
        <v>11</v>
      </c>
      <c r="D629" s="1" t="s">
        <v>17</v>
      </c>
      <c r="E629" s="1" t="s">
        <v>18</v>
      </c>
      <c r="F629" s="1" t="s">
        <v>153</v>
      </c>
      <c r="G629" s="1">
        <v>82</v>
      </c>
      <c r="H629" s="23">
        <v>44991.431921296295</v>
      </c>
      <c r="I629" s="1" t="b">
        <v>1</v>
      </c>
      <c r="K629" s="10">
        <f t="shared" si="47"/>
        <v>91.949444444384426</v>
      </c>
      <c r="L629" s="1" t="str">
        <f t="shared" si="48"/>
        <v>OK</v>
      </c>
      <c r="M629" s="1">
        <f t="shared" si="45"/>
        <v>1</v>
      </c>
      <c r="N629" s="1">
        <f t="shared" si="46"/>
        <v>82</v>
      </c>
      <c r="O629" s="10">
        <f t="shared" si="49"/>
        <v>91.949444444384426</v>
      </c>
    </row>
    <row r="630" spans="1:15">
      <c r="A630" s="1" t="s">
        <v>735</v>
      </c>
      <c r="B630" s="23">
        <v>44987.70416666667</v>
      </c>
      <c r="C630" s="1" t="s">
        <v>11</v>
      </c>
      <c r="D630" s="1" t="s">
        <v>21</v>
      </c>
      <c r="E630" s="1" t="s">
        <v>33</v>
      </c>
      <c r="F630" s="1" t="s">
        <v>60</v>
      </c>
      <c r="G630" s="1">
        <v>685</v>
      </c>
      <c r="H630" s="23">
        <v>44988.383888888886</v>
      </c>
      <c r="I630" s="1" t="b">
        <v>0</v>
      </c>
      <c r="K630" s="10">
        <f t="shared" si="47"/>
        <v>16.313333333178889</v>
      </c>
      <c r="L630" s="1" t="str">
        <f t="shared" si="48"/>
        <v>OK</v>
      </c>
      <c r="M630" s="1">
        <f t="shared" si="45"/>
        <v>1</v>
      </c>
      <c r="N630" s="1">
        <f t="shared" si="46"/>
        <v>685</v>
      </c>
      <c r="O630" s="10">
        <f t="shared" si="49"/>
        <v>16.313333333178889</v>
      </c>
    </row>
    <row r="631" spans="1:15">
      <c r="A631" s="1" t="s">
        <v>736</v>
      </c>
      <c r="B631" s="23">
        <v>44987.904861111114</v>
      </c>
      <c r="C631" s="1" t="s">
        <v>11</v>
      </c>
      <c r="D631" s="1" t="s">
        <v>21</v>
      </c>
      <c r="E631" s="1" t="s">
        <v>18</v>
      </c>
      <c r="F631" s="1" t="s">
        <v>224</v>
      </c>
      <c r="G631" s="1">
        <v>70</v>
      </c>
      <c r="H631" s="23">
        <v>44988.014768518522</v>
      </c>
      <c r="I631" s="1" t="b">
        <v>0</v>
      </c>
      <c r="K631" s="10">
        <f t="shared" si="47"/>
        <v>2.6377777777961455</v>
      </c>
      <c r="L631" s="1" t="str">
        <f t="shared" si="48"/>
        <v>OK</v>
      </c>
      <c r="M631" s="1">
        <f t="shared" si="45"/>
        <v>1</v>
      </c>
      <c r="N631" s="1">
        <f t="shared" si="46"/>
        <v>70</v>
      </c>
      <c r="O631" s="10">
        <f t="shared" si="49"/>
        <v>2.6377777777961455</v>
      </c>
    </row>
    <row r="632" spans="1:15">
      <c r="A632" s="1" t="s">
        <v>737</v>
      </c>
      <c r="B632" s="23">
        <v>44987.921527777777</v>
      </c>
      <c r="C632" s="1" t="s">
        <v>25</v>
      </c>
      <c r="D632" s="1" t="s">
        <v>12</v>
      </c>
      <c r="E632" s="1" t="s">
        <v>18</v>
      </c>
      <c r="F632" s="1" t="s">
        <v>254</v>
      </c>
      <c r="G632" s="1">
        <v>404</v>
      </c>
      <c r="H632" s="23">
        <v>44988.372847222221</v>
      </c>
      <c r="I632" s="1" t="b">
        <v>0</v>
      </c>
      <c r="K632" s="10">
        <f t="shared" si="47"/>
        <v>10.831666666665114</v>
      </c>
      <c r="L632" s="1" t="str">
        <f t="shared" si="48"/>
        <v>OK</v>
      </c>
      <c r="M632" s="1">
        <f t="shared" si="45"/>
        <v>1</v>
      </c>
      <c r="N632" s="1">
        <f t="shared" si="46"/>
        <v>404</v>
      </c>
      <c r="O632" s="10">
        <f t="shared" si="49"/>
        <v>10.831666666665114</v>
      </c>
    </row>
    <row r="633" spans="1:15">
      <c r="A633" s="1" t="s">
        <v>738</v>
      </c>
      <c r="B633" s="23">
        <v>44988.165972222225</v>
      </c>
      <c r="C633" s="1" t="s">
        <v>43</v>
      </c>
      <c r="D633" s="1" t="s">
        <v>12</v>
      </c>
      <c r="E633" s="1" t="s">
        <v>33</v>
      </c>
      <c r="F633" s="1" t="s">
        <v>44</v>
      </c>
      <c r="G633" s="1">
        <v>403</v>
      </c>
      <c r="H633" s="23">
        <v>44988.521469907406</v>
      </c>
      <c r="I633" s="1" t="b">
        <v>0</v>
      </c>
      <c r="J633" s="1">
        <v>5</v>
      </c>
      <c r="K633" s="10">
        <f t="shared" si="47"/>
        <v>8.5319444443448447</v>
      </c>
      <c r="L633" s="1" t="str">
        <f t="shared" si="48"/>
        <v>OK</v>
      </c>
      <c r="M633" s="1">
        <f t="shared" si="45"/>
        <v>1</v>
      </c>
      <c r="N633" s="1">
        <f t="shared" si="46"/>
        <v>403</v>
      </c>
      <c r="O633" s="10">
        <f t="shared" si="49"/>
        <v>8.5319444443448447</v>
      </c>
    </row>
    <row r="634" spans="1:15">
      <c r="A634" s="1" t="s">
        <v>739</v>
      </c>
      <c r="B634" s="23">
        <v>44988.299305555556</v>
      </c>
      <c r="C634" s="1" t="s">
        <v>43</v>
      </c>
      <c r="D634" s="1" t="s">
        <v>12</v>
      </c>
      <c r="E634" s="1" t="s">
        <v>18</v>
      </c>
      <c r="F634" s="1" t="s">
        <v>239</v>
      </c>
      <c r="G634" s="1">
        <v>111</v>
      </c>
      <c r="H634" s="23">
        <v>44988.681793981479</v>
      </c>
      <c r="I634" s="1" t="b">
        <v>0</v>
      </c>
      <c r="K634" s="10">
        <f t="shared" si="47"/>
        <v>9.1797222221503034</v>
      </c>
      <c r="L634" s="1" t="str">
        <f t="shared" si="48"/>
        <v>OK</v>
      </c>
      <c r="M634" s="1">
        <f t="shared" si="45"/>
        <v>1</v>
      </c>
      <c r="N634" s="1">
        <f t="shared" si="46"/>
        <v>111</v>
      </c>
      <c r="O634" s="10">
        <f t="shared" si="49"/>
        <v>9.1797222221503034</v>
      </c>
    </row>
    <row r="635" spans="1:15">
      <c r="A635" s="1" t="s">
        <v>740</v>
      </c>
      <c r="B635" s="23">
        <v>44988.417361111111</v>
      </c>
      <c r="C635" s="1" t="s">
        <v>16</v>
      </c>
      <c r="D635" s="1" t="s">
        <v>17</v>
      </c>
      <c r="E635" s="1" t="s">
        <v>13</v>
      </c>
      <c r="F635" s="1" t="s">
        <v>145</v>
      </c>
      <c r="G635" s="1">
        <v>63</v>
      </c>
      <c r="H635" s="23">
        <v>44991.269976851851</v>
      </c>
      <c r="I635" s="1" t="b">
        <v>0</v>
      </c>
      <c r="K635" s="10">
        <f t="shared" si="47"/>
        <v>68.462777777749579</v>
      </c>
      <c r="L635" s="1" t="str">
        <f t="shared" si="48"/>
        <v>OK</v>
      </c>
      <c r="M635" s="1">
        <f t="shared" si="45"/>
        <v>1</v>
      </c>
      <c r="N635" s="1">
        <f t="shared" si="46"/>
        <v>63</v>
      </c>
      <c r="O635" s="10">
        <f t="shared" si="49"/>
        <v>68.462777777749579</v>
      </c>
    </row>
    <row r="636" spans="1:15">
      <c r="A636" s="1" t="s">
        <v>741</v>
      </c>
      <c r="B636" s="23">
        <v>44988.443055555559</v>
      </c>
      <c r="C636" s="1" t="s">
        <v>25</v>
      </c>
      <c r="D636" s="1" t="s">
        <v>17</v>
      </c>
      <c r="E636" s="1" t="s">
        <v>18</v>
      </c>
      <c r="F636" s="1" t="s">
        <v>106</v>
      </c>
      <c r="G636" s="1">
        <v>155</v>
      </c>
      <c r="H636" s="23">
        <v>44990.223530092589</v>
      </c>
      <c r="I636" s="1" t="b">
        <v>0</v>
      </c>
      <c r="K636" s="10">
        <f t="shared" si="47"/>
        <v>42.731388888729271</v>
      </c>
      <c r="L636" s="1" t="str">
        <f t="shared" si="48"/>
        <v>OK</v>
      </c>
      <c r="M636" s="1">
        <f t="shared" si="45"/>
        <v>1</v>
      </c>
      <c r="N636" s="1">
        <f t="shared" si="46"/>
        <v>155</v>
      </c>
      <c r="O636" s="10">
        <f t="shared" si="49"/>
        <v>42.731388888729271</v>
      </c>
    </row>
    <row r="637" spans="1:15">
      <c r="A637" s="1" t="s">
        <v>742</v>
      </c>
      <c r="B637" s="23">
        <v>44988.445833333331</v>
      </c>
      <c r="C637" s="1" t="s">
        <v>25</v>
      </c>
      <c r="D637" s="1" t="s">
        <v>12</v>
      </c>
      <c r="E637" s="1" t="s">
        <v>18</v>
      </c>
      <c r="F637" s="1" t="s">
        <v>206</v>
      </c>
      <c r="G637" s="1">
        <v>104</v>
      </c>
      <c r="H637" s="23">
        <v>44988.622083333335</v>
      </c>
      <c r="I637" s="1" t="b">
        <v>0</v>
      </c>
      <c r="K637" s="10">
        <f t="shared" si="47"/>
        <v>4.2300000000977889</v>
      </c>
      <c r="L637" s="1" t="str">
        <f t="shared" si="48"/>
        <v>OK</v>
      </c>
      <c r="M637" s="1">
        <f t="shared" si="45"/>
        <v>1</v>
      </c>
      <c r="N637" s="1">
        <f t="shared" si="46"/>
        <v>104</v>
      </c>
      <c r="O637" s="10">
        <f t="shared" si="49"/>
        <v>4.2300000000977889</v>
      </c>
    </row>
    <row r="638" spans="1:15">
      <c r="A638" s="1" t="s">
        <v>743</v>
      </c>
      <c r="B638" s="23">
        <v>44988.550694444442</v>
      </c>
      <c r="C638" s="1" t="s">
        <v>25</v>
      </c>
      <c r="D638" s="1" t="s">
        <v>59</v>
      </c>
      <c r="E638" s="1" t="s">
        <v>13</v>
      </c>
      <c r="F638" s="1" t="s">
        <v>57</v>
      </c>
      <c r="G638" s="1">
        <v>83</v>
      </c>
      <c r="H638" s="23">
        <v>44990.657372685186</v>
      </c>
      <c r="I638" s="1" t="b">
        <v>0</v>
      </c>
      <c r="J638" s="1">
        <v>5</v>
      </c>
      <c r="K638" s="10">
        <f t="shared" si="47"/>
        <v>50.560277777840383</v>
      </c>
      <c r="L638" s="1" t="str">
        <f t="shared" si="48"/>
        <v>OK</v>
      </c>
      <c r="M638" s="1">
        <f t="shared" si="45"/>
        <v>1</v>
      </c>
      <c r="N638" s="1">
        <f t="shared" si="46"/>
        <v>83</v>
      </c>
      <c r="O638" s="10">
        <f t="shared" si="49"/>
        <v>50.560277777840383</v>
      </c>
    </row>
    <row r="639" spans="1:15">
      <c r="A639" s="1" t="s">
        <v>744</v>
      </c>
      <c r="B639" s="23">
        <v>44988.880555555559</v>
      </c>
      <c r="C639" s="1" t="s">
        <v>25</v>
      </c>
      <c r="D639" s="1" t="s">
        <v>21</v>
      </c>
      <c r="E639" s="1" t="s">
        <v>18</v>
      </c>
      <c r="F639" s="1" t="s">
        <v>100</v>
      </c>
      <c r="G639" s="1">
        <v>50</v>
      </c>
      <c r="H639" s="23">
        <v>44988.946817129632</v>
      </c>
      <c r="I639" s="1" t="b">
        <v>0</v>
      </c>
      <c r="K639" s="10">
        <f t="shared" si="47"/>
        <v>1.5902777777519077</v>
      </c>
      <c r="L639" s="1" t="str">
        <f t="shared" si="48"/>
        <v>OK</v>
      </c>
      <c r="M639" s="1">
        <f t="shared" si="45"/>
        <v>1</v>
      </c>
      <c r="N639" s="1">
        <f t="shared" si="46"/>
        <v>50</v>
      </c>
      <c r="O639" s="10">
        <f t="shared" si="49"/>
        <v>1.5902777777519077</v>
      </c>
    </row>
    <row r="640" spans="1:15">
      <c r="A640" s="1" t="s">
        <v>745</v>
      </c>
      <c r="B640" s="23">
        <v>44989.006944444445</v>
      </c>
      <c r="C640" s="1" t="s">
        <v>43</v>
      </c>
      <c r="D640" s="1" t="s">
        <v>21</v>
      </c>
      <c r="E640" s="1" t="s">
        <v>18</v>
      </c>
      <c r="F640" s="1" t="s">
        <v>237</v>
      </c>
      <c r="G640" s="1">
        <v>98</v>
      </c>
      <c r="H640" s="23">
        <v>44989.169351851851</v>
      </c>
      <c r="I640" s="1" t="b">
        <v>0</v>
      </c>
      <c r="K640" s="10">
        <f t="shared" si="47"/>
        <v>3.8977777777472511</v>
      </c>
      <c r="L640" s="1" t="str">
        <f t="shared" si="48"/>
        <v>OK</v>
      </c>
      <c r="M640" s="1">
        <f t="shared" si="45"/>
        <v>1</v>
      </c>
      <c r="N640" s="1">
        <f t="shared" si="46"/>
        <v>98</v>
      </c>
      <c r="O640" s="10">
        <f t="shared" si="49"/>
        <v>3.8977777777472511</v>
      </c>
    </row>
    <row r="641" spans="1:15">
      <c r="A641" s="1" t="s">
        <v>746</v>
      </c>
      <c r="B641" s="23">
        <v>44989.398611111108</v>
      </c>
      <c r="C641" s="1" t="s">
        <v>25</v>
      </c>
      <c r="D641" s="1" t="s">
        <v>26</v>
      </c>
      <c r="E641" s="1" t="s">
        <v>18</v>
      </c>
      <c r="F641" s="1" t="s">
        <v>54</v>
      </c>
      <c r="G641" s="1">
        <v>22</v>
      </c>
      <c r="H641" s="23">
        <v>44993.852777777778</v>
      </c>
      <c r="I641" s="1" t="b">
        <v>0</v>
      </c>
      <c r="K641" s="10">
        <f t="shared" si="47"/>
        <v>106.90000000008149</v>
      </c>
      <c r="L641" s="1" t="str">
        <f t="shared" si="48"/>
        <v>OK</v>
      </c>
      <c r="M641" s="1">
        <f t="shared" si="45"/>
        <v>1</v>
      </c>
      <c r="N641" s="1">
        <f t="shared" si="46"/>
        <v>22</v>
      </c>
      <c r="O641" s="10">
        <f t="shared" si="49"/>
        <v>106.90000000008149</v>
      </c>
    </row>
    <row r="642" spans="1:15">
      <c r="A642" s="1" t="s">
        <v>747</v>
      </c>
      <c r="B642" s="23">
        <v>44989.666666666664</v>
      </c>
      <c r="C642" s="1" t="s">
        <v>25</v>
      </c>
      <c r="D642" s="1" t="s">
        <v>17</v>
      </c>
      <c r="E642" s="1" t="s">
        <v>18</v>
      </c>
      <c r="F642" s="1" t="s">
        <v>84</v>
      </c>
      <c r="G642" s="1">
        <v>48</v>
      </c>
      <c r="H642" s="23">
        <v>44991.22079861111</v>
      </c>
      <c r="I642" s="1" t="b">
        <v>0</v>
      </c>
      <c r="J642" s="1">
        <v>5</v>
      </c>
      <c r="K642" s="10">
        <f t="shared" si="47"/>
        <v>37.299166666693054</v>
      </c>
      <c r="L642" s="1" t="str">
        <f t="shared" si="48"/>
        <v>OK</v>
      </c>
      <c r="M642" s="1">
        <f t="shared" ref="M642:M705" si="50">COUNTIF($A$2:$A$4001,A642)</f>
        <v>1</v>
      </c>
      <c r="N642" s="1">
        <f t="shared" ref="N642:N705" si="51">IF(OR(L642="Review",G642=""),"",G642)</f>
        <v>48</v>
      </c>
      <c r="O642" s="10">
        <f t="shared" si="49"/>
        <v>37.299166666693054</v>
      </c>
    </row>
    <row r="643" spans="1:15">
      <c r="A643" s="1" t="s">
        <v>748</v>
      </c>
      <c r="B643" s="23">
        <v>44989.76666666667</v>
      </c>
      <c r="C643" s="1" t="s">
        <v>16</v>
      </c>
      <c r="D643" s="1" t="s">
        <v>21</v>
      </c>
      <c r="E643" s="1" t="s">
        <v>33</v>
      </c>
      <c r="F643" s="1" t="s">
        <v>153</v>
      </c>
      <c r="G643" s="1">
        <v>587</v>
      </c>
      <c r="H643" s="23">
        <v>44990.864629629628</v>
      </c>
      <c r="I643" s="1" t="b">
        <v>0</v>
      </c>
      <c r="K643" s="10">
        <f t="shared" ref="K643:K706" si="52">IF(H643="","",(H643-B643)*24)</f>
        <v>26.351111110998318</v>
      </c>
      <c r="L643" s="1" t="str">
        <f t="shared" ref="L643:L706" si="53">IF(OR(G643="",K643=""),"Cannot check",IF(G643&gt;K643*60,"Review","OK"))</f>
        <v>OK</v>
      </c>
      <c r="M643" s="1">
        <f t="shared" si="50"/>
        <v>1</v>
      </c>
      <c r="N643" s="1">
        <f t="shared" si="51"/>
        <v>587</v>
      </c>
      <c r="O643" s="10">
        <f t="shared" ref="O643:O706" si="54">IF(OR(L643="Review",K643=""),"",K643)</f>
        <v>26.351111110998318</v>
      </c>
    </row>
    <row r="644" spans="1:15">
      <c r="A644" s="1" t="s">
        <v>749</v>
      </c>
      <c r="B644" s="23">
        <v>44989.767361111109</v>
      </c>
      <c r="C644" s="1" t="s">
        <v>16</v>
      </c>
      <c r="D644" s="1" t="s">
        <v>26</v>
      </c>
      <c r="E644" s="1" t="s">
        <v>13</v>
      </c>
      <c r="F644" s="1" t="s">
        <v>130</v>
      </c>
      <c r="G644" s="1">
        <v>18</v>
      </c>
      <c r="H644" s="23">
        <v>44992.287939814814</v>
      </c>
      <c r="I644" s="1" t="b">
        <v>1</v>
      </c>
      <c r="K644" s="10">
        <f t="shared" si="52"/>
        <v>60.493888888915535</v>
      </c>
      <c r="L644" s="1" t="str">
        <f t="shared" si="53"/>
        <v>OK</v>
      </c>
      <c r="M644" s="1">
        <f t="shared" si="50"/>
        <v>1</v>
      </c>
      <c r="N644" s="1">
        <f t="shared" si="51"/>
        <v>18</v>
      </c>
      <c r="O644" s="10">
        <f t="shared" si="54"/>
        <v>60.493888888915535</v>
      </c>
    </row>
    <row r="645" spans="1:15">
      <c r="A645" s="1" t="s">
        <v>750</v>
      </c>
      <c r="B645" s="23">
        <v>44989.771527777775</v>
      </c>
      <c r="C645" s="1" t="s">
        <v>16</v>
      </c>
      <c r="D645" s="1" t="s">
        <v>12</v>
      </c>
      <c r="E645" s="1" t="s">
        <v>33</v>
      </c>
      <c r="F645" s="1" t="s">
        <v>68</v>
      </c>
      <c r="G645" s="1">
        <v>151</v>
      </c>
      <c r="I645" s="1" t="b">
        <v>0</v>
      </c>
      <c r="K645" s="10" t="str">
        <f t="shared" si="52"/>
        <v/>
      </c>
      <c r="L645" s="1" t="str">
        <f t="shared" si="53"/>
        <v>Cannot check</v>
      </c>
      <c r="M645" s="1">
        <f t="shared" si="50"/>
        <v>1</v>
      </c>
      <c r="N645" s="1">
        <f t="shared" si="51"/>
        <v>151</v>
      </c>
      <c r="O645" s="10" t="str">
        <f t="shared" si="54"/>
        <v/>
      </c>
    </row>
    <row r="646" spans="1:15">
      <c r="A646" s="1" t="s">
        <v>751</v>
      </c>
      <c r="B646" s="23">
        <v>44989.935416666667</v>
      </c>
      <c r="C646" s="1" t="s">
        <v>25</v>
      </c>
      <c r="D646" s="1" t="s">
        <v>17</v>
      </c>
      <c r="E646" s="1" t="s">
        <v>18</v>
      </c>
      <c r="F646" s="1" t="s">
        <v>14</v>
      </c>
      <c r="G646" s="1">
        <v>303</v>
      </c>
      <c r="H646" s="23">
        <v>44999.733148148145</v>
      </c>
      <c r="I646" s="1" t="b">
        <v>0</v>
      </c>
      <c r="K646" s="10">
        <f t="shared" si="52"/>
        <v>235.14555555547122</v>
      </c>
      <c r="L646" s="1" t="str">
        <f t="shared" si="53"/>
        <v>OK</v>
      </c>
      <c r="M646" s="1">
        <f t="shared" si="50"/>
        <v>1</v>
      </c>
      <c r="N646" s="1">
        <f t="shared" si="51"/>
        <v>303</v>
      </c>
      <c r="O646" s="10">
        <f t="shared" si="54"/>
        <v>235.14555555547122</v>
      </c>
    </row>
    <row r="647" spans="1:15">
      <c r="A647" s="1" t="s">
        <v>752</v>
      </c>
      <c r="B647" s="23">
        <v>44989.973611111112</v>
      </c>
      <c r="C647" s="1" t="s">
        <v>11</v>
      </c>
      <c r="D647" s="1" t="s">
        <v>17</v>
      </c>
      <c r="E647" s="1" t="s">
        <v>18</v>
      </c>
      <c r="F647" s="1" t="s">
        <v>46</v>
      </c>
      <c r="G647" s="1">
        <v>954</v>
      </c>
      <c r="H647" s="23">
        <v>44990.421203703707</v>
      </c>
      <c r="I647" s="1" t="b">
        <v>0</v>
      </c>
      <c r="K647" s="10">
        <f t="shared" si="52"/>
        <v>10.742222222266719</v>
      </c>
      <c r="L647" s="1" t="str">
        <f t="shared" si="53"/>
        <v>Review</v>
      </c>
      <c r="M647" s="1">
        <f t="shared" si="50"/>
        <v>1</v>
      </c>
      <c r="N647" s="1" t="str">
        <f t="shared" si="51"/>
        <v/>
      </c>
      <c r="O647" s="10" t="str">
        <f t="shared" si="54"/>
        <v/>
      </c>
    </row>
    <row r="648" spans="1:15">
      <c r="A648" s="1" t="s">
        <v>753</v>
      </c>
      <c r="B648" s="23">
        <v>44990.13958333333</v>
      </c>
      <c r="C648" s="1" t="s">
        <v>11</v>
      </c>
      <c r="D648" s="1" t="s">
        <v>21</v>
      </c>
      <c r="E648" s="1" t="s">
        <v>18</v>
      </c>
      <c r="F648" s="1" t="s">
        <v>239</v>
      </c>
      <c r="G648" s="1">
        <v>15</v>
      </c>
      <c r="H648" s="23">
        <v>44990.724479166667</v>
      </c>
      <c r="I648" s="1" t="b">
        <v>1</v>
      </c>
      <c r="K648" s="10">
        <f t="shared" si="52"/>
        <v>14.037500000093132</v>
      </c>
      <c r="L648" s="1" t="str">
        <f t="shared" si="53"/>
        <v>OK</v>
      </c>
      <c r="M648" s="1">
        <f t="shared" si="50"/>
        <v>1</v>
      </c>
      <c r="N648" s="1">
        <f t="shared" si="51"/>
        <v>15</v>
      </c>
      <c r="O648" s="10">
        <f t="shared" si="54"/>
        <v>14.037500000093132</v>
      </c>
    </row>
    <row r="649" spans="1:15">
      <c r="A649" s="1" t="s">
        <v>754</v>
      </c>
      <c r="B649" s="23">
        <v>44990.279166666667</v>
      </c>
      <c r="C649" s="1" t="s">
        <v>16</v>
      </c>
      <c r="D649" s="1" t="s">
        <v>17</v>
      </c>
      <c r="E649" s="1" t="s">
        <v>18</v>
      </c>
      <c r="F649" s="1" t="s">
        <v>66</v>
      </c>
      <c r="G649" s="1">
        <v>189</v>
      </c>
      <c r="H649" s="23">
        <v>44991.512233796297</v>
      </c>
      <c r="I649" s="1" t="b">
        <v>0</v>
      </c>
      <c r="K649" s="10">
        <f t="shared" si="52"/>
        <v>29.593611111107748</v>
      </c>
      <c r="L649" s="1" t="str">
        <f t="shared" si="53"/>
        <v>OK</v>
      </c>
      <c r="M649" s="1">
        <f t="shared" si="50"/>
        <v>1</v>
      </c>
      <c r="N649" s="1">
        <f t="shared" si="51"/>
        <v>189</v>
      </c>
      <c r="O649" s="10">
        <f t="shared" si="54"/>
        <v>29.593611111107748</v>
      </c>
    </row>
    <row r="650" spans="1:15">
      <c r="A650" s="1" t="s">
        <v>755</v>
      </c>
      <c r="B650" s="23">
        <v>44990.282638888886</v>
      </c>
      <c r="C650" s="1" t="s">
        <v>16</v>
      </c>
      <c r="D650" s="1" t="s">
        <v>17</v>
      </c>
      <c r="E650" s="1" t="s">
        <v>18</v>
      </c>
      <c r="F650" s="1" t="s">
        <v>39</v>
      </c>
      <c r="G650" s="1">
        <v>23</v>
      </c>
      <c r="H650" s="23">
        <v>44992.216203703705</v>
      </c>
      <c r="I650" s="1" t="b">
        <v>0</v>
      </c>
      <c r="K650" s="10">
        <f t="shared" si="52"/>
        <v>46.405555555655155</v>
      </c>
      <c r="L650" s="1" t="str">
        <f t="shared" si="53"/>
        <v>OK</v>
      </c>
      <c r="M650" s="1">
        <f t="shared" si="50"/>
        <v>1</v>
      </c>
      <c r="N650" s="1">
        <f t="shared" si="51"/>
        <v>23</v>
      </c>
      <c r="O650" s="10">
        <f t="shared" si="54"/>
        <v>46.405555555655155</v>
      </c>
    </row>
    <row r="651" spans="1:15">
      <c r="A651" s="1" t="s">
        <v>756</v>
      </c>
      <c r="B651" s="23">
        <v>44990.539583333331</v>
      </c>
      <c r="C651" s="1" t="s">
        <v>16</v>
      </c>
      <c r="D651" s="1" t="s">
        <v>17</v>
      </c>
      <c r="E651" s="1" t="s">
        <v>18</v>
      </c>
      <c r="F651" s="1" t="s">
        <v>29</v>
      </c>
      <c r="G651" s="1">
        <v>118</v>
      </c>
      <c r="H651" s="23">
        <v>44993.719884259262</v>
      </c>
      <c r="I651" s="1" t="b">
        <v>0</v>
      </c>
      <c r="J651" s="1">
        <v>5</v>
      </c>
      <c r="K651" s="10">
        <f t="shared" si="52"/>
        <v>76.327222222345881</v>
      </c>
      <c r="L651" s="1" t="str">
        <f t="shared" si="53"/>
        <v>OK</v>
      </c>
      <c r="M651" s="1">
        <f t="shared" si="50"/>
        <v>1</v>
      </c>
      <c r="N651" s="1">
        <f t="shared" si="51"/>
        <v>118</v>
      </c>
      <c r="O651" s="10">
        <f t="shared" si="54"/>
        <v>76.327222222345881</v>
      </c>
    </row>
    <row r="652" spans="1:15">
      <c r="A652" s="1" t="s">
        <v>757</v>
      </c>
      <c r="B652" s="23">
        <v>44990.618055555555</v>
      </c>
      <c r="C652" s="1" t="s">
        <v>11</v>
      </c>
      <c r="D652" s="1" t="s">
        <v>21</v>
      </c>
      <c r="E652" s="1" t="s">
        <v>18</v>
      </c>
      <c r="F652" s="1" t="s">
        <v>148</v>
      </c>
      <c r="G652" s="1">
        <v>46</v>
      </c>
      <c r="H652" s="23">
        <v>44994.335277777776</v>
      </c>
      <c r="I652" s="1" t="b">
        <v>0</v>
      </c>
      <c r="K652" s="10">
        <f t="shared" si="52"/>
        <v>89.213333333318587</v>
      </c>
      <c r="L652" s="1" t="str">
        <f t="shared" si="53"/>
        <v>OK</v>
      </c>
      <c r="M652" s="1">
        <f t="shared" si="50"/>
        <v>1</v>
      </c>
      <c r="N652" s="1">
        <f t="shared" si="51"/>
        <v>46</v>
      </c>
      <c r="O652" s="10">
        <f t="shared" si="54"/>
        <v>89.213333333318587</v>
      </c>
    </row>
    <row r="653" spans="1:15">
      <c r="A653" s="1" t="s">
        <v>758</v>
      </c>
      <c r="B653" s="23">
        <v>44990.677083333336</v>
      </c>
      <c r="C653" s="1" t="s">
        <v>16</v>
      </c>
      <c r="D653" s="1" t="s">
        <v>21</v>
      </c>
      <c r="E653" s="1" t="s">
        <v>18</v>
      </c>
      <c r="F653" s="1" t="s">
        <v>302</v>
      </c>
      <c r="G653" s="1">
        <v>113</v>
      </c>
      <c r="H653" s="23">
        <v>44991.350821759261</v>
      </c>
      <c r="I653" s="1" t="b">
        <v>0</v>
      </c>
      <c r="K653" s="10">
        <f t="shared" si="52"/>
        <v>16.169722222199198</v>
      </c>
      <c r="L653" s="1" t="str">
        <f t="shared" si="53"/>
        <v>OK</v>
      </c>
      <c r="M653" s="1">
        <f t="shared" si="50"/>
        <v>1</v>
      </c>
      <c r="N653" s="1">
        <f t="shared" si="51"/>
        <v>113</v>
      </c>
      <c r="O653" s="10">
        <f t="shared" si="54"/>
        <v>16.169722222199198</v>
      </c>
    </row>
    <row r="654" spans="1:15">
      <c r="A654" s="1" t="s">
        <v>759</v>
      </c>
      <c r="B654" s="23">
        <v>44990.882638888892</v>
      </c>
      <c r="C654" s="1" t="s">
        <v>11</v>
      </c>
      <c r="D654" s="1" t="s">
        <v>17</v>
      </c>
      <c r="E654" s="1" t="s">
        <v>13</v>
      </c>
      <c r="F654" s="1" t="s">
        <v>57</v>
      </c>
      <c r="G654" s="1">
        <v>16</v>
      </c>
      <c r="H654" s="23">
        <v>44991.901990740742</v>
      </c>
      <c r="I654" s="1" t="b">
        <v>0</v>
      </c>
      <c r="K654" s="10">
        <f t="shared" si="52"/>
        <v>24.464444444398396</v>
      </c>
      <c r="L654" s="1" t="str">
        <f t="shared" si="53"/>
        <v>OK</v>
      </c>
      <c r="M654" s="1">
        <f t="shared" si="50"/>
        <v>1</v>
      </c>
      <c r="N654" s="1">
        <f t="shared" si="51"/>
        <v>16</v>
      </c>
      <c r="O654" s="10">
        <f t="shared" si="54"/>
        <v>24.464444444398396</v>
      </c>
    </row>
    <row r="655" spans="1:15">
      <c r="A655" s="1" t="s">
        <v>760</v>
      </c>
      <c r="B655" s="23">
        <v>44990.890972222223</v>
      </c>
      <c r="C655" s="1" t="s">
        <v>25</v>
      </c>
      <c r="D655" s="1" t="s">
        <v>17</v>
      </c>
      <c r="E655" s="1" t="s">
        <v>33</v>
      </c>
      <c r="F655" s="1" t="s">
        <v>134</v>
      </c>
      <c r="G655" s="1">
        <v>117</v>
      </c>
      <c r="H655" s="23">
        <v>44991.774548611109</v>
      </c>
      <c r="I655" s="1" t="b">
        <v>0</v>
      </c>
      <c r="J655" s="1">
        <v>5</v>
      </c>
      <c r="K655" s="10">
        <f t="shared" si="52"/>
        <v>21.205833333253395</v>
      </c>
      <c r="L655" s="1" t="str">
        <f t="shared" si="53"/>
        <v>OK</v>
      </c>
      <c r="M655" s="1">
        <f t="shared" si="50"/>
        <v>1</v>
      </c>
      <c r="N655" s="1">
        <f t="shared" si="51"/>
        <v>117</v>
      </c>
      <c r="O655" s="10">
        <f t="shared" si="54"/>
        <v>21.205833333253395</v>
      </c>
    </row>
    <row r="656" spans="1:15">
      <c r="A656" s="1" t="s">
        <v>761</v>
      </c>
      <c r="B656" s="23">
        <v>44991.04791666667</v>
      </c>
      <c r="C656" s="1" t="s">
        <v>16</v>
      </c>
      <c r="D656" s="1" t="s">
        <v>17</v>
      </c>
      <c r="E656" s="1" t="s">
        <v>18</v>
      </c>
      <c r="F656" s="1" t="s">
        <v>167</v>
      </c>
      <c r="G656" s="1">
        <v>261</v>
      </c>
      <c r="H656" s="23">
        <v>44991.959201388891</v>
      </c>
      <c r="I656" s="1" t="b">
        <v>0</v>
      </c>
      <c r="J656" s="1">
        <v>5</v>
      </c>
      <c r="K656" s="10">
        <f t="shared" si="52"/>
        <v>21.870833333290648</v>
      </c>
      <c r="L656" s="1" t="str">
        <f t="shared" si="53"/>
        <v>OK</v>
      </c>
      <c r="M656" s="1">
        <f t="shared" si="50"/>
        <v>1</v>
      </c>
      <c r="N656" s="1">
        <f t="shared" si="51"/>
        <v>261</v>
      </c>
      <c r="O656" s="10">
        <f t="shared" si="54"/>
        <v>21.870833333290648</v>
      </c>
    </row>
    <row r="657" spans="1:15">
      <c r="A657" s="1" t="s">
        <v>762</v>
      </c>
      <c r="B657" s="23">
        <v>44991.15347222222</v>
      </c>
      <c r="C657" s="1" t="s">
        <v>11</v>
      </c>
      <c r="D657" s="1" t="s">
        <v>21</v>
      </c>
      <c r="E657" s="1" t="s">
        <v>13</v>
      </c>
      <c r="F657" s="1" t="s">
        <v>27</v>
      </c>
      <c r="G657" s="1">
        <v>179</v>
      </c>
      <c r="H657" s="23">
        <v>44992.233472222222</v>
      </c>
      <c r="I657" s="1" t="b">
        <v>0</v>
      </c>
      <c r="K657" s="10">
        <f t="shared" si="52"/>
        <v>25.92000000004191</v>
      </c>
      <c r="L657" s="1" t="str">
        <f t="shared" si="53"/>
        <v>OK</v>
      </c>
      <c r="M657" s="1">
        <f t="shared" si="50"/>
        <v>1</v>
      </c>
      <c r="N657" s="1">
        <f t="shared" si="51"/>
        <v>179</v>
      </c>
      <c r="O657" s="10">
        <f t="shared" si="54"/>
        <v>25.92000000004191</v>
      </c>
    </row>
    <row r="658" spans="1:15">
      <c r="A658" s="1" t="s">
        <v>763</v>
      </c>
      <c r="B658" s="23">
        <v>44991.195138888892</v>
      </c>
      <c r="C658" s="1" t="s">
        <v>11</v>
      </c>
      <c r="D658" s="1" t="s">
        <v>21</v>
      </c>
      <c r="E658" s="1" t="s">
        <v>33</v>
      </c>
      <c r="F658" s="1" t="s">
        <v>104</v>
      </c>
      <c r="G658" s="1">
        <v>425</v>
      </c>
      <c r="H658" s="23">
        <v>44991.907233796293</v>
      </c>
      <c r="I658" s="1" t="b">
        <v>0</v>
      </c>
      <c r="K658" s="10">
        <f t="shared" si="52"/>
        <v>17.090277777635492</v>
      </c>
      <c r="L658" s="1" t="str">
        <f t="shared" si="53"/>
        <v>OK</v>
      </c>
      <c r="M658" s="1">
        <f t="shared" si="50"/>
        <v>1</v>
      </c>
      <c r="N658" s="1">
        <f t="shared" si="51"/>
        <v>425</v>
      </c>
      <c r="O658" s="10">
        <f t="shared" si="54"/>
        <v>17.090277777635492</v>
      </c>
    </row>
    <row r="659" spans="1:15">
      <c r="A659" s="1" t="s">
        <v>764</v>
      </c>
      <c r="B659" s="23">
        <v>44991.387499999997</v>
      </c>
      <c r="C659" s="1" t="s">
        <v>43</v>
      </c>
      <c r="D659" s="1" t="s">
        <v>26</v>
      </c>
      <c r="E659" s="1" t="s">
        <v>33</v>
      </c>
      <c r="F659" s="1" t="s">
        <v>237</v>
      </c>
      <c r="G659" s="1">
        <v>264</v>
      </c>
      <c r="H659" s="23">
        <v>44994.393483796295</v>
      </c>
      <c r="I659" s="1" t="b">
        <v>1</v>
      </c>
      <c r="K659" s="10">
        <f t="shared" si="52"/>
        <v>72.143611111154314</v>
      </c>
      <c r="L659" s="1" t="str">
        <f t="shared" si="53"/>
        <v>OK</v>
      </c>
      <c r="M659" s="1">
        <f t="shared" si="50"/>
        <v>1</v>
      </c>
      <c r="N659" s="1">
        <f t="shared" si="51"/>
        <v>264</v>
      </c>
      <c r="O659" s="10">
        <f t="shared" si="54"/>
        <v>72.143611111154314</v>
      </c>
    </row>
    <row r="660" spans="1:15">
      <c r="A660" s="1" t="s">
        <v>765</v>
      </c>
      <c r="B660" s="23">
        <v>44991.494444444441</v>
      </c>
      <c r="C660" s="1" t="s">
        <v>25</v>
      </c>
      <c r="D660" s="1" t="s">
        <v>12</v>
      </c>
      <c r="E660" s="1" t="s">
        <v>18</v>
      </c>
      <c r="F660" s="1" t="s">
        <v>60</v>
      </c>
      <c r="G660" s="1">
        <v>73</v>
      </c>
      <c r="H660" s="23">
        <v>44992.15388888889</v>
      </c>
      <c r="I660" s="1" t="b">
        <v>0</v>
      </c>
      <c r="J660" s="1">
        <v>4</v>
      </c>
      <c r="K660" s="10">
        <f t="shared" si="52"/>
        <v>15.826666666776873</v>
      </c>
      <c r="L660" s="1" t="str">
        <f t="shared" si="53"/>
        <v>OK</v>
      </c>
      <c r="M660" s="1">
        <f t="shared" si="50"/>
        <v>1</v>
      </c>
      <c r="N660" s="1">
        <f t="shared" si="51"/>
        <v>73</v>
      </c>
      <c r="O660" s="10">
        <f t="shared" si="54"/>
        <v>15.826666666776873</v>
      </c>
    </row>
    <row r="661" spans="1:15">
      <c r="A661" s="1" t="s">
        <v>766</v>
      </c>
      <c r="B661" s="23">
        <v>44991.554861111108</v>
      </c>
      <c r="C661" s="1" t="s">
        <v>16</v>
      </c>
      <c r="D661" s="1" t="s">
        <v>17</v>
      </c>
      <c r="E661" s="1" t="s">
        <v>13</v>
      </c>
      <c r="F661" s="1" t="s">
        <v>39</v>
      </c>
      <c r="G661" s="1">
        <v>42</v>
      </c>
      <c r="H661" s="23">
        <v>44991.923321759263</v>
      </c>
      <c r="I661" s="1" t="b">
        <v>0</v>
      </c>
      <c r="K661" s="10">
        <f t="shared" si="52"/>
        <v>8.843055555713363</v>
      </c>
      <c r="L661" s="1" t="str">
        <f t="shared" si="53"/>
        <v>OK</v>
      </c>
      <c r="M661" s="1">
        <f t="shared" si="50"/>
        <v>1</v>
      </c>
      <c r="N661" s="1">
        <f t="shared" si="51"/>
        <v>42</v>
      </c>
      <c r="O661" s="10">
        <f t="shared" si="54"/>
        <v>8.843055555713363</v>
      </c>
    </row>
    <row r="662" spans="1:15">
      <c r="A662" s="1" t="s">
        <v>767</v>
      </c>
      <c r="B662" s="23">
        <v>44991.886805555558</v>
      </c>
      <c r="C662" s="1" t="s">
        <v>16</v>
      </c>
      <c r="D662" s="1" t="s">
        <v>12</v>
      </c>
      <c r="E662" s="1" t="s">
        <v>22</v>
      </c>
      <c r="F662" s="1" t="s">
        <v>415</v>
      </c>
      <c r="G662" s="1">
        <v>45</v>
      </c>
      <c r="H662" s="23">
        <v>44991.904189814813</v>
      </c>
      <c r="I662" s="1" t="b">
        <v>0</v>
      </c>
      <c r="K662" s="10">
        <f t="shared" si="52"/>
        <v>0.41722222213866189</v>
      </c>
      <c r="L662" s="1" t="str">
        <f t="shared" si="53"/>
        <v>Review</v>
      </c>
      <c r="M662" s="1">
        <f t="shared" si="50"/>
        <v>1</v>
      </c>
      <c r="N662" s="1" t="str">
        <f t="shared" si="51"/>
        <v/>
      </c>
      <c r="O662" s="10" t="str">
        <f t="shared" si="54"/>
        <v/>
      </c>
    </row>
    <row r="663" spans="1:15">
      <c r="A663" s="1" t="s">
        <v>768</v>
      </c>
      <c r="B663" s="23">
        <v>44991.941666666666</v>
      </c>
      <c r="C663" s="1" t="s">
        <v>25</v>
      </c>
      <c r="D663" s="1" t="s">
        <v>17</v>
      </c>
      <c r="E663" s="1" t="s">
        <v>18</v>
      </c>
      <c r="F663" s="1" t="s">
        <v>415</v>
      </c>
      <c r="G663" s="1">
        <v>55</v>
      </c>
      <c r="H663" s="23">
        <v>44996.77144675926</v>
      </c>
      <c r="I663" s="1" t="b">
        <v>0</v>
      </c>
      <c r="K663" s="10">
        <f t="shared" si="52"/>
        <v>115.91472222225275</v>
      </c>
      <c r="L663" s="1" t="str">
        <f t="shared" si="53"/>
        <v>OK</v>
      </c>
      <c r="M663" s="1">
        <f t="shared" si="50"/>
        <v>1</v>
      </c>
      <c r="N663" s="1">
        <f t="shared" si="51"/>
        <v>55</v>
      </c>
      <c r="O663" s="10">
        <f t="shared" si="54"/>
        <v>115.91472222225275</v>
      </c>
    </row>
    <row r="664" spans="1:15">
      <c r="A664" s="1" t="s">
        <v>769</v>
      </c>
      <c r="B664" s="23">
        <v>44992.012499999997</v>
      </c>
      <c r="C664" s="1" t="s">
        <v>16</v>
      </c>
      <c r="D664" s="1" t="s">
        <v>12</v>
      </c>
      <c r="E664" s="1" t="s">
        <v>13</v>
      </c>
      <c r="F664" s="1" t="s">
        <v>198</v>
      </c>
      <c r="G664" s="1">
        <v>19</v>
      </c>
      <c r="H664" s="23">
        <v>44994.673703703702</v>
      </c>
      <c r="I664" s="1" t="b">
        <v>0</v>
      </c>
      <c r="J664" s="1">
        <v>5</v>
      </c>
      <c r="K664" s="10">
        <f t="shared" si="52"/>
        <v>63.868888888915535</v>
      </c>
      <c r="L664" s="1" t="str">
        <f t="shared" si="53"/>
        <v>OK</v>
      </c>
      <c r="M664" s="1">
        <f t="shared" si="50"/>
        <v>1</v>
      </c>
      <c r="N664" s="1">
        <f t="shared" si="51"/>
        <v>19</v>
      </c>
      <c r="O664" s="10">
        <f t="shared" si="54"/>
        <v>63.868888888915535</v>
      </c>
    </row>
    <row r="665" spans="1:15">
      <c r="A665" s="1" t="s">
        <v>770</v>
      </c>
      <c r="B665" s="23">
        <v>44992.152083333334</v>
      </c>
      <c r="C665" s="1" t="s">
        <v>25</v>
      </c>
      <c r="D665" s="1" t="s">
        <v>17</v>
      </c>
      <c r="E665" s="1" t="s">
        <v>13</v>
      </c>
      <c r="F665" s="1" t="s">
        <v>709</v>
      </c>
      <c r="G665" s="1">
        <v>55</v>
      </c>
      <c r="H665" s="23">
        <v>44993.167581018519</v>
      </c>
      <c r="I665" s="1" t="b">
        <v>0</v>
      </c>
      <c r="K665" s="10">
        <f t="shared" si="52"/>
        <v>24.371944444428664</v>
      </c>
      <c r="L665" s="1" t="str">
        <f t="shared" si="53"/>
        <v>OK</v>
      </c>
      <c r="M665" s="1">
        <f t="shared" si="50"/>
        <v>1</v>
      </c>
      <c r="N665" s="1">
        <f t="shared" si="51"/>
        <v>55</v>
      </c>
      <c r="O665" s="10">
        <f t="shared" si="54"/>
        <v>24.371944444428664</v>
      </c>
    </row>
    <row r="666" spans="1:15">
      <c r="A666" s="1" t="s">
        <v>771</v>
      </c>
      <c r="B666" s="23">
        <v>44992.154861111114</v>
      </c>
      <c r="C666" s="1" t="s">
        <v>25</v>
      </c>
      <c r="D666" s="1" t="s">
        <v>12</v>
      </c>
      <c r="E666" s="1" t="s">
        <v>33</v>
      </c>
      <c r="F666" s="1" t="s">
        <v>68</v>
      </c>
      <c r="G666" s="1">
        <v>166</v>
      </c>
      <c r="H666" s="23">
        <v>44993.286608796298</v>
      </c>
      <c r="I666" s="1" t="b">
        <v>0</v>
      </c>
      <c r="K666" s="10">
        <f t="shared" si="52"/>
        <v>27.161944444407709</v>
      </c>
      <c r="L666" s="1" t="str">
        <f t="shared" si="53"/>
        <v>OK</v>
      </c>
      <c r="M666" s="1">
        <f t="shared" si="50"/>
        <v>1</v>
      </c>
      <c r="N666" s="1">
        <f t="shared" si="51"/>
        <v>166</v>
      </c>
      <c r="O666" s="10">
        <f t="shared" si="54"/>
        <v>27.161944444407709</v>
      </c>
    </row>
    <row r="667" spans="1:15">
      <c r="A667" s="1" t="s">
        <v>772</v>
      </c>
      <c r="B667" s="23">
        <v>44992.175694444442</v>
      </c>
      <c r="C667" s="1" t="s">
        <v>25</v>
      </c>
      <c r="D667" s="1" t="s">
        <v>21</v>
      </c>
      <c r="E667" s="1" t="s">
        <v>13</v>
      </c>
      <c r="F667" s="1" t="s">
        <v>76</v>
      </c>
      <c r="G667" s="1">
        <v>33</v>
      </c>
      <c r="H667" s="23">
        <v>44993.118275462963</v>
      </c>
      <c r="I667" s="1" t="b">
        <v>0</v>
      </c>
      <c r="K667" s="10">
        <f t="shared" si="52"/>
        <v>22.621944444486871</v>
      </c>
      <c r="L667" s="1" t="str">
        <f t="shared" si="53"/>
        <v>OK</v>
      </c>
      <c r="M667" s="1">
        <f t="shared" si="50"/>
        <v>1</v>
      </c>
      <c r="N667" s="1">
        <f t="shared" si="51"/>
        <v>33</v>
      </c>
      <c r="O667" s="10">
        <f t="shared" si="54"/>
        <v>22.621944444486871</v>
      </c>
    </row>
    <row r="668" spans="1:15">
      <c r="A668" s="1" t="s">
        <v>773</v>
      </c>
      <c r="B668" s="23">
        <v>44992.190972222219</v>
      </c>
      <c r="C668" s="1" t="s">
        <v>43</v>
      </c>
      <c r="D668" s="1" t="s">
        <v>17</v>
      </c>
      <c r="E668" s="1" t="s">
        <v>22</v>
      </c>
      <c r="F668" s="1" t="s">
        <v>709</v>
      </c>
      <c r="G668" s="1">
        <v>13</v>
      </c>
      <c r="H668" s="23">
        <v>44992.587592592594</v>
      </c>
      <c r="I668" s="1" t="b">
        <v>0</v>
      </c>
      <c r="K668" s="10">
        <f t="shared" si="52"/>
        <v>9.5188888889970258</v>
      </c>
      <c r="L668" s="1" t="str">
        <f t="shared" si="53"/>
        <v>OK</v>
      </c>
      <c r="M668" s="1">
        <f t="shared" si="50"/>
        <v>1</v>
      </c>
      <c r="N668" s="1">
        <f t="shared" si="51"/>
        <v>13</v>
      </c>
      <c r="O668" s="10">
        <f t="shared" si="54"/>
        <v>9.5188888889970258</v>
      </c>
    </row>
    <row r="669" spans="1:15">
      <c r="A669" s="1" t="s">
        <v>774</v>
      </c>
      <c r="B669" s="23">
        <v>44992.228472222225</v>
      </c>
      <c r="C669" s="1" t="s">
        <v>11</v>
      </c>
      <c r="D669" s="1" t="s">
        <v>59</v>
      </c>
      <c r="E669" s="1" t="s">
        <v>18</v>
      </c>
      <c r="F669" s="1" t="s">
        <v>159</v>
      </c>
      <c r="H669" s="23">
        <v>44993.937673611108</v>
      </c>
      <c r="I669" s="1" t="b">
        <v>0</v>
      </c>
      <c r="K669" s="10">
        <f t="shared" si="52"/>
        <v>41.020833333197515</v>
      </c>
      <c r="L669" s="1" t="str">
        <f t="shared" si="53"/>
        <v>Cannot check</v>
      </c>
      <c r="M669" s="1">
        <f t="shared" si="50"/>
        <v>1</v>
      </c>
      <c r="N669" s="1" t="str">
        <f t="shared" si="51"/>
        <v/>
      </c>
      <c r="O669" s="10">
        <f t="shared" si="54"/>
        <v>41.020833333197515</v>
      </c>
    </row>
    <row r="670" spans="1:15">
      <c r="A670" s="1" t="s">
        <v>775</v>
      </c>
      <c r="B670" s="23">
        <v>44992.335416666669</v>
      </c>
      <c r="C670" s="1" t="s">
        <v>25</v>
      </c>
      <c r="D670" s="1" t="s">
        <v>17</v>
      </c>
      <c r="E670" s="1" t="s">
        <v>18</v>
      </c>
      <c r="F670" s="1" t="s">
        <v>108</v>
      </c>
      <c r="G670" s="1">
        <v>27</v>
      </c>
      <c r="H670" s="23">
        <v>44992.723981481482</v>
      </c>
      <c r="I670" s="1" t="b">
        <v>0</v>
      </c>
      <c r="K670" s="10">
        <f t="shared" si="52"/>
        <v>9.3255555555224419</v>
      </c>
      <c r="L670" s="1" t="str">
        <f t="shared" si="53"/>
        <v>OK</v>
      </c>
      <c r="M670" s="1">
        <f t="shared" si="50"/>
        <v>1</v>
      </c>
      <c r="N670" s="1">
        <f t="shared" si="51"/>
        <v>27</v>
      </c>
      <c r="O670" s="10">
        <f t="shared" si="54"/>
        <v>9.3255555555224419</v>
      </c>
    </row>
    <row r="671" spans="1:15">
      <c r="A671" s="1" t="s">
        <v>776</v>
      </c>
      <c r="B671" s="23">
        <v>44992.390277777777</v>
      </c>
      <c r="C671" s="1" t="s">
        <v>16</v>
      </c>
      <c r="D671" s="1" t="s">
        <v>12</v>
      </c>
      <c r="E671" s="1" t="s">
        <v>18</v>
      </c>
      <c r="F671" s="1" t="s">
        <v>46</v>
      </c>
      <c r="G671" s="1">
        <v>114</v>
      </c>
      <c r="H671" s="23">
        <v>44992.527627314812</v>
      </c>
      <c r="I671" s="1" t="b">
        <v>0</v>
      </c>
      <c r="K671" s="10">
        <f t="shared" si="52"/>
        <v>3.2963888888480142</v>
      </c>
      <c r="L671" s="1" t="str">
        <f t="shared" si="53"/>
        <v>OK</v>
      </c>
      <c r="M671" s="1">
        <f t="shared" si="50"/>
        <v>1</v>
      </c>
      <c r="N671" s="1">
        <f t="shared" si="51"/>
        <v>114</v>
      </c>
      <c r="O671" s="10">
        <f t="shared" si="54"/>
        <v>3.2963888888480142</v>
      </c>
    </row>
    <row r="672" spans="1:15">
      <c r="A672" s="1" t="s">
        <v>777</v>
      </c>
      <c r="B672" s="23">
        <v>44992.407638888886</v>
      </c>
      <c r="C672" s="1" t="s">
        <v>16</v>
      </c>
      <c r="D672" s="1" t="s">
        <v>12</v>
      </c>
      <c r="E672" s="1" t="s">
        <v>18</v>
      </c>
      <c r="F672" s="1" t="s">
        <v>90</v>
      </c>
      <c r="G672" s="1">
        <v>21</v>
      </c>
      <c r="H672" s="23">
        <v>44996.156550925924</v>
      </c>
      <c r="I672" s="1" t="b">
        <v>0</v>
      </c>
      <c r="K672" s="10">
        <f t="shared" si="52"/>
        <v>89.973888888896909</v>
      </c>
      <c r="L672" s="1" t="str">
        <f t="shared" si="53"/>
        <v>OK</v>
      </c>
      <c r="M672" s="1">
        <f t="shared" si="50"/>
        <v>1</v>
      </c>
      <c r="N672" s="1">
        <f t="shared" si="51"/>
        <v>21</v>
      </c>
      <c r="O672" s="10">
        <f t="shared" si="54"/>
        <v>89.973888888896909</v>
      </c>
    </row>
    <row r="673" spans="1:15">
      <c r="A673" s="1" t="s">
        <v>778</v>
      </c>
      <c r="B673" s="23">
        <v>44992.602083333331</v>
      </c>
      <c r="C673" s="1" t="s">
        <v>25</v>
      </c>
      <c r="D673" s="1" t="s">
        <v>17</v>
      </c>
      <c r="E673" s="1" t="s">
        <v>18</v>
      </c>
      <c r="F673" s="1" t="s">
        <v>14</v>
      </c>
      <c r="H673" s="23">
        <v>44995.226956018516</v>
      </c>
      <c r="I673" s="1" t="b">
        <v>0</v>
      </c>
      <c r="K673" s="10">
        <f t="shared" si="52"/>
        <v>62.996944444428664</v>
      </c>
      <c r="L673" s="1" t="str">
        <f t="shared" si="53"/>
        <v>Cannot check</v>
      </c>
      <c r="M673" s="1">
        <f t="shared" si="50"/>
        <v>1</v>
      </c>
      <c r="N673" s="1" t="str">
        <f t="shared" si="51"/>
        <v/>
      </c>
      <c r="O673" s="10">
        <f t="shared" si="54"/>
        <v>62.996944444428664</v>
      </c>
    </row>
    <row r="674" spans="1:15">
      <c r="A674" s="1" t="s">
        <v>779</v>
      </c>
      <c r="B674" s="23">
        <v>44992.685416666667</v>
      </c>
      <c r="C674" s="1" t="s">
        <v>16</v>
      </c>
      <c r="D674" s="1" t="s">
        <v>59</v>
      </c>
      <c r="E674" s="1" t="s">
        <v>18</v>
      </c>
      <c r="F674" s="1" t="s">
        <v>70</v>
      </c>
      <c r="G674" s="1">
        <v>107</v>
      </c>
      <c r="H674" s="23">
        <v>45003.545798611114</v>
      </c>
      <c r="I674" s="1" t="b">
        <v>1</v>
      </c>
      <c r="J674" s="1">
        <v>5</v>
      </c>
      <c r="K674" s="10">
        <f t="shared" si="52"/>
        <v>260.64916666672798</v>
      </c>
      <c r="L674" s="1" t="str">
        <f t="shared" si="53"/>
        <v>OK</v>
      </c>
      <c r="M674" s="1">
        <f t="shared" si="50"/>
        <v>1</v>
      </c>
      <c r="N674" s="1">
        <f t="shared" si="51"/>
        <v>107</v>
      </c>
      <c r="O674" s="10">
        <f t="shared" si="54"/>
        <v>260.64916666672798</v>
      </c>
    </row>
    <row r="675" spans="1:15">
      <c r="A675" s="1" t="s">
        <v>780</v>
      </c>
      <c r="B675" s="23">
        <v>44992.90902777778</v>
      </c>
      <c r="C675" s="1" t="s">
        <v>11</v>
      </c>
      <c r="D675" s="1" t="s">
        <v>26</v>
      </c>
      <c r="E675" s="1" t="s">
        <v>18</v>
      </c>
      <c r="F675" s="1" t="s">
        <v>90</v>
      </c>
      <c r="G675" s="1">
        <v>66</v>
      </c>
      <c r="H675" s="23">
        <v>45006.011678240742</v>
      </c>
      <c r="I675" s="1" t="b">
        <v>0</v>
      </c>
      <c r="J675" s="1">
        <v>5</v>
      </c>
      <c r="K675" s="10">
        <f t="shared" si="52"/>
        <v>314.46361111110309</v>
      </c>
      <c r="L675" s="1" t="str">
        <f t="shared" si="53"/>
        <v>OK</v>
      </c>
      <c r="M675" s="1">
        <f t="shared" si="50"/>
        <v>1</v>
      </c>
      <c r="N675" s="1">
        <f t="shared" si="51"/>
        <v>66</v>
      </c>
      <c r="O675" s="10">
        <f t="shared" si="54"/>
        <v>314.46361111110309</v>
      </c>
    </row>
    <row r="676" spans="1:15">
      <c r="A676" s="1" t="s">
        <v>781</v>
      </c>
      <c r="B676" s="23">
        <v>44993.111805555556</v>
      </c>
      <c r="C676" s="1" t="s">
        <v>16</v>
      </c>
      <c r="D676" s="1" t="s">
        <v>17</v>
      </c>
      <c r="E676" s="1" t="s">
        <v>13</v>
      </c>
      <c r="F676" s="1" t="s">
        <v>54</v>
      </c>
      <c r="G676" s="1">
        <v>31</v>
      </c>
      <c r="H676" s="23">
        <v>44994.800949074073</v>
      </c>
      <c r="I676" s="1" t="b">
        <v>0</v>
      </c>
      <c r="J676" s="1">
        <v>1</v>
      </c>
      <c r="K676" s="10">
        <f t="shared" si="52"/>
        <v>40.539444444410037</v>
      </c>
      <c r="L676" s="1" t="str">
        <f t="shared" si="53"/>
        <v>OK</v>
      </c>
      <c r="M676" s="1">
        <f t="shared" si="50"/>
        <v>1</v>
      </c>
      <c r="N676" s="1">
        <f t="shared" si="51"/>
        <v>31</v>
      </c>
      <c r="O676" s="10">
        <f t="shared" si="54"/>
        <v>40.539444444410037</v>
      </c>
    </row>
    <row r="677" spans="1:15">
      <c r="A677" s="1" t="s">
        <v>782</v>
      </c>
      <c r="B677" s="23">
        <v>44993.311805555553</v>
      </c>
      <c r="C677" s="1" t="s">
        <v>16</v>
      </c>
      <c r="D677" s="1" t="s">
        <v>17</v>
      </c>
      <c r="E677" s="1" t="s">
        <v>18</v>
      </c>
      <c r="F677" s="1" t="s">
        <v>132</v>
      </c>
      <c r="G677" s="1">
        <v>42</v>
      </c>
      <c r="H677" s="23">
        <v>44995.505231481482</v>
      </c>
      <c r="I677" s="1" t="b">
        <v>0</v>
      </c>
      <c r="K677" s="10">
        <f t="shared" si="52"/>
        <v>52.642222222290002</v>
      </c>
      <c r="L677" s="1" t="str">
        <f t="shared" si="53"/>
        <v>OK</v>
      </c>
      <c r="M677" s="1">
        <f t="shared" si="50"/>
        <v>1</v>
      </c>
      <c r="N677" s="1">
        <f t="shared" si="51"/>
        <v>42</v>
      </c>
      <c r="O677" s="10">
        <f t="shared" si="54"/>
        <v>52.642222222290002</v>
      </c>
    </row>
    <row r="678" spans="1:15">
      <c r="A678" s="1" t="s">
        <v>783</v>
      </c>
      <c r="B678" s="23">
        <v>44993.563888888886</v>
      </c>
      <c r="C678" s="1" t="s">
        <v>11</v>
      </c>
      <c r="D678" s="1" t="s">
        <v>12</v>
      </c>
      <c r="E678" s="1" t="s">
        <v>13</v>
      </c>
      <c r="F678" s="1" t="s">
        <v>128</v>
      </c>
      <c r="G678" s="1">
        <v>137</v>
      </c>
      <c r="H678" s="23">
        <v>44993.747037037036</v>
      </c>
      <c r="I678" s="1" t="b">
        <v>0</v>
      </c>
      <c r="K678" s="10">
        <f t="shared" si="52"/>
        <v>4.3955555555876344</v>
      </c>
      <c r="L678" s="1" t="str">
        <f t="shared" si="53"/>
        <v>OK</v>
      </c>
      <c r="M678" s="1">
        <f t="shared" si="50"/>
        <v>1</v>
      </c>
      <c r="N678" s="1">
        <f t="shared" si="51"/>
        <v>137</v>
      </c>
      <c r="O678" s="10">
        <f t="shared" si="54"/>
        <v>4.3955555555876344</v>
      </c>
    </row>
    <row r="679" spans="1:15">
      <c r="A679" s="1" t="s">
        <v>784</v>
      </c>
      <c r="B679" s="23">
        <v>44993.574305555558</v>
      </c>
      <c r="C679" s="1" t="s">
        <v>43</v>
      </c>
      <c r="D679" s="1" t="s">
        <v>26</v>
      </c>
      <c r="E679" s="1" t="s">
        <v>18</v>
      </c>
      <c r="F679" s="1" t="s">
        <v>37</v>
      </c>
      <c r="G679" s="1">
        <v>26</v>
      </c>
      <c r="H679" s="23">
        <v>44995.036782407406</v>
      </c>
      <c r="I679" s="1" t="b">
        <v>0</v>
      </c>
      <c r="K679" s="10">
        <f t="shared" si="52"/>
        <v>35.099444444349501</v>
      </c>
      <c r="L679" s="1" t="str">
        <f t="shared" si="53"/>
        <v>OK</v>
      </c>
      <c r="M679" s="1">
        <f t="shared" si="50"/>
        <v>1</v>
      </c>
      <c r="N679" s="1">
        <f t="shared" si="51"/>
        <v>26</v>
      </c>
      <c r="O679" s="10">
        <f t="shared" si="54"/>
        <v>35.099444444349501</v>
      </c>
    </row>
    <row r="680" spans="1:15">
      <c r="A680" s="1" t="s">
        <v>785</v>
      </c>
      <c r="B680" s="23">
        <v>44993.941666666666</v>
      </c>
      <c r="C680" s="1" t="s">
        <v>16</v>
      </c>
      <c r="D680" s="1" t="s">
        <v>21</v>
      </c>
      <c r="E680" s="1" t="s">
        <v>18</v>
      </c>
      <c r="F680" s="1" t="s">
        <v>60</v>
      </c>
      <c r="G680" s="1">
        <v>31</v>
      </c>
      <c r="H680" s="23">
        <v>45000.639803240738</v>
      </c>
      <c r="I680" s="1" t="b">
        <v>0</v>
      </c>
      <c r="K680" s="10">
        <f t="shared" si="52"/>
        <v>160.75527777773095</v>
      </c>
      <c r="L680" s="1" t="str">
        <f t="shared" si="53"/>
        <v>OK</v>
      </c>
      <c r="M680" s="1">
        <f t="shared" si="50"/>
        <v>1</v>
      </c>
      <c r="N680" s="1">
        <f t="shared" si="51"/>
        <v>31</v>
      </c>
      <c r="O680" s="10">
        <f t="shared" si="54"/>
        <v>160.75527777773095</v>
      </c>
    </row>
    <row r="681" spans="1:15">
      <c r="A681" s="1" t="s">
        <v>786</v>
      </c>
      <c r="B681" s="23">
        <v>44994.160416666666</v>
      </c>
      <c r="C681" s="1" t="s">
        <v>11</v>
      </c>
      <c r="D681" s="1" t="s">
        <v>26</v>
      </c>
      <c r="E681" s="1" t="s">
        <v>18</v>
      </c>
      <c r="F681" s="1" t="s">
        <v>256</v>
      </c>
      <c r="G681" s="1">
        <v>81</v>
      </c>
      <c r="H681" s="23">
        <v>44995.129861111112</v>
      </c>
      <c r="I681" s="1" t="b">
        <v>0</v>
      </c>
      <c r="J681" s="1">
        <v>2</v>
      </c>
      <c r="K681" s="10">
        <f t="shared" si="52"/>
        <v>23.266666666720994</v>
      </c>
      <c r="L681" s="1" t="str">
        <f t="shared" si="53"/>
        <v>OK</v>
      </c>
      <c r="M681" s="1">
        <f t="shared" si="50"/>
        <v>1</v>
      </c>
      <c r="N681" s="1">
        <f t="shared" si="51"/>
        <v>81</v>
      </c>
      <c r="O681" s="10">
        <f t="shared" si="54"/>
        <v>23.266666666720994</v>
      </c>
    </row>
    <row r="682" spans="1:15">
      <c r="A682" s="1" t="s">
        <v>787</v>
      </c>
      <c r="B682" s="23">
        <v>44994.182638888888</v>
      </c>
      <c r="C682" s="1" t="s">
        <v>25</v>
      </c>
      <c r="D682" s="1" t="s">
        <v>59</v>
      </c>
      <c r="E682" s="1" t="s">
        <v>13</v>
      </c>
      <c r="F682" s="1" t="s">
        <v>46</v>
      </c>
      <c r="G682" s="1">
        <v>70</v>
      </c>
      <c r="H682" s="23">
        <v>44994.639074074075</v>
      </c>
      <c r="I682" s="1" t="b">
        <v>1</v>
      </c>
      <c r="K682" s="10">
        <f t="shared" si="52"/>
        <v>10.954444444505498</v>
      </c>
      <c r="L682" s="1" t="str">
        <f t="shared" si="53"/>
        <v>OK</v>
      </c>
      <c r="M682" s="1">
        <f t="shared" si="50"/>
        <v>1</v>
      </c>
      <c r="N682" s="1">
        <f t="shared" si="51"/>
        <v>70</v>
      </c>
      <c r="O682" s="10">
        <f t="shared" si="54"/>
        <v>10.954444444505498</v>
      </c>
    </row>
    <row r="683" spans="1:15">
      <c r="A683" s="1" t="s">
        <v>788</v>
      </c>
      <c r="B683" s="23">
        <v>44994.275694444441</v>
      </c>
      <c r="C683" s="1" t="s">
        <v>16</v>
      </c>
      <c r="D683" s="1" t="s">
        <v>26</v>
      </c>
      <c r="E683" s="1" t="s">
        <v>33</v>
      </c>
      <c r="F683" s="1" t="s">
        <v>206</v>
      </c>
      <c r="G683" s="1">
        <v>57</v>
      </c>
      <c r="H683" s="23">
        <v>44996.36241898148</v>
      </c>
      <c r="I683" s="1" t="b">
        <v>0</v>
      </c>
      <c r="J683" s="1">
        <v>3</v>
      </c>
      <c r="K683" s="10">
        <f t="shared" si="52"/>
        <v>50.081388888938818</v>
      </c>
      <c r="L683" s="1" t="str">
        <f t="shared" si="53"/>
        <v>OK</v>
      </c>
      <c r="M683" s="1">
        <f t="shared" si="50"/>
        <v>1</v>
      </c>
      <c r="N683" s="1">
        <f t="shared" si="51"/>
        <v>57</v>
      </c>
      <c r="O683" s="10">
        <f t="shared" si="54"/>
        <v>50.081388888938818</v>
      </c>
    </row>
    <row r="684" spans="1:15">
      <c r="A684" s="1" t="s">
        <v>789</v>
      </c>
      <c r="B684" s="23">
        <v>44994.291666666664</v>
      </c>
      <c r="C684" s="1" t="s">
        <v>25</v>
      </c>
      <c r="D684" s="1" t="s">
        <v>17</v>
      </c>
      <c r="E684" s="1" t="s">
        <v>33</v>
      </c>
      <c r="F684" s="1" t="s">
        <v>234</v>
      </c>
      <c r="G684" s="1">
        <v>64</v>
      </c>
      <c r="I684" s="1" t="b">
        <v>0</v>
      </c>
      <c r="K684" s="10" t="str">
        <f t="shared" si="52"/>
        <v/>
      </c>
      <c r="L684" s="1" t="str">
        <f t="shared" si="53"/>
        <v>Cannot check</v>
      </c>
      <c r="M684" s="1">
        <f t="shared" si="50"/>
        <v>1</v>
      </c>
      <c r="N684" s="1">
        <f t="shared" si="51"/>
        <v>64</v>
      </c>
      <c r="O684" s="10" t="str">
        <f t="shared" si="54"/>
        <v/>
      </c>
    </row>
    <row r="685" spans="1:15">
      <c r="A685" s="1" t="s">
        <v>790</v>
      </c>
      <c r="B685" s="23">
        <v>44994.34375</v>
      </c>
      <c r="C685" s="1" t="s">
        <v>16</v>
      </c>
      <c r="D685" s="1" t="s">
        <v>12</v>
      </c>
      <c r="E685" s="1" t="s">
        <v>33</v>
      </c>
      <c r="F685" s="1" t="s">
        <v>14</v>
      </c>
      <c r="G685" s="1">
        <v>78</v>
      </c>
      <c r="H685" s="23">
        <v>45006.949733796297</v>
      </c>
      <c r="I685" s="1" t="b">
        <v>0</v>
      </c>
      <c r="K685" s="10">
        <f t="shared" si="52"/>
        <v>302.54361111111939</v>
      </c>
      <c r="L685" s="1" t="str">
        <f t="shared" si="53"/>
        <v>OK</v>
      </c>
      <c r="M685" s="1">
        <f t="shared" si="50"/>
        <v>1</v>
      </c>
      <c r="N685" s="1">
        <f t="shared" si="51"/>
        <v>78</v>
      </c>
      <c r="O685" s="10">
        <f t="shared" si="54"/>
        <v>302.54361111111939</v>
      </c>
    </row>
    <row r="686" spans="1:15">
      <c r="A686" s="1" t="s">
        <v>791</v>
      </c>
      <c r="B686" s="23">
        <v>44994.344444444447</v>
      </c>
      <c r="C686" s="1" t="s">
        <v>43</v>
      </c>
      <c r="D686" s="1" t="s">
        <v>12</v>
      </c>
      <c r="E686" s="1" t="s">
        <v>13</v>
      </c>
      <c r="F686" s="1" t="s">
        <v>78</v>
      </c>
      <c r="G686" s="1">
        <v>17</v>
      </c>
      <c r="H686" s="23">
        <v>44995.099641203706</v>
      </c>
      <c r="I686" s="1" t="b">
        <v>0</v>
      </c>
      <c r="K686" s="10">
        <f t="shared" si="52"/>
        <v>18.124722222215496</v>
      </c>
      <c r="L686" s="1" t="str">
        <f t="shared" si="53"/>
        <v>OK</v>
      </c>
      <c r="M686" s="1">
        <f t="shared" si="50"/>
        <v>1</v>
      </c>
      <c r="N686" s="1">
        <f t="shared" si="51"/>
        <v>17</v>
      </c>
      <c r="O686" s="10">
        <f t="shared" si="54"/>
        <v>18.124722222215496</v>
      </c>
    </row>
    <row r="687" spans="1:15">
      <c r="A687" s="1" t="s">
        <v>792</v>
      </c>
      <c r="B687" s="23">
        <v>44994.468055555553</v>
      </c>
      <c r="C687" s="1" t="s">
        <v>43</v>
      </c>
      <c r="D687" s="1" t="s">
        <v>12</v>
      </c>
      <c r="E687" s="1" t="s">
        <v>22</v>
      </c>
      <c r="F687" s="1" t="s">
        <v>108</v>
      </c>
      <c r="G687" s="1">
        <v>61</v>
      </c>
      <c r="H687" s="23">
        <v>44994.801921296297</v>
      </c>
      <c r="I687" s="1" t="b">
        <v>0</v>
      </c>
      <c r="J687" s="1">
        <v>5</v>
      </c>
      <c r="K687" s="10">
        <f t="shared" si="52"/>
        <v>8.0127777778543532</v>
      </c>
      <c r="L687" s="1" t="str">
        <f t="shared" si="53"/>
        <v>OK</v>
      </c>
      <c r="M687" s="1">
        <f t="shared" si="50"/>
        <v>1</v>
      </c>
      <c r="N687" s="1">
        <f t="shared" si="51"/>
        <v>61</v>
      </c>
      <c r="O687" s="10">
        <f t="shared" si="54"/>
        <v>8.0127777778543532</v>
      </c>
    </row>
    <row r="688" spans="1:15">
      <c r="A688" s="1" t="s">
        <v>793</v>
      </c>
      <c r="B688" s="23">
        <v>44994.585416666669</v>
      </c>
      <c r="C688" s="1" t="s">
        <v>16</v>
      </c>
      <c r="D688" s="1" t="s">
        <v>21</v>
      </c>
      <c r="E688" s="1" t="s">
        <v>33</v>
      </c>
      <c r="F688" s="1" t="s">
        <v>98</v>
      </c>
      <c r="H688" s="23">
        <v>44996.046018518522</v>
      </c>
      <c r="I688" s="1" t="b">
        <v>0</v>
      </c>
      <c r="K688" s="10">
        <f t="shared" si="52"/>
        <v>35.054444444482215</v>
      </c>
      <c r="L688" s="1" t="str">
        <f t="shared" si="53"/>
        <v>Cannot check</v>
      </c>
      <c r="M688" s="1">
        <f t="shared" si="50"/>
        <v>1</v>
      </c>
      <c r="N688" s="1" t="str">
        <f t="shared" si="51"/>
        <v/>
      </c>
      <c r="O688" s="10">
        <f t="shared" si="54"/>
        <v>35.054444444482215</v>
      </c>
    </row>
    <row r="689" spans="1:15">
      <c r="A689" s="1" t="s">
        <v>794</v>
      </c>
      <c r="B689" s="23">
        <v>44994.663194444445</v>
      </c>
      <c r="C689" s="1" t="s">
        <v>11</v>
      </c>
      <c r="D689" s="1" t="s">
        <v>12</v>
      </c>
      <c r="E689" s="1" t="s">
        <v>18</v>
      </c>
      <c r="F689" s="1" t="s">
        <v>326</v>
      </c>
      <c r="G689" s="1">
        <v>298</v>
      </c>
      <c r="H689" s="23">
        <v>45003.894456018519</v>
      </c>
      <c r="I689" s="1" t="b">
        <v>0</v>
      </c>
      <c r="J689" s="1">
        <v>4</v>
      </c>
      <c r="K689" s="10">
        <f t="shared" si="52"/>
        <v>221.55027777777286</v>
      </c>
      <c r="L689" s="1" t="str">
        <f t="shared" si="53"/>
        <v>OK</v>
      </c>
      <c r="M689" s="1">
        <f t="shared" si="50"/>
        <v>1</v>
      </c>
      <c r="N689" s="1">
        <f t="shared" si="51"/>
        <v>298</v>
      </c>
      <c r="O689" s="10">
        <f t="shared" si="54"/>
        <v>221.55027777777286</v>
      </c>
    </row>
    <row r="690" spans="1:15">
      <c r="A690" s="1" t="s">
        <v>795</v>
      </c>
      <c r="B690" s="23">
        <v>44994.70208333333</v>
      </c>
      <c r="C690" s="1" t="s">
        <v>25</v>
      </c>
      <c r="D690" s="1" t="s">
        <v>26</v>
      </c>
      <c r="E690" s="1" t="s">
        <v>18</v>
      </c>
      <c r="F690" s="1" t="s">
        <v>201</v>
      </c>
      <c r="G690" s="1">
        <v>145</v>
      </c>
      <c r="H690" s="23">
        <v>44996.861331018517</v>
      </c>
      <c r="I690" s="1" t="b">
        <v>0</v>
      </c>
      <c r="J690" s="1">
        <v>4</v>
      </c>
      <c r="K690" s="10">
        <f t="shared" si="52"/>
        <v>51.821944444498513</v>
      </c>
      <c r="L690" s="1" t="str">
        <f t="shared" si="53"/>
        <v>OK</v>
      </c>
      <c r="M690" s="1">
        <f t="shared" si="50"/>
        <v>1</v>
      </c>
      <c r="N690" s="1">
        <f t="shared" si="51"/>
        <v>145</v>
      </c>
      <c r="O690" s="10">
        <f t="shared" si="54"/>
        <v>51.821944444498513</v>
      </c>
    </row>
    <row r="691" spans="1:15">
      <c r="A691" s="1" t="s">
        <v>796</v>
      </c>
      <c r="B691" s="23">
        <v>44994.736805555556</v>
      </c>
      <c r="C691" s="1" t="s">
        <v>25</v>
      </c>
      <c r="D691" s="1" t="s">
        <v>21</v>
      </c>
      <c r="E691" s="1" t="s">
        <v>18</v>
      </c>
      <c r="F691" s="1" t="s">
        <v>345</v>
      </c>
      <c r="G691" s="1">
        <v>96</v>
      </c>
      <c r="H691" s="23">
        <v>44995.22142361111</v>
      </c>
      <c r="I691" s="1" t="b">
        <v>0</v>
      </c>
      <c r="K691" s="10">
        <f t="shared" si="52"/>
        <v>11.630833333299961</v>
      </c>
      <c r="L691" s="1" t="str">
        <f t="shared" si="53"/>
        <v>OK</v>
      </c>
      <c r="M691" s="1">
        <f t="shared" si="50"/>
        <v>1</v>
      </c>
      <c r="N691" s="1">
        <f t="shared" si="51"/>
        <v>96</v>
      </c>
      <c r="O691" s="10">
        <f t="shared" si="54"/>
        <v>11.630833333299961</v>
      </c>
    </row>
    <row r="692" spans="1:15">
      <c r="A692" s="1" t="s">
        <v>797</v>
      </c>
      <c r="B692" s="23">
        <v>44994.8</v>
      </c>
      <c r="C692" s="1" t="s">
        <v>43</v>
      </c>
      <c r="D692" s="1" t="s">
        <v>21</v>
      </c>
      <c r="E692" s="1" t="s">
        <v>18</v>
      </c>
      <c r="F692" s="1" t="s">
        <v>66</v>
      </c>
      <c r="G692" s="1">
        <v>654</v>
      </c>
      <c r="H692" s="23">
        <v>44995.674513888887</v>
      </c>
      <c r="I692" s="1" t="b">
        <v>0</v>
      </c>
      <c r="J692" s="1">
        <v>2</v>
      </c>
      <c r="K692" s="10">
        <f t="shared" si="52"/>
        <v>20.988333333225455</v>
      </c>
      <c r="L692" s="1" t="str">
        <f t="shared" si="53"/>
        <v>OK</v>
      </c>
      <c r="M692" s="1">
        <f t="shared" si="50"/>
        <v>1</v>
      </c>
      <c r="N692" s="1">
        <f t="shared" si="51"/>
        <v>654</v>
      </c>
      <c r="O692" s="10">
        <f t="shared" si="54"/>
        <v>20.988333333225455</v>
      </c>
    </row>
    <row r="693" spans="1:15">
      <c r="A693" s="1" t="s">
        <v>798</v>
      </c>
      <c r="B693" s="23">
        <v>44994.931250000001</v>
      </c>
      <c r="C693" s="1" t="s">
        <v>11</v>
      </c>
      <c r="D693" s="1" t="s">
        <v>17</v>
      </c>
      <c r="E693" s="1" t="s">
        <v>13</v>
      </c>
      <c r="F693" s="1" t="s">
        <v>120</v>
      </c>
      <c r="G693" s="1">
        <v>62</v>
      </c>
      <c r="H693" s="23">
        <v>44996.427094907405</v>
      </c>
      <c r="I693" s="1" t="b">
        <v>0</v>
      </c>
      <c r="J693" s="1">
        <v>2</v>
      </c>
      <c r="K693" s="10">
        <f t="shared" si="52"/>
        <v>35.900277777691372</v>
      </c>
      <c r="L693" s="1" t="str">
        <f t="shared" si="53"/>
        <v>OK</v>
      </c>
      <c r="M693" s="1">
        <f t="shared" si="50"/>
        <v>1</v>
      </c>
      <c r="N693" s="1">
        <f t="shared" si="51"/>
        <v>62</v>
      </c>
      <c r="O693" s="10">
        <f t="shared" si="54"/>
        <v>35.900277777691372</v>
      </c>
    </row>
    <row r="694" spans="1:15">
      <c r="A694" s="1" t="s">
        <v>799</v>
      </c>
      <c r="B694" s="23">
        <v>44995.006944444445</v>
      </c>
      <c r="C694" s="1" t="s">
        <v>16</v>
      </c>
      <c r="D694" s="1" t="s">
        <v>17</v>
      </c>
      <c r="E694" s="1" t="s">
        <v>13</v>
      </c>
      <c r="F694" s="1" t="s">
        <v>162</v>
      </c>
      <c r="G694" s="1">
        <v>63</v>
      </c>
      <c r="H694" s="23">
        <v>44995.167731481481</v>
      </c>
      <c r="I694" s="1" t="b">
        <v>0</v>
      </c>
      <c r="K694" s="10">
        <f t="shared" si="52"/>
        <v>3.8588888888480142</v>
      </c>
      <c r="L694" s="1" t="str">
        <f t="shared" si="53"/>
        <v>OK</v>
      </c>
      <c r="M694" s="1">
        <f t="shared" si="50"/>
        <v>1</v>
      </c>
      <c r="N694" s="1">
        <f t="shared" si="51"/>
        <v>63</v>
      </c>
      <c r="O694" s="10">
        <f t="shared" si="54"/>
        <v>3.8588888888480142</v>
      </c>
    </row>
    <row r="695" spans="1:15">
      <c r="A695" s="1" t="s">
        <v>800</v>
      </c>
      <c r="B695" s="23">
        <v>44995.168055555558</v>
      </c>
      <c r="C695" s="1" t="s">
        <v>11</v>
      </c>
      <c r="D695" s="1" t="s">
        <v>21</v>
      </c>
      <c r="E695" s="1" t="s">
        <v>18</v>
      </c>
      <c r="F695" s="1" t="s">
        <v>50</v>
      </c>
      <c r="G695" s="1">
        <v>267</v>
      </c>
      <c r="H695" s="23">
        <v>44995.378969907404</v>
      </c>
      <c r="I695" s="1" t="b">
        <v>0</v>
      </c>
      <c r="J695" s="1">
        <v>4</v>
      </c>
      <c r="K695" s="10">
        <f t="shared" si="52"/>
        <v>5.0619444443145767</v>
      </c>
      <c r="L695" s="1" t="str">
        <f t="shared" si="53"/>
        <v>OK</v>
      </c>
      <c r="M695" s="1">
        <f t="shared" si="50"/>
        <v>1</v>
      </c>
      <c r="N695" s="1">
        <f t="shared" si="51"/>
        <v>267</v>
      </c>
      <c r="O695" s="10">
        <f t="shared" si="54"/>
        <v>5.0619444443145767</v>
      </c>
    </row>
    <row r="696" spans="1:15">
      <c r="A696" s="1" t="s">
        <v>801</v>
      </c>
      <c r="B696" s="23">
        <v>44995.490277777775</v>
      </c>
      <c r="C696" s="1" t="s">
        <v>11</v>
      </c>
      <c r="D696" s="1" t="s">
        <v>21</v>
      </c>
      <c r="E696" s="1" t="s">
        <v>18</v>
      </c>
      <c r="F696" s="1" t="s">
        <v>108</v>
      </c>
      <c r="G696" s="1">
        <v>150</v>
      </c>
      <c r="H696" s="23">
        <v>44995.776712962965</v>
      </c>
      <c r="I696" s="1" t="b">
        <v>1</v>
      </c>
      <c r="K696" s="10">
        <f t="shared" si="52"/>
        <v>6.8744444445474073</v>
      </c>
      <c r="L696" s="1" t="str">
        <f t="shared" si="53"/>
        <v>OK</v>
      </c>
      <c r="M696" s="1">
        <f t="shared" si="50"/>
        <v>1</v>
      </c>
      <c r="N696" s="1">
        <f t="shared" si="51"/>
        <v>150</v>
      </c>
      <c r="O696" s="10">
        <f t="shared" si="54"/>
        <v>6.8744444445474073</v>
      </c>
    </row>
    <row r="697" spans="1:15">
      <c r="A697" s="1" t="s">
        <v>802</v>
      </c>
      <c r="B697" s="23">
        <v>44995.511805555558</v>
      </c>
      <c r="C697" s="1" t="s">
        <v>16</v>
      </c>
      <c r="D697" s="1" t="s">
        <v>21</v>
      </c>
      <c r="E697" s="1" t="s">
        <v>13</v>
      </c>
      <c r="F697" s="1" t="s">
        <v>148</v>
      </c>
      <c r="G697" s="1">
        <v>31</v>
      </c>
      <c r="H697" s="23">
        <v>44995.540324074071</v>
      </c>
      <c r="I697" s="1" t="b">
        <v>0</v>
      </c>
      <c r="K697" s="10">
        <f t="shared" si="52"/>
        <v>0.68444444431224838</v>
      </c>
      <c r="L697" s="1" t="str">
        <f t="shared" si="53"/>
        <v>OK</v>
      </c>
      <c r="M697" s="1">
        <f t="shared" si="50"/>
        <v>1</v>
      </c>
      <c r="N697" s="1">
        <f t="shared" si="51"/>
        <v>31</v>
      </c>
      <c r="O697" s="10">
        <f t="shared" si="54"/>
        <v>0.68444444431224838</v>
      </c>
    </row>
    <row r="698" spans="1:15">
      <c r="A698" s="1" t="s">
        <v>803</v>
      </c>
      <c r="B698" s="23">
        <v>44995.78125</v>
      </c>
      <c r="C698" s="1" t="s">
        <v>16</v>
      </c>
      <c r="D698" s="1" t="s">
        <v>59</v>
      </c>
      <c r="E698" s="1" t="s">
        <v>33</v>
      </c>
      <c r="F698" s="1" t="s">
        <v>104</v>
      </c>
      <c r="G698" s="1">
        <v>363</v>
      </c>
      <c r="H698" s="23">
        <v>44996.510578703703</v>
      </c>
      <c r="I698" s="1" t="b">
        <v>1</v>
      </c>
      <c r="K698" s="10">
        <f t="shared" si="52"/>
        <v>17.503888888866641</v>
      </c>
      <c r="L698" s="1" t="str">
        <f t="shared" si="53"/>
        <v>OK</v>
      </c>
      <c r="M698" s="1">
        <f t="shared" si="50"/>
        <v>1</v>
      </c>
      <c r="N698" s="1">
        <f t="shared" si="51"/>
        <v>363</v>
      </c>
      <c r="O698" s="10">
        <f t="shared" si="54"/>
        <v>17.503888888866641</v>
      </c>
    </row>
    <row r="699" spans="1:15">
      <c r="A699" s="1" t="s">
        <v>804</v>
      </c>
      <c r="B699" s="23">
        <v>44995.840277777781</v>
      </c>
      <c r="C699" s="1" t="s">
        <v>25</v>
      </c>
      <c r="D699" s="1" t="s">
        <v>59</v>
      </c>
      <c r="E699" s="1" t="s">
        <v>33</v>
      </c>
      <c r="F699" s="1" t="s">
        <v>52</v>
      </c>
      <c r="G699" s="1">
        <v>674</v>
      </c>
      <c r="H699" s="23">
        <v>44995.989421296297</v>
      </c>
      <c r="I699" s="1" t="b">
        <v>1</v>
      </c>
      <c r="K699" s="10">
        <f t="shared" si="52"/>
        <v>3.5794444443890825</v>
      </c>
      <c r="L699" s="1" t="str">
        <f t="shared" si="53"/>
        <v>Review</v>
      </c>
      <c r="M699" s="1">
        <f t="shared" si="50"/>
        <v>1</v>
      </c>
      <c r="N699" s="1" t="str">
        <f t="shared" si="51"/>
        <v/>
      </c>
      <c r="O699" s="10" t="str">
        <f t="shared" si="54"/>
        <v/>
      </c>
    </row>
    <row r="700" spans="1:15">
      <c r="A700" s="1" t="s">
        <v>805</v>
      </c>
      <c r="B700" s="23">
        <v>44996.213888888888</v>
      </c>
      <c r="C700" s="1" t="s">
        <v>11</v>
      </c>
      <c r="D700" s="1" t="s">
        <v>12</v>
      </c>
      <c r="E700" s="1" t="s">
        <v>18</v>
      </c>
      <c r="F700" s="1" t="s">
        <v>274</v>
      </c>
      <c r="G700" s="1">
        <v>200</v>
      </c>
      <c r="H700" s="23">
        <v>44997.627858796295</v>
      </c>
      <c r="I700" s="1" t="b">
        <v>0</v>
      </c>
      <c r="K700" s="10">
        <f t="shared" si="52"/>
        <v>33.935277777782176</v>
      </c>
      <c r="L700" s="1" t="str">
        <f t="shared" si="53"/>
        <v>OK</v>
      </c>
      <c r="M700" s="1">
        <f t="shared" si="50"/>
        <v>1</v>
      </c>
      <c r="N700" s="1">
        <f t="shared" si="51"/>
        <v>200</v>
      </c>
      <c r="O700" s="10">
        <f t="shared" si="54"/>
        <v>33.935277777782176</v>
      </c>
    </row>
    <row r="701" spans="1:15">
      <c r="A701" s="1" t="s">
        <v>806</v>
      </c>
      <c r="B701" s="23">
        <v>44996.232638888891</v>
      </c>
      <c r="C701" s="1" t="s">
        <v>16</v>
      </c>
      <c r="D701" s="1" t="s">
        <v>17</v>
      </c>
      <c r="E701" s="1" t="s">
        <v>18</v>
      </c>
      <c r="F701" s="1" t="s">
        <v>19</v>
      </c>
      <c r="G701" s="1">
        <v>50</v>
      </c>
      <c r="I701" s="1" t="b">
        <v>0</v>
      </c>
      <c r="K701" s="10" t="str">
        <f t="shared" si="52"/>
        <v/>
      </c>
      <c r="L701" s="1" t="str">
        <f t="shared" si="53"/>
        <v>Cannot check</v>
      </c>
      <c r="M701" s="1">
        <f t="shared" si="50"/>
        <v>1</v>
      </c>
      <c r="N701" s="1">
        <f t="shared" si="51"/>
        <v>50</v>
      </c>
      <c r="O701" s="10" t="str">
        <f t="shared" si="54"/>
        <v/>
      </c>
    </row>
    <row r="702" spans="1:15">
      <c r="A702" s="1" t="s">
        <v>807</v>
      </c>
      <c r="B702" s="23">
        <v>44996.447222222225</v>
      </c>
      <c r="C702" s="1" t="s">
        <v>11</v>
      </c>
      <c r="D702" s="1" t="s">
        <v>17</v>
      </c>
      <c r="E702" s="1" t="s">
        <v>13</v>
      </c>
      <c r="F702" s="1" t="s">
        <v>116</v>
      </c>
      <c r="G702" s="1">
        <v>67</v>
      </c>
      <c r="H702" s="23">
        <v>44997.108599537038</v>
      </c>
      <c r="I702" s="1" t="b">
        <v>0</v>
      </c>
      <c r="K702" s="10">
        <f t="shared" si="52"/>
        <v>15.873055555508472</v>
      </c>
      <c r="L702" s="1" t="str">
        <f t="shared" si="53"/>
        <v>OK</v>
      </c>
      <c r="M702" s="1">
        <f t="shared" si="50"/>
        <v>1</v>
      </c>
      <c r="N702" s="1">
        <f t="shared" si="51"/>
        <v>67</v>
      </c>
      <c r="O702" s="10">
        <f t="shared" si="54"/>
        <v>15.873055555508472</v>
      </c>
    </row>
    <row r="703" spans="1:15">
      <c r="A703" s="1" t="s">
        <v>808</v>
      </c>
      <c r="B703" s="23">
        <v>44996.522222222222</v>
      </c>
      <c r="C703" s="1" t="s">
        <v>16</v>
      </c>
      <c r="D703" s="1" t="s">
        <v>21</v>
      </c>
      <c r="E703" s="1" t="s">
        <v>33</v>
      </c>
      <c r="F703" s="1" t="s">
        <v>46</v>
      </c>
      <c r="G703" s="1">
        <v>266</v>
      </c>
      <c r="H703" s="23">
        <v>45002.937962962962</v>
      </c>
      <c r="I703" s="1" t="b">
        <v>0</v>
      </c>
      <c r="J703" s="1">
        <v>5</v>
      </c>
      <c r="K703" s="10">
        <f t="shared" si="52"/>
        <v>153.97777777776355</v>
      </c>
      <c r="L703" s="1" t="str">
        <f t="shared" si="53"/>
        <v>OK</v>
      </c>
      <c r="M703" s="1">
        <f t="shared" si="50"/>
        <v>1</v>
      </c>
      <c r="N703" s="1">
        <f t="shared" si="51"/>
        <v>266</v>
      </c>
      <c r="O703" s="10">
        <f t="shared" si="54"/>
        <v>153.97777777776355</v>
      </c>
    </row>
    <row r="704" spans="1:15">
      <c r="A704" s="1" t="s">
        <v>809</v>
      </c>
      <c r="B704" s="23">
        <v>44996.527083333334</v>
      </c>
      <c r="C704" s="1" t="s">
        <v>16</v>
      </c>
      <c r="D704" s="1" t="s">
        <v>12</v>
      </c>
      <c r="E704" s="1" t="s">
        <v>33</v>
      </c>
      <c r="F704" s="1" t="s">
        <v>120</v>
      </c>
      <c r="G704" s="1">
        <v>157</v>
      </c>
      <c r="H704" s="23">
        <v>45009.374409722222</v>
      </c>
      <c r="I704" s="1" t="b">
        <v>0</v>
      </c>
      <c r="J704" s="1">
        <v>3</v>
      </c>
      <c r="K704" s="10">
        <f t="shared" si="52"/>
        <v>308.33583333331626</v>
      </c>
      <c r="L704" s="1" t="str">
        <f t="shared" si="53"/>
        <v>OK</v>
      </c>
      <c r="M704" s="1">
        <f t="shared" si="50"/>
        <v>1</v>
      </c>
      <c r="N704" s="1">
        <f t="shared" si="51"/>
        <v>157</v>
      </c>
      <c r="O704" s="10">
        <f t="shared" si="54"/>
        <v>308.33583333331626</v>
      </c>
    </row>
    <row r="705" spans="1:15">
      <c r="A705" s="1" t="s">
        <v>810</v>
      </c>
      <c r="B705" s="23">
        <v>44996.78402777778</v>
      </c>
      <c r="C705" s="1" t="s">
        <v>25</v>
      </c>
      <c r="D705" s="1" t="s">
        <v>12</v>
      </c>
      <c r="E705" s="1" t="s">
        <v>33</v>
      </c>
      <c r="F705" s="1" t="s">
        <v>68</v>
      </c>
      <c r="G705" s="1">
        <v>326</v>
      </c>
      <c r="H705" s="23">
        <v>44997.133344907408</v>
      </c>
      <c r="I705" s="1" t="b">
        <v>0</v>
      </c>
      <c r="K705" s="10">
        <f t="shared" si="52"/>
        <v>8.3836111110867932</v>
      </c>
      <c r="L705" s="1" t="str">
        <f t="shared" si="53"/>
        <v>OK</v>
      </c>
      <c r="M705" s="1">
        <f t="shared" si="50"/>
        <v>1</v>
      </c>
      <c r="N705" s="1">
        <f t="shared" si="51"/>
        <v>326</v>
      </c>
      <c r="O705" s="10">
        <f t="shared" si="54"/>
        <v>8.3836111110867932</v>
      </c>
    </row>
    <row r="706" spans="1:15">
      <c r="A706" s="1" t="s">
        <v>811</v>
      </c>
      <c r="B706" s="23">
        <v>44997.231249999997</v>
      </c>
      <c r="C706" s="1" t="s">
        <v>25</v>
      </c>
      <c r="D706" s="1" t="s">
        <v>26</v>
      </c>
      <c r="E706" s="1" t="s">
        <v>13</v>
      </c>
      <c r="F706" s="1" t="s">
        <v>162</v>
      </c>
      <c r="G706" s="1">
        <v>14</v>
      </c>
      <c r="H706" s="23">
        <v>45000.256863425922</v>
      </c>
      <c r="I706" s="1" t="b">
        <v>0</v>
      </c>
      <c r="K706" s="10">
        <f t="shared" si="52"/>
        <v>72.614722222206183</v>
      </c>
      <c r="L706" s="1" t="str">
        <f t="shared" si="53"/>
        <v>OK</v>
      </c>
      <c r="M706" s="1">
        <f t="shared" ref="M706:M769" si="55">COUNTIF($A$2:$A$4001,A706)</f>
        <v>1</v>
      </c>
      <c r="N706" s="1">
        <f t="shared" ref="N706:N769" si="56">IF(OR(L706="Review",G706=""),"",G706)</f>
        <v>14</v>
      </c>
      <c r="O706" s="10">
        <f t="shared" si="54"/>
        <v>72.614722222206183</v>
      </c>
    </row>
    <row r="707" spans="1:15">
      <c r="A707" s="1" t="s">
        <v>812</v>
      </c>
      <c r="B707" s="23">
        <v>44997.287499999999</v>
      </c>
      <c r="C707" s="1" t="s">
        <v>16</v>
      </c>
      <c r="D707" s="1" t="s">
        <v>17</v>
      </c>
      <c r="E707" s="1" t="s">
        <v>13</v>
      </c>
      <c r="F707" s="1" t="s">
        <v>112</v>
      </c>
      <c r="G707" s="1">
        <v>30</v>
      </c>
      <c r="H707" s="23">
        <v>44997.759988425925</v>
      </c>
      <c r="I707" s="1" t="b">
        <v>0</v>
      </c>
      <c r="K707" s="10">
        <f t="shared" ref="K707:K770" si="57">IF(H707="","",(H707-B707)*24)</f>
        <v>11.339722222241107</v>
      </c>
      <c r="L707" s="1" t="str">
        <f t="shared" ref="L707:L770" si="58">IF(OR(G707="",K707=""),"Cannot check",IF(G707&gt;K707*60,"Review","OK"))</f>
        <v>OK</v>
      </c>
      <c r="M707" s="1">
        <f t="shared" si="55"/>
        <v>1</v>
      </c>
      <c r="N707" s="1">
        <f t="shared" si="56"/>
        <v>30</v>
      </c>
      <c r="O707" s="10">
        <f t="shared" ref="O707:O770" si="59">IF(OR(L707="Review",K707=""),"",K707)</f>
        <v>11.339722222241107</v>
      </c>
    </row>
    <row r="708" spans="1:15">
      <c r="A708" s="1" t="s">
        <v>813</v>
      </c>
      <c r="B708" s="23">
        <v>44997.292361111111</v>
      </c>
      <c r="C708" s="1" t="s">
        <v>11</v>
      </c>
      <c r="D708" s="1" t="s">
        <v>12</v>
      </c>
      <c r="E708" s="1" t="s">
        <v>13</v>
      </c>
      <c r="F708" s="1" t="s">
        <v>162</v>
      </c>
      <c r="H708" s="23">
        <v>44999.850324074076</v>
      </c>
      <c r="I708" s="1" t="b">
        <v>0</v>
      </c>
      <c r="K708" s="10">
        <f t="shared" si="57"/>
        <v>61.391111111151986</v>
      </c>
      <c r="L708" s="1" t="str">
        <f t="shared" si="58"/>
        <v>Cannot check</v>
      </c>
      <c r="M708" s="1">
        <f t="shared" si="55"/>
        <v>1</v>
      </c>
      <c r="N708" s="1" t="str">
        <f t="shared" si="56"/>
        <v/>
      </c>
      <c r="O708" s="10">
        <f t="shared" si="59"/>
        <v>61.391111111151986</v>
      </c>
    </row>
    <row r="709" spans="1:15">
      <c r="A709" s="1" t="s">
        <v>814</v>
      </c>
      <c r="B709" s="23">
        <v>44997.438194444447</v>
      </c>
      <c r="C709" s="1" t="s">
        <v>11</v>
      </c>
      <c r="D709" s="1" t="s">
        <v>21</v>
      </c>
      <c r="E709" s="1" t="s">
        <v>18</v>
      </c>
      <c r="F709" s="1" t="s">
        <v>159</v>
      </c>
      <c r="G709" s="1">
        <v>32</v>
      </c>
      <c r="H709" s="23">
        <v>44997.97320601852</v>
      </c>
      <c r="I709" s="1" t="b">
        <v>0</v>
      </c>
      <c r="J709" s="1">
        <v>5</v>
      </c>
      <c r="K709" s="10">
        <f t="shared" si="57"/>
        <v>12.840277777751908</v>
      </c>
      <c r="L709" s="1" t="str">
        <f t="shared" si="58"/>
        <v>OK</v>
      </c>
      <c r="M709" s="1">
        <f t="shared" si="55"/>
        <v>1</v>
      </c>
      <c r="N709" s="1">
        <f t="shared" si="56"/>
        <v>32</v>
      </c>
      <c r="O709" s="10">
        <f t="shared" si="59"/>
        <v>12.840277777751908</v>
      </c>
    </row>
    <row r="710" spans="1:15">
      <c r="A710" s="1" t="s">
        <v>815</v>
      </c>
      <c r="B710" s="23">
        <v>44997.652083333334</v>
      </c>
      <c r="C710" s="1" t="s">
        <v>11</v>
      </c>
      <c r="D710" s="1" t="s">
        <v>59</v>
      </c>
      <c r="E710" s="1" t="s">
        <v>13</v>
      </c>
      <c r="F710" s="1" t="s">
        <v>86</v>
      </c>
      <c r="G710" s="1">
        <v>78</v>
      </c>
      <c r="H710" s="23">
        <v>44997.71334490741</v>
      </c>
      <c r="I710" s="1" t="b">
        <v>0</v>
      </c>
      <c r="K710" s="10">
        <f t="shared" si="57"/>
        <v>1.470277777814772</v>
      </c>
      <c r="L710" s="1" t="str">
        <f t="shared" si="58"/>
        <v>OK</v>
      </c>
      <c r="M710" s="1">
        <f t="shared" si="55"/>
        <v>1</v>
      </c>
      <c r="N710" s="1">
        <f t="shared" si="56"/>
        <v>78</v>
      </c>
      <c r="O710" s="10">
        <f t="shared" si="59"/>
        <v>1.470277777814772</v>
      </c>
    </row>
    <row r="711" spans="1:15">
      <c r="A711" s="1" t="s">
        <v>816</v>
      </c>
      <c r="B711" s="23">
        <v>44997.890277777777</v>
      </c>
      <c r="C711" s="1" t="s">
        <v>25</v>
      </c>
      <c r="D711" s="1" t="s">
        <v>17</v>
      </c>
      <c r="E711" s="1" t="s">
        <v>18</v>
      </c>
      <c r="F711" s="1" t="s">
        <v>104</v>
      </c>
      <c r="G711" s="1">
        <v>498</v>
      </c>
      <c r="H711" s="23">
        <v>44998.178854166668</v>
      </c>
      <c r="I711" s="1" t="b">
        <v>0</v>
      </c>
      <c r="K711" s="10">
        <f t="shared" si="57"/>
        <v>6.9258333334000781</v>
      </c>
      <c r="L711" s="1" t="str">
        <f t="shared" si="58"/>
        <v>Review</v>
      </c>
      <c r="M711" s="1">
        <f t="shared" si="55"/>
        <v>1</v>
      </c>
      <c r="N711" s="1" t="str">
        <f t="shared" si="56"/>
        <v/>
      </c>
      <c r="O711" s="10" t="str">
        <f t="shared" si="59"/>
        <v/>
      </c>
    </row>
    <row r="712" spans="1:15">
      <c r="A712" s="1" t="s">
        <v>817</v>
      </c>
      <c r="B712" s="23">
        <v>44998.114583333336</v>
      </c>
      <c r="C712" s="1" t="s">
        <v>11</v>
      </c>
      <c r="D712" s="1" t="s">
        <v>21</v>
      </c>
      <c r="E712" s="1" t="s">
        <v>13</v>
      </c>
      <c r="F712" s="1" t="s">
        <v>148</v>
      </c>
      <c r="G712" s="1">
        <v>9</v>
      </c>
      <c r="H712" s="23">
        <v>44998.405231481483</v>
      </c>
      <c r="I712" s="1" t="b">
        <v>0</v>
      </c>
      <c r="J712" s="1">
        <v>3</v>
      </c>
      <c r="K712" s="10">
        <f t="shared" si="57"/>
        <v>6.9755555555457249</v>
      </c>
      <c r="L712" s="1" t="str">
        <f t="shared" si="58"/>
        <v>OK</v>
      </c>
      <c r="M712" s="1">
        <f t="shared" si="55"/>
        <v>1</v>
      </c>
      <c r="N712" s="1">
        <f t="shared" si="56"/>
        <v>9</v>
      </c>
      <c r="O712" s="10">
        <f t="shared" si="59"/>
        <v>6.9755555555457249</v>
      </c>
    </row>
    <row r="713" spans="1:15">
      <c r="A713" s="1" t="s">
        <v>818</v>
      </c>
      <c r="B713" s="23">
        <v>44998.175000000003</v>
      </c>
      <c r="C713" s="1" t="s">
        <v>16</v>
      </c>
      <c r="D713" s="1" t="s">
        <v>21</v>
      </c>
      <c r="E713" s="1" t="s">
        <v>33</v>
      </c>
      <c r="F713" s="1" t="s">
        <v>110</v>
      </c>
      <c r="G713" s="1">
        <v>38</v>
      </c>
      <c r="H713" s="23">
        <v>44998.535138888888</v>
      </c>
      <c r="I713" s="1" t="b">
        <v>0</v>
      </c>
      <c r="K713" s="10">
        <f t="shared" si="57"/>
        <v>8.6433333332533948</v>
      </c>
      <c r="L713" s="1" t="str">
        <f t="shared" si="58"/>
        <v>OK</v>
      </c>
      <c r="M713" s="1">
        <f t="shared" si="55"/>
        <v>1</v>
      </c>
      <c r="N713" s="1">
        <f t="shared" si="56"/>
        <v>38</v>
      </c>
      <c r="O713" s="10">
        <f t="shared" si="59"/>
        <v>8.6433333332533948</v>
      </c>
    </row>
    <row r="714" spans="1:15">
      <c r="A714" s="1" t="s">
        <v>819</v>
      </c>
      <c r="B714" s="23">
        <v>44998.238888888889</v>
      </c>
      <c r="C714" s="1" t="s">
        <v>16</v>
      </c>
      <c r="D714" s="1" t="s">
        <v>26</v>
      </c>
      <c r="E714" s="1" t="s">
        <v>18</v>
      </c>
      <c r="F714" s="1" t="s">
        <v>92</v>
      </c>
      <c r="G714" s="1">
        <v>51</v>
      </c>
      <c r="H714" s="23">
        <v>44999.406550925924</v>
      </c>
      <c r="I714" s="1" t="b">
        <v>1</v>
      </c>
      <c r="J714" s="1">
        <v>5</v>
      </c>
      <c r="K714" s="10">
        <f t="shared" si="57"/>
        <v>28.023888888827059</v>
      </c>
      <c r="L714" s="1" t="str">
        <f t="shared" si="58"/>
        <v>OK</v>
      </c>
      <c r="M714" s="1">
        <f t="shared" si="55"/>
        <v>1</v>
      </c>
      <c r="N714" s="1">
        <f t="shared" si="56"/>
        <v>51</v>
      </c>
      <c r="O714" s="10">
        <f t="shared" si="59"/>
        <v>28.023888888827059</v>
      </c>
    </row>
    <row r="715" spans="1:15">
      <c r="A715" s="1" t="s">
        <v>820</v>
      </c>
      <c r="B715" s="23">
        <v>44998.324305555558</v>
      </c>
      <c r="C715" s="1" t="s">
        <v>25</v>
      </c>
      <c r="D715" s="1" t="s">
        <v>17</v>
      </c>
      <c r="E715" s="1" t="s">
        <v>18</v>
      </c>
      <c r="F715" s="1" t="s">
        <v>76</v>
      </c>
      <c r="G715" s="1">
        <v>156</v>
      </c>
      <c r="H715" s="23">
        <v>45006.2812962963</v>
      </c>
      <c r="I715" s="1" t="b">
        <v>0</v>
      </c>
      <c r="J715" s="1">
        <v>4</v>
      </c>
      <c r="K715" s="10">
        <f t="shared" si="57"/>
        <v>190.96777777781244</v>
      </c>
      <c r="L715" s="1" t="str">
        <f t="shared" si="58"/>
        <v>OK</v>
      </c>
      <c r="M715" s="1">
        <f t="shared" si="55"/>
        <v>1</v>
      </c>
      <c r="N715" s="1">
        <f t="shared" si="56"/>
        <v>156</v>
      </c>
      <c r="O715" s="10">
        <f t="shared" si="59"/>
        <v>190.96777777781244</v>
      </c>
    </row>
    <row r="716" spans="1:15">
      <c r="A716" s="1" t="s">
        <v>821</v>
      </c>
      <c r="B716" s="23">
        <v>44998.412499999999</v>
      </c>
      <c r="C716" s="1" t="s">
        <v>25</v>
      </c>
      <c r="D716" s="1" t="s">
        <v>21</v>
      </c>
      <c r="E716" s="1" t="s">
        <v>18</v>
      </c>
      <c r="F716" s="1" t="s">
        <v>132</v>
      </c>
      <c r="G716" s="1">
        <v>14</v>
      </c>
      <c r="H716" s="23">
        <v>44998.913958333331</v>
      </c>
      <c r="I716" s="1" t="b">
        <v>0</v>
      </c>
      <c r="K716" s="10">
        <f t="shared" si="57"/>
        <v>12.034999999974389</v>
      </c>
      <c r="L716" s="1" t="str">
        <f t="shared" si="58"/>
        <v>OK</v>
      </c>
      <c r="M716" s="1">
        <f t="shared" si="55"/>
        <v>1</v>
      </c>
      <c r="N716" s="1">
        <f t="shared" si="56"/>
        <v>14</v>
      </c>
      <c r="O716" s="10">
        <f t="shared" si="59"/>
        <v>12.034999999974389</v>
      </c>
    </row>
    <row r="717" spans="1:15">
      <c r="A717" s="1" t="s">
        <v>822</v>
      </c>
      <c r="B717" s="23">
        <v>44998.591666666667</v>
      </c>
      <c r="C717" s="1" t="s">
        <v>25</v>
      </c>
      <c r="D717" s="1" t="s">
        <v>26</v>
      </c>
      <c r="E717" s="1" t="s">
        <v>18</v>
      </c>
      <c r="F717" s="1" t="s">
        <v>88</v>
      </c>
      <c r="G717" s="1">
        <v>172</v>
      </c>
      <c r="H717" s="23">
        <v>45005.062372685185</v>
      </c>
      <c r="I717" s="1" t="b">
        <v>0</v>
      </c>
      <c r="K717" s="10">
        <f t="shared" si="57"/>
        <v>155.29694444441702</v>
      </c>
      <c r="L717" s="1" t="str">
        <f t="shared" si="58"/>
        <v>OK</v>
      </c>
      <c r="M717" s="1">
        <f t="shared" si="55"/>
        <v>1</v>
      </c>
      <c r="N717" s="1">
        <f t="shared" si="56"/>
        <v>172</v>
      </c>
      <c r="O717" s="10">
        <f t="shared" si="59"/>
        <v>155.29694444441702</v>
      </c>
    </row>
    <row r="718" spans="1:15">
      <c r="A718" s="1" t="s">
        <v>823</v>
      </c>
      <c r="B718" s="23">
        <v>44998.738888888889</v>
      </c>
      <c r="C718" s="1" t="s">
        <v>43</v>
      </c>
      <c r="D718" s="1" t="s">
        <v>21</v>
      </c>
      <c r="E718" s="1" t="s">
        <v>18</v>
      </c>
      <c r="F718" s="1" t="s">
        <v>201</v>
      </c>
      <c r="G718" s="1">
        <v>217</v>
      </c>
      <c r="H718" s="23">
        <v>45001.424490740741</v>
      </c>
      <c r="I718" s="1" t="b">
        <v>0</v>
      </c>
      <c r="J718" s="1">
        <v>4</v>
      </c>
      <c r="K718" s="10">
        <f t="shared" si="57"/>
        <v>64.45444444444729</v>
      </c>
      <c r="L718" s="1" t="str">
        <f t="shared" si="58"/>
        <v>OK</v>
      </c>
      <c r="M718" s="1">
        <f t="shared" si="55"/>
        <v>1</v>
      </c>
      <c r="N718" s="1">
        <f t="shared" si="56"/>
        <v>217</v>
      </c>
      <c r="O718" s="10">
        <f t="shared" si="59"/>
        <v>64.45444444444729</v>
      </c>
    </row>
    <row r="719" spans="1:15">
      <c r="A719" s="1" t="s">
        <v>824</v>
      </c>
      <c r="B719" s="23">
        <v>44998.801388888889</v>
      </c>
      <c r="C719" s="1" t="s">
        <v>25</v>
      </c>
      <c r="D719" s="1" t="s">
        <v>59</v>
      </c>
      <c r="E719" s="1" t="s">
        <v>22</v>
      </c>
      <c r="F719" s="1" t="s">
        <v>106</v>
      </c>
      <c r="G719" s="1">
        <v>23</v>
      </c>
      <c r="H719" s="23">
        <v>44998.882893518516</v>
      </c>
      <c r="I719" s="1" t="b">
        <v>1</v>
      </c>
      <c r="J719" s="1">
        <v>5</v>
      </c>
      <c r="K719" s="10">
        <f t="shared" si="57"/>
        <v>1.9561111110378988</v>
      </c>
      <c r="L719" s="1" t="str">
        <f t="shared" si="58"/>
        <v>OK</v>
      </c>
      <c r="M719" s="1">
        <f t="shared" si="55"/>
        <v>1</v>
      </c>
      <c r="N719" s="1">
        <f t="shared" si="56"/>
        <v>23</v>
      </c>
      <c r="O719" s="10">
        <f t="shared" si="59"/>
        <v>1.9561111110378988</v>
      </c>
    </row>
    <row r="720" spans="1:15">
      <c r="A720" s="1" t="s">
        <v>825</v>
      </c>
      <c r="B720" s="23">
        <v>44998.896527777775</v>
      </c>
      <c r="C720" s="1" t="s">
        <v>16</v>
      </c>
      <c r="D720" s="1" t="s">
        <v>21</v>
      </c>
      <c r="E720" s="1" t="s">
        <v>18</v>
      </c>
      <c r="F720" s="1" t="s">
        <v>114</v>
      </c>
      <c r="G720" s="1">
        <v>214</v>
      </c>
      <c r="H720" s="23">
        <v>45005.878252314818</v>
      </c>
      <c r="I720" s="1" t="b">
        <v>0</v>
      </c>
      <c r="K720" s="10">
        <f t="shared" si="57"/>
        <v>167.56138888903661</v>
      </c>
      <c r="L720" s="1" t="str">
        <f t="shared" si="58"/>
        <v>OK</v>
      </c>
      <c r="M720" s="1">
        <f t="shared" si="55"/>
        <v>1</v>
      </c>
      <c r="N720" s="1">
        <f t="shared" si="56"/>
        <v>214</v>
      </c>
      <c r="O720" s="10">
        <f t="shared" si="59"/>
        <v>167.56138888903661</v>
      </c>
    </row>
    <row r="721" spans="1:15">
      <c r="A721" s="1" t="s">
        <v>826</v>
      </c>
      <c r="B721" s="23">
        <v>44998.929166666669</v>
      </c>
      <c r="C721" s="1" t="s">
        <v>16</v>
      </c>
      <c r="D721" s="1" t="s">
        <v>17</v>
      </c>
      <c r="E721" s="1" t="s">
        <v>33</v>
      </c>
      <c r="F721" s="1" t="s">
        <v>52</v>
      </c>
      <c r="G721" s="1">
        <v>75</v>
      </c>
      <c r="H721" s="23">
        <v>44999.807175925926</v>
      </c>
      <c r="I721" s="1" t="b">
        <v>0</v>
      </c>
      <c r="J721" s="1">
        <v>4</v>
      </c>
      <c r="K721" s="10">
        <f t="shared" si="57"/>
        <v>21.072222222166602</v>
      </c>
      <c r="L721" s="1" t="str">
        <f t="shared" si="58"/>
        <v>OK</v>
      </c>
      <c r="M721" s="1">
        <f t="shared" si="55"/>
        <v>1</v>
      </c>
      <c r="N721" s="1">
        <f t="shared" si="56"/>
        <v>75</v>
      </c>
      <c r="O721" s="10">
        <f t="shared" si="59"/>
        <v>21.072222222166602</v>
      </c>
    </row>
    <row r="722" spans="1:15">
      <c r="A722" s="1" t="s">
        <v>827</v>
      </c>
      <c r="B722" s="23">
        <v>44998.970138888886</v>
      </c>
      <c r="C722" s="1" t="s">
        <v>11</v>
      </c>
      <c r="D722" s="1" t="s">
        <v>21</v>
      </c>
      <c r="E722" s="1" t="s">
        <v>18</v>
      </c>
      <c r="F722" s="1" t="s">
        <v>178</v>
      </c>
      <c r="G722" s="1">
        <v>660</v>
      </c>
      <c r="H722" s="23">
        <v>44999.269456018519</v>
      </c>
      <c r="I722" s="1" t="b">
        <v>0</v>
      </c>
      <c r="K722" s="10">
        <f t="shared" si="57"/>
        <v>7.183611111191567</v>
      </c>
      <c r="L722" s="1" t="str">
        <f t="shared" si="58"/>
        <v>Review</v>
      </c>
      <c r="M722" s="1">
        <f t="shared" si="55"/>
        <v>1</v>
      </c>
      <c r="N722" s="1" t="str">
        <f t="shared" si="56"/>
        <v/>
      </c>
      <c r="O722" s="10" t="str">
        <f t="shared" si="59"/>
        <v/>
      </c>
    </row>
    <row r="723" spans="1:15">
      <c r="A723" s="1" t="s">
        <v>828</v>
      </c>
      <c r="B723" s="23">
        <v>44998.984722222223</v>
      </c>
      <c r="C723" s="1" t="s">
        <v>11</v>
      </c>
      <c r="D723" s="1" t="s">
        <v>17</v>
      </c>
      <c r="E723" s="1" t="s">
        <v>18</v>
      </c>
      <c r="F723" s="1" t="s">
        <v>35</v>
      </c>
      <c r="G723" s="1">
        <v>37</v>
      </c>
      <c r="H723" s="23">
        <v>45003.079872685186</v>
      </c>
      <c r="I723" s="1" t="b">
        <v>0</v>
      </c>
      <c r="K723" s="10">
        <f t="shared" si="57"/>
        <v>98.283611111110076</v>
      </c>
      <c r="L723" s="1" t="str">
        <f t="shared" si="58"/>
        <v>OK</v>
      </c>
      <c r="M723" s="1">
        <f t="shared" si="55"/>
        <v>1</v>
      </c>
      <c r="N723" s="1">
        <f t="shared" si="56"/>
        <v>37</v>
      </c>
      <c r="O723" s="10">
        <f t="shared" si="59"/>
        <v>98.283611111110076</v>
      </c>
    </row>
    <row r="724" spans="1:15">
      <c r="A724" s="1" t="s">
        <v>829</v>
      </c>
      <c r="B724" s="23">
        <v>44999.122916666667</v>
      </c>
      <c r="C724" s="1" t="s">
        <v>16</v>
      </c>
      <c r="D724" s="1" t="s">
        <v>17</v>
      </c>
      <c r="E724" s="1" t="s">
        <v>33</v>
      </c>
      <c r="F724" s="1" t="s">
        <v>226</v>
      </c>
      <c r="G724" s="1">
        <v>273</v>
      </c>
      <c r="H724" s="23">
        <v>45001.016886574071</v>
      </c>
      <c r="I724" s="1" t="b">
        <v>0</v>
      </c>
      <c r="K724" s="10">
        <f t="shared" si="57"/>
        <v>45.455277777684387</v>
      </c>
      <c r="L724" s="1" t="str">
        <f t="shared" si="58"/>
        <v>OK</v>
      </c>
      <c r="M724" s="1">
        <f t="shared" si="55"/>
        <v>1</v>
      </c>
      <c r="N724" s="1">
        <f t="shared" si="56"/>
        <v>273</v>
      </c>
      <c r="O724" s="10">
        <f t="shared" si="59"/>
        <v>45.455277777684387</v>
      </c>
    </row>
    <row r="725" spans="1:15">
      <c r="A725" s="1" t="s">
        <v>830</v>
      </c>
      <c r="B725" s="23">
        <v>44999.184027777781</v>
      </c>
      <c r="C725" s="1" t="s">
        <v>25</v>
      </c>
      <c r="D725" s="1" t="s">
        <v>21</v>
      </c>
      <c r="E725" s="1" t="s">
        <v>18</v>
      </c>
      <c r="F725" s="1" t="s">
        <v>68</v>
      </c>
      <c r="G725" s="1">
        <v>21</v>
      </c>
      <c r="H725" s="23">
        <v>45001.850497685184</v>
      </c>
      <c r="I725" s="1" t="b">
        <v>0</v>
      </c>
      <c r="K725" s="10">
        <f t="shared" si="57"/>
        <v>63.995277777663432</v>
      </c>
      <c r="L725" s="1" t="str">
        <f t="shared" si="58"/>
        <v>OK</v>
      </c>
      <c r="M725" s="1">
        <f t="shared" si="55"/>
        <v>1</v>
      </c>
      <c r="N725" s="1">
        <f t="shared" si="56"/>
        <v>21</v>
      </c>
      <c r="O725" s="10">
        <f t="shared" si="59"/>
        <v>63.995277777663432</v>
      </c>
    </row>
    <row r="726" spans="1:15">
      <c r="A726" s="1" t="s">
        <v>831</v>
      </c>
      <c r="B726" s="23">
        <v>44999.289583333331</v>
      </c>
      <c r="C726" s="1" t="s">
        <v>11</v>
      </c>
      <c r="D726" s="1" t="s">
        <v>21</v>
      </c>
      <c r="E726" s="1" t="s">
        <v>22</v>
      </c>
      <c r="F726" s="1" t="s">
        <v>112</v>
      </c>
      <c r="G726" s="1">
        <v>5</v>
      </c>
      <c r="H726" s="23">
        <v>44999.349930555552</v>
      </c>
      <c r="I726" s="1" t="b">
        <v>0</v>
      </c>
      <c r="K726" s="10">
        <f t="shared" si="57"/>
        <v>1.4483333333046176</v>
      </c>
      <c r="L726" s="1" t="str">
        <f t="shared" si="58"/>
        <v>OK</v>
      </c>
      <c r="M726" s="1">
        <f t="shared" si="55"/>
        <v>1</v>
      </c>
      <c r="N726" s="1">
        <f t="shared" si="56"/>
        <v>5</v>
      </c>
      <c r="O726" s="10">
        <f t="shared" si="59"/>
        <v>1.4483333333046176</v>
      </c>
    </row>
    <row r="727" spans="1:15">
      <c r="A727" s="1" t="s">
        <v>832</v>
      </c>
      <c r="B727" s="23">
        <v>44999.581944444442</v>
      </c>
      <c r="C727" s="1" t="s">
        <v>25</v>
      </c>
      <c r="D727" s="1" t="s">
        <v>17</v>
      </c>
      <c r="E727" s="1" t="s">
        <v>18</v>
      </c>
      <c r="F727" s="1" t="s">
        <v>60</v>
      </c>
      <c r="G727" s="1">
        <v>8</v>
      </c>
      <c r="H727" s="23">
        <v>45000.905821759261</v>
      </c>
      <c r="I727" s="1" t="b">
        <v>0</v>
      </c>
      <c r="J727" s="1">
        <v>5</v>
      </c>
      <c r="K727" s="10">
        <f t="shared" si="57"/>
        <v>31.77305555564817</v>
      </c>
      <c r="L727" s="1" t="str">
        <f t="shared" si="58"/>
        <v>OK</v>
      </c>
      <c r="M727" s="1">
        <f t="shared" si="55"/>
        <v>1</v>
      </c>
      <c r="N727" s="1">
        <f t="shared" si="56"/>
        <v>8</v>
      </c>
      <c r="O727" s="10">
        <f t="shared" si="59"/>
        <v>31.77305555564817</v>
      </c>
    </row>
    <row r="728" spans="1:15">
      <c r="A728" s="1" t="s">
        <v>833</v>
      </c>
      <c r="B728" s="23">
        <v>44999.586111111108</v>
      </c>
      <c r="C728" s="1" t="s">
        <v>43</v>
      </c>
      <c r="D728" s="1" t="s">
        <v>17</v>
      </c>
      <c r="E728" s="1" t="s">
        <v>33</v>
      </c>
      <c r="F728" s="1" t="s">
        <v>60</v>
      </c>
      <c r="G728" s="1">
        <v>55</v>
      </c>
      <c r="H728" s="23">
        <v>45000.267870370371</v>
      </c>
      <c r="I728" s="1" t="b">
        <v>1</v>
      </c>
      <c r="K728" s="10">
        <f t="shared" si="57"/>
        <v>16.36222222232027</v>
      </c>
      <c r="L728" s="1" t="str">
        <f t="shared" si="58"/>
        <v>OK</v>
      </c>
      <c r="M728" s="1">
        <f t="shared" si="55"/>
        <v>1</v>
      </c>
      <c r="N728" s="1">
        <f t="shared" si="56"/>
        <v>55</v>
      </c>
      <c r="O728" s="10">
        <f t="shared" si="59"/>
        <v>16.36222222232027</v>
      </c>
    </row>
    <row r="729" spans="1:15">
      <c r="A729" s="1" t="s">
        <v>834</v>
      </c>
      <c r="B729" s="23">
        <v>44999.677777777775</v>
      </c>
      <c r="C729" s="1" t="s">
        <v>43</v>
      </c>
      <c r="D729" s="1" t="s">
        <v>17</v>
      </c>
      <c r="E729" s="1" t="s">
        <v>18</v>
      </c>
      <c r="F729" s="1" t="s">
        <v>317</v>
      </c>
      <c r="G729" s="1">
        <v>287</v>
      </c>
      <c r="H729" s="23">
        <v>45008.995682870373</v>
      </c>
      <c r="I729" s="1" t="b">
        <v>1</v>
      </c>
      <c r="K729" s="10">
        <f t="shared" si="57"/>
        <v>223.62972222233657</v>
      </c>
      <c r="L729" s="1" t="str">
        <f t="shared" si="58"/>
        <v>OK</v>
      </c>
      <c r="M729" s="1">
        <f t="shared" si="55"/>
        <v>1</v>
      </c>
      <c r="N729" s="1">
        <f t="shared" si="56"/>
        <v>287</v>
      </c>
      <c r="O729" s="10">
        <f t="shared" si="59"/>
        <v>223.62972222233657</v>
      </c>
    </row>
    <row r="730" spans="1:15">
      <c r="A730" s="1" t="s">
        <v>835</v>
      </c>
      <c r="B730" s="23">
        <v>44999.692361111112</v>
      </c>
      <c r="C730" s="1" t="s">
        <v>11</v>
      </c>
      <c r="D730" s="1" t="s">
        <v>17</v>
      </c>
      <c r="E730" s="1" t="s">
        <v>13</v>
      </c>
      <c r="F730" s="1" t="s">
        <v>709</v>
      </c>
      <c r="G730" s="1">
        <v>7</v>
      </c>
      <c r="H730" s="23">
        <v>45000.997476851851</v>
      </c>
      <c r="I730" s="1" t="b">
        <v>0</v>
      </c>
      <c r="K730" s="10">
        <f t="shared" si="57"/>
        <v>31.32277777773561</v>
      </c>
      <c r="L730" s="1" t="str">
        <f t="shared" si="58"/>
        <v>OK</v>
      </c>
      <c r="M730" s="1">
        <f t="shared" si="55"/>
        <v>1</v>
      </c>
      <c r="N730" s="1">
        <f t="shared" si="56"/>
        <v>7</v>
      </c>
      <c r="O730" s="10">
        <f t="shared" si="59"/>
        <v>31.32277777773561</v>
      </c>
    </row>
    <row r="731" spans="1:15">
      <c r="A731" s="1" t="s">
        <v>836</v>
      </c>
      <c r="B731" s="23">
        <v>44999.745138888888</v>
      </c>
      <c r="C731" s="1" t="s">
        <v>11</v>
      </c>
      <c r="D731" s="1" t="s">
        <v>59</v>
      </c>
      <c r="E731" s="1" t="s">
        <v>22</v>
      </c>
      <c r="F731" s="1" t="s">
        <v>110</v>
      </c>
      <c r="G731" s="1">
        <v>9</v>
      </c>
      <c r="H731" s="23">
        <v>44999.811157407406</v>
      </c>
      <c r="I731" s="1" t="b">
        <v>0</v>
      </c>
      <c r="K731" s="10">
        <f t="shared" si="57"/>
        <v>1.5844444444519468</v>
      </c>
      <c r="L731" s="1" t="str">
        <f t="shared" si="58"/>
        <v>OK</v>
      </c>
      <c r="M731" s="1">
        <f t="shared" si="55"/>
        <v>1</v>
      </c>
      <c r="N731" s="1">
        <f t="shared" si="56"/>
        <v>9</v>
      </c>
      <c r="O731" s="10">
        <f t="shared" si="59"/>
        <v>1.5844444444519468</v>
      </c>
    </row>
    <row r="732" spans="1:15">
      <c r="A732" s="1" t="s">
        <v>837</v>
      </c>
      <c r="B732" s="23">
        <v>44999.78402777778</v>
      </c>
      <c r="C732" s="1" t="s">
        <v>16</v>
      </c>
      <c r="D732" s="1" t="s">
        <v>17</v>
      </c>
      <c r="E732" s="1" t="s">
        <v>18</v>
      </c>
      <c r="F732" s="1" t="s">
        <v>52</v>
      </c>
      <c r="G732" s="1">
        <v>106</v>
      </c>
      <c r="H732" s="23">
        <v>45001.094699074078</v>
      </c>
      <c r="I732" s="1" t="b">
        <v>0</v>
      </c>
      <c r="J732" s="1">
        <v>1</v>
      </c>
      <c r="K732" s="10">
        <f t="shared" si="57"/>
        <v>31.456111111154314</v>
      </c>
      <c r="L732" s="1" t="str">
        <f t="shared" si="58"/>
        <v>OK</v>
      </c>
      <c r="M732" s="1">
        <f t="shared" si="55"/>
        <v>1</v>
      </c>
      <c r="N732" s="1">
        <f t="shared" si="56"/>
        <v>106</v>
      </c>
      <c r="O732" s="10">
        <f t="shared" si="59"/>
        <v>31.456111111154314</v>
      </c>
    </row>
    <row r="733" spans="1:15">
      <c r="A733" s="1" t="s">
        <v>838</v>
      </c>
      <c r="B733" s="23">
        <v>45000.036805555559</v>
      </c>
      <c r="C733" s="1" t="s">
        <v>16</v>
      </c>
      <c r="D733" s="1" t="s">
        <v>17</v>
      </c>
      <c r="E733" s="1" t="s">
        <v>18</v>
      </c>
      <c r="F733" s="1" t="s">
        <v>37</v>
      </c>
      <c r="G733" s="1">
        <v>184</v>
      </c>
      <c r="H733" s="23">
        <v>45000.772673611114</v>
      </c>
      <c r="I733" s="1" t="b">
        <v>0</v>
      </c>
      <c r="K733" s="10">
        <f t="shared" si="57"/>
        <v>17.660833333327901</v>
      </c>
      <c r="L733" s="1" t="str">
        <f t="shared" si="58"/>
        <v>OK</v>
      </c>
      <c r="M733" s="1">
        <f t="shared" si="55"/>
        <v>1</v>
      </c>
      <c r="N733" s="1">
        <f t="shared" si="56"/>
        <v>184</v>
      </c>
      <c r="O733" s="10">
        <f t="shared" si="59"/>
        <v>17.660833333327901</v>
      </c>
    </row>
    <row r="734" spans="1:15">
      <c r="A734" s="1" t="s">
        <v>839</v>
      </c>
      <c r="B734" s="23">
        <v>45000.37222222222</v>
      </c>
      <c r="C734" s="1" t="s">
        <v>16</v>
      </c>
      <c r="D734" s="1" t="s">
        <v>17</v>
      </c>
      <c r="E734" s="1" t="s">
        <v>13</v>
      </c>
      <c r="F734" s="1" t="s">
        <v>41</v>
      </c>
      <c r="G734" s="1">
        <v>59</v>
      </c>
      <c r="H734" s="23">
        <v>45000.839965277781</v>
      </c>
      <c r="I734" s="1" t="b">
        <v>0</v>
      </c>
      <c r="K734" s="10">
        <f t="shared" si="57"/>
        <v>11.225833333446644</v>
      </c>
      <c r="L734" s="1" t="str">
        <f t="shared" si="58"/>
        <v>OK</v>
      </c>
      <c r="M734" s="1">
        <f t="shared" si="55"/>
        <v>1</v>
      </c>
      <c r="N734" s="1">
        <f t="shared" si="56"/>
        <v>59</v>
      </c>
      <c r="O734" s="10">
        <f t="shared" si="59"/>
        <v>11.225833333446644</v>
      </c>
    </row>
    <row r="735" spans="1:15">
      <c r="A735" s="1" t="s">
        <v>840</v>
      </c>
      <c r="B735" s="23">
        <v>45000.414583333331</v>
      </c>
      <c r="C735" s="1" t="s">
        <v>16</v>
      </c>
      <c r="D735" s="1" t="s">
        <v>17</v>
      </c>
      <c r="E735" s="1" t="s">
        <v>18</v>
      </c>
      <c r="F735" s="1" t="s">
        <v>78</v>
      </c>
      <c r="G735" s="1">
        <v>155</v>
      </c>
      <c r="I735" s="1" t="b">
        <v>0</v>
      </c>
      <c r="K735" s="10" t="str">
        <f t="shared" si="57"/>
        <v/>
      </c>
      <c r="L735" s="1" t="str">
        <f t="shared" si="58"/>
        <v>Cannot check</v>
      </c>
      <c r="M735" s="1">
        <f t="shared" si="55"/>
        <v>1</v>
      </c>
      <c r="N735" s="1">
        <f t="shared" si="56"/>
        <v>155</v>
      </c>
      <c r="O735" s="10" t="str">
        <f t="shared" si="59"/>
        <v/>
      </c>
    </row>
    <row r="736" spans="1:15">
      <c r="A736" s="1" t="s">
        <v>841</v>
      </c>
      <c r="B736" s="23">
        <v>45000.554166666669</v>
      </c>
      <c r="C736" s="1" t="s">
        <v>16</v>
      </c>
      <c r="D736" s="1" t="s">
        <v>21</v>
      </c>
      <c r="E736" s="1" t="s">
        <v>33</v>
      </c>
      <c r="F736" s="1" t="s">
        <v>66</v>
      </c>
      <c r="G736" s="1">
        <v>520</v>
      </c>
      <c r="H736" s="23">
        <v>45004.665671296294</v>
      </c>
      <c r="I736" s="1" t="b">
        <v>0</v>
      </c>
      <c r="K736" s="10">
        <f t="shared" si="57"/>
        <v>98.676111111009959</v>
      </c>
      <c r="L736" s="1" t="str">
        <f t="shared" si="58"/>
        <v>OK</v>
      </c>
      <c r="M736" s="1">
        <f t="shared" si="55"/>
        <v>1</v>
      </c>
      <c r="N736" s="1">
        <f t="shared" si="56"/>
        <v>520</v>
      </c>
      <c r="O736" s="10">
        <f t="shared" si="59"/>
        <v>98.676111111009959</v>
      </c>
    </row>
    <row r="737" spans="1:15">
      <c r="A737" s="1" t="s">
        <v>842</v>
      </c>
      <c r="B737" s="23">
        <v>45000.615277777775</v>
      </c>
      <c r="C737" s="1" t="s">
        <v>25</v>
      </c>
      <c r="D737" s="1" t="s">
        <v>21</v>
      </c>
      <c r="E737" s="1" t="s">
        <v>13</v>
      </c>
      <c r="F737" s="1" t="s">
        <v>80</v>
      </c>
      <c r="G737" s="1">
        <v>146</v>
      </c>
      <c r="H737" s="23">
        <v>45001.880671296298</v>
      </c>
      <c r="I737" s="1" t="b">
        <v>0</v>
      </c>
      <c r="K737" s="10">
        <f t="shared" si="57"/>
        <v>30.369444444542751</v>
      </c>
      <c r="L737" s="1" t="str">
        <f t="shared" si="58"/>
        <v>OK</v>
      </c>
      <c r="M737" s="1">
        <f t="shared" si="55"/>
        <v>1</v>
      </c>
      <c r="N737" s="1">
        <f t="shared" si="56"/>
        <v>146</v>
      </c>
      <c r="O737" s="10">
        <f t="shared" si="59"/>
        <v>30.369444444542751</v>
      </c>
    </row>
    <row r="738" spans="1:15">
      <c r="A738" s="1" t="s">
        <v>843</v>
      </c>
      <c r="B738" s="23">
        <v>45000.686805555553</v>
      </c>
      <c r="C738" s="1" t="s">
        <v>16</v>
      </c>
      <c r="D738" s="1" t="s">
        <v>21</v>
      </c>
      <c r="E738" s="1" t="s">
        <v>13</v>
      </c>
      <c r="F738" s="1" t="s">
        <v>254</v>
      </c>
      <c r="G738" s="1">
        <v>17</v>
      </c>
      <c r="H738" s="23">
        <v>45001.826226851852</v>
      </c>
      <c r="I738" s="1" t="b">
        <v>1</v>
      </c>
      <c r="K738" s="10">
        <f t="shared" si="57"/>
        <v>27.346111111168284</v>
      </c>
      <c r="L738" s="1" t="str">
        <f t="shared" si="58"/>
        <v>OK</v>
      </c>
      <c r="M738" s="1">
        <f t="shared" si="55"/>
        <v>1</v>
      </c>
      <c r="N738" s="1">
        <f t="shared" si="56"/>
        <v>17</v>
      </c>
      <c r="O738" s="10">
        <f t="shared" si="59"/>
        <v>27.346111111168284</v>
      </c>
    </row>
    <row r="739" spans="1:15">
      <c r="A739" s="1" t="s">
        <v>844</v>
      </c>
      <c r="B739" s="23">
        <v>45000.762499999997</v>
      </c>
      <c r="C739" s="1" t="s">
        <v>43</v>
      </c>
      <c r="D739" s="1" t="s">
        <v>21</v>
      </c>
      <c r="E739" s="1" t="s">
        <v>18</v>
      </c>
      <c r="F739" s="1" t="s">
        <v>167</v>
      </c>
      <c r="G739" s="1">
        <v>177</v>
      </c>
      <c r="H739" s="23">
        <v>45002.575798611113</v>
      </c>
      <c r="I739" s="1" t="b">
        <v>0</v>
      </c>
      <c r="K739" s="10">
        <f t="shared" si="57"/>
        <v>43.51916666678153</v>
      </c>
      <c r="L739" s="1" t="str">
        <f t="shared" si="58"/>
        <v>OK</v>
      </c>
      <c r="M739" s="1">
        <f t="shared" si="55"/>
        <v>1</v>
      </c>
      <c r="N739" s="1">
        <f t="shared" si="56"/>
        <v>177</v>
      </c>
      <c r="O739" s="10">
        <f t="shared" si="59"/>
        <v>43.51916666678153</v>
      </c>
    </row>
    <row r="740" spans="1:15">
      <c r="A740" s="1" t="s">
        <v>845</v>
      </c>
      <c r="B740" s="23">
        <v>45000.981249999997</v>
      </c>
      <c r="C740" s="1" t="s">
        <v>43</v>
      </c>
      <c r="D740" s="1" t="s">
        <v>59</v>
      </c>
      <c r="E740" s="1" t="s">
        <v>33</v>
      </c>
      <c r="F740" s="1" t="s">
        <v>224</v>
      </c>
      <c r="G740" s="1">
        <v>57</v>
      </c>
      <c r="H740" s="23">
        <v>45005.330405092594</v>
      </c>
      <c r="I740" s="1" t="b">
        <v>0</v>
      </c>
      <c r="K740" s="10">
        <f t="shared" si="57"/>
        <v>104.37972222233657</v>
      </c>
      <c r="L740" s="1" t="str">
        <f t="shared" si="58"/>
        <v>OK</v>
      </c>
      <c r="M740" s="1">
        <f t="shared" si="55"/>
        <v>1</v>
      </c>
      <c r="N740" s="1">
        <f t="shared" si="56"/>
        <v>57</v>
      </c>
      <c r="O740" s="10">
        <f t="shared" si="59"/>
        <v>104.37972222233657</v>
      </c>
    </row>
    <row r="741" spans="1:15">
      <c r="A741" s="1" t="s">
        <v>846</v>
      </c>
      <c r="B741" s="23">
        <v>45001.393055555556</v>
      </c>
      <c r="C741" s="1" t="s">
        <v>43</v>
      </c>
      <c r="D741" s="1" t="s">
        <v>12</v>
      </c>
      <c r="E741" s="1" t="s">
        <v>13</v>
      </c>
      <c r="F741" s="1" t="s">
        <v>62</v>
      </c>
      <c r="G741" s="1">
        <v>80</v>
      </c>
      <c r="H741" s="23">
        <v>45001.802002314813</v>
      </c>
      <c r="I741" s="1" t="b">
        <v>0</v>
      </c>
      <c r="K741" s="10">
        <f t="shared" si="57"/>
        <v>9.8147222221596166</v>
      </c>
      <c r="L741" s="1" t="str">
        <f t="shared" si="58"/>
        <v>OK</v>
      </c>
      <c r="M741" s="1">
        <f t="shared" si="55"/>
        <v>1</v>
      </c>
      <c r="N741" s="1">
        <f t="shared" si="56"/>
        <v>80</v>
      </c>
      <c r="O741" s="10">
        <f t="shared" si="59"/>
        <v>9.8147222221596166</v>
      </c>
    </row>
    <row r="742" spans="1:15">
      <c r="A742" s="1" t="s">
        <v>847</v>
      </c>
      <c r="B742" s="23">
        <v>45001.399305555555</v>
      </c>
      <c r="C742" s="1" t="s">
        <v>25</v>
      </c>
      <c r="D742" s="1" t="s">
        <v>17</v>
      </c>
      <c r="E742" s="1" t="s">
        <v>18</v>
      </c>
      <c r="F742" s="1" t="s">
        <v>226</v>
      </c>
      <c r="G742" s="1">
        <v>29</v>
      </c>
      <c r="H742" s="23">
        <v>45002.547974537039</v>
      </c>
      <c r="I742" s="1" t="b">
        <v>0</v>
      </c>
      <c r="J742" s="1">
        <v>4</v>
      </c>
      <c r="K742" s="10">
        <f t="shared" si="57"/>
        <v>27.568055555631872</v>
      </c>
      <c r="L742" s="1" t="str">
        <f t="shared" si="58"/>
        <v>OK</v>
      </c>
      <c r="M742" s="1">
        <f t="shared" si="55"/>
        <v>1</v>
      </c>
      <c r="N742" s="1">
        <f t="shared" si="56"/>
        <v>29</v>
      </c>
      <c r="O742" s="10">
        <f t="shared" si="59"/>
        <v>27.568055555631872</v>
      </c>
    </row>
    <row r="743" spans="1:15">
      <c r="A743" s="1" t="s">
        <v>848</v>
      </c>
      <c r="B743" s="23">
        <v>45001.479861111111</v>
      </c>
      <c r="C743" s="1" t="s">
        <v>16</v>
      </c>
      <c r="D743" s="1" t="s">
        <v>21</v>
      </c>
      <c r="E743" s="1" t="s">
        <v>18</v>
      </c>
      <c r="F743" s="1" t="s">
        <v>35</v>
      </c>
      <c r="G743" s="1">
        <v>188</v>
      </c>
      <c r="H743" s="23">
        <v>45001.684918981482</v>
      </c>
      <c r="I743" s="1" t="b">
        <v>0</v>
      </c>
      <c r="K743" s="10">
        <f t="shared" si="57"/>
        <v>4.9213888889062218</v>
      </c>
      <c r="L743" s="1" t="str">
        <f t="shared" si="58"/>
        <v>OK</v>
      </c>
      <c r="M743" s="1">
        <f t="shared" si="55"/>
        <v>1</v>
      </c>
      <c r="N743" s="1">
        <f t="shared" si="56"/>
        <v>188</v>
      </c>
      <c r="O743" s="10">
        <f t="shared" si="59"/>
        <v>4.9213888889062218</v>
      </c>
    </row>
    <row r="744" spans="1:15">
      <c r="A744" s="1" t="s">
        <v>849</v>
      </c>
      <c r="B744" s="23">
        <v>45001.585416666669</v>
      </c>
      <c r="C744" s="1" t="s">
        <v>16</v>
      </c>
      <c r="D744" s="1" t="s">
        <v>12</v>
      </c>
      <c r="E744" s="1" t="s">
        <v>33</v>
      </c>
      <c r="F744" s="1" t="s">
        <v>27</v>
      </c>
      <c r="G744" s="1">
        <v>334</v>
      </c>
      <c r="H744" s="23">
        <v>45001.874606481484</v>
      </c>
      <c r="I744" s="1" t="b">
        <v>0</v>
      </c>
      <c r="K744" s="10">
        <f t="shared" si="57"/>
        <v>6.9405555555713363</v>
      </c>
      <c r="L744" s="1" t="str">
        <f t="shared" si="58"/>
        <v>OK</v>
      </c>
      <c r="M744" s="1">
        <f t="shared" si="55"/>
        <v>1</v>
      </c>
      <c r="N744" s="1">
        <f t="shared" si="56"/>
        <v>334</v>
      </c>
      <c r="O744" s="10">
        <f t="shared" si="59"/>
        <v>6.9405555555713363</v>
      </c>
    </row>
    <row r="745" spans="1:15">
      <c r="A745" s="1" t="s">
        <v>850</v>
      </c>
      <c r="B745" s="23">
        <v>45001.588888888888</v>
      </c>
      <c r="C745" s="1" t="s">
        <v>11</v>
      </c>
      <c r="D745" s="1" t="s">
        <v>21</v>
      </c>
      <c r="E745" s="1" t="s">
        <v>18</v>
      </c>
      <c r="F745" s="1" t="s">
        <v>114</v>
      </c>
      <c r="G745" s="1">
        <v>124</v>
      </c>
      <c r="H745" s="23">
        <v>45002.210243055553</v>
      </c>
      <c r="I745" s="1" t="b">
        <v>0</v>
      </c>
      <c r="J745" s="1">
        <v>4</v>
      </c>
      <c r="K745" s="10">
        <f t="shared" si="57"/>
        <v>14.912499999976717</v>
      </c>
      <c r="L745" s="1" t="str">
        <f t="shared" si="58"/>
        <v>OK</v>
      </c>
      <c r="M745" s="1">
        <f t="shared" si="55"/>
        <v>1</v>
      </c>
      <c r="N745" s="1">
        <f t="shared" si="56"/>
        <v>124</v>
      </c>
      <c r="O745" s="10">
        <f t="shared" si="59"/>
        <v>14.912499999976717</v>
      </c>
    </row>
    <row r="746" spans="1:15">
      <c r="A746" s="1" t="s">
        <v>851</v>
      </c>
      <c r="B746" s="23">
        <v>45001.963888888888</v>
      </c>
      <c r="C746" s="1" t="s">
        <v>16</v>
      </c>
      <c r="D746" s="1" t="s">
        <v>21</v>
      </c>
      <c r="E746" s="1" t="s">
        <v>18</v>
      </c>
      <c r="F746" s="1" t="s">
        <v>228</v>
      </c>
      <c r="G746" s="1">
        <v>49</v>
      </c>
      <c r="H746" s="23">
        <v>45002.536423611113</v>
      </c>
      <c r="I746" s="1" t="b">
        <v>0</v>
      </c>
      <c r="K746" s="10">
        <f t="shared" si="57"/>
        <v>13.740833333402406</v>
      </c>
      <c r="L746" s="1" t="str">
        <f t="shared" si="58"/>
        <v>OK</v>
      </c>
      <c r="M746" s="1">
        <f t="shared" si="55"/>
        <v>1</v>
      </c>
      <c r="N746" s="1">
        <f t="shared" si="56"/>
        <v>49</v>
      </c>
      <c r="O746" s="10">
        <f t="shared" si="59"/>
        <v>13.740833333402406</v>
      </c>
    </row>
    <row r="747" spans="1:15">
      <c r="A747" s="1" t="s">
        <v>852</v>
      </c>
      <c r="B747" s="23">
        <v>45002.515972222223</v>
      </c>
      <c r="C747" s="1" t="s">
        <v>16</v>
      </c>
      <c r="D747" s="1" t="s">
        <v>17</v>
      </c>
      <c r="E747" s="1" t="s">
        <v>33</v>
      </c>
      <c r="F747" s="1" t="s">
        <v>114</v>
      </c>
      <c r="G747" s="1">
        <v>323</v>
      </c>
      <c r="H747" s="23">
        <v>45024.157395833332</v>
      </c>
      <c r="I747" s="1" t="b">
        <v>0</v>
      </c>
      <c r="K747" s="10">
        <f t="shared" si="57"/>
        <v>519.39416666660691</v>
      </c>
      <c r="L747" s="1" t="str">
        <f t="shared" si="58"/>
        <v>OK</v>
      </c>
      <c r="M747" s="1">
        <f t="shared" si="55"/>
        <v>1</v>
      </c>
      <c r="N747" s="1">
        <f t="shared" si="56"/>
        <v>323</v>
      </c>
      <c r="O747" s="10">
        <f t="shared" si="59"/>
        <v>519.39416666660691</v>
      </c>
    </row>
    <row r="748" spans="1:15">
      <c r="A748" s="1" t="s">
        <v>853</v>
      </c>
      <c r="B748" s="23">
        <v>45002.553472222222</v>
      </c>
      <c r="C748" s="1" t="s">
        <v>16</v>
      </c>
      <c r="D748" s="1" t="s">
        <v>26</v>
      </c>
      <c r="E748" s="1" t="s">
        <v>18</v>
      </c>
      <c r="F748" s="1" t="s">
        <v>128</v>
      </c>
      <c r="G748" s="1">
        <v>297</v>
      </c>
      <c r="H748" s="23">
        <v>45004.263831018521</v>
      </c>
      <c r="I748" s="1" t="b">
        <v>1</v>
      </c>
      <c r="K748" s="10">
        <f t="shared" si="57"/>
        <v>41.048611111182254</v>
      </c>
      <c r="L748" s="1" t="str">
        <f t="shared" si="58"/>
        <v>OK</v>
      </c>
      <c r="M748" s="1">
        <f t="shared" si="55"/>
        <v>1</v>
      </c>
      <c r="N748" s="1">
        <f t="shared" si="56"/>
        <v>297</v>
      </c>
      <c r="O748" s="10">
        <f t="shared" si="59"/>
        <v>41.048611111182254</v>
      </c>
    </row>
    <row r="749" spans="1:15">
      <c r="A749" s="1" t="s">
        <v>854</v>
      </c>
      <c r="B749" s="23">
        <v>45002.73541666667</v>
      </c>
      <c r="C749" s="1" t="s">
        <v>16</v>
      </c>
      <c r="D749" s="1" t="s">
        <v>17</v>
      </c>
      <c r="E749" s="1" t="s">
        <v>18</v>
      </c>
      <c r="F749" s="1" t="s">
        <v>102</v>
      </c>
      <c r="G749" s="1">
        <v>130</v>
      </c>
      <c r="H749" s="23">
        <v>45002.960821759261</v>
      </c>
      <c r="I749" s="1" t="b">
        <v>0</v>
      </c>
      <c r="K749" s="10">
        <f t="shared" si="57"/>
        <v>5.4097222221898846</v>
      </c>
      <c r="L749" s="1" t="str">
        <f t="shared" si="58"/>
        <v>OK</v>
      </c>
      <c r="M749" s="1">
        <f t="shared" si="55"/>
        <v>1</v>
      </c>
      <c r="N749" s="1">
        <f t="shared" si="56"/>
        <v>130</v>
      </c>
      <c r="O749" s="10">
        <f t="shared" si="59"/>
        <v>5.4097222221898846</v>
      </c>
    </row>
    <row r="750" spans="1:15">
      <c r="A750" s="1" t="s">
        <v>855</v>
      </c>
      <c r="B750" s="23">
        <v>45002.782638888886</v>
      </c>
      <c r="C750" s="1" t="s">
        <v>43</v>
      </c>
      <c r="D750" s="1" t="s">
        <v>12</v>
      </c>
      <c r="E750" s="1" t="s">
        <v>33</v>
      </c>
      <c r="F750" s="1" t="s">
        <v>128</v>
      </c>
      <c r="G750" s="1">
        <v>31</v>
      </c>
      <c r="H750" s="23">
        <v>45006.788680555554</v>
      </c>
      <c r="I750" s="1" t="b">
        <v>0</v>
      </c>
      <c r="K750" s="10">
        <f t="shared" si="57"/>
        <v>96.145000000018626</v>
      </c>
      <c r="L750" s="1" t="str">
        <f t="shared" si="58"/>
        <v>OK</v>
      </c>
      <c r="M750" s="1">
        <f t="shared" si="55"/>
        <v>1</v>
      </c>
      <c r="N750" s="1">
        <f t="shared" si="56"/>
        <v>31</v>
      </c>
      <c r="O750" s="10">
        <f t="shared" si="59"/>
        <v>96.145000000018626</v>
      </c>
    </row>
    <row r="751" spans="1:15">
      <c r="A751" s="1" t="s">
        <v>856</v>
      </c>
      <c r="B751" s="23">
        <v>45002.788888888892</v>
      </c>
      <c r="C751" s="1" t="s">
        <v>11</v>
      </c>
      <c r="D751" s="1" t="s">
        <v>17</v>
      </c>
      <c r="E751" s="1" t="s">
        <v>33</v>
      </c>
      <c r="F751" s="1" t="s">
        <v>162</v>
      </c>
      <c r="G751" s="1">
        <v>91</v>
      </c>
      <c r="H751" s="23">
        <v>45004.613425925927</v>
      </c>
      <c r="I751" s="1" t="b">
        <v>1</v>
      </c>
      <c r="J751" s="1">
        <v>4</v>
      </c>
      <c r="K751" s="10">
        <f t="shared" si="57"/>
        <v>43.788888888841029</v>
      </c>
      <c r="L751" s="1" t="str">
        <f t="shared" si="58"/>
        <v>OK</v>
      </c>
      <c r="M751" s="1">
        <f t="shared" si="55"/>
        <v>1</v>
      </c>
      <c r="N751" s="1">
        <f t="shared" si="56"/>
        <v>91</v>
      </c>
      <c r="O751" s="10">
        <f t="shared" si="59"/>
        <v>43.788888888841029</v>
      </c>
    </row>
    <row r="752" spans="1:15">
      <c r="A752" s="1" t="s">
        <v>857</v>
      </c>
      <c r="B752" s="23">
        <v>45002.848611111112</v>
      </c>
      <c r="C752" s="1" t="s">
        <v>11</v>
      </c>
      <c r="D752" s="1" t="s">
        <v>12</v>
      </c>
      <c r="E752" s="1" t="s">
        <v>18</v>
      </c>
      <c r="F752" s="1" t="s">
        <v>50</v>
      </c>
      <c r="G752" s="1">
        <v>83</v>
      </c>
      <c r="H752" s="23">
        <v>45004.971238425926</v>
      </c>
      <c r="I752" s="1" t="b">
        <v>1</v>
      </c>
      <c r="J752" s="1">
        <v>5</v>
      </c>
      <c r="K752" s="10">
        <f t="shared" si="57"/>
        <v>50.943055555515457</v>
      </c>
      <c r="L752" s="1" t="str">
        <f t="shared" si="58"/>
        <v>OK</v>
      </c>
      <c r="M752" s="1">
        <f t="shared" si="55"/>
        <v>1</v>
      </c>
      <c r="N752" s="1">
        <f t="shared" si="56"/>
        <v>83</v>
      </c>
      <c r="O752" s="10">
        <f t="shared" si="59"/>
        <v>50.943055555515457</v>
      </c>
    </row>
    <row r="753" spans="1:15">
      <c r="A753" s="1" t="s">
        <v>858</v>
      </c>
      <c r="B753" s="23">
        <v>45002.875694444447</v>
      </c>
      <c r="C753" s="1" t="s">
        <v>25</v>
      </c>
      <c r="D753" s="1" t="s">
        <v>17</v>
      </c>
      <c r="E753" s="1" t="s">
        <v>18</v>
      </c>
      <c r="F753" s="1" t="s">
        <v>148</v>
      </c>
      <c r="G753" s="1">
        <v>88</v>
      </c>
      <c r="H753" s="23">
        <v>45021.048622685186</v>
      </c>
      <c r="I753" s="1" t="b">
        <v>0</v>
      </c>
      <c r="J753" s="1">
        <v>3</v>
      </c>
      <c r="K753" s="10">
        <f t="shared" si="57"/>
        <v>436.15027777774958</v>
      </c>
      <c r="L753" s="1" t="str">
        <f t="shared" si="58"/>
        <v>OK</v>
      </c>
      <c r="M753" s="1">
        <f t="shared" si="55"/>
        <v>1</v>
      </c>
      <c r="N753" s="1">
        <f t="shared" si="56"/>
        <v>88</v>
      </c>
      <c r="O753" s="10">
        <f t="shared" si="59"/>
        <v>436.15027777774958</v>
      </c>
    </row>
    <row r="754" spans="1:15">
      <c r="A754" s="1" t="s">
        <v>859</v>
      </c>
      <c r="B754" s="23">
        <v>45002.976388888892</v>
      </c>
      <c r="C754" s="1" t="s">
        <v>11</v>
      </c>
      <c r="D754" s="1" t="s">
        <v>59</v>
      </c>
      <c r="E754" s="1" t="s">
        <v>18</v>
      </c>
      <c r="F754" s="1" t="s">
        <v>84</v>
      </c>
      <c r="G754" s="1">
        <v>419</v>
      </c>
      <c r="H754" s="23">
        <v>45003.537233796298</v>
      </c>
      <c r="I754" s="1" t="b">
        <v>0</v>
      </c>
      <c r="K754" s="10">
        <f t="shared" si="57"/>
        <v>13.460277777747251</v>
      </c>
      <c r="L754" s="1" t="str">
        <f t="shared" si="58"/>
        <v>OK</v>
      </c>
      <c r="M754" s="1">
        <f t="shared" si="55"/>
        <v>1</v>
      </c>
      <c r="N754" s="1">
        <f t="shared" si="56"/>
        <v>419</v>
      </c>
      <c r="O754" s="10">
        <f t="shared" si="59"/>
        <v>13.460277777747251</v>
      </c>
    </row>
    <row r="755" spans="1:15">
      <c r="A755" s="1" t="s">
        <v>860</v>
      </c>
      <c r="B755" s="23">
        <v>45003.209027777775</v>
      </c>
      <c r="C755" s="1" t="s">
        <v>25</v>
      </c>
      <c r="D755" s="1" t="s">
        <v>26</v>
      </c>
      <c r="E755" s="1" t="s">
        <v>18</v>
      </c>
      <c r="F755" s="1" t="s">
        <v>162</v>
      </c>
      <c r="G755" s="1">
        <v>300</v>
      </c>
      <c r="H755" s="23">
        <v>45006.036863425928</v>
      </c>
      <c r="I755" s="1" t="b">
        <v>0</v>
      </c>
      <c r="J755" s="1">
        <v>5</v>
      </c>
      <c r="K755" s="10">
        <f t="shared" si="57"/>
        <v>67.868055555678438</v>
      </c>
      <c r="L755" s="1" t="str">
        <f t="shared" si="58"/>
        <v>OK</v>
      </c>
      <c r="M755" s="1">
        <f t="shared" si="55"/>
        <v>1</v>
      </c>
      <c r="N755" s="1">
        <f t="shared" si="56"/>
        <v>300</v>
      </c>
      <c r="O755" s="10">
        <f t="shared" si="59"/>
        <v>67.868055555678438</v>
      </c>
    </row>
    <row r="756" spans="1:15">
      <c r="A756" s="1" t="s">
        <v>861</v>
      </c>
      <c r="B756" s="23">
        <v>45003.259722222225</v>
      </c>
      <c r="C756" s="1" t="s">
        <v>16</v>
      </c>
      <c r="D756" s="1" t="s">
        <v>17</v>
      </c>
      <c r="E756" s="1" t="s">
        <v>18</v>
      </c>
      <c r="F756" s="1" t="s">
        <v>224</v>
      </c>
      <c r="G756" s="1">
        <v>39</v>
      </c>
      <c r="H756" s="23">
        <v>45003.837685185186</v>
      </c>
      <c r="I756" s="1" t="b">
        <v>0</v>
      </c>
      <c r="K756" s="10">
        <f t="shared" si="57"/>
        <v>13.871111111075152</v>
      </c>
      <c r="L756" s="1" t="str">
        <f t="shared" si="58"/>
        <v>OK</v>
      </c>
      <c r="M756" s="1">
        <f t="shared" si="55"/>
        <v>1</v>
      </c>
      <c r="N756" s="1">
        <f t="shared" si="56"/>
        <v>39</v>
      </c>
      <c r="O756" s="10">
        <f t="shared" si="59"/>
        <v>13.871111111075152</v>
      </c>
    </row>
    <row r="757" spans="1:15">
      <c r="A757" s="1" t="s">
        <v>862</v>
      </c>
      <c r="B757" s="23">
        <v>45003.302777777775</v>
      </c>
      <c r="C757" s="1" t="s">
        <v>16</v>
      </c>
      <c r="D757" s="1" t="s">
        <v>17</v>
      </c>
      <c r="E757" s="1" t="s">
        <v>33</v>
      </c>
      <c r="F757" s="1" t="s">
        <v>14</v>
      </c>
      <c r="G757" s="1">
        <v>67</v>
      </c>
      <c r="H757" s="23">
        <v>45009.102800925924</v>
      </c>
      <c r="I757" s="1" t="b">
        <v>0</v>
      </c>
      <c r="J757" s="1">
        <v>3</v>
      </c>
      <c r="K757" s="10">
        <f t="shared" si="57"/>
        <v>139.20055555558065</v>
      </c>
      <c r="L757" s="1" t="str">
        <f t="shared" si="58"/>
        <v>OK</v>
      </c>
      <c r="M757" s="1">
        <f t="shared" si="55"/>
        <v>1</v>
      </c>
      <c r="N757" s="1">
        <f t="shared" si="56"/>
        <v>67</v>
      </c>
      <c r="O757" s="10">
        <f t="shared" si="59"/>
        <v>139.20055555558065</v>
      </c>
    </row>
    <row r="758" spans="1:15">
      <c r="A758" s="1" t="s">
        <v>863</v>
      </c>
      <c r="B758" s="23">
        <v>45003.542361111111</v>
      </c>
      <c r="C758" s="1" t="s">
        <v>11</v>
      </c>
      <c r="D758" s="1" t="s">
        <v>17</v>
      </c>
      <c r="E758" s="1" t="s">
        <v>22</v>
      </c>
      <c r="F758" s="1" t="s">
        <v>148</v>
      </c>
      <c r="G758" s="1">
        <v>38</v>
      </c>
      <c r="H758" s="23">
        <v>45004.160300925927</v>
      </c>
      <c r="I758" s="1" t="b">
        <v>0</v>
      </c>
      <c r="K758" s="10">
        <f t="shared" si="57"/>
        <v>14.830555555585306</v>
      </c>
      <c r="L758" s="1" t="str">
        <f t="shared" si="58"/>
        <v>OK</v>
      </c>
      <c r="M758" s="1">
        <f t="shared" si="55"/>
        <v>1</v>
      </c>
      <c r="N758" s="1">
        <f t="shared" si="56"/>
        <v>38</v>
      </c>
      <c r="O758" s="10">
        <f t="shared" si="59"/>
        <v>14.830555555585306</v>
      </c>
    </row>
    <row r="759" spans="1:15">
      <c r="A759" s="1" t="s">
        <v>864</v>
      </c>
      <c r="B759" s="23">
        <v>45003.738194444442</v>
      </c>
      <c r="C759" s="1" t="s">
        <v>16</v>
      </c>
      <c r="D759" s="1" t="s">
        <v>21</v>
      </c>
      <c r="E759" s="1" t="s">
        <v>33</v>
      </c>
      <c r="F759" s="1" t="s">
        <v>245</v>
      </c>
      <c r="G759" s="1">
        <v>255</v>
      </c>
      <c r="H759" s="23">
        <v>45005.229675925926</v>
      </c>
      <c r="I759" s="1" t="b">
        <v>0</v>
      </c>
      <c r="J759" s="1">
        <v>4</v>
      </c>
      <c r="K759" s="10">
        <f t="shared" si="57"/>
        <v>35.795555555610918</v>
      </c>
      <c r="L759" s="1" t="str">
        <f t="shared" si="58"/>
        <v>OK</v>
      </c>
      <c r="M759" s="1">
        <f t="shared" si="55"/>
        <v>1</v>
      </c>
      <c r="N759" s="1">
        <f t="shared" si="56"/>
        <v>255</v>
      </c>
      <c r="O759" s="10">
        <f t="shared" si="59"/>
        <v>35.795555555610918</v>
      </c>
    </row>
    <row r="760" spans="1:15">
      <c r="A760" s="1" t="s">
        <v>865</v>
      </c>
      <c r="B760" s="23">
        <v>45003.750694444447</v>
      </c>
      <c r="C760" s="1" t="s">
        <v>16</v>
      </c>
      <c r="D760" s="1" t="s">
        <v>26</v>
      </c>
      <c r="E760" s="1" t="s">
        <v>18</v>
      </c>
      <c r="F760" s="1" t="s">
        <v>159</v>
      </c>
      <c r="G760" s="1">
        <v>82</v>
      </c>
      <c r="H760" s="23">
        <v>45006.975671296299</v>
      </c>
      <c r="I760" s="1" t="b">
        <v>0</v>
      </c>
      <c r="J760" s="1">
        <v>4</v>
      </c>
      <c r="K760" s="10">
        <f t="shared" si="57"/>
        <v>77.399444444454275</v>
      </c>
      <c r="L760" s="1" t="str">
        <f t="shared" si="58"/>
        <v>OK</v>
      </c>
      <c r="M760" s="1">
        <f t="shared" si="55"/>
        <v>1</v>
      </c>
      <c r="N760" s="1">
        <f t="shared" si="56"/>
        <v>82</v>
      </c>
      <c r="O760" s="10">
        <f t="shared" si="59"/>
        <v>77.399444444454275</v>
      </c>
    </row>
    <row r="761" spans="1:15">
      <c r="A761" s="1" t="s">
        <v>866</v>
      </c>
      <c r="B761" s="23">
        <v>45003.760416666664</v>
      </c>
      <c r="C761" s="1" t="s">
        <v>11</v>
      </c>
      <c r="D761" s="1" t="s">
        <v>21</v>
      </c>
      <c r="E761" s="1" t="s">
        <v>22</v>
      </c>
      <c r="F761" s="1" t="s">
        <v>274</v>
      </c>
      <c r="G761" s="1">
        <v>35</v>
      </c>
      <c r="H761" s="23">
        <v>45003.795752314814</v>
      </c>
      <c r="I761" s="1" t="b">
        <v>0</v>
      </c>
      <c r="K761" s="10">
        <f t="shared" si="57"/>
        <v>0.84805555560160428</v>
      </c>
      <c r="L761" s="1" t="str">
        <f t="shared" si="58"/>
        <v>OK</v>
      </c>
      <c r="M761" s="1">
        <f t="shared" si="55"/>
        <v>1</v>
      </c>
      <c r="N761" s="1">
        <f t="shared" si="56"/>
        <v>35</v>
      </c>
      <c r="O761" s="10">
        <f t="shared" si="59"/>
        <v>0.84805555560160428</v>
      </c>
    </row>
    <row r="762" spans="1:15">
      <c r="A762" s="1" t="s">
        <v>867</v>
      </c>
      <c r="B762" s="23">
        <v>45003.876388888886</v>
      </c>
      <c r="C762" s="1" t="s">
        <v>16</v>
      </c>
      <c r="D762" s="1" t="s">
        <v>21</v>
      </c>
      <c r="E762" s="1" t="s">
        <v>33</v>
      </c>
      <c r="F762" s="1" t="s">
        <v>159</v>
      </c>
      <c r="G762" s="1">
        <v>238</v>
      </c>
      <c r="H762" s="23">
        <v>45004.261319444442</v>
      </c>
      <c r="I762" s="1" t="b">
        <v>0</v>
      </c>
      <c r="K762" s="10">
        <f t="shared" si="57"/>
        <v>9.2383333333418705</v>
      </c>
      <c r="L762" s="1" t="str">
        <f t="shared" si="58"/>
        <v>OK</v>
      </c>
      <c r="M762" s="1">
        <f t="shared" si="55"/>
        <v>1</v>
      </c>
      <c r="N762" s="1">
        <f t="shared" si="56"/>
        <v>238</v>
      </c>
      <c r="O762" s="10">
        <f t="shared" si="59"/>
        <v>9.2383333333418705</v>
      </c>
    </row>
    <row r="763" spans="1:15">
      <c r="A763" s="1" t="s">
        <v>868</v>
      </c>
      <c r="B763" s="23">
        <v>45003.927083333336</v>
      </c>
      <c r="C763" s="1" t="s">
        <v>25</v>
      </c>
      <c r="D763" s="1" t="s">
        <v>26</v>
      </c>
      <c r="E763" s="1" t="s">
        <v>18</v>
      </c>
      <c r="F763" s="1" t="s">
        <v>110</v>
      </c>
      <c r="G763" s="1">
        <v>112</v>
      </c>
      <c r="H763" s="23">
        <v>45015.03429398148</v>
      </c>
      <c r="I763" s="1" t="b">
        <v>0</v>
      </c>
      <c r="K763" s="10">
        <f t="shared" si="57"/>
        <v>266.57305555546191</v>
      </c>
      <c r="L763" s="1" t="str">
        <f t="shared" si="58"/>
        <v>OK</v>
      </c>
      <c r="M763" s="1">
        <f t="shared" si="55"/>
        <v>1</v>
      </c>
      <c r="N763" s="1">
        <f t="shared" si="56"/>
        <v>112</v>
      </c>
      <c r="O763" s="10">
        <f t="shared" si="59"/>
        <v>266.57305555546191</v>
      </c>
    </row>
    <row r="764" spans="1:15">
      <c r="A764" s="1" t="s">
        <v>869</v>
      </c>
      <c r="B764" s="23">
        <v>45003.975694444445</v>
      </c>
      <c r="C764" s="1" t="s">
        <v>16</v>
      </c>
      <c r="D764" s="1" t="s">
        <v>21</v>
      </c>
      <c r="E764" s="1" t="s">
        <v>33</v>
      </c>
      <c r="F764" s="1" t="s">
        <v>106</v>
      </c>
      <c r="G764" s="1">
        <v>89</v>
      </c>
      <c r="H764" s="23">
        <v>45007.609907407408</v>
      </c>
      <c r="I764" s="1" t="b">
        <v>1</v>
      </c>
      <c r="K764" s="10">
        <f t="shared" si="57"/>
        <v>87.221111111110076</v>
      </c>
      <c r="L764" s="1" t="str">
        <f t="shared" si="58"/>
        <v>OK</v>
      </c>
      <c r="M764" s="1">
        <f t="shared" si="55"/>
        <v>1</v>
      </c>
      <c r="N764" s="1">
        <f t="shared" si="56"/>
        <v>89</v>
      </c>
      <c r="O764" s="10">
        <f t="shared" si="59"/>
        <v>87.221111111110076</v>
      </c>
    </row>
    <row r="765" spans="1:15">
      <c r="A765" s="1" t="s">
        <v>870</v>
      </c>
      <c r="B765" s="23">
        <v>45004.006249999999</v>
      </c>
      <c r="C765" s="1" t="s">
        <v>16</v>
      </c>
      <c r="D765" s="1" t="s">
        <v>17</v>
      </c>
      <c r="E765" s="1" t="s">
        <v>33</v>
      </c>
      <c r="F765" s="1" t="s">
        <v>326</v>
      </c>
      <c r="G765" s="1">
        <v>49</v>
      </c>
      <c r="H765" s="23">
        <v>45005.055625000001</v>
      </c>
      <c r="I765" s="1" t="b">
        <v>0</v>
      </c>
      <c r="K765" s="10">
        <f t="shared" si="57"/>
        <v>25.185000000055879</v>
      </c>
      <c r="L765" s="1" t="str">
        <f t="shared" si="58"/>
        <v>OK</v>
      </c>
      <c r="M765" s="1">
        <f t="shared" si="55"/>
        <v>1</v>
      </c>
      <c r="N765" s="1">
        <f t="shared" si="56"/>
        <v>49</v>
      </c>
      <c r="O765" s="10">
        <f t="shared" si="59"/>
        <v>25.185000000055879</v>
      </c>
    </row>
    <row r="766" spans="1:15">
      <c r="A766" s="1" t="s">
        <v>871</v>
      </c>
      <c r="B766" s="23">
        <v>45004.083333333336</v>
      </c>
      <c r="C766" s="1" t="s">
        <v>16</v>
      </c>
      <c r="D766" s="1" t="s">
        <v>17</v>
      </c>
      <c r="E766" s="1" t="s">
        <v>13</v>
      </c>
      <c r="F766" s="1" t="s">
        <v>201</v>
      </c>
      <c r="G766" s="1">
        <v>58</v>
      </c>
      <c r="H766" s="23">
        <v>45006.553611111114</v>
      </c>
      <c r="I766" s="1" t="b">
        <v>0</v>
      </c>
      <c r="J766" s="1">
        <v>5</v>
      </c>
      <c r="K766" s="10">
        <f t="shared" si="57"/>
        <v>59.286666666681413</v>
      </c>
      <c r="L766" s="1" t="str">
        <f t="shared" si="58"/>
        <v>OK</v>
      </c>
      <c r="M766" s="1">
        <f t="shared" si="55"/>
        <v>1</v>
      </c>
      <c r="N766" s="1">
        <f t="shared" si="56"/>
        <v>58</v>
      </c>
      <c r="O766" s="10">
        <f t="shared" si="59"/>
        <v>59.286666666681413</v>
      </c>
    </row>
    <row r="767" spans="1:15">
      <c r="A767" s="1" t="s">
        <v>872</v>
      </c>
      <c r="B767" s="23">
        <v>45004.238194444442</v>
      </c>
      <c r="C767" s="1" t="s">
        <v>25</v>
      </c>
      <c r="D767" s="1" t="s">
        <v>17</v>
      </c>
      <c r="E767" s="1" t="s">
        <v>13</v>
      </c>
      <c r="F767" s="1" t="s">
        <v>118</v>
      </c>
      <c r="G767" s="1">
        <v>1492</v>
      </c>
      <c r="H767" s="23">
        <v>45004.783807870372</v>
      </c>
      <c r="I767" s="1" t="b">
        <v>0</v>
      </c>
      <c r="K767" s="10">
        <f t="shared" si="57"/>
        <v>13.094722222303972</v>
      </c>
      <c r="L767" s="1" t="str">
        <f t="shared" si="58"/>
        <v>Review</v>
      </c>
      <c r="M767" s="1">
        <f t="shared" si="55"/>
        <v>1</v>
      </c>
      <c r="N767" s="1" t="str">
        <f t="shared" si="56"/>
        <v/>
      </c>
      <c r="O767" s="10" t="str">
        <f t="shared" si="59"/>
        <v/>
      </c>
    </row>
    <row r="768" spans="1:15">
      <c r="A768" s="1" t="s">
        <v>873</v>
      </c>
      <c r="B768" s="23">
        <v>45004.252083333333</v>
      </c>
      <c r="C768" s="1" t="s">
        <v>16</v>
      </c>
      <c r="D768" s="1" t="s">
        <v>17</v>
      </c>
      <c r="E768" s="1" t="s">
        <v>18</v>
      </c>
      <c r="F768" s="1" t="s">
        <v>44</v>
      </c>
      <c r="G768" s="1">
        <v>42</v>
      </c>
      <c r="H768" s="23">
        <v>45004.923159722224</v>
      </c>
      <c r="I768" s="1" t="b">
        <v>0</v>
      </c>
      <c r="J768" s="1">
        <v>5</v>
      </c>
      <c r="K768" s="10">
        <f t="shared" si="57"/>
        <v>16.105833333393093</v>
      </c>
      <c r="L768" s="1" t="str">
        <f t="shared" si="58"/>
        <v>OK</v>
      </c>
      <c r="M768" s="1">
        <f t="shared" si="55"/>
        <v>1</v>
      </c>
      <c r="N768" s="1">
        <f t="shared" si="56"/>
        <v>42</v>
      </c>
      <c r="O768" s="10">
        <f t="shared" si="59"/>
        <v>16.105833333393093</v>
      </c>
    </row>
    <row r="769" spans="1:15">
      <c r="A769" s="1" t="s">
        <v>874</v>
      </c>
      <c r="B769" s="23">
        <v>45004.268750000003</v>
      </c>
      <c r="C769" s="1" t="s">
        <v>16</v>
      </c>
      <c r="D769" s="1" t="s">
        <v>17</v>
      </c>
      <c r="E769" s="1" t="s">
        <v>33</v>
      </c>
      <c r="F769" s="1" t="s">
        <v>54</v>
      </c>
      <c r="G769" s="1">
        <v>86</v>
      </c>
      <c r="H769" s="23">
        <v>45013.473495370374</v>
      </c>
      <c r="I769" s="1" t="b">
        <v>0</v>
      </c>
      <c r="K769" s="10">
        <f t="shared" si="57"/>
        <v>220.91388888889924</v>
      </c>
      <c r="L769" s="1" t="str">
        <f t="shared" si="58"/>
        <v>OK</v>
      </c>
      <c r="M769" s="1">
        <f t="shared" si="55"/>
        <v>1</v>
      </c>
      <c r="N769" s="1">
        <f t="shared" si="56"/>
        <v>86</v>
      </c>
      <c r="O769" s="10">
        <f t="shared" si="59"/>
        <v>220.91388888889924</v>
      </c>
    </row>
    <row r="770" spans="1:15">
      <c r="A770" s="1" t="s">
        <v>875</v>
      </c>
      <c r="B770" s="23">
        <v>45004.334722222222</v>
      </c>
      <c r="C770" s="1" t="s">
        <v>43</v>
      </c>
      <c r="D770" s="1" t="s">
        <v>17</v>
      </c>
      <c r="E770" s="1" t="s">
        <v>18</v>
      </c>
      <c r="F770" s="1" t="s">
        <v>86</v>
      </c>
      <c r="G770" s="1">
        <v>96</v>
      </c>
      <c r="H770" s="23">
        <v>45004.718842592592</v>
      </c>
      <c r="I770" s="1" t="b">
        <v>0</v>
      </c>
      <c r="K770" s="10">
        <f t="shared" si="57"/>
        <v>9.218888888892252</v>
      </c>
      <c r="L770" s="1" t="str">
        <f t="shared" si="58"/>
        <v>OK</v>
      </c>
      <c r="M770" s="1">
        <f t="shared" ref="M770:M833" si="60">COUNTIF($A$2:$A$4001,A770)</f>
        <v>1</v>
      </c>
      <c r="N770" s="1">
        <f t="shared" ref="N770:N833" si="61">IF(OR(L770="Review",G770=""),"",G770)</f>
        <v>96</v>
      </c>
      <c r="O770" s="10">
        <f t="shared" si="59"/>
        <v>9.218888888892252</v>
      </c>
    </row>
    <row r="771" spans="1:15">
      <c r="A771" s="1" t="s">
        <v>876</v>
      </c>
      <c r="B771" s="23">
        <v>45004.375</v>
      </c>
      <c r="C771" s="1" t="s">
        <v>16</v>
      </c>
      <c r="D771" s="1" t="s">
        <v>17</v>
      </c>
      <c r="E771" s="1" t="s">
        <v>18</v>
      </c>
      <c r="F771" s="1" t="s">
        <v>239</v>
      </c>
      <c r="G771" s="1">
        <v>34</v>
      </c>
      <c r="H771" s="23">
        <v>45007.659398148149</v>
      </c>
      <c r="I771" s="1" t="b">
        <v>0</v>
      </c>
      <c r="J771" s="1">
        <v>4</v>
      </c>
      <c r="K771" s="10">
        <f t="shared" ref="K771:K834" si="62">IF(H771="","",(H771-B771)*24)</f>
        <v>78.82555555558065</v>
      </c>
      <c r="L771" s="1" t="str">
        <f t="shared" ref="L771:L834" si="63">IF(OR(G771="",K771=""),"Cannot check",IF(G771&gt;K771*60,"Review","OK"))</f>
        <v>OK</v>
      </c>
      <c r="M771" s="1">
        <f t="shared" si="60"/>
        <v>1</v>
      </c>
      <c r="N771" s="1">
        <f t="shared" si="61"/>
        <v>34</v>
      </c>
      <c r="O771" s="10">
        <f t="shared" ref="O771:O834" si="64">IF(OR(L771="Review",K771=""),"",K771)</f>
        <v>78.82555555558065</v>
      </c>
    </row>
    <row r="772" spans="1:15">
      <c r="A772" s="1" t="s">
        <v>877</v>
      </c>
      <c r="B772" s="23">
        <v>45004.50277777778</v>
      </c>
      <c r="C772" s="1" t="s">
        <v>25</v>
      </c>
      <c r="D772" s="1" t="s">
        <v>26</v>
      </c>
      <c r="E772" s="1" t="s">
        <v>18</v>
      </c>
      <c r="F772" s="1" t="s">
        <v>37</v>
      </c>
      <c r="G772" s="1">
        <v>48</v>
      </c>
      <c r="H772" s="23">
        <v>45006.741631944446</v>
      </c>
      <c r="I772" s="1" t="b">
        <v>0</v>
      </c>
      <c r="J772" s="1">
        <v>4</v>
      </c>
      <c r="K772" s="10">
        <f t="shared" si="62"/>
        <v>53.732499999983702</v>
      </c>
      <c r="L772" s="1" t="str">
        <f t="shared" si="63"/>
        <v>OK</v>
      </c>
      <c r="M772" s="1">
        <f t="shared" si="60"/>
        <v>1</v>
      </c>
      <c r="N772" s="1">
        <f t="shared" si="61"/>
        <v>48</v>
      </c>
      <c r="O772" s="10">
        <f t="shared" si="64"/>
        <v>53.732499999983702</v>
      </c>
    </row>
    <row r="773" spans="1:15">
      <c r="A773" s="1" t="s">
        <v>878</v>
      </c>
      <c r="B773" s="23">
        <v>45004.586805555555</v>
      </c>
      <c r="C773" s="1" t="s">
        <v>43</v>
      </c>
      <c r="D773" s="1" t="s">
        <v>17</v>
      </c>
      <c r="E773" s="1" t="s">
        <v>33</v>
      </c>
      <c r="F773" s="1" t="s">
        <v>274</v>
      </c>
      <c r="G773" s="1">
        <v>553</v>
      </c>
      <c r="H773" s="23">
        <v>45009.526585648149</v>
      </c>
      <c r="I773" s="1" t="b">
        <v>1</v>
      </c>
      <c r="J773" s="1">
        <v>5</v>
      </c>
      <c r="K773" s="10">
        <f t="shared" si="62"/>
        <v>118.55472222226672</v>
      </c>
      <c r="L773" s="1" t="str">
        <f t="shared" si="63"/>
        <v>OK</v>
      </c>
      <c r="M773" s="1">
        <f t="shared" si="60"/>
        <v>1</v>
      </c>
      <c r="N773" s="1">
        <f t="shared" si="61"/>
        <v>553</v>
      </c>
      <c r="O773" s="10">
        <f t="shared" si="64"/>
        <v>118.55472222226672</v>
      </c>
    </row>
    <row r="774" spans="1:15">
      <c r="A774" s="1" t="s">
        <v>879</v>
      </c>
      <c r="B774" s="23">
        <v>45004.621527777781</v>
      </c>
      <c r="C774" s="1" t="s">
        <v>16</v>
      </c>
      <c r="D774" s="1" t="s">
        <v>59</v>
      </c>
      <c r="E774" s="1" t="s">
        <v>18</v>
      </c>
      <c r="F774" s="1" t="s">
        <v>345</v>
      </c>
      <c r="G774" s="1">
        <v>12</v>
      </c>
      <c r="H774" s="23">
        <v>45005.301122685189</v>
      </c>
      <c r="I774" s="1" t="b">
        <v>0</v>
      </c>
      <c r="J774" s="1">
        <v>3</v>
      </c>
      <c r="K774" s="10">
        <f t="shared" si="62"/>
        <v>16.310277777782176</v>
      </c>
      <c r="L774" s="1" t="str">
        <f t="shared" si="63"/>
        <v>OK</v>
      </c>
      <c r="M774" s="1">
        <f t="shared" si="60"/>
        <v>1</v>
      </c>
      <c r="N774" s="1">
        <f t="shared" si="61"/>
        <v>12</v>
      </c>
      <c r="O774" s="10">
        <f t="shared" si="64"/>
        <v>16.310277777782176</v>
      </c>
    </row>
    <row r="775" spans="1:15">
      <c r="A775" s="1" t="s">
        <v>880</v>
      </c>
      <c r="B775" s="23">
        <v>45004.624305555553</v>
      </c>
      <c r="C775" s="1" t="s">
        <v>11</v>
      </c>
      <c r="D775" s="1" t="s">
        <v>17</v>
      </c>
      <c r="E775" s="1" t="s">
        <v>18</v>
      </c>
      <c r="F775" s="1" t="s">
        <v>68</v>
      </c>
      <c r="G775" s="1">
        <v>205</v>
      </c>
      <c r="H775" s="23">
        <v>45005.610601851855</v>
      </c>
      <c r="I775" s="1" t="b">
        <v>0</v>
      </c>
      <c r="K775" s="10">
        <f t="shared" si="62"/>
        <v>23.671111111238133</v>
      </c>
      <c r="L775" s="1" t="str">
        <f t="shared" si="63"/>
        <v>OK</v>
      </c>
      <c r="M775" s="1">
        <f t="shared" si="60"/>
        <v>1</v>
      </c>
      <c r="N775" s="1">
        <f t="shared" si="61"/>
        <v>205</v>
      </c>
      <c r="O775" s="10">
        <f t="shared" si="64"/>
        <v>23.671111111238133</v>
      </c>
    </row>
    <row r="776" spans="1:15">
      <c r="A776" s="1" t="s">
        <v>881</v>
      </c>
      <c r="B776" s="23">
        <v>45004.747916666667</v>
      </c>
      <c r="C776" s="1" t="s">
        <v>43</v>
      </c>
      <c r="D776" s="1" t="s">
        <v>12</v>
      </c>
      <c r="E776" s="1" t="s">
        <v>18</v>
      </c>
      <c r="F776" s="1" t="s">
        <v>90</v>
      </c>
      <c r="G776" s="1">
        <v>187</v>
      </c>
      <c r="H776" s="23">
        <v>45005.663680555554</v>
      </c>
      <c r="I776" s="1" t="b">
        <v>0</v>
      </c>
      <c r="K776" s="10">
        <f t="shared" si="62"/>
        <v>21.97833333327435</v>
      </c>
      <c r="L776" s="1" t="str">
        <f t="shared" si="63"/>
        <v>OK</v>
      </c>
      <c r="M776" s="1">
        <f t="shared" si="60"/>
        <v>1</v>
      </c>
      <c r="N776" s="1">
        <f t="shared" si="61"/>
        <v>187</v>
      </c>
      <c r="O776" s="10">
        <f t="shared" si="64"/>
        <v>21.97833333327435</v>
      </c>
    </row>
    <row r="777" spans="1:15">
      <c r="A777" s="1" t="s">
        <v>882</v>
      </c>
      <c r="B777" s="23">
        <v>45004.777777777781</v>
      </c>
      <c r="C777" s="1" t="s">
        <v>16</v>
      </c>
      <c r="D777" s="1" t="s">
        <v>17</v>
      </c>
      <c r="E777" s="1" t="s">
        <v>13</v>
      </c>
      <c r="F777" s="1" t="s">
        <v>70</v>
      </c>
      <c r="G777" s="1">
        <v>42</v>
      </c>
      <c r="H777" s="23">
        <v>45005.43650462963</v>
      </c>
      <c r="I777" s="1" t="b">
        <v>0</v>
      </c>
      <c r="K777" s="10">
        <f t="shared" si="62"/>
        <v>15.809444444370456</v>
      </c>
      <c r="L777" s="1" t="str">
        <f t="shared" si="63"/>
        <v>OK</v>
      </c>
      <c r="M777" s="1">
        <f t="shared" si="60"/>
        <v>1</v>
      </c>
      <c r="N777" s="1">
        <f t="shared" si="61"/>
        <v>42</v>
      </c>
      <c r="O777" s="10">
        <f t="shared" si="64"/>
        <v>15.809444444370456</v>
      </c>
    </row>
    <row r="778" spans="1:15">
      <c r="A778" s="1" t="s">
        <v>883</v>
      </c>
      <c r="B778" s="23">
        <v>45004.866666666669</v>
      </c>
      <c r="C778" s="1" t="s">
        <v>16</v>
      </c>
      <c r="D778" s="1" t="s">
        <v>17</v>
      </c>
      <c r="E778" s="1" t="s">
        <v>18</v>
      </c>
      <c r="F778" s="1" t="s">
        <v>237</v>
      </c>
      <c r="G778" s="1">
        <v>160</v>
      </c>
      <c r="H778" s="23">
        <v>45005.340497685182</v>
      </c>
      <c r="I778" s="1" t="b">
        <v>0</v>
      </c>
      <c r="K778" s="10">
        <f t="shared" si="62"/>
        <v>11.371944444312248</v>
      </c>
      <c r="L778" s="1" t="str">
        <f t="shared" si="63"/>
        <v>OK</v>
      </c>
      <c r="M778" s="1">
        <f t="shared" si="60"/>
        <v>1</v>
      </c>
      <c r="N778" s="1">
        <f t="shared" si="61"/>
        <v>160</v>
      </c>
      <c r="O778" s="10">
        <f t="shared" si="64"/>
        <v>11.371944444312248</v>
      </c>
    </row>
    <row r="779" spans="1:15">
      <c r="A779" s="1" t="s">
        <v>884</v>
      </c>
      <c r="B779" s="23">
        <v>45004.890972222223</v>
      </c>
      <c r="C779" s="1" t="s">
        <v>43</v>
      </c>
      <c r="D779" s="1" t="s">
        <v>12</v>
      </c>
      <c r="E779" s="1" t="s">
        <v>18</v>
      </c>
      <c r="F779" s="1" t="s">
        <v>228</v>
      </c>
      <c r="G779" s="1">
        <v>482</v>
      </c>
      <c r="H779" s="23">
        <v>45004.984490740739</v>
      </c>
      <c r="I779" s="1" t="b">
        <v>0</v>
      </c>
      <c r="K779" s="10">
        <f t="shared" si="62"/>
        <v>2.2444444443681277</v>
      </c>
      <c r="L779" s="1" t="str">
        <f t="shared" si="63"/>
        <v>Review</v>
      </c>
      <c r="M779" s="1">
        <f t="shared" si="60"/>
        <v>1</v>
      </c>
      <c r="N779" s="1" t="str">
        <f t="shared" si="61"/>
        <v/>
      </c>
      <c r="O779" s="10" t="str">
        <f t="shared" si="64"/>
        <v/>
      </c>
    </row>
    <row r="780" spans="1:15">
      <c r="A780" s="1" t="s">
        <v>885</v>
      </c>
      <c r="B780" s="23">
        <v>45005.333333333336</v>
      </c>
      <c r="C780" s="1" t="s">
        <v>16</v>
      </c>
      <c r="D780" s="1" t="s">
        <v>12</v>
      </c>
      <c r="E780" s="1" t="s">
        <v>18</v>
      </c>
      <c r="F780" s="1" t="s">
        <v>392</v>
      </c>
      <c r="G780" s="1">
        <v>362</v>
      </c>
      <c r="H780" s="23">
        <v>45008.435995370368</v>
      </c>
      <c r="I780" s="1" t="b">
        <v>0</v>
      </c>
      <c r="K780" s="10">
        <f t="shared" si="62"/>
        <v>74.46388888877118</v>
      </c>
      <c r="L780" s="1" t="str">
        <f t="shared" si="63"/>
        <v>OK</v>
      </c>
      <c r="M780" s="1">
        <f t="shared" si="60"/>
        <v>1</v>
      </c>
      <c r="N780" s="1">
        <f t="shared" si="61"/>
        <v>362</v>
      </c>
      <c r="O780" s="10">
        <f t="shared" si="64"/>
        <v>74.46388888877118</v>
      </c>
    </row>
    <row r="781" spans="1:15">
      <c r="A781" s="1" t="s">
        <v>886</v>
      </c>
      <c r="B781" s="23">
        <v>45005.369444444441</v>
      </c>
      <c r="C781" s="1" t="s">
        <v>11</v>
      </c>
      <c r="D781" s="1" t="s">
        <v>21</v>
      </c>
      <c r="E781" s="1" t="s">
        <v>18</v>
      </c>
      <c r="F781" s="1" t="s">
        <v>60</v>
      </c>
      <c r="G781" s="1">
        <v>77</v>
      </c>
      <c r="H781" s="23">
        <v>45005.501250000001</v>
      </c>
      <c r="I781" s="1" t="b">
        <v>1</v>
      </c>
      <c r="J781" s="1">
        <v>5</v>
      </c>
      <c r="K781" s="10">
        <f t="shared" si="62"/>
        <v>3.1633333334466442</v>
      </c>
      <c r="L781" s="1" t="str">
        <f t="shared" si="63"/>
        <v>OK</v>
      </c>
      <c r="M781" s="1">
        <f t="shared" si="60"/>
        <v>1</v>
      </c>
      <c r="N781" s="1">
        <f t="shared" si="61"/>
        <v>77</v>
      </c>
      <c r="O781" s="10">
        <f t="shared" si="64"/>
        <v>3.1633333334466442</v>
      </c>
    </row>
    <row r="782" spans="1:15">
      <c r="A782" s="1" t="s">
        <v>887</v>
      </c>
      <c r="B782" s="23">
        <v>45005.506249999999</v>
      </c>
      <c r="C782" s="1" t="s">
        <v>16</v>
      </c>
      <c r="D782" s="1" t="s">
        <v>12</v>
      </c>
      <c r="E782" s="1" t="s">
        <v>33</v>
      </c>
      <c r="F782" s="1" t="s">
        <v>52</v>
      </c>
      <c r="G782" s="1">
        <v>145</v>
      </c>
      <c r="H782" s="23">
        <v>45006.575439814813</v>
      </c>
      <c r="I782" s="1" t="b">
        <v>0</v>
      </c>
      <c r="K782" s="10">
        <f t="shared" si="62"/>
        <v>25.660555555543397</v>
      </c>
      <c r="L782" s="1" t="str">
        <f t="shared" si="63"/>
        <v>OK</v>
      </c>
      <c r="M782" s="1">
        <f t="shared" si="60"/>
        <v>1</v>
      </c>
      <c r="N782" s="1">
        <f t="shared" si="61"/>
        <v>145</v>
      </c>
      <c r="O782" s="10">
        <f t="shared" si="64"/>
        <v>25.660555555543397</v>
      </c>
    </row>
    <row r="783" spans="1:15">
      <c r="A783" s="1" t="s">
        <v>888</v>
      </c>
      <c r="B783" s="23">
        <v>45005.579861111109</v>
      </c>
      <c r="C783" s="1" t="s">
        <v>11</v>
      </c>
      <c r="D783" s="1" t="s">
        <v>21</v>
      </c>
      <c r="E783" s="1" t="s">
        <v>18</v>
      </c>
      <c r="F783" s="1" t="s">
        <v>14</v>
      </c>
      <c r="G783" s="1">
        <v>45</v>
      </c>
      <c r="H783" s="23">
        <v>45014.143460648149</v>
      </c>
      <c r="I783" s="1" t="b">
        <v>0</v>
      </c>
      <c r="K783" s="10">
        <f t="shared" si="62"/>
        <v>205.5263888889458</v>
      </c>
      <c r="L783" s="1" t="str">
        <f t="shared" si="63"/>
        <v>OK</v>
      </c>
      <c r="M783" s="1">
        <f t="shared" si="60"/>
        <v>1</v>
      </c>
      <c r="N783" s="1">
        <f t="shared" si="61"/>
        <v>45</v>
      </c>
      <c r="O783" s="10">
        <f t="shared" si="64"/>
        <v>205.5263888889458</v>
      </c>
    </row>
    <row r="784" spans="1:15">
      <c r="A784" s="1" t="s">
        <v>889</v>
      </c>
      <c r="B784" s="23">
        <v>45005.658333333333</v>
      </c>
      <c r="C784" s="1" t="s">
        <v>25</v>
      </c>
      <c r="D784" s="1" t="s">
        <v>17</v>
      </c>
      <c r="E784" s="1" t="s">
        <v>18</v>
      </c>
      <c r="F784" s="1" t="s">
        <v>60</v>
      </c>
      <c r="G784" s="1">
        <v>306</v>
      </c>
      <c r="H784" s="23">
        <v>45006.460682870369</v>
      </c>
      <c r="I784" s="1" t="b">
        <v>0</v>
      </c>
      <c r="K784" s="10">
        <f t="shared" si="62"/>
        <v>19.256388888868969</v>
      </c>
      <c r="L784" s="1" t="str">
        <f t="shared" si="63"/>
        <v>OK</v>
      </c>
      <c r="M784" s="1">
        <f t="shared" si="60"/>
        <v>1</v>
      </c>
      <c r="N784" s="1">
        <f t="shared" si="61"/>
        <v>306</v>
      </c>
      <c r="O784" s="10">
        <f t="shared" si="64"/>
        <v>19.256388888868969</v>
      </c>
    </row>
    <row r="785" spans="1:15">
      <c r="A785" s="1" t="s">
        <v>890</v>
      </c>
      <c r="B785" s="23">
        <v>45005.711111111108</v>
      </c>
      <c r="C785" s="1" t="s">
        <v>11</v>
      </c>
      <c r="D785" s="1" t="s">
        <v>17</v>
      </c>
      <c r="E785" s="1" t="s">
        <v>18</v>
      </c>
      <c r="F785" s="1" t="s">
        <v>70</v>
      </c>
      <c r="H785" s="23">
        <v>45008.130069444444</v>
      </c>
      <c r="I785" s="1" t="b">
        <v>0</v>
      </c>
      <c r="J785" s="1">
        <v>4</v>
      </c>
      <c r="K785" s="10">
        <f t="shared" si="62"/>
        <v>58.055000000051223</v>
      </c>
      <c r="L785" s="1" t="str">
        <f t="shared" si="63"/>
        <v>Cannot check</v>
      </c>
      <c r="M785" s="1">
        <f t="shared" si="60"/>
        <v>1</v>
      </c>
      <c r="N785" s="1" t="str">
        <f t="shared" si="61"/>
        <v/>
      </c>
      <c r="O785" s="10">
        <f t="shared" si="64"/>
        <v>58.055000000051223</v>
      </c>
    </row>
    <row r="786" spans="1:15">
      <c r="A786" s="1" t="s">
        <v>891</v>
      </c>
      <c r="B786" s="23">
        <v>45005.84097222222</v>
      </c>
      <c r="C786" s="1" t="s">
        <v>11</v>
      </c>
      <c r="D786" s="1" t="s">
        <v>12</v>
      </c>
      <c r="E786" s="1" t="s">
        <v>18</v>
      </c>
      <c r="F786" s="1" t="s">
        <v>709</v>
      </c>
      <c r="G786" s="1">
        <v>45</v>
      </c>
      <c r="H786" s="23">
        <v>45006.244872685187</v>
      </c>
      <c r="I786" s="1" t="b">
        <v>0</v>
      </c>
      <c r="J786" s="1">
        <v>4</v>
      </c>
      <c r="K786" s="10">
        <f t="shared" si="62"/>
        <v>9.6936111112008803</v>
      </c>
      <c r="L786" s="1" t="str">
        <f t="shared" si="63"/>
        <v>OK</v>
      </c>
      <c r="M786" s="1">
        <f t="shared" si="60"/>
        <v>1</v>
      </c>
      <c r="N786" s="1">
        <f t="shared" si="61"/>
        <v>45</v>
      </c>
      <c r="O786" s="10">
        <f t="shared" si="64"/>
        <v>9.6936111112008803</v>
      </c>
    </row>
    <row r="787" spans="1:15">
      <c r="A787" s="1" t="s">
        <v>892</v>
      </c>
      <c r="B787" s="23">
        <v>45005.912499999999</v>
      </c>
      <c r="C787" s="1" t="s">
        <v>11</v>
      </c>
      <c r="D787" s="1" t="s">
        <v>12</v>
      </c>
      <c r="E787" s="1" t="s">
        <v>13</v>
      </c>
      <c r="F787" s="1" t="s">
        <v>128</v>
      </c>
      <c r="G787" s="1">
        <v>5</v>
      </c>
      <c r="H787" s="23">
        <v>45007.186412037037</v>
      </c>
      <c r="I787" s="1" t="b">
        <v>0</v>
      </c>
      <c r="K787" s="10">
        <f t="shared" si="62"/>
        <v>30.573888888931833</v>
      </c>
      <c r="L787" s="1" t="str">
        <f t="shared" si="63"/>
        <v>OK</v>
      </c>
      <c r="M787" s="1">
        <f t="shared" si="60"/>
        <v>1</v>
      </c>
      <c r="N787" s="1">
        <f t="shared" si="61"/>
        <v>5</v>
      </c>
      <c r="O787" s="10">
        <f t="shared" si="64"/>
        <v>30.573888888931833</v>
      </c>
    </row>
    <row r="788" spans="1:15">
      <c r="A788" s="1" t="s">
        <v>893</v>
      </c>
      <c r="B788" s="23">
        <v>45006.180555555555</v>
      </c>
      <c r="C788" s="1" t="s">
        <v>25</v>
      </c>
      <c r="D788" s="1" t="s">
        <v>12</v>
      </c>
      <c r="E788" s="1" t="s">
        <v>18</v>
      </c>
      <c r="F788" s="1" t="s">
        <v>44</v>
      </c>
      <c r="G788" s="1">
        <v>202</v>
      </c>
      <c r="H788" s="23">
        <v>45006.294432870367</v>
      </c>
      <c r="I788" s="1" t="b">
        <v>0</v>
      </c>
      <c r="J788" s="1">
        <v>4</v>
      </c>
      <c r="K788" s="10">
        <f t="shared" si="62"/>
        <v>2.7330555554945022</v>
      </c>
      <c r="L788" s="1" t="str">
        <f t="shared" si="63"/>
        <v>Review</v>
      </c>
      <c r="M788" s="1">
        <f t="shared" si="60"/>
        <v>1</v>
      </c>
      <c r="N788" s="1" t="str">
        <f t="shared" si="61"/>
        <v/>
      </c>
      <c r="O788" s="10" t="str">
        <f t="shared" si="64"/>
        <v/>
      </c>
    </row>
    <row r="789" spans="1:15">
      <c r="A789" s="1" t="s">
        <v>894</v>
      </c>
      <c r="B789" s="23">
        <v>45006.24722222222</v>
      </c>
      <c r="C789" s="1" t="s">
        <v>43</v>
      </c>
      <c r="D789" s="1" t="s">
        <v>17</v>
      </c>
      <c r="E789" s="1" t="s">
        <v>13</v>
      </c>
      <c r="F789" s="1" t="s">
        <v>226</v>
      </c>
      <c r="G789" s="1">
        <v>28</v>
      </c>
      <c r="H789" s="23">
        <v>45007.496944444443</v>
      </c>
      <c r="I789" s="1" t="b">
        <v>0</v>
      </c>
      <c r="K789" s="10">
        <f t="shared" si="62"/>
        <v>29.993333333346527</v>
      </c>
      <c r="L789" s="1" t="str">
        <f t="shared" si="63"/>
        <v>OK</v>
      </c>
      <c r="M789" s="1">
        <f t="shared" si="60"/>
        <v>1</v>
      </c>
      <c r="N789" s="1">
        <f t="shared" si="61"/>
        <v>28</v>
      </c>
      <c r="O789" s="10">
        <f t="shared" si="64"/>
        <v>29.993333333346527</v>
      </c>
    </row>
    <row r="790" spans="1:15">
      <c r="A790" s="1" t="s">
        <v>895</v>
      </c>
      <c r="B790" s="23">
        <v>45006.316666666666</v>
      </c>
      <c r="C790" s="1" t="s">
        <v>11</v>
      </c>
      <c r="D790" s="1" t="s">
        <v>12</v>
      </c>
      <c r="E790" s="1" t="s">
        <v>33</v>
      </c>
      <c r="F790" s="1" t="s">
        <v>23</v>
      </c>
      <c r="G790" s="1">
        <v>271</v>
      </c>
      <c r="H790" s="23">
        <v>45007.449675925927</v>
      </c>
      <c r="I790" s="1" t="b">
        <v>0</v>
      </c>
      <c r="J790" s="1">
        <v>4</v>
      </c>
      <c r="K790" s="10">
        <f t="shared" si="62"/>
        <v>27.19222222227836</v>
      </c>
      <c r="L790" s="1" t="str">
        <f t="shared" si="63"/>
        <v>OK</v>
      </c>
      <c r="M790" s="1">
        <f t="shared" si="60"/>
        <v>1</v>
      </c>
      <c r="N790" s="1">
        <f t="shared" si="61"/>
        <v>271</v>
      </c>
      <c r="O790" s="10">
        <f t="shared" si="64"/>
        <v>27.19222222227836</v>
      </c>
    </row>
    <row r="791" spans="1:15">
      <c r="A791" s="1" t="s">
        <v>896</v>
      </c>
      <c r="B791" s="23">
        <v>45006.520833333336</v>
      </c>
      <c r="C791" s="1" t="s">
        <v>16</v>
      </c>
      <c r="D791" s="1" t="s">
        <v>21</v>
      </c>
      <c r="E791" s="1" t="s">
        <v>18</v>
      </c>
      <c r="F791" s="1" t="s">
        <v>70</v>
      </c>
      <c r="G791" s="1">
        <v>188</v>
      </c>
      <c r="H791" s="23">
        <v>45007.005069444444</v>
      </c>
      <c r="I791" s="1" t="b">
        <v>0</v>
      </c>
      <c r="J791" s="1">
        <v>1</v>
      </c>
      <c r="K791" s="10">
        <f t="shared" si="62"/>
        <v>11.621666666585952</v>
      </c>
      <c r="L791" s="1" t="str">
        <f t="shared" si="63"/>
        <v>OK</v>
      </c>
      <c r="M791" s="1">
        <f t="shared" si="60"/>
        <v>1</v>
      </c>
      <c r="N791" s="1">
        <f t="shared" si="61"/>
        <v>188</v>
      </c>
      <c r="O791" s="10">
        <f t="shared" si="64"/>
        <v>11.621666666585952</v>
      </c>
    </row>
    <row r="792" spans="1:15">
      <c r="A792" s="1" t="s">
        <v>897</v>
      </c>
      <c r="B792" s="23">
        <v>45006.953472222223</v>
      </c>
      <c r="C792" s="1" t="s">
        <v>11</v>
      </c>
      <c r="D792" s="1" t="s">
        <v>17</v>
      </c>
      <c r="E792" s="1" t="s">
        <v>13</v>
      </c>
      <c r="F792" s="1" t="s">
        <v>50</v>
      </c>
      <c r="G792" s="1">
        <v>56</v>
      </c>
      <c r="H792" s="23">
        <v>45007.416145833333</v>
      </c>
      <c r="I792" s="1" t="b">
        <v>0</v>
      </c>
      <c r="K792" s="10">
        <f t="shared" si="62"/>
        <v>11.104166666627862</v>
      </c>
      <c r="L792" s="1" t="str">
        <f t="shared" si="63"/>
        <v>OK</v>
      </c>
      <c r="M792" s="1">
        <f t="shared" si="60"/>
        <v>1</v>
      </c>
      <c r="N792" s="1">
        <f t="shared" si="61"/>
        <v>56</v>
      </c>
      <c r="O792" s="10">
        <f t="shared" si="64"/>
        <v>11.104166666627862</v>
      </c>
    </row>
    <row r="793" spans="1:15">
      <c r="A793" s="1" t="s">
        <v>898</v>
      </c>
      <c r="B793" s="23">
        <v>45007.015277777777</v>
      </c>
      <c r="C793" s="1" t="s">
        <v>25</v>
      </c>
      <c r="D793" s="1" t="s">
        <v>17</v>
      </c>
      <c r="E793" s="1" t="s">
        <v>18</v>
      </c>
      <c r="F793" s="1" t="s">
        <v>118</v>
      </c>
      <c r="G793" s="1">
        <v>963</v>
      </c>
      <c r="H793" s="23">
        <v>45007.654942129629</v>
      </c>
      <c r="I793" s="1" t="b">
        <v>0</v>
      </c>
      <c r="K793" s="10">
        <f t="shared" si="62"/>
        <v>15.351944444468245</v>
      </c>
      <c r="L793" s="1" t="str">
        <f t="shared" si="63"/>
        <v>Review</v>
      </c>
      <c r="M793" s="1">
        <f t="shared" si="60"/>
        <v>1</v>
      </c>
      <c r="N793" s="1" t="str">
        <f t="shared" si="61"/>
        <v/>
      </c>
      <c r="O793" s="10" t="str">
        <f t="shared" si="64"/>
        <v/>
      </c>
    </row>
    <row r="794" spans="1:15">
      <c r="A794" s="1" t="s">
        <v>899</v>
      </c>
      <c r="B794" s="23">
        <v>45007.492361111108</v>
      </c>
      <c r="C794" s="1" t="s">
        <v>16</v>
      </c>
      <c r="D794" s="1" t="s">
        <v>12</v>
      </c>
      <c r="E794" s="1" t="s">
        <v>13</v>
      </c>
      <c r="F794" s="1" t="s">
        <v>118</v>
      </c>
      <c r="G794" s="1">
        <v>11</v>
      </c>
      <c r="H794" s="23">
        <v>45009.446145833332</v>
      </c>
      <c r="I794" s="1" t="b">
        <v>0</v>
      </c>
      <c r="J794" s="1">
        <v>4</v>
      </c>
      <c r="K794" s="10">
        <f t="shared" si="62"/>
        <v>46.890833333367482</v>
      </c>
      <c r="L794" s="1" t="str">
        <f t="shared" si="63"/>
        <v>OK</v>
      </c>
      <c r="M794" s="1">
        <f t="shared" si="60"/>
        <v>1</v>
      </c>
      <c r="N794" s="1">
        <f t="shared" si="61"/>
        <v>11</v>
      </c>
      <c r="O794" s="10">
        <f t="shared" si="64"/>
        <v>46.890833333367482</v>
      </c>
    </row>
    <row r="795" spans="1:15">
      <c r="A795" s="1" t="s">
        <v>900</v>
      </c>
      <c r="B795" s="23">
        <v>45007.589583333334</v>
      </c>
      <c r="C795" s="1" t="s">
        <v>16</v>
      </c>
      <c r="D795" s="1" t="s">
        <v>17</v>
      </c>
      <c r="E795" s="1" t="s">
        <v>18</v>
      </c>
      <c r="F795" s="1" t="s">
        <v>145</v>
      </c>
      <c r="G795" s="1">
        <v>199</v>
      </c>
      <c r="H795" s="23">
        <v>45011.709363425929</v>
      </c>
      <c r="I795" s="1" t="b">
        <v>0</v>
      </c>
      <c r="K795" s="10">
        <f t="shared" si="62"/>
        <v>98.874722222273704</v>
      </c>
      <c r="L795" s="1" t="str">
        <f t="shared" si="63"/>
        <v>OK</v>
      </c>
      <c r="M795" s="1">
        <f t="shared" si="60"/>
        <v>1</v>
      </c>
      <c r="N795" s="1">
        <f t="shared" si="61"/>
        <v>199</v>
      </c>
      <c r="O795" s="10">
        <f t="shared" si="64"/>
        <v>98.874722222273704</v>
      </c>
    </row>
    <row r="796" spans="1:15">
      <c r="A796" s="1" t="s">
        <v>901</v>
      </c>
      <c r="B796" s="23">
        <v>45007.695138888892</v>
      </c>
      <c r="C796" s="1" t="s">
        <v>25</v>
      </c>
      <c r="D796" s="1" t="s">
        <v>17</v>
      </c>
      <c r="E796" s="1" t="s">
        <v>18</v>
      </c>
      <c r="F796" s="1" t="s">
        <v>37</v>
      </c>
      <c r="G796" s="1">
        <v>244</v>
      </c>
      <c r="H796" s="23">
        <v>45008.549386574072</v>
      </c>
      <c r="I796" s="1" t="b">
        <v>0</v>
      </c>
      <c r="K796" s="10">
        <f t="shared" si="62"/>
        <v>20.501944444316905</v>
      </c>
      <c r="L796" s="1" t="str">
        <f t="shared" si="63"/>
        <v>OK</v>
      </c>
      <c r="M796" s="1">
        <f t="shared" si="60"/>
        <v>1</v>
      </c>
      <c r="N796" s="1">
        <f t="shared" si="61"/>
        <v>244</v>
      </c>
      <c r="O796" s="10">
        <f t="shared" si="64"/>
        <v>20.501944444316905</v>
      </c>
    </row>
    <row r="797" spans="1:15">
      <c r="A797" s="1" t="s">
        <v>902</v>
      </c>
      <c r="B797" s="23">
        <v>45007.738888888889</v>
      </c>
      <c r="C797" s="1" t="s">
        <v>25</v>
      </c>
      <c r="D797" s="1" t="s">
        <v>21</v>
      </c>
      <c r="E797" s="1" t="s">
        <v>13</v>
      </c>
      <c r="F797" s="1" t="s">
        <v>486</v>
      </c>
      <c r="G797" s="1">
        <v>51</v>
      </c>
      <c r="H797" s="23">
        <v>45016.907106481478</v>
      </c>
      <c r="I797" s="1" t="b">
        <v>0</v>
      </c>
      <c r="K797" s="10">
        <f t="shared" si="62"/>
        <v>220.03722222213401</v>
      </c>
      <c r="L797" s="1" t="str">
        <f t="shared" si="63"/>
        <v>OK</v>
      </c>
      <c r="M797" s="1">
        <f t="shared" si="60"/>
        <v>1</v>
      </c>
      <c r="N797" s="1">
        <f t="shared" si="61"/>
        <v>51</v>
      </c>
      <c r="O797" s="10">
        <f t="shared" si="64"/>
        <v>220.03722222213401</v>
      </c>
    </row>
    <row r="798" spans="1:15">
      <c r="A798" s="1" t="s">
        <v>903</v>
      </c>
      <c r="B798" s="23">
        <v>45007.853472222225</v>
      </c>
      <c r="C798" s="1" t="s">
        <v>16</v>
      </c>
      <c r="D798" s="1" t="s">
        <v>59</v>
      </c>
      <c r="E798" s="1" t="s">
        <v>18</v>
      </c>
      <c r="F798" s="1" t="s">
        <v>80</v>
      </c>
      <c r="G798" s="1">
        <v>17</v>
      </c>
      <c r="H798" s="23">
        <v>45008.432893518519</v>
      </c>
      <c r="I798" s="1" t="b">
        <v>0</v>
      </c>
      <c r="K798" s="10">
        <f t="shared" si="62"/>
        <v>13.90611111104954</v>
      </c>
      <c r="L798" s="1" t="str">
        <f t="shared" si="63"/>
        <v>OK</v>
      </c>
      <c r="M798" s="1">
        <f t="shared" si="60"/>
        <v>1</v>
      </c>
      <c r="N798" s="1">
        <f t="shared" si="61"/>
        <v>17</v>
      </c>
      <c r="O798" s="10">
        <f t="shared" si="64"/>
        <v>13.90611111104954</v>
      </c>
    </row>
    <row r="799" spans="1:15">
      <c r="A799" s="1" t="s">
        <v>904</v>
      </c>
      <c r="B799" s="23">
        <v>45007.945833333331</v>
      </c>
      <c r="C799" s="1" t="s">
        <v>11</v>
      </c>
      <c r="D799" s="1" t="s">
        <v>17</v>
      </c>
      <c r="E799" s="1" t="s">
        <v>33</v>
      </c>
      <c r="F799" s="1" t="s">
        <v>96</v>
      </c>
      <c r="G799" s="1">
        <v>91</v>
      </c>
      <c r="H799" s="23">
        <v>45011.748506944445</v>
      </c>
      <c r="I799" s="1" t="b">
        <v>0</v>
      </c>
      <c r="K799" s="10">
        <f t="shared" si="62"/>
        <v>91.264166666718666</v>
      </c>
      <c r="L799" s="1" t="str">
        <f t="shared" si="63"/>
        <v>OK</v>
      </c>
      <c r="M799" s="1">
        <f t="shared" si="60"/>
        <v>1</v>
      </c>
      <c r="N799" s="1">
        <f t="shared" si="61"/>
        <v>91</v>
      </c>
      <c r="O799" s="10">
        <f t="shared" si="64"/>
        <v>91.264166666718666</v>
      </c>
    </row>
    <row r="800" spans="1:15">
      <c r="A800" s="1" t="s">
        <v>905</v>
      </c>
      <c r="B800" s="23">
        <v>45008.043055555558</v>
      </c>
      <c r="C800" s="1" t="s">
        <v>25</v>
      </c>
      <c r="D800" s="1" t="s">
        <v>26</v>
      </c>
      <c r="E800" s="1" t="s">
        <v>18</v>
      </c>
      <c r="F800" s="1" t="s">
        <v>23</v>
      </c>
      <c r="G800" s="1">
        <v>159</v>
      </c>
      <c r="H800" s="23">
        <v>45009.519467592596</v>
      </c>
      <c r="I800" s="1" t="b">
        <v>0</v>
      </c>
      <c r="J800" s="1">
        <v>5</v>
      </c>
      <c r="K800" s="10">
        <f t="shared" si="62"/>
        <v>35.433888888917863</v>
      </c>
      <c r="L800" s="1" t="str">
        <f t="shared" si="63"/>
        <v>OK</v>
      </c>
      <c r="M800" s="1">
        <f t="shared" si="60"/>
        <v>1</v>
      </c>
      <c r="N800" s="1">
        <f t="shared" si="61"/>
        <v>159</v>
      </c>
      <c r="O800" s="10">
        <f t="shared" si="64"/>
        <v>35.433888888917863</v>
      </c>
    </row>
    <row r="801" spans="1:15">
      <c r="A801" s="1" t="s">
        <v>906</v>
      </c>
      <c r="B801" s="23">
        <v>45008.175694444442</v>
      </c>
      <c r="C801" s="1" t="s">
        <v>25</v>
      </c>
      <c r="D801" s="1" t="s">
        <v>17</v>
      </c>
      <c r="E801" s="1" t="s">
        <v>13</v>
      </c>
      <c r="F801" s="1" t="s">
        <v>167</v>
      </c>
      <c r="G801" s="1">
        <v>26</v>
      </c>
      <c r="H801" s="23">
        <v>45008.760439814818</v>
      </c>
      <c r="I801" s="1" t="b">
        <v>0</v>
      </c>
      <c r="J801" s="1">
        <v>4</v>
      </c>
      <c r="K801" s="10">
        <f t="shared" si="62"/>
        <v>14.033888889010996</v>
      </c>
      <c r="L801" s="1" t="str">
        <f t="shared" si="63"/>
        <v>OK</v>
      </c>
      <c r="M801" s="1">
        <f t="shared" si="60"/>
        <v>1</v>
      </c>
      <c r="N801" s="1">
        <f t="shared" si="61"/>
        <v>26</v>
      </c>
      <c r="O801" s="10">
        <f t="shared" si="64"/>
        <v>14.033888889010996</v>
      </c>
    </row>
    <row r="802" spans="1:15">
      <c r="A802" s="1" t="s">
        <v>907</v>
      </c>
      <c r="B802" s="23">
        <v>45008.296527777777</v>
      </c>
      <c r="C802" s="1" t="s">
        <v>25</v>
      </c>
      <c r="D802" s="1" t="s">
        <v>59</v>
      </c>
      <c r="E802" s="1" t="s">
        <v>18</v>
      </c>
      <c r="F802" s="1" t="s">
        <v>86</v>
      </c>
      <c r="G802" s="1">
        <v>37</v>
      </c>
      <c r="H802" s="23">
        <v>45011.044282407405</v>
      </c>
      <c r="I802" s="1" t="b">
        <v>0</v>
      </c>
      <c r="K802" s="10">
        <f t="shared" si="62"/>
        <v>65.946111111086793</v>
      </c>
      <c r="L802" s="1" t="str">
        <f t="shared" si="63"/>
        <v>OK</v>
      </c>
      <c r="M802" s="1">
        <f t="shared" si="60"/>
        <v>1</v>
      </c>
      <c r="N802" s="1">
        <f t="shared" si="61"/>
        <v>37</v>
      </c>
      <c r="O802" s="10">
        <f t="shared" si="64"/>
        <v>65.946111111086793</v>
      </c>
    </row>
    <row r="803" spans="1:15">
      <c r="A803" s="1" t="s">
        <v>908</v>
      </c>
      <c r="B803" s="23">
        <v>45008.383333333331</v>
      </c>
      <c r="C803" s="1" t="s">
        <v>11</v>
      </c>
      <c r="D803" s="1" t="s">
        <v>17</v>
      </c>
      <c r="E803" s="1" t="s">
        <v>33</v>
      </c>
      <c r="F803" s="1" t="s">
        <v>84</v>
      </c>
      <c r="G803" s="1">
        <v>1909</v>
      </c>
      <c r="H803" s="23">
        <v>45020.982858796298</v>
      </c>
      <c r="I803" s="1" t="b">
        <v>0</v>
      </c>
      <c r="K803" s="10">
        <f t="shared" si="62"/>
        <v>302.38861111120787</v>
      </c>
      <c r="L803" s="1" t="str">
        <f t="shared" si="63"/>
        <v>OK</v>
      </c>
      <c r="M803" s="1">
        <f t="shared" si="60"/>
        <v>1</v>
      </c>
      <c r="N803" s="1">
        <f t="shared" si="61"/>
        <v>1909</v>
      </c>
      <c r="O803" s="10">
        <f t="shared" si="64"/>
        <v>302.38861111120787</v>
      </c>
    </row>
    <row r="804" spans="1:15">
      <c r="A804" s="1" t="s">
        <v>909</v>
      </c>
      <c r="B804" s="23">
        <v>45008.431250000001</v>
      </c>
      <c r="C804" s="1" t="s">
        <v>25</v>
      </c>
      <c r="D804" s="1" t="s">
        <v>17</v>
      </c>
      <c r="E804" s="1" t="s">
        <v>18</v>
      </c>
      <c r="F804" s="1" t="s">
        <v>317</v>
      </c>
      <c r="G804" s="1">
        <v>398</v>
      </c>
      <c r="I804" s="1" t="b">
        <v>0</v>
      </c>
      <c r="K804" s="10" t="str">
        <f t="shared" si="62"/>
        <v/>
      </c>
      <c r="L804" s="1" t="str">
        <f t="shared" si="63"/>
        <v>Cannot check</v>
      </c>
      <c r="M804" s="1">
        <f t="shared" si="60"/>
        <v>1</v>
      </c>
      <c r="N804" s="1">
        <f t="shared" si="61"/>
        <v>398</v>
      </c>
      <c r="O804" s="10" t="str">
        <f t="shared" si="64"/>
        <v/>
      </c>
    </row>
    <row r="805" spans="1:15">
      <c r="A805" s="1" t="s">
        <v>910</v>
      </c>
      <c r="B805" s="23">
        <v>45008.447222222225</v>
      </c>
      <c r="C805" s="1" t="s">
        <v>16</v>
      </c>
      <c r="D805" s="1" t="s">
        <v>17</v>
      </c>
      <c r="E805" s="1" t="s">
        <v>18</v>
      </c>
      <c r="F805" s="1" t="s">
        <v>96</v>
      </c>
      <c r="G805" s="1">
        <v>66</v>
      </c>
      <c r="I805" s="1" t="b">
        <v>0</v>
      </c>
      <c r="K805" s="10" t="str">
        <f t="shared" si="62"/>
        <v/>
      </c>
      <c r="L805" s="1" t="str">
        <f t="shared" si="63"/>
        <v>Cannot check</v>
      </c>
      <c r="M805" s="1">
        <f t="shared" si="60"/>
        <v>1</v>
      </c>
      <c r="N805" s="1">
        <f t="shared" si="61"/>
        <v>66</v>
      </c>
      <c r="O805" s="10" t="str">
        <f t="shared" si="64"/>
        <v/>
      </c>
    </row>
    <row r="806" spans="1:15">
      <c r="A806" s="1" t="s">
        <v>911</v>
      </c>
      <c r="B806" s="23">
        <v>45008.561111111114</v>
      </c>
      <c r="C806" s="1" t="s">
        <v>25</v>
      </c>
      <c r="D806" s="1" t="s">
        <v>17</v>
      </c>
      <c r="E806" s="1" t="s">
        <v>18</v>
      </c>
      <c r="F806" s="1" t="s">
        <v>302</v>
      </c>
      <c r="G806" s="1">
        <v>323</v>
      </c>
      <c r="I806" s="1" t="b">
        <v>0</v>
      </c>
      <c r="K806" s="10" t="str">
        <f t="shared" si="62"/>
        <v/>
      </c>
      <c r="L806" s="1" t="str">
        <f t="shared" si="63"/>
        <v>Cannot check</v>
      </c>
      <c r="M806" s="1">
        <f t="shared" si="60"/>
        <v>1</v>
      </c>
      <c r="N806" s="1">
        <f t="shared" si="61"/>
        <v>323</v>
      </c>
      <c r="O806" s="10" t="str">
        <f t="shared" si="64"/>
        <v/>
      </c>
    </row>
    <row r="807" spans="1:15">
      <c r="A807" s="1" t="s">
        <v>912</v>
      </c>
      <c r="B807" s="23">
        <v>45008.632638888892</v>
      </c>
      <c r="C807" s="1" t="s">
        <v>25</v>
      </c>
      <c r="D807" s="1" t="s">
        <v>17</v>
      </c>
      <c r="E807" s="1" t="s">
        <v>18</v>
      </c>
      <c r="F807" s="1" t="s">
        <v>274</v>
      </c>
      <c r="G807" s="1">
        <v>192</v>
      </c>
      <c r="H807" s="23">
        <v>45016.066874999997</v>
      </c>
      <c r="I807" s="1" t="b">
        <v>0</v>
      </c>
      <c r="K807" s="10">
        <f t="shared" si="62"/>
        <v>178.4216666665161</v>
      </c>
      <c r="L807" s="1" t="str">
        <f t="shared" si="63"/>
        <v>OK</v>
      </c>
      <c r="M807" s="1">
        <f t="shared" si="60"/>
        <v>1</v>
      </c>
      <c r="N807" s="1">
        <f t="shared" si="61"/>
        <v>192</v>
      </c>
      <c r="O807" s="10">
        <f t="shared" si="64"/>
        <v>178.4216666665161</v>
      </c>
    </row>
    <row r="808" spans="1:15">
      <c r="A808" s="1" t="s">
        <v>913</v>
      </c>
      <c r="B808" s="23">
        <v>45008.657638888886</v>
      </c>
      <c r="C808" s="1" t="s">
        <v>25</v>
      </c>
      <c r="D808" s="1" t="s">
        <v>59</v>
      </c>
      <c r="E808" s="1" t="s">
        <v>13</v>
      </c>
      <c r="F808" s="1" t="s">
        <v>72</v>
      </c>
      <c r="G808" s="1">
        <v>12</v>
      </c>
      <c r="H808" s="23">
        <v>45009.859548611108</v>
      </c>
      <c r="I808" s="1" t="b">
        <v>0</v>
      </c>
      <c r="K808" s="10">
        <f t="shared" si="62"/>
        <v>28.845833333325572</v>
      </c>
      <c r="L808" s="1" t="str">
        <f t="shared" si="63"/>
        <v>OK</v>
      </c>
      <c r="M808" s="1">
        <f t="shared" si="60"/>
        <v>1</v>
      </c>
      <c r="N808" s="1">
        <f t="shared" si="61"/>
        <v>12</v>
      </c>
      <c r="O808" s="10">
        <f t="shared" si="64"/>
        <v>28.845833333325572</v>
      </c>
    </row>
    <row r="809" spans="1:15">
      <c r="A809" s="1" t="s">
        <v>914</v>
      </c>
      <c r="B809" s="23">
        <v>45008.798611111109</v>
      </c>
      <c r="C809" s="1" t="s">
        <v>43</v>
      </c>
      <c r="D809" s="1" t="s">
        <v>26</v>
      </c>
      <c r="E809" s="1" t="s">
        <v>22</v>
      </c>
      <c r="F809" s="1" t="s">
        <v>392</v>
      </c>
      <c r="G809" s="1">
        <v>21</v>
      </c>
      <c r="H809" s="23">
        <v>45008.828310185185</v>
      </c>
      <c r="I809" s="1" t="b">
        <v>0</v>
      </c>
      <c r="K809" s="10">
        <f t="shared" si="62"/>
        <v>0.71277777780778706</v>
      </c>
      <c r="L809" s="1" t="str">
        <f t="shared" si="63"/>
        <v>OK</v>
      </c>
      <c r="M809" s="1">
        <f t="shared" si="60"/>
        <v>1</v>
      </c>
      <c r="N809" s="1">
        <f t="shared" si="61"/>
        <v>21</v>
      </c>
      <c r="O809" s="10">
        <f t="shared" si="64"/>
        <v>0.71277777780778706</v>
      </c>
    </row>
    <row r="810" spans="1:15">
      <c r="A810" s="1" t="s">
        <v>915</v>
      </c>
      <c r="B810" s="23">
        <v>45008.890972222223</v>
      </c>
      <c r="C810" s="1" t="s">
        <v>43</v>
      </c>
      <c r="D810" s="1" t="s">
        <v>12</v>
      </c>
      <c r="E810" s="1" t="s">
        <v>18</v>
      </c>
      <c r="F810" s="1" t="s">
        <v>48</v>
      </c>
      <c r="G810" s="1">
        <v>33</v>
      </c>
      <c r="H810" s="23">
        <v>45009.183275462965</v>
      </c>
      <c r="I810" s="1" t="b">
        <v>0</v>
      </c>
      <c r="J810" s="1">
        <v>5</v>
      </c>
      <c r="K810" s="10">
        <f t="shared" si="62"/>
        <v>7.0152777777984738</v>
      </c>
      <c r="L810" s="1" t="str">
        <f t="shared" si="63"/>
        <v>OK</v>
      </c>
      <c r="M810" s="1">
        <f t="shared" si="60"/>
        <v>1</v>
      </c>
      <c r="N810" s="1">
        <f t="shared" si="61"/>
        <v>33</v>
      </c>
      <c r="O810" s="10">
        <f t="shared" si="64"/>
        <v>7.0152777777984738</v>
      </c>
    </row>
    <row r="811" spans="1:15">
      <c r="A811" s="1" t="s">
        <v>916</v>
      </c>
      <c r="B811" s="23">
        <v>45009.036805555559</v>
      </c>
      <c r="C811" s="1" t="s">
        <v>25</v>
      </c>
      <c r="D811" s="1" t="s">
        <v>59</v>
      </c>
      <c r="E811" s="1" t="s">
        <v>18</v>
      </c>
      <c r="F811" s="1" t="s">
        <v>76</v>
      </c>
      <c r="G811" s="1">
        <v>67</v>
      </c>
      <c r="H811" s="23">
        <v>45009.393912037034</v>
      </c>
      <c r="I811" s="1" t="b">
        <v>0</v>
      </c>
      <c r="K811" s="10">
        <f t="shared" si="62"/>
        <v>8.5705555554013699</v>
      </c>
      <c r="L811" s="1" t="str">
        <f t="shared" si="63"/>
        <v>OK</v>
      </c>
      <c r="M811" s="1">
        <f t="shared" si="60"/>
        <v>1</v>
      </c>
      <c r="N811" s="1">
        <f t="shared" si="61"/>
        <v>67</v>
      </c>
      <c r="O811" s="10">
        <f t="shared" si="64"/>
        <v>8.5705555554013699</v>
      </c>
    </row>
    <row r="812" spans="1:15">
      <c r="A812" s="1" t="s">
        <v>917</v>
      </c>
      <c r="B812" s="23">
        <v>45009.083333333336</v>
      </c>
      <c r="C812" s="1" t="s">
        <v>25</v>
      </c>
      <c r="D812" s="1" t="s">
        <v>17</v>
      </c>
      <c r="E812" s="1" t="s">
        <v>33</v>
      </c>
      <c r="F812" s="1" t="s">
        <v>228</v>
      </c>
      <c r="G812" s="1">
        <v>118</v>
      </c>
      <c r="H812" s="23">
        <v>45011.106469907405</v>
      </c>
      <c r="I812" s="1" t="b">
        <v>0</v>
      </c>
      <c r="K812" s="10">
        <f t="shared" si="62"/>
        <v>48.555277777661104</v>
      </c>
      <c r="L812" s="1" t="str">
        <f t="shared" si="63"/>
        <v>OK</v>
      </c>
      <c r="M812" s="1">
        <f t="shared" si="60"/>
        <v>1</v>
      </c>
      <c r="N812" s="1">
        <f t="shared" si="61"/>
        <v>118</v>
      </c>
      <c r="O812" s="10">
        <f t="shared" si="64"/>
        <v>48.555277777661104</v>
      </c>
    </row>
    <row r="813" spans="1:15">
      <c r="A813" s="1" t="s">
        <v>918</v>
      </c>
      <c r="B813" s="23">
        <v>45009.161111111112</v>
      </c>
      <c r="C813" s="1" t="s">
        <v>16</v>
      </c>
      <c r="D813" s="1" t="s">
        <v>21</v>
      </c>
      <c r="E813" s="1" t="s">
        <v>13</v>
      </c>
      <c r="F813" s="1" t="s">
        <v>14</v>
      </c>
      <c r="G813" s="1">
        <v>26</v>
      </c>
      <c r="H813" s="23">
        <v>45011.655069444445</v>
      </c>
      <c r="I813" s="1" t="b">
        <v>0</v>
      </c>
      <c r="J813" s="1">
        <v>5</v>
      </c>
      <c r="K813" s="10">
        <f t="shared" si="62"/>
        <v>59.854999999981374</v>
      </c>
      <c r="L813" s="1" t="str">
        <f t="shared" si="63"/>
        <v>OK</v>
      </c>
      <c r="M813" s="1">
        <f t="shared" si="60"/>
        <v>1</v>
      </c>
      <c r="N813" s="1">
        <f t="shared" si="61"/>
        <v>26</v>
      </c>
      <c r="O813" s="10">
        <f t="shared" si="64"/>
        <v>59.854999999981374</v>
      </c>
    </row>
    <row r="814" spans="1:15">
      <c r="A814" s="1" t="s">
        <v>919</v>
      </c>
      <c r="B814" s="23">
        <v>45009.20208333333</v>
      </c>
      <c r="C814" s="1" t="s">
        <v>25</v>
      </c>
      <c r="D814" s="1" t="s">
        <v>59</v>
      </c>
      <c r="E814" s="1" t="s">
        <v>18</v>
      </c>
      <c r="F814" s="1" t="s">
        <v>100</v>
      </c>
      <c r="G814" s="1">
        <v>663</v>
      </c>
      <c r="I814" s="1" t="b">
        <v>0</v>
      </c>
      <c r="K814" s="10" t="str">
        <f t="shared" si="62"/>
        <v/>
      </c>
      <c r="L814" s="1" t="str">
        <f t="shared" si="63"/>
        <v>Cannot check</v>
      </c>
      <c r="M814" s="1">
        <f t="shared" si="60"/>
        <v>1</v>
      </c>
      <c r="N814" s="1">
        <f t="shared" si="61"/>
        <v>663</v>
      </c>
      <c r="O814" s="10" t="str">
        <f t="shared" si="64"/>
        <v/>
      </c>
    </row>
    <row r="815" spans="1:15">
      <c r="A815" s="1" t="s">
        <v>920</v>
      </c>
      <c r="B815" s="23">
        <v>45009.204861111109</v>
      </c>
      <c r="C815" s="1" t="s">
        <v>25</v>
      </c>
      <c r="D815" s="1" t="s">
        <v>17</v>
      </c>
      <c r="E815" s="1" t="s">
        <v>18</v>
      </c>
      <c r="F815" s="1" t="s">
        <v>415</v>
      </c>
      <c r="G815" s="1">
        <v>53</v>
      </c>
      <c r="H815" s="23">
        <v>45025.756493055553</v>
      </c>
      <c r="I815" s="1" t="b">
        <v>0</v>
      </c>
      <c r="K815" s="10">
        <f t="shared" si="62"/>
        <v>397.23916666663717</v>
      </c>
      <c r="L815" s="1" t="str">
        <f t="shared" si="63"/>
        <v>OK</v>
      </c>
      <c r="M815" s="1">
        <f t="shared" si="60"/>
        <v>1</v>
      </c>
      <c r="N815" s="1">
        <f t="shared" si="61"/>
        <v>53</v>
      </c>
      <c r="O815" s="10">
        <f t="shared" si="64"/>
        <v>397.23916666663717</v>
      </c>
    </row>
    <row r="816" spans="1:15">
      <c r="A816" s="1" t="s">
        <v>921</v>
      </c>
      <c r="B816" s="23">
        <v>45009.222222222219</v>
      </c>
      <c r="C816" s="1" t="s">
        <v>16</v>
      </c>
      <c r="D816" s="1" t="s">
        <v>59</v>
      </c>
      <c r="E816" s="1" t="s">
        <v>13</v>
      </c>
      <c r="F816" s="1" t="s">
        <v>118</v>
      </c>
      <c r="G816" s="1">
        <v>21</v>
      </c>
      <c r="H816" s="23">
        <v>45009.408136574071</v>
      </c>
      <c r="I816" s="1" t="b">
        <v>0</v>
      </c>
      <c r="J816" s="1">
        <v>5</v>
      </c>
      <c r="K816" s="10">
        <f t="shared" si="62"/>
        <v>4.4619444444542751</v>
      </c>
      <c r="L816" s="1" t="str">
        <f t="shared" si="63"/>
        <v>OK</v>
      </c>
      <c r="M816" s="1">
        <f t="shared" si="60"/>
        <v>1</v>
      </c>
      <c r="N816" s="1">
        <f t="shared" si="61"/>
        <v>21</v>
      </c>
      <c r="O816" s="10">
        <f t="shared" si="64"/>
        <v>4.4619444444542751</v>
      </c>
    </row>
    <row r="817" spans="1:15">
      <c r="A817" s="1" t="s">
        <v>922</v>
      </c>
      <c r="B817" s="23">
        <v>45009.336805555555</v>
      </c>
      <c r="C817" s="1" t="s">
        <v>16</v>
      </c>
      <c r="D817" s="1" t="s">
        <v>26</v>
      </c>
      <c r="E817" s="1" t="s">
        <v>13</v>
      </c>
      <c r="F817" s="1" t="s">
        <v>130</v>
      </c>
      <c r="G817" s="1">
        <v>18</v>
      </c>
      <c r="H817" s="23">
        <v>45009.580891203703</v>
      </c>
      <c r="I817" s="1" t="b">
        <v>0</v>
      </c>
      <c r="J817" s="1">
        <v>4</v>
      </c>
      <c r="K817" s="10">
        <f t="shared" si="62"/>
        <v>5.8580555555527098</v>
      </c>
      <c r="L817" s="1" t="str">
        <f t="shared" si="63"/>
        <v>OK</v>
      </c>
      <c r="M817" s="1">
        <f t="shared" si="60"/>
        <v>1</v>
      </c>
      <c r="N817" s="1">
        <f t="shared" si="61"/>
        <v>18</v>
      </c>
      <c r="O817" s="10">
        <f t="shared" si="64"/>
        <v>5.8580555555527098</v>
      </c>
    </row>
    <row r="818" spans="1:15">
      <c r="A818" s="1" t="s">
        <v>923</v>
      </c>
      <c r="B818" s="23">
        <v>45009.517361111109</v>
      </c>
      <c r="C818" s="1" t="s">
        <v>43</v>
      </c>
      <c r="D818" s="1" t="s">
        <v>17</v>
      </c>
      <c r="E818" s="1" t="s">
        <v>18</v>
      </c>
      <c r="F818" s="1" t="s">
        <v>27</v>
      </c>
      <c r="G818" s="1">
        <v>224</v>
      </c>
      <c r="H818" s="23">
        <v>45010.195011574076</v>
      </c>
      <c r="I818" s="1" t="b">
        <v>0</v>
      </c>
      <c r="K818" s="10">
        <f t="shared" si="62"/>
        <v>16.263611111207865</v>
      </c>
      <c r="L818" s="1" t="str">
        <f t="shared" si="63"/>
        <v>OK</v>
      </c>
      <c r="M818" s="1">
        <f t="shared" si="60"/>
        <v>1</v>
      </c>
      <c r="N818" s="1">
        <f t="shared" si="61"/>
        <v>224</v>
      </c>
      <c r="O818" s="10">
        <f t="shared" si="64"/>
        <v>16.263611111207865</v>
      </c>
    </row>
    <row r="819" spans="1:15">
      <c r="A819" s="1" t="s">
        <v>924</v>
      </c>
      <c r="B819" s="23">
        <v>45009.556250000001</v>
      </c>
      <c r="C819" s="1" t="s">
        <v>16</v>
      </c>
      <c r="D819" s="1" t="s">
        <v>21</v>
      </c>
      <c r="E819" s="1" t="s">
        <v>33</v>
      </c>
      <c r="F819" s="1" t="s">
        <v>709</v>
      </c>
      <c r="G819" s="1">
        <v>150</v>
      </c>
      <c r="H819" s="23">
        <v>45015.936192129629</v>
      </c>
      <c r="I819" s="1" t="b">
        <v>0</v>
      </c>
      <c r="K819" s="10">
        <f t="shared" si="62"/>
        <v>153.11861111107282</v>
      </c>
      <c r="L819" s="1" t="str">
        <f t="shared" si="63"/>
        <v>OK</v>
      </c>
      <c r="M819" s="1">
        <f t="shared" si="60"/>
        <v>1</v>
      </c>
      <c r="N819" s="1">
        <f t="shared" si="61"/>
        <v>150</v>
      </c>
      <c r="O819" s="10">
        <f t="shared" si="64"/>
        <v>153.11861111107282</v>
      </c>
    </row>
    <row r="820" spans="1:15">
      <c r="A820" s="1" t="s">
        <v>925</v>
      </c>
      <c r="B820" s="23">
        <v>45009.640277777777</v>
      </c>
      <c r="C820" s="1" t="s">
        <v>16</v>
      </c>
      <c r="D820" s="1" t="s">
        <v>21</v>
      </c>
      <c r="E820" s="1" t="s">
        <v>33</v>
      </c>
      <c r="F820" s="1" t="s">
        <v>66</v>
      </c>
      <c r="G820" s="1">
        <v>88</v>
      </c>
      <c r="H820" s="23">
        <v>45011.555821759262</v>
      </c>
      <c r="I820" s="1" t="b">
        <v>0</v>
      </c>
      <c r="J820" s="1">
        <v>3</v>
      </c>
      <c r="K820" s="10">
        <f t="shared" si="62"/>
        <v>45.973055555659812</v>
      </c>
      <c r="L820" s="1" t="str">
        <f t="shared" si="63"/>
        <v>OK</v>
      </c>
      <c r="M820" s="1">
        <f t="shared" si="60"/>
        <v>1</v>
      </c>
      <c r="N820" s="1">
        <f t="shared" si="61"/>
        <v>88</v>
      </c>
      <c r="O820" s="10">
        <f t="shared" si="64"/>
        <v>45.973055555659812</v>
      </c>
    </row>
    <row r="821" spans="1:15">
      <c r="A821" s="1" t="s">
        <v>926</v>
      </c>
      <c r="B821" s="23">
        <v>45009.648611111108</v>
      </c>
      <c r="C821" s="1" t="s">
        <v>25</v>
      </c>
      <c r="D821" s="1" t="s">
        <v>12</v>
      </c>
      <c r="E821" s="1" t="s">
        <v>33</v>
      </c>
      <c r="F821" s="1" t="s">
        <v>145</v>
      </c>
      <c r="G821" s="1">
        <v>182</v>
      </c>
      <c r="H821" s="23">
        <v>45011.275972222225</v>
      </c>
      <c r="I821" s="1" t="b">
        <v>1</v>
      </c>
      <c r="K821" s="10">
        <f t="shared" si="62"/>
        <v>39.056666666816454</v>
      </c>
      <c r="L821" s="1" t="str">
        <f t="shared" si="63"/>
        <v>OK</v>
      </c>
      <c r="M821" s="1">
        <f t="shared" si="60"/>
        <v>1</v>
      </c>
      <c r="N821" s="1">
        <f t="shared" si="61"/>
        <v>182</v>
      </c>
      <c r="O821" s="10">
        <f t="shared" si="64"/>
        <v>39.056666666816454</v>
      </c>
    </row>
    <row r="822" spans="1:15">
      <c r="A822" s="1" t="s">
        <v>927</v>
      </c>
      <c r="B822" s="23">
        <v>45009.683333333334</v>
      </c>
      <c r="C822" s="1" t="s">
        <v>25</v>
      </c>
      <c r="D822" s="1" t="s">
        <v>21</v>
      </c>
      <c r="E822" s="1" t="s">
        <v>18</v>
      </c>
      <c r="F822" s="1" t="s">
        <v>110</v>
      </c>
      <c r="G822" s="1">
        <v>41</v>
      </c>
      <c r="H822" s="23">
        <v>45011.886388888888</v>
      </c>
      <c r="I822" s="1" t="b">
        <v>0</v>
      </c>
      <c r="K822" s="10">
        <f t="shared" si="62"/>
        <v>52.873333333292976</v>
      </c>
      <c r="L822" s="1" t="str">
        <f t="shared" si="63"/>
        <v>OK</v>
      </c>
      <c r="M822" s="1">
        <f t="shared" si="60"/>
        <v>1</v>
      </c>
      <c r="N822" s="1">
        <f t="shared" si="61"/>
        <v>41</v>
      </c>
      <c r="O822" s="10">
        <f t="shared" si="64"/>
        <v>52.873333333292976</v>
      </c>
    </row>
    <row r="823" spans="1:15">
      <c r="A823" s="1" t="s">
        <v>928</v>
      </c>
      <c r="B823" s="23">
        <v>45009.869444444441</v>
      </c>
      <c r="C823" s="1" t="s">
        <v>16</v>
      </c>
      <c r="D823" s="1" t="s">
        <v>59</v>
      </c>
      <c r="E823" s="1" t="s">
        <v>18</v>
      </c>
      <c r="F823" s="1" t="s">
        <v>134</v>
      </c>
      <c r="G823" s="1">
        <v>42</v>
      </c>
      <c r="H823" s="23">
        <v>45012.28334490741</v>
      </c>
      <c r="I823" s="1" t="b">
        <v>0</v>
      </c>
      <c r="J823" s="1">
        <v>5</v>
      </c>
      <c r="K823" s="10">
        <f t="shared" si="62"/>
        <v>57.933611111249775</v>
      </c>
      <c r="L823" s="1" t="str">
        <f t="shared" si="63"/>
        <v>OK</v>
      </c>
      <c r="M823" s="1">
        <f t="shared" si="60"/>
        <v>1</v>
      </c>
      <c r="N823" s="1">
        <f t="shared" si="61"/>
        <v>42</v>
      </c>
      <c r="O823" s="10">
        <f t="shared" si="64"/>
        <v>57.933611111249775</v>
      </c>
    </row>
    <row r="824" spans="1:15">
      <c r="A824" s="1" t="s">
        <v>929</v>
      </c>
      <c r="B824" s="23">
        <v>45010.227777777778</v>
      </c>
      <c r="C824" s="1" t="s">
        <v>16</v>
      </c>
      <c r="D824" s="1" t="s">
        <v>21</v>
      </c>
      <c r="E824" s="1" t="s">
        <v>13</v>
      </c>
      <c r="F824" s="1" t="s">
        <v>239</v>
      </c>
      <c r="G824" s="1">
        <v>71</v>
      </c>
      <c r="H824" s="23">
        <v>45010.428252314814</v>
      </c>
      <c r="I824" s="1" t="b">
        <v>0</v>
      </c>
      <c r="K824" s="10">
        <f t="shared" si="62"/>
        <v>4.811388888861984</v>
      </c>
      <c r="L824" s="1" t="str">
        <f t="shared" si="63"/>
        <v>OK</v>
      </c>
      <c r="M824" s="1">
        <f t="shared" si="60"/>
        <v>1</v>
      </c>
      <c r="N824" s="1">
        <f t="shared" si="61"/>
        <v>71</v>
      </c>
      <c r="O824" s="10">
        <f t="shared" si="64"/>
        <v>4.811388888861984</v>
      </c>
    </row>
    <row r="825" spans="1:15">
      <c r="A825" s="1" t="s">
        <v>930</v>
      </c>
      <c r="B825" s="23">
        <v>45010.277777777781</v>
      </c>
      <c r="C825" s="1" t="s">
        <v>25</v>
      </c>
      <c r="D825" s="1" t="s">
        <v>17</v>
      </c>
      <c r="E825" s="1" t="s">
        <v>33</v>
      </c>
      <c r="F825" s="1" t="s">
        <v>92</v>
      </c>
      <c r="G825" s="1">
        <v>393</v>
      </c>
      <c r="H825" s="23">
        <v>45011.835601851853</v>
      </c>
      <c r="I825" s="1" t="b">
        <v>0</v>
      </c>
      <c r="K825" s="10">
        <f t="shared" si="62"/>
        <v>37.387777777737938</v>
      </c>
      <c r="L825" s="1" t="str">
        <f t="shared" si="63"/>
        <v>OK</v>
      </c>
      <c r="M825" s="1">
        <f t="shared" si="60"/>
        <v>1</v>
      </c>
      <c r="N825" s="1">
        <f t="shared" si="61"/>
        <v>393</v>
      </c>
      <c r="O825" s="10">
        <f t="shared" si="64"/>
        <v>37.387777777737938</v>
      </c>
    </row>
    <row r="826" spans="1:15">
      <c r="A826" s="1" t="s">
        <v>931</v>
      </c>
      <c r="B826" s="23">
        <v>45010.810416666667</v>
      </c>
      <c r="C826" s="1" t="s">
        <v>11</v>
      </c>
      <c r="D826" s="1" t="s">
        <v>17</v>
      </c>
      <c r="E826" s="1" t="s">
        <v>18</v>
      </c>
      <c r="F826" s="1" t="s">
        <v>23</v>
      </c>
      <c r="G826" s="1">
        <v>18</v>
      </c>
      <c r="H826" s="23">
        <v>45011.684884259259</v>
      </c>
      <c r="I826" s="1" t="b">
        <v>0</v>
      </c>
      <c r="K826" s="10">
        <f t="shared" si="62"/>
        <v>20.987222222203854</v>
      </c>
      <c r="L826" s="1" t="str">
        <f t="shared" si="63"/>
        <v>OK</v>
      </c>
      <c r="M826" s="1">
        <f t="shared" si="60"/>
        <v>1</v>
      </c>
      <c r="N826" s="1">
        <f t="shared" si="61"/>
        <v>18</v>
      </c>
      <c r="O826" s="10">
        <f t="shared" si="64"/>
        <v>20.987222222203854</v>
      </c>
    </row>
    <row r="827" spans="1:15">
      <c r="A827" s="1" t="s">
        <v>932</v>
      </c>
      <c r="B827" s="23">
        <v>45010.856944444444</v>
      </c>
      <c r="C827" s="1" t="s">
        <v>11</v>
      </c>
      <c r="D827" s="1" t="s">
        <v>12</v>
      </c>
      <c r="E827" s="1" t="s">
        <v>18</v>
      </c>
      <c r="F827" s="1" t="s">
        <v>120</v>
      </c>
      <c r="G827" s="1">
        <v>93</v>
      </c>
      <c r="H827" s="23">
        <v>45011.382326388892</v>
      </c>
      <c r="I827" s="1" t="b">
        <v>0</v>
      </c>
      <c r="J827" s="1">
        <v>4</v>
      </c>
      <c r="K827" s="10">
        <f t="shared" si="62"/>
        <v>12.609166666748933</v>
      </c>
      <c r="L827" s="1" t="str">
        <f t="shared" si="63"/>
        <v>OK</v>
      </c>
      <c r="M827" s="1">
        <f t="shared" si="60"/>
        <v>1</v>
      </c>
      <c r="N827" s="1">
        <f t="shared" si="61"/>
        <v>93</v>
      </c>
      <c r="O827" s="10">
        <f t="shared" si="64"/>
        <v>12.609166666748933</v>
      </c>
    </row>
    <row r="828" spans="1:15">
      <c r="A828" s="1" t="s">
        <v>933</v>
      </c>
      <c r="B828" s="23">
        <v>45010.95</v>
      </c>
      <c r="C828" s="1" t="s">
        <v>16</v>
      </c>
      <c r="D828" s="1" t="s">
        <v>17</v>
      </c>
      <c r="E828" s="1" t="s">
        <v>18</v>
      </c>
      <c r="F828" s="1" t="s">
        <v>14</v>
      </c>
      <c r="G828" s="1">
        <v>88</v>
      </c>
      <c r="H828" s="23">
        <v>45012.467199074075</v>
      </c>
      <c r="I828" s="1" t="b">
        <v>1</v>
      </c>
      <c r="K828" s="10">
        <f t="shared" si="62"/>
        <v>36.412777777877636</v>
      </c>
      <c r="L828" s="1" t="str">
        <f t="shared" si="63"/>
        <v>OK</v>
      </c>
      <c r="M828" s="1">
        <f t="shared" si="60"/>
        <v>1</v>
      </c>
      <c r="N828" s="1">
        <f t="shared" si="61"/>
        <v>88</v>
      </c>
      <c r="O828" s="10">
        <f t="shared" si="64"/>
        <v>36.412777777877636</v>
      </c>
    </row>
    <row r="829" spans="1:15">
      <c r="A829" s="1" t="s">
        <v>934</v>
      </c>
      <c r="B829" s="23">
        <v>45010.98541666667</v>
      </c>
      <c r="C829" s="1" t="s">
        <v>25</v>
      </c>
      <c r="D829" s="1" t="s">
        <v>21</v>
      </c>
      <c r="E829" s="1" t="s">
        <v>13</v>
      </c>
      <c r="F829" s="1" t="s">
        <v>317</v>
      </c>
      <c r="G829" s="1">
        <v>6</v>
      </c>
      <c r="H829" s="23">
        <v>45011.367291666669</v>
      </c>
      <c r="I829" s="1" t="b">
        <v>0</v>
      </c>
      <c r="K829" s="10">
        <f t="shared" si="62"/>
        <v>9.1649999999790452</v>
      </c>
      <c r="L829" s="1" t="str">
        <f t="shared" si="63"/>
        <v>OK</v>
      </c>
      <c r="M829" s="1">
        <f t="shared" si="60"/>
        <v>1</v>
      </c>
      <c r="N829" s="1">
        <f t="shared" si="61"/>
        <v>6</v>
      </c>
      <c r="O829" s="10">
        <f t="shared" si="64"/>
        <v>9.1649999999790452</v>
      </c>
    </row>
    <row r="830" spans="1:15">
      <c r="A830" s="1" t="s">
        <v>935</v>
      </c>
      <c r="B830" s="23">
        <v>45011.180555555555</v>
      </c>
      <c r="C830" s="1" t="s">
        <v>11</v>
      </c>
      <c r="D830" s="1" t="s">
        <v>21</v>
      </c>
      <c r="E830" s="1" t="s">
        <v>33</v>
      </c>
      <c r="F830" s="1" t="s">
        <v>415</v>
      </c>
      <c r="G830" s="1">
        <v>369</v>
      </c>
      <c r="H830" s="23">
        <v>45022.513553240744</v>
      </c>
      <c r="I830" s="1" t="b">
        <v>0</v>
      </c>
      <c r="K830" s="10">
        <f t="shared" si="62"/>
        <v>271.99194444454042</v>
      </c>
      <c r="L830" s="1" t="str">
        <f t="shared" si="63"/>
        <v>OK</v>
      </c>
      <c r="M830" s="1">
        <f t="shared" si="60"/>
        <v>1</v>
      </c>
      <c r="N830" s="1">
        <f t="shared" si="61"/>
        <v>369</v>
      </c>
      <c r="O830" s="10">
        <f t="shared" si="64"/>
        <v>271.99194444454042</v>
      </c>
    </row>
    <row r="831" spans="1:15">
      <c r="A831" s="1" t="s">
        <v>936</v>
      </c>
      <c r="B831" s="23">
        <v>45011.1875</v>
      </c>
      <c r="C831" s="1" t="s">
        <v>43</v>
      </c>
      <c r="D831" s="1" t="s">
        <v>17</v>
      </c>
      <c r="E831" s="1" t="s">
        <v>33</v>
      </c>
      <c r="F831" s="1" t="s">
        <v>112</v>
      </c>
      <c r="G831" s="1">
        <v>77</v>
      </c>
      <c r="H831" s="23">
        <v>45015.186712962961</v>
      </c>
      <c r="I831" s="1" t="b">
        <v>0</v>
      </c>
      <c r="K831" s="10">
        <f t="shared" si="62"/>
        <v>95.981111111061182</v>
      </c>
      <c r="L831" s="1" t="str">
        <f t="shared" si="63"/>
        <v>OK</v>
      </c>
      <c r="M831" s="1">
        <f t="shared" si="60"/>
        <v>1</v>
      </c>
      <c r="N831" s="1">
        <f t="shared" si="61"/>
        <v>77</v>
      </c>
      <c r="O831" s="10">
        <f t="shared" si="64"/>
        <v>95.981111111061182</v>
      </c>
    </row>
    <row r="832" spans="1:15">
      <c r="A832" s="1" t="s">
        <v>937</v>
      </c>
      <c r="B832" s="23">
        <v>45011.220138888886</v>
      </c>
      <c r="C832" s="1" t="s">
        <v>43</v>
      </c>
      <c r="D832" s="1" t="s">
        <v>59</v>
      </c>
      <c r="E832" s="1" t="s">
        <v>22</v>
      </c>
      <c r="F832" s="1" t="s">
        <v>41</v>
      </c>
      <c r="G832" s="1">
        <v>8</v>
      </c>
      <c r="H832" s="23">
        <v>45011.562696759262</v>
      </c>
      <c r="I832" s="1" t="b">
        <v>0</v>
      </c>
      <c r="K832" s="10">
        <f t="shared" si="62"/>
        <v>8.2213888890109956</v>
      </c>
      <c r="L832" s="1" t="str">
        <f t="shared" si="63"/>
        <v>OK</v>
      </c>
      <c r="M832" s="1">
        <f t="shared" si="60"/>
        <v>1</v>
      </c>
      <c r="N832" s="1">
        <f t="shared" si="61"/>
        <v>8</v>
      </c>
      <c r="O832" s="10">
        <f t="shared" si="64"/>
        <v>8.2213888890109956</v>
      </c>
    </row>
    <row r="833" spans="1:15">
      <c r="A833" s="1" t="s">
        <v>938</v>
      </c>
      <c r="B833" s="23">
        <v>45011.320833333331</v>
      </c>
      <c r="C833" s="1" t="s">
        <v>16</v>
      </c>
      <c r="D833" s="1" t="s">
        <v>21</v>
      </c>
      <c r="E833" s="1" t="s">
        <v>18</v>
      </c>
      <c r="F833" s="1" t="s">
        <v>57</v>
      </c>
      <c r="G833" s="1">
        <v>110</v>
      </c>
      <c r="H833" s="23">
        <v>45011.843518518515</v>
      </c>
      <c r="I833" s="1" t="b">
        <v>0</v>
      </c>
      <c r="K833" s="10">
        <f t="shared" si="62"/>
        <v>12.544444444414694</v>
      </c>
      <c r="L833" s="1" t="str">
        <f t="shared" si="63"/>
        <v>OK</v>
      </c>
      <c r="M833" s="1">
        <f t="shared" si="60"/>
        <v>1</v>
      </c>
      <c r="N833" s="1">
        <f t="shared" si="61"/>
        <v>110</v>
      </c>
      <c r="O833" s="10">
        <f t="shared" si="64"/>
        <v>12.544444444414694</v>
      </c>
    </row>
    <row r="834" spans="1:15">
      <c r="A834" s="1" t="s">
        <v>939</v>
      </c>
      <c r="B834" s="23">
        <v>45011.322916666664</v>
      </c>
      <c r="C834" s="1" t="s">
        <v>16</v>
      </c>
      <c r="D834" s="1" t="s">
        <v>26</v>
      </c>
      <c r="E834" s="1" t="s">
        <v>18</v>
      </c>
      <c r="F834" s="1" t="s">
        <v>215</v>
      </c>
      <c r="G834" s="1">
        <v>407</v>
      </c>
      <c r="H834" s="23">
        <v>45013.619259259256</v>
      </c>
      <c r="I834" s="1" t="b">
        <v>0</v>
      </c>
      <c r="K834" s="10">
        <f t="shared" si="62"/>
        <v>55.112222222203854</v>
      </c>
      <c r="L834" s="1" t="str">
        <f t="shared" si="63"/>
        <v>OK</v>
      </c>
      <c r="M834" s="1">
        <f t="shared" ref="M834:M897" si="65">COUNTIF($A$2:$A$4001,A834)</f>
        <v>1</v>
      </c>
      <c r="N834" s="1">
        <f t="shared" ref="N834:N897" si="66">IF(OR(L834="Review",G834=""),"",G834)</f>
        <v>407</v>
      </c>
      <c r="O834" s="10">
        <f t="shared" si="64"/>
        <v>55.112222222203854</v>
      </c>
    </row>
    <row r="835" spans="1:15">
      <c r="A835" s="1" t="s">
        <v>940</v>
      </c>
      <c r="B835" s="23">
        <v>45011.504861111112</v>
      </c>
      <c r="C835" s="1" t="s">
        <v>11</v>
      </c>
      <c r="D835" s="1" t="s">
        <v>26</v>
      </c>
      <c r="E835" s="1" t="s">
        <v>18</v>
      </c>
      <c r="F835" s="1" t="s">
        <v>302</v>
      </c>
      <c r="G835" s="1">
        <v>43</v>
      </c>
      <c r="H835" s="23">
        <v>45012.395428240743</v>
      </c>
      <c r="I835" s="1" t="b">
        <v>0</v>
      </c>
      <c r="J835" s="1">
        <v>4</v>
      </c>
      <c r="K835" s="10">
        <f t="shared" ref="K835:K898" si="67">IF(H835="","",(H835-B835)*24)</f>
        <v>21.373611111135688</v>
      </c>
      <c r="L835" s="1" t="str">
        <f t="shared" ref="L835:L898" si="68">IF(OR(G835="",K835=""),"Cannot check",IF(G835&gt;K835*60,"Review","OK"))</f>
        <v>OK</v>
      </c>
      <c r="M835" s="1">
        <f t="shared" si="65"/>
        <v>1</v>
      </c>
      <c r="N835" s="1">
        <f t="shared" si="66"/>
        <v>43</v>
      </c>
      <c r="O835" s="10">
        <f t="shared" ref="O835:O898" si="69">IF(OR(L835="Review",K835=""),"",K835)</f>
        <v>21.373611111135688</v>
      </c>
    </row>
    <row r="836" spans="1:15">
      <c r="A836" s="1" t="s">
        <v>941</v>
      </c>
      <c r="B836" s="23">
        <v>45011.541666666664</v>
      </c>
      <c r="C836" s="1" t="s">
        <v>11</v>
      </c>
      <c r="D836" s="1" t="s">
        <v>17</v>
      </c>
      <c r="E836" s="1" t="s">
        <v>18</v>
      </c>
      <c r="F836" s="1" t="s">
        <v>709</v>
      </c>
      <c r="G836" s="1">
        <v>124</v>
      </c>
      <c r="H836" s="23">
        <v>45012.639467592591</v>
      </c>
      <c r="I836" s="1" t="b">
        <v>0</v>
      </c>
      <c r="J836" s="1">
        <v>2</v>
      </c>
      <c r="K836" s="10">
        <f t="shared" si="67"/>
        <v>26.347222222248092</v>
      </c>
      <c r="L836" s="1" t="str">
        <f t="shared" si="68"/>
        <v>OK</v>
      </c>
      <c r="M836" s="1">
        <f t="shared" si="65"/>
        <v>1</v>
      </c>
      <c r="N836" s="1">
        <f t="shared" si="66"/>
        <v>124</v>
      </c>
      <c r="O836" s="10">
        <f t="shared" si="69"/>
        <v>26.347222222248092</v>
      </c>
    </row>
    <row r="837" spans="1:15">
      <c r="A837" s="1" t="s">
        <v>942</v>
      </c>
      <c r="B837" s="23">
        <v>45011.682638888888</v>
      </c>
      <c r="C837" s="1" t="s">
        <v>16</v>
      </c>
      <c r="D837" s="1" t="s">
        <v>17</v>
      </c>
      <c r="E837" s="1" t="s">
        <v>18</v>
      </c>
      <c r="F837" s="1" t="s">
        <v>44</v>
      </c>
      <c r="G837" s="1">
        <v>652</v>
      </c>
      <c r="H837" s="23">
        <v>45013.826550925929</v>
      </c>
      <c r="I837" s="1" t="b">
        <v>0</v>
      </c>
      <c r="K837" s="10">
        <f t="shared" si="67"/>
        <v>51.453888888994697</v>
      </c>
      <c r="L837" s="1" t="str">
        <f t="shared" si="68"/>
        <v>OK</v>
      </c>
      <c r="M837" s="1">
        <f t="shared" si="65"/>
        <v>1</v>
      </c>
      <c r="N837" s="1">
        <f t="shared" si="66"/>
        <v>652</v>
      </c>
      <c r="O837" s="10">
        <f t="shared" si="69"/>
        <v>51.453888888994697</v>
      </c>
    </row>
    <row r="838" spans="1:15">
      <c r="A838" s="1" t="s">
        <v>943</v>
      </c>
      <c r="B838" s="23">
        <v>45011.805555555555</v>
      </c>
      <c r="C838" s="1" t="s">
        <v>16</v>
      </c>
      <c r="D838" s="1" t="s">
        <v>12</v>
      </c>
      <c r="E838" s="1" t="s">
        <v>18</v>
      </c>
      <c r="F838" s="1" t="s">
        <v>52</v>
      </c>
      <c r="G838" s="1">
        <v>164</v>
      </c>
      <c r="H838" s="23">
        <v>45012.753923611112</v>
      </c>
      <c r="I838" s="1" t="b">
        <v>0</v>
      </c>
      <c r="K838" s="10">
        <f t="shared" si="67"/>
        <v>22.760833333362825</v>
      </c>
      <c r="L838" s="1" t="str">
        <f t="shared" si="68"/>
        <v>OK</v>
      </c>
      <c r="M838" s="1">
        <f t="shared" si="65"/>
        <v>1</v>
      </c>
      <c r="N838" s="1">
        <f t="shared" si="66"/>
        <v>164</v>
      </c>
      <c r="O838" s="10">
        <f t="shared" si="69"/>
        <v>22.760833333362825</v>
      </c>
    </row>
    <row r="839" spans="1:15">
      <c r="A839" s="1" t="s">
        <v>944</v>
      </c>
      <c r="B839" s="23">
        <v>45012.231249999997</v>
      </c>
      <c r="C839" s="1" t="s">
        <v>16</v>
      </c>
      <c r="D839" s="1" t="s">
        <v>21</v>
      </c>
      <c r="E839" s="1" t="s">
        <v>18</v>
      </c>
      <c r="F839" s="1" t="s">
        <v>215</v>
      </c>
      <c r="G839" s="1">
        <v>47</v>
      </c>
      <c r="H839" s="23">
        <v>45016.776608796295</v>
      </c>
      <c r="I839" s="1" t="b">
        <v>0</v>
      </c>
      <c r="K839" s="10">
        <f t="shared" si="67"/>
        <v>109.0886111111613</v>
      </c>
      <c r="L839" s="1" t="str">
        <f t="shared" si="68"/>
        <v>OK</v>
      </c>
      <c r="M839" s="1">
        <f t="shared" si="65"/>
        <v>1</v>
      </c>
      <c r="N839" s="1">
        <f t="shared" si="66"/>
        <v>47</v>
      </c>
      <c r="O839" s="10">
        <f t="shared" si="69"/>
        <v>109.0886111111613</v>
      </c>
    </row>
    <row r="840" spans="1:15">
      <c r="A840" s="1" t="s">
        <v>945</v>
      </c>
      <c r="B840" s="23">
        <v>45012.395138888889</v>
      </c>
      <c r="C840" s="1" t="s">
        <v>16</v>
      </c>
      <c r="D840" s="1" t="s">
        <v>17</v>
      </c>
      <c r="E840" s="1" t="s">
        <v>13</v>
      </c>
      <c r="F840" s="1" t="s">
        <v>162</v>
      </c>
      <c r="G840" s="1">
        <v>48</v>
      </c>
      <c r="H840" s="23">
        <v>45013.108078703706</v>
      </c>
      <c r="I840" s="1" t="b">
        <v>0</v>
      </c>
      <c r="J840" s="1">
        <v>5</v>
      </c>
      <c r="K840" s="10">
        <f t="shared" si="67"/>
        <v>17.110555555613246</v>
      </c>
      <c r="L840" s="1" t="str">
        <f t="shared" si="68"/>
        <v>OK</v>
      </c>
      <c r="M840" s="1">
        <f t="shared" si="65"/>
        <v>1</v>
      </c>
      <c r="N840" s="1">
        <f t="shared" si="66"/>
        <v>48</v>
      </c>
      <c r="O840" s="10">
        <f t="shared" si="69"/>
        <v>17.110555555613246</v>
      </c>
    </row>
    <row r="841" spans="1:15">
      <c r="A841" s="1" t="s">
        <v>946</v>
      </c>
      <c r="B841" s="23">
        <v>45012.491666666669</v>
      </c>
      <c r="C841" s="1" t="s">
        <v>11</v>
      </c>
      <c r="D841" s="1" t="s">
        <v>17</v>
      </c>
      <c r="E841" s="1" t="s">
        <v>13</v>
      </c>
      <c r="F841" s="1" t="s">
        <v>112</v>
      </c>
      <c r="G841" s="1">
        <v>20</v>
      </c>
      <c r="H841" s="23">
        <v>45014.61923611111</v>
      </c>
      <c r="I841" s="1" t="b">
        <v>0</v>
      </c>
      <c r="K841" s="10">
        <f t="shared" si="67"/>
        <v>51.06166666658828</v>
      </c>
      <c r="L841" s="1" t="str">
        <f t="shared" si="68"/>
        <v>OK</v>
      </c>
      <c r="M841" s="1">
        <f t="shared" si="65"/>
        <v>1</v>
      </c>
      <c r="N841" s="1">
        <f t="shared" si="66"/>
        <v>20</v>
      </c>
      <c r="O841" s="10">
        <f t="shared" si="69"/>
        <v>51.06166666658828</v>
      </c>
    </row>
    <row r="842" spans="1:15">
      <c r="A842" s="1" t="s">
        <v>947</v>
      </c>
      <c r="B842" s="23">
        <v>45012.578472222223</v>
      </c>
      <c r="C842" s="1" t="s">
        <v>16</v>
      </c>
      <c r="D842" s="1" t="s">
        <v>12</v>
      </c>
      <c r="E842" s="1" t="s">
        <v>13</v>
      </c>
      <c r="F842" s="1" t="s">
        <v>116</v>
      </c>
      <c r="G842" s="1">
        <v>61</v>
      </c>
      <c r="H842" s="23">
        <v>45013.240347222221</v>
      </c>
      <c r="I842" s="1" t="b">
        <v>0</v>
      </c>
      <c r="J842" s="1">
        <v>5</v>
      </c>
      <c r="K842" s="10">
        <f t="shared" si="67"/>
        <v>15.884999999951106</v>
      </c>
      <c r="L842" s="1" t="str">
        <f t="shared" si="68"/>
        <v>OK</v>
      </c>
      <c r="M842" s="1">
        <f t="shared" si="65"/>
        <v>1</v>
      </c>
      <c r="N842" s="1">
        <f t="shared" si="66"/>
        <v>61</v>
      </c>
      <c r="O842" s="10">
        <f t="shared" si="69"/>
        <v>15.884999999951106</v>
      </c>
    </row>
    <row r="843" spans="1:15">
      <c r="A843" s="1" t="s">
        <v>948</v>
      </c>
      <c r="B843" s="23">
        <v>45012.670138888891</v>
      </c>
      <c r="C843" s="1" t="s">
        <v>16</v>
      </c>
      <c r="D843" s="1" t="s">
        <v>26</v>
      </c>
      <c r="E843" s="1" t="s">
        <v>33</v>
      </c>
      <c r="F843" s="1" t="s">
        <v>108</v>
      </c>
      <c r="H843" s="23">
        <v>45015.797384259262</v>
      </c>
      <c r="I843" s="1" t="b">
        <v>0</v>
      </c>
      <c r="K843" s="10">
        <f t="shared" si="67"/>
        <v>75.053888888913207</v>
      </c>
      <c r="L843" s="1" t="str">
        <f t="shared" si="68"/>
        <v>Cannot check</v>
      </c>
      <c r="M843" s="1">
        <f t="shared" si="65"/>
        <v>1</v>
      </c>
      <c r="N843" s="1" t="str">
        <f t="shared" si="66"/>
        <v/>
      </c>
      <c r="O843" s="10">
        <f t="shared" si="69"/>
        <v>75.053888888913207</v>
      </c>
    </row>
    <row r="844" spans="1:15">
      <c r="A844" s="1" t="s">
        <v>949</v>
      </c>
      <c r="B844" s="23">
        <v>45012.706944444442</v>
      </c>
      <c r="C844" s="1" t="s">
        <v>25</v>
      </c>
      <c r="D844" s="1" t="s">
        <v>59</v>
      </c>
      <c r="E844" s="1" t="s">
        <v>18</v>
      </c>
      <c r="F844" s="1" t="s">
        <v>23</v>
      </c>
      <c r="G844" s="1">
        <v>16</v>
      </c>
      <c r="H844" s="23">
        <v>45013.274525462963</v>
      </c>
      <c r="I844" s="1" t="b">
        <v>0</v>
      </c>
      <c r="J844" s="1">
        <v>1</v>
      </c>
      <c r="K844" s="10">
        <f t="shared" si="67"/>
        <v>13.621944444486871</v>
      </c>
      <c r="L844" s="1" t="str">
        <f t="shared" si="68"/>
        <v>OK</v>
      </c>
      <c r="M844" s="1">
        <f t="shared" si="65"/>
        <v>1</v>
      </c>
      <c r="N844" s="1">
        <f t="shared" si="66"/>
        <v>16</v>
      </c>
      <c r="O844" s="10">
        <f t="shared" si="69"/>
        <v>13.621944444486871</v>
      </c>
    </row>
    <row r="845" spans="1:15">
      <c r="A845" s="1" t="s">
        <v>950</v>
      </c>
      <c r="B845" s="23">
        <v>45012.714583333334</v>
      </c>
      <c r="C845" s="1" t="s">
        <v>16</v>
      </c>
      <c r="D845" s="1" t="s">
        <v>59</v>
      </c>
      <c r="E845" s="1" t="s">
        <v>18</v>
      </c>
      <c r="F845" s="1" t="s">
        <v>31</v>
      </c>
      <c r="G845" s="1">
        <v>254</v>
      </c>
      <c r="H845" s="23">
        <v>45012.761608796296</v>
      </c>
      <c r="I845" s="1" t="b">
        <v>0</v>
      </c>
      <c r="K845" s="10">
        <f t="shared" si="67"/>
        <v>1.1286111110821366</v>
      </c>
      <c r="L845" s="1" t="str">
        <f t="shared" si="68"/>
        <v>Review</v>
      </c>
      <c r="M845" s="1">
        <f t="shared" si="65"/>
        <v>1</v>
      </c>
      <c r="N845" s="1" t="str">
        <f t="shared" si="66"/>
        <v/>
      </c>
      <c r="O845" s="10" t="str">
        <f t="shared" si="69"/>
        <v/>
      </c>
    </row>
    <row r="846" spans="1:15">
      <c r="A846" s="1" t="s">
        <v>951</v>
      </c>
      <c r="B846" s="23">
        <v>45013.061111111114</v>
      </c>
      <c r="C846" s="1" t="s">
        <v>25</v>
      </c>
      <c r="D846" s="1" t="s">
        <v>21</v>
      </c>
      <c r="E846" s="1" t="s">
        <v>18</v>
      </c>
      <c r="F846" s="1" t="s">
        <v>175</v>
      </c>
      <c r="G846" s="1">
        <v>194</v>
      </c>
      <c r="H846" s="23">
        <v>45013.48678240741</v>
      </c>
      <c r="I846" s="1" t="b">
        <v>0</v>
      </c>
      <c r="J846" s="1">
        <v>5</v>
      </c>
      <c r="K846" s="10">
        <f t="shared" si="67"/>
        <v>10.21611111110542</v>
      </c>
      <c r="L846" s="1" t="str">
        <f t="shared" si="68"/>
        <v>OK</v>
      </c>
      <c r="M846" s="1">
        <f t="shared" si="65"/>
        <v>1</v>
      </c>
      <c r="N846" s="1">
        <f t="shared" si="66"/>
        <v>194</v>
      </c>
      <c r="O846" s="10">
        <f t="shared" si="69"/>
        <v>10.21611111110542</v>
      </c>
    </row>
    <row r="847" spans="1:15">
      <c r="A847" s="1" t="s">
        <v>952</v>
      </c>
      <c r="B847" s="23">
        <v>45013.069444444445</v>
      </c>
      <c r="C847" s="1" t="s">
        <v>16</v>
      </c>
      <c r="D847" s="1" t="s">
        <v>59</v>
      </c>
      <c r="E847" s="1" t="s">
        <v>33</v>
      </c>
      <c r="F847" s="1" t="s">
        <v>709</v>
      </c>
      <c r="G847" s="1">
        <v>530</v>
      </c>
      <c r="H847" s="23">
        <v>45015.361712962964</v>
      </c>
      <c r="I847" s="1" t="b">
        <v>0</v>
      </c>
      <c r="J847" s="1">
        <v>5</v>
      </c>
      <c r="K847" s="10">
        <f t="shared" si="67"/>
        <v>55.014444444444962</v>
      </c>
      <c r="L847" s="1" t="str">
        <f t="shared" si="68"/>
        <v>OK</v>
      </c>
      <c r="M847" s="1">
        <f t="shared" si="65"/>
        <v>1</v>
      </c>
      <c r="N847" s="1">
        <f t="shared" si="66"/>
        <v>530</v>
      </c>
      <c r="O847" s="10">
        <f t="shared" si="69"/>
        <v>55.014444444444962</v>
      </c>
    </row>
    <row r="848" spans="1:15">
      <c r="A848" s="1" t="s">
        <v>953</v>
      </c>
      <c r="B848" s="23">
        <v>45013.097916666666</v>
      </c>
      <c r="C848" s="1" t="s">
        <v>43</v>
      </c>
      <c r="D848" s="1" t="s">
        <v>17</v>
      </c>
      <c r="E848" s="1" t="s">
        <v>33</v>
      </c>
      <c r="F848" s="1" t="s">
        <v>228</v>
      </c>
      <c r="G848" s="1">
        <v>95</v>
      </c>
      <c r="H848" s="23">
        <v>45017.625057870369</v>
      </c>
      <c r="I848" s="1" t="b">
        <v>0</v>
      </c>
      <c r="K848" s="10">
        <f t="shared" si="67"/>
        <v>108.6513888888876</v>
      </c>
      <c r="L848" s="1" t="str">
        <f t="shared" si="68"/>
        <v>OK</v>
      </c>
      <c r="M848" s="1">
        <f t="shared" si="65"/>
        <v>1</v>
      </c>
      <c r="N848" s="1">
        <f t="shared" si="66"/>
        <v>95</v>
      </c>
      <c r="O848" s="10">
        <f t="shared" si="69"/>
        <v>108.6513888888876</v>
      </c>
    </row>
    <row r="849" spans="1:15">
      <c r="A849" s="1" t="s">
        <v>954</v>
      </c>
      <c r="B849" s="23">
        <v>45013.226388888892</v>
      </c>
      <c r="C849" s="1" t="s">
        <v>25</v>
      </c>
      <c r="D849" s="1" t="s">
        <v>17</v>
      </c>
      <c r="E849" s="1" t="s">
        <v>33</v>
      </c>
      <c r="F849" s="1" t="s">
        <v>256</v>
      </c>
      <c r="G849" s="1">
        <v>602</v>
      </c>
      <c r="H849" s="23">
        <v>45063.090844907405</v>
      </c>
      <c r="I849" s="1" t="b">
        <v>0</v>
      </c>
      <c r="K849" s="10">
        <f t="shared" si="67"/>
        <v>1196.7469444443122</v>
      </c>
      <c r="L849" s="1" t="str">
        <f t="shared" si="68"/>
        <v>OK</v>
      </c>
      <c r="M849" s="1">
        <f t="shared" si="65"/>
        <v>1</v>
      </c>
      <c r="N849" s="1">
        <f t="shared" si="66"/>
        <v>602</v>
      </c>
      <c r="O849" s="10">
        <f t="shared" si="69"/>
        <v>1196.7469444443122</v>
      </c>
    </row>
    <row r="850" spans="1:15">
      <c r="A850" s="1" t="s">
        <v>955</v>
      </c>
      <c r="B850" s="23">
        <v>45013.254861111112</v>
      </c>
      <c r="C850" s="1" t="s">
        <v>11</v>
      </c>
      <c r="D850" s="1" t="s">
        <v>17</v>
      </c>
      <c r="E850" s="1" t="s">
        <v>33</v>
      </c>
      <c r="F850" s="1" t="s">
        <v>198</v>
      </c>
      <c r="G850" s="1">
        <v>147</v>
      </c>
      <c r="H850" s="23">
        <v>45015.762638888889</v>
      </c>
      <c r="I850" s="1" t="b">
        <v>0</v>
      </c>
      <c r="K850" s="10">
        <f t="shared" si="67"/>
        <v>60.186666666646488</v>
      </c>
      <c r="L850" s="1" t="str">
        <f t="shared" si="68"/>
        <v>OK</v>
      </c>
      <c r="M850" s="1">
        <f t="shared" si="65"/>
        <v>1</v>
      </c>
      <c r="N850" s="1">
        <f t="shared" si="66"/>
        <v>147</v>
      </c>
      <c r="O850" s="10">
        <f t="shared" si="69"/>
        <v>60.186666666646488</v>
      </c>
    </row>
    <row r="851" spans="1:15">
      <c r="A851" s="1" t="s">
        <v>956</v>
      </c>
      <c r="B851" s="23">
        <v>45013.328472222223</v>
      </c>
      <c r="C851" s="1" t="s">
        <v>16</v>
      </c>
      <c r="D851" s="1" t="s">
        <v>26</v>
      </c>
      <c r="E851" s="1" t="s">
        <v>13</v>
      </c>
      <c r="F851" s="1" t="s">
        <v>80</v>
      </c>
      <c r="G851" s="1">
        <v>16</v>
      </c>
      <c r="H851" s="23">
        <v>45014.144942129627</v>
      </c>
      <c r="I851" s="1" t="b">
        <v>0</v>
      </c>
      <c r="K851" s="10">
        <f t="shared" si="67"/>
        <v>19.595277777698357</v>
      </c>
      <c r="L851" s="1" t="str">
        <f t="shared" si="68"/>
        <v>OK</v>
      </c>
      <c r="M851" s="1">
        <f t="shared" si="65"/>
        <v>1</v>
      </c>
      <c r="N851" s="1">
        <f t="shared" si="66"/>
        <v>16</v>
      </c>
      <c r="O851" s="10">
        <f t="shared" si="69"/>
        <v>19.595277777698357</v>
      </c>
    </row>
    <row r="852" spans="1:15">
      <c r="A852" s="1" t="s">
        <v>957</v>
      </c>
      <c r="B852" s="23">
        <v>45013.421527777777</v>
      </c>
      <c r="C852" s="1" t="s">
        <v>16</v>
      </c>
      <c r="D852" s="1" t="s">
        <v>12</v>
      </c>
      <c r="E852" s="1" t="s">
        <v>33</v>
      </c>
      <c r="F852" s="1" t="s">
        <v>486</v>
      </c>
      <c r="G852" s="1">
        <v>142</v>
      </c>
      <c r="H852" s="23">
        <v>45018.413738425923</v>
      </c>
      <c r="I852" s="1" t="b">
        <v>0</v>
      </c>
      <c r="K852" s="10">
        <f t="shared" si="67"/>
        <v>119.8130555555108</v>
      </c>
      <c r="L852" s="1" t="str">
        <f t="shared" si="68"/>
        <v>OK</v>
      </c>
      <c r="M852" s="1">
        <f t="shared" si="65"/>
        <v>1</v>
      </c>
      <c r="N852" s="1">
        <f t="shared" si="66"/>
        <v>142</v>
      </c>
      <c r="O852" s="10">
        <f t="shared" si="69"/>
        <v>119.8130555555108</v>
      </c>
    </row>
    <row r="853" spans="1:15">
      <c r="A853" s="1" t="s">
        <v>958</v>
      </c>
      <c r="B853" s="23">
        <v>45013.456944444442</v>
      </c>
      <c r="C853" s="1" t="s">
        <v>16</v>
      </c>
      <c r="D853" s="1" t="s">
        <v>12</v>
      </c>
      <c r="E853" s="1" t="s">
        <v>33</v>
      </c>
      <c r="F853" s="1" t="s">
        <v>80</v>
      </c>
      <c r="G853" s="1">
        <v>561</v>
      </c>
      <c r="H853" s="23">
        <v>45019.92627314815</v>
      </c>
      <c r="I853" s="1" t="b">
        <v>0</v>
      </c>
      <c r="J853" s="1">
        <v>2</v>
      </c>
      <c r="K853" s="10">
        <f t="shared" si="67"/>
        <v>155.26388888899237</v>
      </c>
      <c r="L853" s="1" t="str">
        <f t="shared" si="68"/>
        <v>OK</v>
      </c>
      <c r="M853" s="1">
        <f t="shared" si="65"/>
        <v>1</v>
      </c>
      <c r="N853" s="1">
        <f t="shared" si="66"/>
        <v>561</v>
      </c>
      <c r="O853" s="10">
        <f t="shared" si="69"/>
        <v>155.26388888899237</v>
      </c>
    </row>
    <row r="854" spans="1:15">
      <c r="A854" s="1" t="s">
        <v>959</v>
      </c>
      <c r="B854" s="23">
        <v>45013.947222222225</v>
      </c>
      <c r="C854" s="1" t="s">
        <v>25</v>
      </c>
      <c r="D854" s="1" t="s">
        <v>21</v>
      </c>
      <c r="E854" s="1" t="s">
        <v>18</v>
      </c>
      <c r="F854" s="1" t="s">
        <v>14</v>
      </c>
      <c r="G854" s="1">
        <v>118</v>
      </c>
      <c r="H854" s="23">
        <v>45015.719525462962</v>
      </c>
      <c r="I854" s="1" t="b">
        <v>0</v>
      </c>
      <c r="K854" s="10">
        <f t="shared" si="67"/>
        <v>42.535277777700685</v>
      </c>
      <c r="L854" s="1" t="str">
        <f t="shared" si="68"/>
        <v>OK</v>
      </c>
      <c r="M854" s="1">
        <f t="shared" si="65"/>
        <v>1</v>
      </c>
      <c r="N854" s="1">
        <f t="shared" si="66"/>
        <v>118</v>
      </c>
      <c r="O854" s="10">
        <f t="shared" si="69"/>
        <v>42.535277777700685</v>
      </c>
    </row>
    <row r="855" spans="1:15">
      <c r="A855" s="1" t="s">
        <v>960</v>
      </c>
      <c r="B855" s="23">
        <v>45014.021527777775</v>
      </c>
      <c r="C855" s="1" t="s">
        <v>16</v>
      </c>
      <c r="D855" s="1" t="s">
        <v>59</v>
      </c>
      <c r="E855" s="1" t="s">
        <v>22</v>
      </c>
      <c r="F855" s="1" t="s">
        <v>148</v>
      </c>
      <c r="G855" s="1">
        <v>9</v>
      </c>
      <c r="H855" s="23">
        <v>45014.057719907411</v>
      </c>
      <c r="I855" s="1" t="b">
        <v>0</v>
      </c>
      <c r="J855" s="1">
        <v>5</v>
      </c>
      <c r="K855" s="10">
        <f t="shared" si="67"/>
        <v>0.86861111124744639</v>
      </c>
      <c r="L855" s="1" t="str">
        <f t="shared" si="68"/>
        <v>OK</v>
      </c>
      <c r="M855" s="1">
        <f t="shared" si="65"/>
        <v>1</v>
      </c>
      <c r="N855" s="1">
        <f t="shared" si="66"/>
        <v>9</v>
      </c>
      <c r="O855" s="10">
        <f t="shared" si="69"/>
        <v>0.86861111124744639</v>
      </c>
    </row>
    <row r="856" spans="1:15">
      <c r="A856" s="1" t="s">
        <v>961</v>
      </c>
      <c r="B856" s="23">
        <v>45014.107638888891</v>
      </c>
      <c r="C856" s="1" t="s">
        <v>16</v>
      </c>
      <c r="D856" s="1" t="s">
        <v>17</v>
      </c>
      <c r="E856" s="1" t="s">
        <v>33</v>
      </c>
      <c r="F856" s="1" t="s">
        <v>41</v>
      </c>
      <c r="G856" s="1">
        <v>483</v>
      </c>
      <c r="H856" s="23">
        <v>45017.755127314813</v>
      </c>
      <c r="I856" s="1" t="b">
        <v>0</v>
      </c>
      <c r="J856" s="1">
        <v>5</v>
      </c>
      <c r="K856" s="10">
        <f t="shared" si="67"/>
        <v>87.539722222136334</v>
      </c>
      <c r="L856" s="1" t="str">
        <f t="shared" si="68"/>
        <v>OK</v>
      </c>
      <c r="M856" s="1">
        <f t="shared" si="65"/>
        <v>1</v>
      </c>
      <c r="N856" s="1">
        <f t="shared" si="66"/>
        <v>483</v>
      </c>
      <c r="O856" s="10">
        <f t="shared" si="69"/>
        <v>87.539722222136334</v>
      </c>
    </row>
    <row r="857" spans="1:15">
      <c r="A857" s="1" t="s">
        <v>962</v>
      </c>
      <c r="B857" s="23">
        <v>45014.109722222223</v>
      </c>
      <c r="C857" s="1" t="s">
        <v>16</v>
      </c>
      <c r="D857" s="1" t="s">
        <v>26</v>
      </c>
      <c r="E857" s="1" t="s">
        <v>33</v>
      </c>
      <c r="F857" s="1" t="s">
        <v>120</v>
      </c>
      <c r="G857" s="1">
        <v>166</v>
      </c>
      <c r="H857" s="23">
        <v>45015.730474537035</v>
      </c>
      <c r="I857" s="1" t="b">
        <v>0</v>
      </c>
      <c r="K857" s="10">
        <f t="shared" si="67"/>
        <v>38.898055555473547</v>
      </c>
      <c r="L857" s="1" t="str">
        <f t="shared" si="68"/>
        <v>OK</v>
      </c>
      <c r="M857" s="1">
        <f t="shared" si="65"/>
        <v>1</v>
      </c>
      <c r="N857" s="1">
        <f t="shared" si="66"/>
        <v>166</v>
      </c>
      <c r="O857" s="10">
        <f t="shared" si="69"/>
        <v>38.898055555473547</v>
      </c>
    </row>
    <row r="858" spans="1:15">
      <c r="A858" s="1" t="s">
        <v>963</v>
      </c>
      <c r="B858" s="23">
        <v>45014.320138888892</v>
      </c>
      <c r="C858" s="1" t="s">
        <v>11</v>
      </c>
      <c r="D858" s="1" t="s">
        <v>12</v>
      </c>
      <c r="E858" s="1" t="s">
        <v>13</v>
      </c>
      <c r="F858" s="1" t="s">
        <v>259</v>
      </c>
      <c r="G858" s="1">
        <v>28</v>
      </c>
      <c r="H858" s="23">
        <v>45014.609490740739</v>
      </c>
      <c r="I858" s="1" t="b">
        <v>0</v>
      </c>
      <c r="K858" s="10">
        <f t="shared" si="67"/>
        <v>6.9444444443215616</v>
      </c>
      <c r="L858" s="1" t="str">
        <f t="shared" si="68"/>
        <v>OK</v>
      </c>
      <c r="M858" s="1">
        <f t="shared" si="65"/>
        <v>1</v>
      </c>
      <c r="N858" s="1">
        <f t="shared" si="66"/>
        <v>28</v>
      </c>
      <c r="O858" s="10">
        <f t="shared" si="69"/>
        <v>6.9444444443215616</v>
      </c>
    </row>
    <row r="859" spans="1:15">
      <c r="A859" s="1" t="s">
        <v>964</v>
      </c>
      <c r="B859" s="23">
        <v>45014.530555555553</v>
      </c>
      <c r="C859" s="1" t="s">
        <v>43</v>
      </c>
      <c r="D859" s="1" t="s">
        <v>17</v>
      </c>
      <c r="E859" s="1" t="s">
        <v>22</v>
      </c>
      <c r="F859" s="1" t="s">
        <v>326</v>
      </c>
      <c r="H859" s="23">
        <v>45014.820706018516</v>
      </c>
      <c r="I859" s="1" t="b">
        <v>0</v>
      </c>
      <c r="K859" s="10">
        <f t="shared" si="67"/>
        <v>6.9636111111030914</v>
      </c>
      <c r="L859" s="1" t="str">
        <f t="shared" si="68"/>
        <v>Cannot check</v>
      </c>
      <c r="M859" s="1">
        <f t="shared" si="65"/>
        <v>1</v>
      </c>
      <c r="N859" s="1" t="str">
        <f t="shared" si="66"/>
        <v/>
      </c>
      <c r="O859" s="10">
        <f t="shared" si="69"/>
        <v>6.9636111111030914</v>
      </c>
    </row>
    <row r="860" spans="1:15">
      <c r="A860" s="1" t="s">
        <v>965</v>
      </c>
      <c r="B860" s="23">
        <v>45014.538888888892</v>
      </c>
      <c r="C860" s="1" t="s">
        <v>11</v>
      </c>
      <c r="D860" s="1" t="s">
        <v>59</v>
      </c>
      <c r="E860" s="1" t="s">
        <v>18</v>
      </c>
      <c r="F860" s="1" t="s">
        <v>50</v>
      </c>
      <c r="G860" s="1">
        <v>180</v>
      </c>
      <c r="H860" s="23">
        <v>45014.94703703704</v>
      </c>
      <c r="I860" s="1" t="b">
        <v>0</v>
      </c>
      <c r="K860" s="10">
        <f t="shared" si="67"/>
        <v>9.7955555555527098</v>
      </c>
      <c r="L860" s="1" t="str">
        <f t="shared" si="68"/>
        <v>OK</v>
      </c>
      <c r="M860" s="1">
        <f t="shared" si="65"/>
        <v>1</v>
      </c>
      <c r="N860" s="1">
        <f t="shared" si="66"/>
        <v>180</v>
      </c>
      <c r="O860" s="10">
        <f t="shared" si="69"/>
        <v>9.7955555555527098</v>
      </c>
    </row>
    <row r="861" spans="1:15">
      <c r="A861" s="1" t="s">
        <v>966</v>
      </c>
      <c r="B861" s="23">
        <v>45014.627083333333</v>
      </c>
      <c r="C861" s="1" t="s">
        <v>16</v>
      </c>
      <c r="D861" s="1" t="s">
        <v>26</v>
      </c>
      <c r="E861" s="1" t="s">
        <v>18</v>
      </c>
      <c r="F861" s="1" t="s">
        <v>102</v>
      </c>
      <c r="G861" s="1">
        <v>51</v>
      </c>
      <c r="H861" s="23">
        <v>45027.298888888887</v>
      </c>
      <c r="I861" s="1" t="b">
        <v>0</v>
      </c>
      <c r="K861" s="10">
        <f t="shared" si="67"/>
        <v>304.12333333329298</v>
      </c>
      <c r="L861" s="1" t="str">
        <f t="shared" si="68"/>
        <v>OK</v>
      </c>
      <c r="M861" s="1">
        <f t="shared" si="65"/>
        <v>1</v>
      </c>
      <c r="N861" s="1">
        <f t="shared" si="66"/>
        <v>51</v>
      </c>
      <c r="O861" s="10">
        <f t="shared" si="69"/>
        <v>304.12333333329298</v>
      </c>
    </row>
    <row r="862" spans="1:15">
      <c r="A862" s="1" t="s">
        <v>967</v>
      </c>
      <c r="B862" s="23">
        <v>45014.652083333334</v>
      </c>
      <c r="C862" s="1" t="s">
        <v>11</v>
      </c>
      <c r="D862" s="1" t="s">
        <v>17</v>
      </c>
      <c r="E862" s="1" t="s">
        <v>18</v>
      </c>
      <c r="F862" s="1" t="s">
        <v>367</v>
      </c>
      <c r="G862" s="1">
        <v>126</v>
      </c>
      <c r="H862" s="23">
        <v>45017.351574074077</v>
      </c>
      <c r="I862" s="1" t="b">
        <v>0</v>
      </c>
      <c r="K862" s="10">
        <f t="shared" si="67"/>
        <v>64.787777777819429</v>
      </c>
      <c r="L862" s="1" t="str">
        <f t="shared" si="68"/>
        <v>OK</v>
      </c>
      <c r="M862" s="1">
        <f t="shared" si="65"/>
        <v>1</v>
      </c>
      <c r="N862" s="1">
        <f t="shared" si="66"/>
        <v>126</v>
      </c>
      <c r="O862" s="10">
        <f t="shared" si="69"/>
        <v>64.787777777819429</v>
      </c>
    </row>
    <row r="863" spans="1:15">
      <c r="A863" s="1" t="s">
        <v>968</v>
      </c>
      <c r="B863" s="23">
        <v>45014.652777777781</v>
      </c>
      <c r="C863" s="1" t="s">
        <v>16</v>
      </c>
      <c r="D863" s="1" t="s">
        <v>17</v>
      </c>
      <c r="E863" s="1" t="s">
        <v>18</v>
      </c>
      <c r="F863" s="1" t="s">
        <v>62</v>
      </c>
      <c r="G863" s="1">
        <v>236</v>
      </c>
      <c r="H863" s="23">
        <v>45016.893194444441</v>
      </c>
      <c r="I863" s="1" t="b">
        <v>0</v>
      </c>
      <c r="J863" s="1">
        <v>3</v>
      </c>
      <c r="K863" s="10">
        <f t="shared" si="67"/>
        <v>53.769999999844003</v>
      </c>
      <c r="L863" s="1" t="str">
        <f t="shared" si="68"/>
        <v>OK</v>
      </c>
      <c r="M863" s="1">
        <f t="shared" si="65"/>
        <v>1</v>
      </c>
      <c r="N863" s="1">
        <f t="shared" si="66"/>
        <v>236</v>
      </c>
      <c r="O863" s="10">
        <f t="shared" si="69"/>
        <v>53.769999999844003</v>
      </c>
    </row>
    <row r="864" spans="1:15">
      <c r="A864" s="1" t="s">
        <v>969</v>
      </c>
      <c r="B864" s="23">
        <v>45014.657638888886</v>
      </c>
      <c r="C864" s="1" t="s">
        <v>16</v>
      </c>
      <c r="D864" s="1" t="s">
        <v>26</v>
      </c>
      <c r="E864" s="1" t="s">
        <v>18</v>
      </c>
      <c r="F864" s="1" t="s">
        <v>237</v>
      </c>
      <c r="G864" s="1">
        <v>691</v>
      </c>
      <c r="H864" s="23">
        <v>45016.020520833335</v>
      </c>
      <c r="I864" s="1" t="b">
        <v>0</v>
      </c>
      <c r="K864" s="10">
        <f t="shared" si="67"/>
        <v>32.709166666783858</v>
      </c>
      <c r="L864" s="1" t="str">
        <f t="shared" si="68"/>
        <v>OK</v>
      </c>
      <c r="M864" s="1">
        <f t="shared" si="65"/>
        <v>1</v>
      </c>
      <c r="N864" s="1">
        <f t="shared" si="66"/>
        <v>691</v>
      </c>
      <c r="O864" s="10">
        <f t="shared" si="69"/>
        <v>32.709166666783858</v>
      </c>
    </row>
    <row r="865" spans="1:15">
      <c r="A865" s="1" t="s">
        <v>970</v>
      </c>
      <c r="B865" s="23">
        <v>45014.699305555558</v>
      </c>
      <c r="C865" s="1" t="s">
        <v>11</v>
      </c>
      <c r="D865" s="1" t="s">
        <v>26</v>
      </c>
      <c r="E865" s="1" t="s">
        <v>18</v>
      </c>
      <c r="F865" s="1" t="s">
        <v>39</v>
      </c>
      <c r="G865" s="1">
        <v>88</v>
      </c>
      <c r="H865" s="23">
        <v>45015.539826388886</v>
      </c>
      <c r="I865" s="1" t="b">
        <v>0</v>
      </c>
      <c r="K865" s="10">
        <f t="shared" si="67"/>
        <v>20.172499999869615</v>
      </c>
      <c r="L865" s="1" t="str">
        <f t="shared" si="68"/>
        <v>OK</v>
      </c>
      <c r="M865" s="1">
        <f t="shared" si="65"/>
        <v>1</v>
      </c>
      <c r="N865" s="1">
        <f t="shared" si="66"/>
        <v>88</v>
      </c>
      <c r="O865" s="10">
        <f t="shared" si="69"/>
        <v>20.172499999869615</v>
      </c>
    </row>
    <row r="866" spans="1:15">
      <c r="A866" s="1" t="s">
        <v>971</v>
      </c>
      <c r="B866" s="23">
        <v>45014.732638888891</v>
      </c>
      <c r="C866" s="1" t="s">
        <v>11</v>
      </c>
      <c r="D866" s="1" t="s">
        <v>21</v>
      </c>
      <c r="E866" s="1" t="s">
        <v>33</v>
      </c>
      <c r="F866" s="1" t="s">
        <v>326</v>
      </c>
      <c r="G866" s="1">
        <v>622</v>
      </c>
      <c r="H866" s="23">
        <v>45017.665833333333</v>
      </c>
      <c r="I866" s="1" t="b">
        <v>0</v>
      </c>
      <c r="K866" s="10">
        <f t="shared" si="67"/>
        <v>70.396666666609235</v>
      </c>
      <c r="L866" s="1" t="str">
        <f t="shared" si="68"/>
        <v>OK</v>
      </c>
      <c r="M866" s="1">
        <f t="shared" si="65"/>
        <v>1</v>
      </c>
      <c r="N866" s="1">
        <f t="shared" si="66"/>
        <v>622</v>
      </c>
      <c r="O866" s="10">
        <f t="shared" si="69"/>
        <v>70.396666666609235</v>
      </c>
    </row>
    <row r="867" spans="1:15">
      <c r="A867" s="1" t="s">
        <v>972</v>
      </c>
      <c r="B867" s="23">
        <v>45014.890277777777</v>
      </c>
      <c r="C867" s="1" t="s">
        <v>16</v>
      </c>
      <c r="D867" s="1" t="s">
        <v>26</v>
      </c>
      <c r="E867" s="1" t="s">
        <v>22</v>
      </c>
      <c r="F867" s="1" t="s">
        <v>317</v>
      </c>
      <c r="G867" s="1">
        <v>21</v>
      </c>
      <c r="H867" s="23">
        <v>45015.050138888888</v>
      </c>
      <c r="I867" s="1" t="b">
        <v>1</v>
      </c>
      <c r="K867" s="10">
        <f t="shared" si="67"/>
        <v>3.8366666666697711</v>
      </c>
      <c r="L867" s="1" t="str">
        <f t="shared" si="68"/>
        <v>OK</v>
      </c>
      <c r="M867" s="1">
        <f t="shared" si="65"/>
        <v>1</v>
      </c>
      <c r="N867" s="1">
        <f t="shared" si="66"/>
        <v>21</v>
      </c>
      <c r="O867" s="10">
        <f t="shared" si="69"/>
        <v>3.8366666666697711</v>
      </c>
    </row>
    <row r="868" spans="1:15">
      <c r="A868" s="1" t="s">
        <v>973</v>
      </c>
      <c r="B868" s="23">
        <v>45014.916666666664</v>
      </c>
      <c r="C868" s="1" t="s">
        <v>25</v>
      </c>
      <c r="D868" s="1" t="s">
        <v>59</v>
      </c>
      <c r="E868" s="1" t="s">
        <v>18</v>
      </c>
      <c r="F868" s="1" t="s">
        <v>709</v>
      </c>
      <c r="G868" s="1">
        <v>280</v>
      </c>
      <c r="H868" s="23">
        <v>45015.48951388889</v>
      </c>
      <c r="I868" s="1" t="b">
        <v>0</v>
      </c>
      <c r="K868" s="10">
        <f t="shared" si="67"/>
        <v>13.748333333409391</v>
      </c>
      <c r="L868" s="1" t="str">
        <f t="shared" si="68"/>
        <v>OK</v>
      </c>
      <c r="M868" s="1">
        <f t="shared" si="65"/>
        <v>1</v>
      </c>
      <c r="N868" s="1">
        <f t="shared" si="66"/>
        <v>280</v>
      </c>
      <c r="O868" s="10">
        <f t="shared" si="69"/>
        <v>13.748333333409391</v>
      </c>
    </row>
    <row r="869" spans="1:15">
      <c r="A869" s="1" t="s">
        <v>974</v>
      </c>
      <c r="B869" s="23">
        <v>45014.918055555558</v>
      </c>
      <c r="C869" s="1" t="s">
        <v>16</v>
      </c>
      <c r="D869" s="1" t="s">
        <v>21</v>
      </c>
      <c r="E869" s="1" t="s">
        <v>18</v>
      </c>
      <c r="F869" s="1" t="s">
        <v>134</v>
      </c>
      <c r="G869" s="1">
        <v>34</v>
      </c>
      <c r="H869" s="23">
        <v>45016.636018518519</v>
      </c>
      <c r="I869" s="1" t="b">
        <v>0</v>
      </c>
      <c r="K869" s="10">
        <f t="shared" si="67"/>
        <v>41.231111111061182</v>
      </c>
      <c r="L869" s="1" t="str">
        <f t="shared" si="68"/>
        <v>OK</v>
      </c>
      <c r="M869" s="1">
        <f t="shared" si="65"/>
        <v>1</v>
      </c>
      <c r="N869" s="1">
        <f t="shared" si="66"/>
        <v>34</v>
      </c>
      <c r="O869" s="10">
        <f t="shared" si="69"/>
        <v>41.231111111061182</v>
      </c>
    </row>
    <row r="870" spans="1:15">
      <c r="A870" s="1" t="s">
        <v>975</v>
      </c>
      <c r="B870" s="23">
        <v>45015.199999999997</v>
      </c>
      <c r="C870" s="1" t="s">
        <v>16</v>
      </c>
      <c r="D870" s="1" t="s">
        <v>21</v>
      </c>
      <c r="E870" s="1" t="s">
        <v>18</v>
      </c>
      <c r="F870" s="1" t="s">
        <v>64</v>
      </c>
      <c r="G870" s="1">
        <v>66</v>
      </c>
      <c r="H870" s="23">
        <v>45015.556446759256</v>
      </c>
      <c r="I870" s="1" t="b">
        <v>0</v>
      </c>
      <c r="J870" s="1">
        <v>4</v>
      </c>
      <c r="K870" s="10">
        <f t="shared" si="67"/>
        <v>8.5547222222085111</v>
      </c>
      <c r="L870" s="1" t="str">
        <f t="shared" si="68"/>
        <v>OK</v>
      </c>
      <c r="M870" s="1">
        <f t="shared" si="65"/>
        <v>1</v>
      </c>
      <c r="N870" s="1">
        <f t="shared" si="66"/>
        <v>66</v>
      </c>
      <c r="O870" s="10">
        <f t="shared" si="69"/>
        <v>8.5547222222085111</v>
      </c>
    </row>
    <row r="871" spans="1:15">
      <c r="A871" s="1" t="s">
        <v>976</v>
      </c>
      <c r="B871" s="23">
        <v>45015.271527777775</v>
      </c>
      <c r="C871" s="1" t="s">
        <v>43</v>
      </c>
      <c r="D871" s="1" t="s">
        <v>17</v>
      </c>
      <c r="E871" s="1" t="s">
        <v>18</v>
      </c>
      <c r="F871" s="1" t="s">
        <v>68</v>
      </c>
      <c r="G871" s="1">
        <v>85</v>
      </c>
      <c r="H871" s="23">
        <v>45016.098356481481</v>
      </c>
      <c r="I871" s="1" t="b">
        <v>0</v>
      </c>
      <c r="K871" s="10">
        <f t="shared" si="67"/>
        <v>19.84388888895046</v>
      </c>
      <c r="L871" s="1" t="str">
        <f t="shared" si="68"/>
        <v>OK</v>
      </c>
      <c r="M871" s="1">
        <f t="shared" si="65"/>
        <v>1</v>
      </c>
      <c r="N871" s="1">
        <f t="shared" si="66"/>
        <v>85</v>
      </c>
      <c r="O871" s="10">
        <f t="shared" si="69"/>
        <v>19.84388888895046</v>
      </c>
    </row>
    <row r="872" spans="1:15">
      <c r="A872" s="1" t="s">
        <v>977</v>
      </c>
      <c r="B872" s="23">
        <v>45015.302083333336</v>
      </c>
      <c r="C872" s="1" t="s">
        <v>11</v>
      </c>
      <c r="D872" s="1" t="s">
        <v>12</v>
      </c>
      <c r="E872" s="1" t="s">
        <v>33</v>
      </c>
      <c r="F872" s="1" t="s">
        <v>148</v>
      </c>
      <c r="G872" s="1">
        <v>140</v>
      </c>
      <c r="H872" s="23">
        <v>45016.077002314814</v>
      </c>
      <c r="I872" s="1" t="b">
        <v>0</v>
      </c>
      <c r="K872" s="10">
        <f t="shared" si="67"/>
        <v>18.598055555485189</v>
      </c>
      <c r="L872" s="1" t="str">
        <f t="shared" si="68"/>
        <v>OK</v>
      </c>
      <c r="M872" s="1">
        <f t="shared" si="65"/>
        <v>1</v>
      </c>
      <c r="N872" s="1">
        <f t="shared" si="66"/>
        <v>140</v>
      </c>
      <c r="O872" s="10">
        <f t="shared" si="69"/>
        <v>18.598055555485189</v>
      </c>
    </row>
    <row r="873" spans="1:15">
      <c r="A873" s="1" t="s">
        <v>978</v>
      </c>
      <c r="B873" s="23">
        <v>45015.380555555559</v>
      </c>
      <c r="C873" s="1" t="s">
        <v>25</v>
      </c>
      <c r="D873" s="1" t="s">
        <v>12</v>
      </c>
      <c r="E873" s="1" t="s">
        <v>18</v>
      </c>
      <c r="F873" s="1" t="s">
        <v>186</v>
      </c>
      <c r="G873" s="1">
        <v>24</v>
      </c>
      <c r="H873" s="23">
        <v>45015.633611111109</v>
      </c>
      <c r="I873" s="1" t="b">
        <v>0</v>
      </c>
      <c r="K873" s="10">
        <f t="shared" si="67"/>
        <v>6.0733333331882022</v>
      </c>
      <c r="L873" s="1" t="str">
        <f t="shared" si="68"/>
        <v>OK</v>
      </c>
      <c r="M873" s="1">
        <f t="shared" si="65"/>
        <v>1</v>
      </c>
      <c r="N873" s="1">
        <f t="shared" si="66"/>
        <v>24</v>
      </c>
      <c r="O873" s="10">
        <f t="shared" si="69"/>
        <v>6.0733333331882022</v>
      </c>
    </row>
    <row r="874" spans="1:15">
      <c r="A874" s="1" t="s">
        <v>979</v>
      </c>
      <c r="B874" s="23">
        <v>45015.442361111112</v>
      </c>
      <c r="C874" s="1" t="s">
        <v>11</v>
      </c>
      <c r="D874" s="1" t="s">
        <v>17</v>
      </c>
      <c r="E874" s="1" t="s">
        <v>13</v>
      </c>
      <c r="F874" s="1" t="s">
        <v>94</v>
      </c>
      <c r="G874" s="1">
        <v>27</v>
      </c>
      <c r="H874" s="23">
        <v>45017.778483796297</v>
      </c>
      <c r="I874" s="1" t="b">
        <v>0</v>
      </c>
      <c r="J874" s="1">
        <v>5</v>
      </c>
      <c r="K874" s="10">
        <f t="shared" si="67"/>
        <v>56.066944444435649</v>
      </c>
      <c r="L874" s="1" t="str">
        <f t="shared" si="68"/>
        <v>OK</v>
      </c>
      <c r="M874" s="1">
        <f t="shared" si="65"/>
        <v>1</v>
      </c>
      <c r="N874" s="1">
        <f t="shared" si="66"/>
        <v>27</v>
      </c>
      <c r="O874" s="10">
        <f t="shared" si="69"/>
        <v>56.066944444435649</v>
      </c>
    </row>
    <row r="875" spans="1:15">
      <c r="A875" s="1" t="s">
        <v>980</v>
      </c>
      <c r="B875" s="23">
        <v>45015.487500000003</v>
      </c>
      <c r="C875" s="1" t="s">
        <v>16</v>
      </c>
      <c r="D875" s="1" t="s">
        <v>59</v>
      </c>
      <c r="E875" s="1" t="s">
        <v>13</v>
      </c>
      <c r="F875" s="1" t="s">
        <v>108</v>
      </c>
      <c r="G875" s="1">
        <v>71</v>
      </c>
      <c r="H875" s="23">
        <v>45015.569166666668</v>
      </c>
      <c r="I875" s="1" t="b">
        <v>0</v>
      </c>
      <c r="K875" s="10">
        <f t="shared" si="67"/>
        <v>1.9599999999627471</v>
      </c>
      <c r="L875" s="1" t="str">
        <f t="shared" si="68"/>
        <v>OK</v>
      </c>
      <c r="M875" s="1">
        <f t="shared" si="65"/>
        <v>1</v>
      </c>
      <c r="N875" s="1">
        <f t="shared" si="66"/>
        <v>71</v>
      </c>
      <c r="O875" s="10">
        <f t="shared" si="69"/>
        <v>1.9599999999627471</v>
      </c>
    </row>
    <row r="876" spans="1:15">
      <c r="A876" s="1" t="s">
        <v>981</v>
      </c>
      <c r="B876" s="23">
        <v>45015.598611111112</v>
      </c>
      <c r="C876" s="1" t="s">
        <v>25</v>
      </c>
      <c r="D876" s="1" t="s">
        <v>26</v>
      </c>
      <c r="E876" s="1" t="s">
        <v>18</v>
      </c>
      <c r="F876" s="1" t="s">
        <v>148</v>
      </c>
      <c r="G876" s="1">
        <v>205</v>
      </c>
      <c r="H876" s="23">
        <v>45021.344814814816</v>
      </c>
      <c r="I876" s="1" t="b">
        <v>0</v>
      </c>
      <c r="J876" s="1">
        <v>5</v>
      </c>
      <c r="K876" s="10">
        <f t="shared" si="67"/>
        <v>137.90888888889458</v>
      </c>
      <c r="L876" s="1" t="str">
        <f t="shared" si="68"/>
        <v>OK</v>
      </c>
      <c r="M876" s="1">
        <f t="shared" si="65"/>
        <v>1</v>
      </c>
      <c r="N876" s="1">
        <f t="shared" si="66"/>
        <v>205</v>
      </c>
      <c r="O876" s="10">
        <f t="shared" si="69"/>
        <v>137.90888888889458</v>
      </c>
    </row>
    <row r="877" spans="1:15">
      <c r="A877" s="1" t="s">
        <v>982</v>
      </c>
      <c r="B877" s="23">
        <v>45015.636805555558</v>
      </c>
      <c r="C877" s="1" t="s">
        <v>11</v>
      </c>
      <c r="D877" s="1" t="s">
        <v>17</v>
      </c>
      <c r="E877" s="1" t="s">
        <v>13</v>
      </c>
      <c r="F877" s="1" t="s">
        <v>76</v>
      </c>
      <c r="G877" s="1">
        <v>9</v>
      </c>
      <c r="I877" s="1" t="b">
        <v>0</v>
      </c>
      <c r="K877" s="10" t="str">
        <f t="shared" si="67"/>
        <v/>
      </c>
      <c r="L877" s="1" t="str">
        <f t="shared" si="68"/>
        <v>Cannot check</v>
      </c>
      <c r="M877" s="1">
        <f t="shared" si="65"/>
        <v>1</v>
      </c>
      <c r="N877" s="1">
        <f t="shared" si="66"/>
        <v>9</v>
      </c>
      <c r="O877" s="10" t="str">
        <f t="shared" si="69"/>
        <v/>
      </c>
    </row>
    <row r="878" spans="1:15">
      <c r="A878" s="1" t="s">
        <v>983</v>
      </c>
      <c r="B878" s="23">
        <v>45015.975694444445</v>
      </c>
      <c r="C878" s="1" t="s">
        <v>16</v>
      </c>
      <c r="D878" s="1" t="s">
        <v>21</v>
      </c>
      <c r="E878" s="1" t="s">
        <v>13</v>
      </c>
      <c r="F878" s="1" t="s">
        <v>39</v>
      </c>
      <c r="G878" s="1">
        <v>5</v>
      </c>
      <c r="H878" s="23">
        <v>45016.328888888886</v>
      </c>
      <c r="I878" s="1" t="b">
        <v>0</v>
      </c>
      <c r="K878" s="10">
        <f t="shared" si="67"/>
        <v>8.4766666665673256</v>
      </c>
      <c r="L878" s="1" t="str">
        <f t="shared" si="68"/>
        <v>OK</v>
      </c>
      <c r="M878" s="1">
        <f t="shared" si="65"/>
        <v>1</v>
      </c>
      <c r="N878" s="1">
        <f t="shared" si="66"/>
        <v>5</v>
      </c>
      <c r="O878" s="10">
        <f t="shared" si="69"/>
        <v>8.4766666665673256</v>
      </c>
    </row>
    <row r="879" spans="1:15">
      <c r="A879" s="1" t="s">
        <v>984</v>
      </c>
      <c r="B879" s="23">
        <v>45015.979861111111</v>
      </c>
      <c r="C879" s="1" t="s">
        <v>43</v>
      </c>
      <c r="D879" s="1" t="s">
        <v>59</v>
      </c>
      <c r="E879" s="1" t="s">
        <v>18</v>
      </c>
      <c r="F879" s="1" t="s">
        <v>175</v>
      </c>
      <c r="G879" s="1">
        <v>256</v>
      </c>
      <c r="H879" s="23">
        <v>45016.334548611114</v>
      </c>
      <c r="I879" s="1" t="b">
        <v>0</v>
      </c>
      <c r="K879" s="10">
        <f t="shared" si="67"/>
        <v>8.5125000000698492</v>
      </c>
      <c r="L879" s="1" t="str">
        <f t="shared" si="68"/>
        <v>OK</v>
      </c>
      <c r="M879" s="1">
        <f t="shared" si="65"/>
        <v>1</v>
      </c>
      <c r="N879" s="1">
        <f t="shared" si="66"/>
        <v>256</v>
      </c>
      <c r="O879" s="10">
        <f t="shared" si="69"/>
        <v>8.5125000000698492</v>
      </c>
    </row>
    <row r="880" spans="1:15">
      <c r="A880" s="1" t="s">
        <v>985</v>
      </c>
      <c r="B880" s="23">
        <v>45016.081250000003</v>
      </c>
      <c r="C880" s="1" t="s">
        <v>25</v>
      </c>
      <c r="D880" s="1" t="s">
        <v>21</v>
      </c>
      <c r="E880" s="1" t="s">
        <v>18</v>
      </c>
      <c r="F880" s="1" t="s">
        <v>709</v>
      </c>
      <c r="G880" s="1">
        <v>340</v>
      </c>
      <c r="H880" s="23">
        <v>45016.690787037034</v>
      </c>
      <c r="I880" s="1" t="b">
        <v>0</v>
      </c>
      <c r="K880" s="10">
        <f t="shared" si="67"/>
        <v>14.628888888750225</v>
      </c>
      <c r="L880" s="1" t="str">
        <f t="shared" si="68"/>
        <v>OK</v>
      </c>
      <c r="M880" s="1">
        <f t="shared" si="65"/>
        <v>1</v>
      </c>
      <c r="N880" s="1">
        <f t="shared" si="66"/>
        <v>340</v>
      </c>
      <c r="O880" s="10">
        <f t="shared" si="69"/>
        <v>14.628888888750225</v>
      </c>
    </row>
    <row r="881" spans="1:15">
      <c r="A881" s="1" t="s">
        <v>986</v>
      </c>
      <c r="B881" s="23">
        <v>45016.254861111112</v>
      </c>
      <c r="C881" s="1" t="s">
        <v>43</v>
      </c>
      <c r="D881" s="1" t="s">
        <v>21</v>
      </c>
      <c r="E881" s="1" t="s">
        <v>13</v>
      </c>
      <c r="F881" s="1" t="s">
        <v>66</v>
      </c>
      <c r="G881" s="1">
        <v>13</v>
      </c>
      <c r="H881" s="23">
        <v>45016.519097222219</v>
      </c>
      <c r="I881" s="1" t="b">
        <v>0</v>
      </c>
      <c r="J881" s="1">
        <v>4</v>
      </c>
      <c r="K881" s="10">
        <f t="shared" si="67"/>
        <v>6.3416666665580124</v>
      </c>
      <c r="L881" s="1" t="str">
        <f t="shared" si="68"/>
        <v>OK</v>
      </c>
      <c r="M881" s="1">
        <f t="shared" si="65"/>
        <v>1</v>
      </c>
      <c r="N881" s="1">
        <f t="shared" si="66"/>
        <v>13</v>
      </c>
      <c r="O881" s="10">
        <f t="shared" si="69"/>
        <v>6.3416666665580124</v>
      </c>
    </row>
    <row r="882" spans="1:15">
      <c r="A882" s="1" t="s">
        <v>987</v>
      </c>
      <c r="B882" s="23">
        <v>45016.318749999999</v>
      </c>
      <c r="C882" s="1" t="s">
        <v>11</v>
      </c>
      <c r="D882" s="1" t="s">
        <v>21</v>
      </c>
      <c r="E882" s="1" t="s">
        <v>18</v>
      </c>
      <c r="F882" s="1" t="s">
        <v>44</v>
      </c>
      <c r="G882" s="1">
        <v>26</v>
      </c>
      <c r="H882" s="23">
        <v>45016.985081018516</v>
      </c>
      <c r="I882" s="1" t="b">
        <v>0</v>
      </c>
      <c r="K882" s="10">
        <f t="shared" si="67"/>
        <v>15.991944444424007</v>
      </c>
      <c r="L882" s="1" t="str">
        <f t="shared" si="68"/>
        <v>OK</v>
      </c>
      <c r="M882" s="1">
        <f t="shared" si="65"/>
        <v>1</v>
      </c>
      <c r="N882" s="1">
        <f t="shared" si="66"/>
        <v>26</v>
      </c>
      <c r="O882" s="10">
        <f t="shared" si="69"/>
        <v>15.991944444424007</v>
      </c>
    </row>
    <row r="883" spans="1:15">
      <c r="A883" s="1" t="s">
        <v>988</v>
      </c>
      <c r="B883" s="23">
        <v>45016.375694444447</v>
      </c>
      <c r="C883" s="1" t="s">
        <v>25</v>
      </c>
      <c r="D883" s="1" t="s">
        <v>17</v>
      </c>
      <c r="E883" s="1" t="s">
        <v>33</v>
      </c>
      <c r="F883" s="1" t="s">
        <v>215</v>
      </c>
      <c r="G883" s="1">
        <v>454</v>
      </c>
      <c r="H883" s="23">
        <v>45018.430717592593</v>
      </c>
      <c r="I883" s="1" t="b">
        <v>0</v>
      </c>
      <c r="K883" s="10">
        <f t="shared" si="67"/>
        <v>49.320555555517785</v>
      </c>
      <c r="L883" s="1" t="str">
        <f t="shared" si="68"/>
        <v>OK</v>
      </c>
      <c r="M883" s="1">
        <f t="shared" si="65"/>
        <v>1</v>
      </c>
      <c r="N883" s="1">
        <f t="shared" si="66"/>
        <v>454</v>
      </c>
      <c r="O883" s="10">
        <f t="shared" si="69"/>
        <v>49.320555555517785</v>
      </c>
    </row>
    <row r="884" spans="1:15">
      <c r="A884" s="1" t="s">
        <v>989</v>
      </c>
      <c r="B884" s="23">
        <v>45016.427083333336</v>
      </c>
      <c r="C884" s="1" t="s">
        <v>25</v>
      </c>
      <c r="D884" s="1" t="s">
        <v>21</v>
      </c>
      <c r="E884" s="1" t="s">
        <v>18</v>
      </c>
      <c r="F884" s="1" t="s">
        <v>102</v>
      </c>
      <c r="G884" s="1">
        <v>195</v>
      </c>
      <c r="H884" s="23">
        <v>45017.17046296296</v>
      </c>
      <c r="I884" s="1" t="b">
        <v>0</v>
      </c>
      <c r="K884" s="10">
        <f t="shared" si="67"/>
        <v>17.841111110989004</v>
      </c>
      <c r="L884" s="1" t="str">
        <f t="shared" si="68"/>
        <v>OK</v>
      </c>
      <c r="M884" s="1">
        <f t="shared" si="65"/>
        <v>1</v>
      </c>
      <c r="N884" s="1">
        <f t="shared" si="66"/>
        <v>195</v>
      </c>
      <c r="O884" s="10">
        <f t="shared" si="69"/>
        <v>17.841111110989004</v>
      </c>
    </row>
    <row r="885" spans="1:15">
      <c r="A885" s="1" t="s">
        <v>990</v>
      </c>
      <c r="B885" s="23">
        <v>45016.46597222222</v>
      </c>
      <c r="C885" s="1" t="s">
        <v>25</v>
      </c>
      <c r="D885" s="1" t="s">
        <v>17</v>
      </c>
      <c r="E885" s="1" t="s">
        <v>22</v>
      </c>
      <c r="F885" s="1" t="s">
        <v>239</v>
      </c>
      <c r="G885" s="1">
        <v>3</v>
      </c>
      <c r="H885" s="23">
        <v>45016.753206018519</v>
      </c>
      <c r="I885" s="1" t="b">
        <v>0</v>
      </c>
      <c r="K885" s="10">
        <f t="shared" si="67"/>
        <v>6.8936111111543141</v>
      </c>
      <c r="L885" s="1" t="str">
        <f t="shared" si="68"/>
        <v>OK</v>
      </c>
      <c r="M885" s="1">
        <f t="shared" si="65"/>
        <v>1</v>
      </c>
      <c r="N885" s="1">
        <f t="shared" si="66"/>
        <v>3</v>
      </c>
      <c r="O885" s="10">
        <f t="shared" si="69"/>
        <v>6.8936111111543141</v>
      </c>
    </row>
    <row r="886" spans="1:15">
      <c r="A886" s="1" t="s">
        <v>991</v>
      </c>
      <c r="B886" s="23">
        <v>45016.527777777781</v>
      </c>
      <c r="C886" s="1" t="s">
        <v>25</v>
      </c>
      <c r="D886" s="1" t="s">
        <v>17</v>
      </c>
      <c r="E886" s="1" t="s">
        <v>13</v>
      </c>
      <c r="F886" s="1" t="s">
        <v>226</v>
      </c>
      <c r="G886" s="1">
        <v>318</v>
      </c>
      <c r="H886" s="23">
        <v>45017.785138888888</v>
      </c>
      <c r="I886" s="1" t="b">
        <v>0</v>
      </c>
      <c r="K886" s="10">
        <f t="shared" si="67"/>
        <v>30.176666666578967</v>
      </c>
      <c r="L886" s="1" t="str">
        <f t="shared" si="68"/>
        <v>OK</v>
      </c>
      <c r="M886" s="1">
        <f t="shared" si="65"/>
        <v>1</v>
      </c>
      <c r="N886" s="1">
        <f t="shared" si="66"/>
        <v>318</v>
      </c>
      <c r="O886" s="10">
        <f t="shared" si="69"/>
        <v>30.176666666578967</v>
      </c>
    </row>
    <row r="887" spans="1:15">
      <c r="A887" s="1" t="s">
        <v>992</v>
      </c>
      <c r="B887" s="23">
        <v>45016.642361111109</v>
      </c>
      <c r="C887" s="1" t="s">
        <v>25</v>
      </c>
      <c r="D887" s="1" t="s">
        <v>21</v>
      </c>
      <c r="E887" s="1" t="s">
        <v>13</v>
      </c>
      <c r="F887" s="1" t="s">
        <v>92</v>
      </c>
      <c r="G887" s="1">
        <v>35</v>
      </c>
      <c r="I887" s="1" t="b">
        <v>0</v>
      </c>
      <c r="K887" s="10" t="str">
        <f t="shared" si="67"/>
        <v/>
      </c>
      <c r="L887" s="1" t="str">
        <f t="shared" si="68"/>
        <v>Cannot check</v>
      </c>
      <c r="M887" s="1">
        <f t="shared" si="65"/>
        <v>1</v>
      </c>
      <c r="N887" s="1">
        <f t="shared" si="66"/>
        <v>35</v>
      </c>
      <c r="O887" s="10" t="str">
        <f t="shared" si="69"/>
        <v/>
      </c>
    </row>
    <row r="888" spans="1:15">
      <c r="A888" s="1" t="s">
        <v>993</v>
      </c>
      <c r="B888" s="23">
        <v>45016.727083333331</v>
      </c>
      <c r="C888" s="1" t="s">
        <v>11</v>
      </c>
      <c r="D888" s="1" t="s">
        <v>12</v>
      </c>
      <c r="E888" s="1" t="s">
        <v>13</v>
      </c>
      <c r="F888" s="1" t="s">
        <v>128</v>
      </c>
      <c r="G888" s="1">
        <v>47</v>
      </c>
      <c r="H888" s="23">
        <v>45017.33699074074</v>
      </c>
      <c r="I888" s="1" t="b">
        <v>0</v>
      </c>
      <c r="J888" s="1">
        <v>5</v>
      </c>
      <c r="K888" s="10">
        <f t="shared" si="67"/>
        <v>14.637777777796146</v>
      </c>
      <c r="L888" s="1" t="str">
        <f t="shared" si="68"/>
        <v>OK</v>
      </c>
      <c r="M888" s="1">
        <f t="shared" si="65"/>
        <v>1</v>
      </c>
      <c r="N888" s="1">
        <f t="shared" si="66"/>
        <v>47</v>
      </c>
      <c r="O888" s="10">
        <f t="shared" si="69"/>
        <v>14.637777777796146</v>
      </c>
    </row>
    <row r="889" spans="1:15">
      <c r="A889" s="1" t="s">
        <v>994</v>
      </c>
      <c r="B889" s="23">
        <v>45016.853472222225</v>
      </c>
      <c r="C889" s="1" t="s">
        <v>16</v>
      </c>
      <c r="D889" s="1" t="s">
        <v>12</v>
      </c>
      <c r="E889" s="1" t="s">
        <v>18</v>
      </c>
      <c r="F889" s="1" t="s">
        <v>94</v>
      </c>
      <c r="G889" s="1">
        <v>187</v>
      </c>
      <c r="H889" s="23">
        <v>45016.934664351851</v>
      </c>
      <c r="I889" s="1" t="b">
        <v>0</v>
      </c>
      <c r="J889" s="1">
        <v>5</v>
      </c>
      <c r="K889" s="10">
        <f t="shared" si="67"/>
        <v>1.9486111110309139</v>
      </c>
      <c r="L889" s="1" t="str">
        <f t="shared" si="68"/>
        <v>Review</v>
      </c>
      <c r="M889" s="1">
        <f t="shared" si="65"/>
        <v>1</v>
      </c>
      <c r="N889" s="1" t="str">
        <f t="shared" si="66"/>
        <v/>
      </c>
      <c r="O889" s="10" t="str">
        <f t="shared" si="69"/>
        <v/>
      </c>
    </row>
    <row r="890" spans="1:15">
      <c r="A890" s="1" t="s">
        <v>995</v>
      </c>
      <c r="B890" s="23">
        <v>45016.854166666664</v>
      </c>
      <c r="C890" s="1" t="s">
        <v>43</v>
      </c>
      <c r="D890" s="1" t="s">
        <v>21</v>
      </c>
      <c r="E890" s="1" t="s">
        <v>13</v>
      </c>
      <c r="F890" s="1" t="s">
        <v>62</v>
      </c>
      <c r="G890" s="1">
        <v>44</v>
      </c>
      <c r="H890" s="23">
        <v>45017.017430555556</v>
      </c>
      <c r="I890" s="1" t="b">
        <v>0</v>
      </c>
      <c r="J890" s="1">
        <v>5</v>
      </c>
      <c r="K890" s="10">
        <f t="shared" si="67"/>
        <v>3.9183333333930932</v>
      </c>
      <c r="L890" s="1" t="str">
        <f t="shared" si="68"/>
        <v>OK</v>
      </c>
      <c r="M890" s="1">
        <f t="shared" si="65"/>
        <v>1</v>
      </c>
      <c r="N890" s="1">
        <f t="shared" si="66"/>
        <v>44</v>
      </c>
      <c r="O890" s="10">
        <f t="shared" si="69"/>
        <v>3.9183333333930932</v>
      </c>
    </row>
    <row r="891" spans="1:15">
      <c r="A891" s="1" t="s">
        <v>996</v>
      </c>
      <c r="B891" s="23">
        <v>45016.931944444441</v>
      </c>
      <c r="C891" s="1" t="s">
        <v>43</v>
      </c>
      <c r="D891" s="1" t="s">
        <v>12</v>
      </c>
      <c r="E891" s="1" t="s">
        <v>18</v>
      </c>
      <c r="F891" s="1" t="s">
        <v>64</v>
      </c>
      <c r="G891" s="1">
        <v>109</v>
      </c>
      <c r="H891" s="23">
        <v>45017.461817129632</v>
      </c>
      <c r="I891" s="1" t="b">
        <v>0</v>
      </c>
      <c r="K891" s="10">
        <f t="shared" si="67"/>
        <v>12.716944444575347</v>
      </c>
      <c r="L891" s="1" t="str">
        <f t="shared" si="68"/>
        <v>OK</v>
      </c>
      <c r="M891" s="1">
        <f t="shared" si="65"/>
        <v>1</v>
      </c>
      <c r="N891" s="1">
        <f t="shared" si="66"/>
        <v>109</v>
      </c>
      <c r="O891" s="10">
        <f t="shared" si="69"/>
        <v>12.716944444575347</v>
      </c>
    </row>
    <row r="892" spans="1:15">
      <c r="A892" s="1" t="s">
        <v>997</v>
      </c>
      <c r="B892" s="23">
        <v>45016.966666666667</v>
      </c>
      <c r="C892" s="1" t="s">
        <v>43</v>
      </c>
      <c r="D892" s="1" t="s">
        <v>21</v>
      </c>
      <c r="E892" s="1" t="s">
        <v>13</v>
      </c>
      <c r="F892" s="1" t="s">
        <v>48</v>
      </c>
      <c r="G892" s="1">
        <v>67</v>
      </c>
      <c r="H892" s="23">
        <v>45017.557719907411</v>
      </c>
      <c r="I892" s="1" t="b">
        <v>0</v>
      </c>
      <c r="J892" s="1">
        <v>5</v>
      </c>
      <c r="K892" s="10">
        <f t="shared" si="67"/>
        <v>14.185277777840383</v>
      </c>
      <c r="L892" s="1" t="str">
        <f t="shared" si="68"/>
        <v>OK</v>
      </c>
      <c r="M892" s="1">
        <f t="shared" si="65"/>
        <v>1</v>
      </c>
      <c r="N892" s="1">
        <f t="shared" si="66"/>
        <v>67</v>
      </c>
      <c r="O892" s="10">
        <f t="shared" si="69"/>
        <v>14.185277777840383</v>
      </c>
    </row>
    <row r="893" spans="1:15">
      <c r="A893" s="1" t="s">
        <v>998</v>
      </c>
      <c r="B893" s="23">
        <v>45016.979861111111</v>
      </c>
      <c r="C893" s="1" t="s">
        <v>25</v>
      </c>
      <c r="D893" s="1" t="s">
        <v>21</v>
      </c>
      <c r="E893" s="1" t="s">
        <v>18</v>
      </c>
      <c r="F893" s="1" t="s">
        <v>326</v>
      </c>
      <c r="H893" s="23">
        <v>45017.347685185188</v>
      </c>
      <c r="I893" s="1" t="b">
        <v>0</v>
      </c>
      <c r="J893" s="1">
        <v>4</v>
      </c>
      <c r="K893" s="10">
        <f t="shared" si="67"/>
        <v>8.8277777778566815</v>
      </c>
      <c r="L893" s="1" t="str">
        <f t="shared" si="68"/>
        <v>Cannot check</v>
      </c>
      <c r="M893" s="1">
        <f t="shared" si="65"/>
        <v>1</v>
      </c>
      <c r="N893" s="1" t="str">
        <f t="shared" si="66"/>
        <v/>
      </c>
      <c r="O893" s="10">
        <f t="shared" si="69"/>
        <v>8.8277777778566815</v>
      </c>
    </row>
    <row r="894" spans="1:15">
      <c r="A894" s="1" t="s">
        <v>999</v>
      </c>
      <c r="B894" s="23">
        <v>45017.226388888892</v>
      </c>
      <c r="C894" s="1" t="s">
        <v>11</v>
      </c>
      <c r="D894" s="1" t="s">
        <v>59</v>
      </c>
      <c r="E894" s="1" t="s">
        <v>33</v>
      </c>
      <c r="F894" s="1" t="s">
        <v>48</v>
      </c>
      <c r="G894" s="1">
        <v>167</v>
      </c>
      <c r="H894" s="23">
        <v>45020.731412037036</v>
      </c>
      <c r="I894" s="1" t="b">
        <v>0</v>
      </c>
      <c r="J894" s="1">
        <v>5</v>
      </c>
      <c r="K894" s="10">
        <f t="shared" si="67"/>
        <v>84.120555555447936</v>
      </c>
      <c r="L894" s="1" t="str">
        <f t="shared" si="68"/>
        <v>OK</v>
      </c>
      <c r="M894" s="1">
        <f t="shared" si="65"/>
        <v>1</v>
      </c>
      <c r="N894" s="1">
        <f t="shared" si="66"/>
        <v>167</v>
      </c>
      <c r="O894" s="10">
        <f t="shared" si="69"/>
        <v>84.120555555447936</v>
      </c>
    </row>
    <row r="895" spans="1:15">
      <c r="A895" s="1" t="s">
        <v>1000</v>
      </c>
      <c r="B895" s="23">
        <v>45017.604166666664</v>
      </c>
      <c r="C895" s="1" t="s">
        <v>16</v>
      </c>
      <c r="D895" s="1" t="s">
        <v>26</v>
      </c>
      <c r="E895" s="1" t="s">
        <v>13</v>
      </c>
      <c r="F895" s="1" t="s">
        <v>201</v>
      </c>
      <c r="G895" s="1">
        <v>15</v>
      </c>
      <c r="H895" s="23">
        <v>45018.50984953704</v>
      </c>
      <c r="I895" s="1" t="b">
        <v>0</v>
      </c>
      <c r="K895" s="10">
        <f t="shared" si="67"/>
        <v>21.736388889024965</v>
      </c>
      <c r="L895" s="1" t="str">
        <f t="shared" si="68"/>
        <v>OK</v>
      </c>
      <c r="M895" s="1">
        <f t="shared" si="65"/>
        <v>1</v>
      </c>
      <c r="N895" s="1">
        <f t="shared" si="66"/>
        <v>15</v>
      </c>
      <c r="O895" s="10">
        <f t="shared" si="69"/>
        <v>21.736388889024965</v>
      </c>
    </row>
    <row r="896" spans="1:15">
      <c r="A896" s="1" t="s">
        <v>1001</v>
      </c>
      <c r="B896" s="23">
        <v>45017.845138888886</v>
      </c>
      <c r="C896" s="1" t="s">
        <v>11</v>
      </c>
      <c r="D896" s="1" t="s">
        <v>17</v>
      </c>
      <c r="E896" s="1" t="s">
        <v>18</v>
      </c>
      <c r="F896" s="1" t="s">
        <v>237</v>
      </c>
      <c r="G896" s="1">
        <v>75</v>
      </c>
      <c r="H896" s="23">
        <v>45023.107499999998</v>
      </c>
      <c r="I896" s="1" t="b">
        <v>0</v>
      </c>
      <c r="K896" s="10">
        <f t="shared" si="67"/>
        <v>126.29666666669073</v>
      </c>
      <c r="L896" s="1" t="str">
        <f t="shared" si="68"/>
        <v>OK</v>
      </c>
      <c r="M896" s="1">
        <f t="shared" si="65"/>
        <v>1</v>
      </c>
      <c r="N896" s="1">
        <f t="shared" si="66"/>
        <v>75</v>
      </c>
      <c r="O896" s="10">
        <f t="shared" si="69"/>
        <v>126.29666666669073</v>
      </c>
    </row>
    <row r="897" spans="1:15">
      <c r="A897" s="1" t="s">
        <v>1002</v>
      </c>
      <c r="B897" s="23">
        <v>45017.962500000001</v>
      </c>
      <c r="C897" s="1" t="s">
        <v>25</v>
      </c>
      <c r="D897" s="1" t="s">
        <v>26</v>
      </c>
      <c r="E897" s="1" t="s">
        <v>33</v>
      </c>
      <c r="F897" s="1" t="s">
        <v>201</v>
      </c>
      <c r="G897" s="1">
        <v>579</v>
      </c>
      <c r="H897" s="23">
        <v>45019.170416666668</v>
      </c>
      <c r="I897" s="1" t="b">
        <v>0</v>
      </c>
      <c r="J897" s="1">
        <v>3</v>
      </c>
      <c r="K897" s="10">
        <f t="shared" si="67"/>
        <v>28.989999999990687</v>
      </c>
      <c r="L897" s="1" t="str">
        <f t="shared" si="68"/>
        <v>OK</v>
      </c>
      <c r="M897" s="1">
        <f t="shared" si="65"/>
        <v>1</v>
      </c>
      <c r="N897" s="1">
        <f t="shared" si="66"/>
        <v>579</v>
      </c>
      <c r="O897" s="10">
        <f t="shared" si="69"/>
        <v>28.989999999990687</v>
      </c>
    </row>
    <row r="898" spans="1:15">
      <c r="A898" s="1" t="s">
        <v>1003</v>
      </c>
      <c r="B898" s="23">
        <v>45018.263888888891</v>
      </c>
      <c r="C898" s="1" t="s">
        <v>11</v>
      </c>
      <c r="D898" s="1" t="s">
        <v>17</v>
      </c>
      <c r="E898" s="1" t="s">
        <v>18</v>
      </c>
      <c r="F898" s="1" t="s">
        <v>259</v>
      </c>
      <c r="G898" s="1">
        <v>122</v>
      </c>
      <c r="H898" s="23">
        <v>45024.779432870368</v>
      </c>
      <c r="I898" s="1" t="b">
        <v>0</v>
      </c>
      <c r="K898" s="10">
        <f t="shared" si="67"/>
        <v>156.37305555545026</v>
      </c>
      <c r="L898" s="1" t="str">
        <f t="shared" si="68"/>
        <v>OK</v>
      </c>
      <c r="M898" s="1">
        <f t="shared" ref="M898:M961" si="70">COUNTIF($A$2:$A$4001,A898)</f>
        <v>1</v>
      </c>
      <c r="N898" s="1">
        <f t="shared" ref="N898:N961" si="71">IF(OR(L898="Review",G898=""),"",G898)</f>
        <v>122</v>
      </c>
      <c r="O898" s="10">
        <f t="shared" si="69"/>
        <v>156.37305555545026</v>
      </c>
    </row>
    <row r="899" spans="1:15">
      <c r="A899" s="1" t="s">
        <v>1004</v>
      </c>
      <c r="B899" s="23">
        <v>45018.29583333333</v>
      </c>
      <c r="C899" s="1" t="s">
        <v>16</v>
      </c>
      <c r="D899" s="1" t="s">
        <v>17</v>
      </c>
      <c r="E899" s="1" t="s">
        <v>13</v>
      </c>
      <c r="F899" s="1" t="s">
        <v>62</v>
      </c>
      <c r="G899" s="1">
        <v>17</v>
      </c>
      <c r="H899" s="23">
        <v>45019.492025462961</v>
      </c>
      <c r="I899" s="1" t="b">
        <v>0</v>
      </c>
      <c r="K899" s="10">
        <f t="shared" ref="K899:K962" si="72">IF(H899="","",(H899-B899)*24)</f>
        <v>28.708611111156642</v>
      </c>
      <c r="L899" s="1" t="str">
        <f t="shared" ref="L899:L962" si="73">IF(OR(G899="",K899=""),"Cannot check",IF(G899&gt;K899*60,"Review","OK"))</f>
        <v>OK</v>
      </c>
      <c r="M899" s="1">
        <f t="shared" si="70"/>
        <v>1</v>
      </c>
      <c r="N899" s="1">
        <f t="shared" si="71"/>
        <v>17</v>
      </c>
      <c r="O899" s="10">
        <f t="shared" ref="O899:O962" si="74">IF(OR(L899="Review",K899=""),"",K899)</f>
        <v>28.708611111156642</v>
      </c>
    </row>
    <row r="900" spans="1:15">
      <c r="A900" s="1" t="s">
        <v>1005</v>
      </c>
      <c r="B900" s="23">
        <v>45018.341666666667</v>
      </c>
      <c r="C900" s="1" t="s">
        <v>11</v>
      </c>
      <c r="D900" s="1" t="s">
        <v>59</v>
      </c>
      <c r="E900" s="1" t="s">
        <v>18</v>
      </c>
      <c r="F900" s="1" t="s">
        <v>186</v>
      </c>
      <c r="G900" s="1">
        <v>13</v>
      </c>
      <c r="H900" s="23">
        <v>45020.153923611113</v>
      </c>
      <c r="I900" s="1" t="b">
        <v>0</v>
      </c>
      <c r="K900" s="10">
        <f t="shared" si="72"/>
        <v>43.494166666700039</v>
      </c>
      <c r="L900" s="1" t="str">
        <f t="shared" si="73"/>
        <v>OK</v>
      </c>
      <c r="M900" s="1">
        <f t="shared" si="70"/>
        <v>1</v>
      </c>
      <c r="N900" s="1">
        <f t="shared" si="71"/>
        <v>13</v>
      </c>
      <c r="O900" s="10">
        <f t="shared" si="74"/>
        <v>43.494166666700039</v>
      </c>
    </row>
    <row r="901" spans="1:15">
      <c r="A901" s="1" t="s">
        <v>1006</v>
      </c>
      <c r="B901" s="23">
        <v>45018.368055555555</v>
      </c>
      <c r="C901" s="1" t="s">
        <v>25</v>
      </c>
      <c r="D901" s="1" t="s">
        <v>17</v>
      </c>
      <c r="E901" s="1" t="s">
        <v>18</v>
      </c>
      <c r="F901" s="1" t="s">
        <v>74</v>
      </c>
      <c r="G901" s="1">
        <v>155</v>
      </c>
      <c r="I901" s="1" t="b">
        <v>0</v>
      </c>
      <c r="K901" s="10" t="str">
        <f t="shared" si="72"/>
        <v/>
      </c>
      <c r="L901" s="1" t="str">
        <f t="shared" si="73"/>
        <v>Cannot check</v>
      </c>
      <c r="M901" s="1">
        <f t="shared" si="70"/>
        <v>1</v>
      </c>
      <c r="N901" s="1">
        <f t="shared" si="71"/>
        <v>155</v>
      </c>
      <c r="O901" s="10" t="str">
        <f t="shared" si="74"/>
        <v/>
      </c>
    </row>
    <row r="902" spans="1:15">
      <c r="A902" s="1" t="s">
        <v>1007</v>
      </c>
      <c r="B902" s="23">
        <v>45018.495138888888</v>
      </c>
      <c r="C902" s="1" t="s">
        <v>25</v>
      </c>
      <c r="D902" s="1" t="s">
        <v>26</v>
      </c>
      <c r="E902" s="1" t="s">
        <v>33</v>
      </c>
      <c r="F902" s="1" t="s">
        <v>130</v>
      </c>
      <c r="G902" s="1">
        <v>332</v>
      </c>
      <c r="H902" s="23">
        <v>45022.423171296294</v>
      </c>
      <c r="I902" s="1" t="b">
        <v>0</v>
      </c>
      <c r="K902" s="10">
        <f t="shared" si="72"/>
        <v>94.272777777747251</v>
      </c>
      <c r="L902" s="1" t="str">
        <f t="shared" si="73"/>
        <v>OK</v>
      </c>
      <c r="M902" s="1">
        <f t="shared" si="70"/>
        <v>1</v>
      </c>
      <c r="N902" s="1">
        <f t="shared" si="71"/>
        <v>332</v>
      </c>
      <c r="O902" s="10">
        <f t="shared" si="74"/>
        <v>94.272777777747251</v>
      </c>
    </row>
    <row r="903" spans="1:15">
      <c r="A903" s="1" t="s">
        <v>1008</v>
      </c>
      <c r="B903" s="23">
        <v>45018.77847222222</v>
      </c>
      <c r="C903" s="1" t="s">
        <v>25</v>
      </c>
      <c r="D903" s="1" t="s">
        <v>21</v>
      </c>
      <c r="E903" s="1" t="s">
        <v>33</v>
      </c>
      <c r="F903" s="1" t="s">
        <v>228</v>
      </c>
      <c r="G903" s="1">
        <v>106</v>
      </c>
      <c r="H903" s="23">
        <v>45021.448182870372</v>
      </c>
      <c r="I903" s="1" t="b">
        <v>0</v>
      </c>
      <c r="J903" s="1">
        <v>5</v>
      </c>
      <c r="K903" s="10">
        <f t="shared" si="72"/>
        <v>64.073055555636529</v>
      </c>
      <c r="L903" s="1" t="str">
        <f t="shared" si="73"/>
        <v>OK</v>
      </c>
      <c r="M903" s="1">
        <f t="shared" si="70"/>
        <v>1</v>
      </c>
      <c r="N903" s="1">
        <f t="shared" si="71"/>
        <v>106</v>
      </c>
      <c r="O903" s="10">
        <f t="shared" si="74"/>
        <v>64.073055555636529</v>
      </c>
    </row>
    <row r="904" spans="1:15">
      <c r="A904" s="1" t="s">
        <v>1009</v>
      </c>
      <c r="B904" s="23">
        <v>45018.844444444447</v>
      </c>
      <c r="C904" s="1" t="s">
        <v>25</v>
      </c>
      <c r="D904" s="1" t="s">
        <v>59</v>
      </c>
      <c r="E904" s="1" t="s">
        <v>18</v>
      </c>
      <c r="F904" s="1" t="s">
        <v>132</v>
      </c>
      <c r="G904" s="1">
        <v>256</v>
      </c>
      <c r="H904" s="23">
        <v>45019.59715277778</v>
      </c>
      <c r="I904" s="1" t="b">
        <v>0</v>
      </c>
      <c r="K904" s="10">
        <f t="shared" si="72"/>
        <v>18.065000000002328</v>
      </c>
      <c r="L904" s="1" t="str">
        <f t="shared" si="73"/>
        <v>OK</v>
      </c>
      <c r="M904" s="1">
        <f t="shared" si="70"/>
        <v>1</v>
      </c>
      <c r="N904" s="1">
        <f t="shared" si="71"/>
        <v>256</v>
      </c>
      <c r="O904" s="10">
        <f t="shared" si="74"/>
        <v>18.065000000002328</v>
      </c>
    </row>
    <row r="905" spans="1:15">
      <c r="A905" s="1" t="s">
        <v>1010</v>
      </c>
      <c r="B905" s="23">
        <v>45018.881944444445</v>
      </c>
      <c r="C905" s="1" t="s">
        <v>16</v>
      </c>
      <c r="D905" s="1" t="s">
        <v>17</v>
      </c>
      <c r="E905" s="1" t="s">
        <v>18</v>
      </c>
      <c r="F905" s="1" t="s">
        <v>239</v>
      </c>
      <c r="G905" s="1">
        <v>388</v>
      </c>
      <c r="H905" s="23">
        <v>45022.241956018515</v>
      </c>
      <c r="I905" s="1" t="b">
        <v>0</v>
      </c>
      <c r="K905" s="10">
        <f t="shared" si="72"/>
        <v>80.640277777682059</v>
      </c>
      <c r="L905" s="1" t="str">
        <f t="shared" si="73"/>
        <v>OK</v>
      </c>
      <c r="M905" s="1">
        <f t="shared" si="70"/>
        <v>1</v>
      </c>
      <c r="N905" s="1">
        <f t="shared" si="71"/>
        <v>388</v>
      </c>
      <c r="O905" s="10">
        <f t="shared" si="74"/>
        <v>80.640277777682059</v>
      </c>
    </row>
    <row r="906" spans="1:15">
      <c r="A906" s="1" t="s">
        <v>1011</v>
      </c>
      <c r="B906" s="23">
        <v>45018.935416666667</v>
      </c>
      <c r="C906" s="1" t="s">
        <v>11</v>
      </c>
      <c r="D906" s="1" t="s">
        <v>17</v>
      </c>
      <c r="E906" s="1" t="s">
        <v>18</v>
      </c>
      <c r="F906" s="1" t="s">
        <v>92</v>
      </c>
      <c r="G906" s="1">
        <v>50</v>
      </c>
      <c r="H906" s="23">
        <v>45019.424259259256</v>
      </c>
      <c r="I906" s="1" t="b">
        <v>0</v>
      </c>
      <c r="J906" s="1">
        <v>4</v>
      </c>
      <c r="K906" s="10">
        <f t="shared" si="72"/>
        <v>11.73222222214099</v>
      </c>
      <c r="L906" s="1" t="str">
        <f t="shared" si="73"/>
        <v>OK</v>
      </c>
      <c r="M906" s="1">
        <f t="shared" si="70"/>
        <v>1</v>
      </c>
      <c r="N906" s="1">
        <f t="shared" si="71"/>
        <v>50</v>
      </c>
      <c r="O906" s="10">
        <f t="shared" si="74"/>
        <v>11.73222222214099</v>
      </c>
    </row>
    <row r="907" spans="1:15">
      <c r="A907" s="1" t="s">
        <v>1012</v>
      </c>
      <c r="B907" s="23">
        <v>45019.087500000001</v>
      </c>
      <c r="C907" s="1" t="s">
        <v>25</v>
      </c>
      <c r="D907" s="1" t="s">
        <v>17</v>
      </c>
      <c r="E907" s="1" t="s">
        <v>18</v>
      </c>
      <c r="F907" s="1" t="s">
        <v>110</v>
      </c>
      <c r="G907" s="1">
        <v>68</v>
      </c>
      <c r="H907" s="23">
        <v>45028.058680555558</v>
      </c>
      <c r="I907" s="1" t="b">
        <v>0</v>
      </c>
      <c r="J907" s="1">
        <v>5</v>
      </c>
      <c r="K907" s="10">
        <f t="shared" si="72"/>
        <v>215.30833333334886</v>
      </c>
      <c r="L907" s="1" t="str">
        <f t="shared" si="73"/>
        <v>OK</v>
      </c>
      <c r="M907" s="1">
        <f t="shared" si="70"/>
        <v>1</v>
      </c>
      <c r="N907" s="1">
        <f t="shared" si="71"/>
        <v>68</v>
      </c>
      <c r="O907" s="10">
        <f t="shared" si="74"/>
        <v>215.30833333334886</v>
      </c>
    </row>
    <row r="908" spans="1:15">
      <c r="A908" s="1" t="s">
        <v>1013</v>
      </c>
      <c r="B908" s="23">
        <v>45019.166666666664</v>
      </c>
      <c r="C908" s="1" t="s">
        <v>43</v>
      </c>
      <c r="D908" s="1" t="s">
        <v>12</v>
      </c>
      <c r="E908" s="1" t="s">
        <v>18</v>
      </c>
      <c r="F908" s="1" t="s">
        <v>178</v>
      </c>
      <c r="G908" s="1">
        <v>108</v>
      </c>
      <c r="H908" s="23">
        <v>45019.439293981479</v>
      </c>
      <c r="I908" s="1" t="b">
        <v>0</v>
      </c>
      <c r="J908" s="1">
        <v>5</v>
      </c>
      <c r="K908" s="10">
        <f t="shared" si="72"/>
        <v>6.5430555555503815</v>
      </c>
      <c r="L908" s="1" t="str">
        <f t="shared" si="73"/>
        <v>OK</v>
      </c>
      <c r="M908" s="1">
        <f t="shared" si="70"/>
        <v>1</v>
      </c>
      <c r="N908" s="1">
        <f t="shared" si="71"/>
        <v>108</v>
      </c>
      <c r="O908" s="10">
        <f t="shared" si="74"/>
        <v>6.5430555555503815</v>
      </c>
    </row>
    <row r="909" spans="1:15">
      <c r="A909" s="1" t="s">
        <v>1014</v>
      </c>
      <c r="B909" s="23">
        <v>45019.167361111111</v>
      </c>
      <c r="C909" s="1" t="s">
        <v>25</v>
      </c>
      <c r="D909" s="1" t="s">
        <v>17</v>
      </c>
      <c r="E909" s="1" t="s">
        <v>18</v>
      </c>
      <c r="F909" s="1" t="s">
        <v>48</v>
      </c>
      <c r="G909" s="1">
        <v>103</v>
      </c>
      <c r="I909" s="1" t="b">
        <v>0</v>
      </c>
      <c r="K909" s="10" t="str">
        <f t="shared" si="72"/>
        <v/>
      </c>
      <c r="L909" s="1" t="str">
        <f t="shared" si="73"/>
        <v>Cannot check</v>
      </c>
      <c r="M909" s="1">
        <f t="shared" si="70"/>
        <v>1</v>
      </c>
      <c r="N909" s="1">
        <f t="shared" si="71"/>
        <v>103</v>
      </c>
      <c r="O909" s="10" t="str">
        <f t="shared" si="74"/>
        <v/>
      </c>
    </row>
    <row r="910" spans="1:15">
      <c r="A910" s="1" t="s">
        <v>1015</v>
      </c>
      <c r="B910" s="23">
        <v>45019.213888888888</v>
      </c>
      <c r="C910" s="1" t="s">
        <v>11</v>
      </c>
      <c r="D910" s="1" t="s">
        <v>21</v>
      </c>
      <c r="E910" s="1" t="s">
        <v>33</v>
      </c>
      <c r="F910" s="1" t="s">
        <v>44</v>
      </c>
      <c r="G910" s="1">
        <v>175</v>
      </c>
      <c r="H910" s="23">
        <v>45022.213437500002</v>
      </c>
      <c r="I910" s="1" t="b">
        <v>0</v>
      </c>
      <c r="K910" s="10">
        <f t="shared" si="72"/>
        <v>71.98916666675359</v>
      </c>
      <c r="L910" s="1" t="str">
        <f t="shared" si="73"/>
        <v>OK</v>
      </c>
      <c r="M910" s="1">
        <f t="shared" si="70"/>
        <v>1</v>
      </c>
      <c r="N910" s="1">
        <f t="shared" si="71"/>
        <v>175</v>
      </c>
      <c r="O910" s="10">
        <f t="shared" si="74"/>
        <v>71.98916666675359</v>
      </c>
    </row>
    <row r="911" spans="1:15">
      <c r="A911" s="1" t="s">
        <v>1016</v>
      </c>
      <c r="B911" s="23">
        <v>45019.359027777777</v>
      </c>
      <c r="C911" s="1" t="s">
        <v>11</v>
      </c>
      <c r="D911" s="1" t="s">
        <v>17</v>
      </c>
      <c r="E911" s="1" t="s">
        <v>33</v>
      </c>
      <c r="F911" s="1" t="s">
        <v>60</v>
      </c>
      <c r="G911" s="1">
        <v>317</v>
      </c>
      <c r="H911" s="23">
        <v>45048.048831018517</v>
      </c>
      <c r="I911" s="1" t="b">
        <v>0</v>
      </c>
      <c r="J911" s="1">
        <v>5</v>
      </c>
      <c r="K911" s="10">
        <f t="shared" si="72"/>
        <v>688.55527777777752</v>
      </c>
      <c r="L911" s="1" t="str">
        <f t="shared" si="73"/>
        <v>OK</v>
      </c>
      <c r="M911" s="1">
        <f t="shared" si="70"/>
        <v>1</v>
      </c>
      <c r="N911" s="1">
        <f t="shared" si="71"/>
        <v>317</v>
      </c>
      <c r="O911" s="10">
        <f t="shared" si="74"/>
        <v>688.55527777777752</v>
      </c>
    </row>
    <row r="912" spans="1:15">
      <c r="A912" s="1" t="s">
        <v>1017</v>
      </c>
      <c r="B912" s="23">
        <v>45019.477083333331</v>
      </c>
      <c r="C912" s="1" t="s">
        <v>25</v>
      </c>
      <c r="D912" s="1" t="s">
        <v>17</v>
      </c>
      <c r="E912" s="1" t="s">
        <v>22</v>
      </c>
      <c r="F912" s="1" t="s">
        <v>367</v>
      </c>
      <c r="G912" s="1">
        <v>21</v>
      </c>
      <c r="H912" s="23">
        <v>45019.871446759258</v>
      </c>
      <c r="I912" s="1" t="b">
        <v>0</v>
      </c>
      <c r="K912" s="10">
        <f t="shared" si="72"/>
        <v>9.4647222222411074</v>
      </c>
      <c r="L912" s="1" t="str">
        <f t="shared" si="73"/>
        <v>OK</v>
      </c>
      <c r="M912" s="1">
        <f t="shared" si="70"/>
        <v>1</v>
      </c>
      <c r="N912" s="1">
        <f t="shared" si="71"/>
        <v>21</v>
      </c>
      <c r="O912" s="10">
        <f t="shared" si="74"/>
        <v>9.4647222222411074</v>
      </c>
    </row>
    <row r="913" spans="1:15">
      <c r="A913" s="1" t="s">
        <v>1018</v>
      </c>
      <c r="B913" s="23">
        <v>45019.588888888888</v>
      </c>
      <c r="C913" s="1" t="s">
        <v>16</v>
      </c>
      <c r="D913" s="1" t="s">
        <v>21</v>
      </c>
      <c r="E913" s="1" t="s">
        <v>18</v>
      </c>
      <c r="F913" s="1" t="s">
        <v>274</v>
      </c>
      <c r="G913" s="1">
        <v>12</v>
      </c>
      <c r="H913" s="23">
        <v>45020.315671296295</v>
      </c>
      <c r="I913" s="1" t="b">
        <v>0</v>
      </c>
      <c r="K913" s="10">
        <f t="shared" si="72"/>
        <v>17.442777777789161</v>
      </c>
      <c r="L913" s="1" t="str">
        <f t="shared" si="73"/>
        <v>OK</v>
      </c>
      <c r="M913" s="1">
        <f t="shared" si="70"/>
        <v>1</v>
      </c>
      <c r="N913" s="1">
        <f t="shared" si="71"/>
        <v>12</v>
      </c>
      <c r="O913" s="10">
        <f t="shared" si="74"/>
        <v>17.442777777789161</v>
      </c>
    </row>
    <row r="914" spans="1:15">
      <c r="A914" s="1" t="s">
        <v>1019</v>
      </c>
      <c r="B914" s="23">
        <v>45019.595138888886</v>
      </c>
      <c r="C914" s="1" t="s">
        <v>25</v>
      </c>
      <c r="D914" s="1" t="s">
        <v>17</v>
      </c>
      <c r="E914" s="1" t="s">
        <v>33</v>
      </c>
      <c r="F914" s="1" t="s">
        <v>60</v>
      </c>
      <c r="G914" s="1">
        <v>480</v>
      </c>
      <c r="H914" s="23">
        <v>45023.4453125</v>
      </c>
      <c r="I914" s="1" t="b">
        <v>0</v>
      </c>
      <c r="K914" s="10">
        <f t="shared" si="72"/>
        <v>92.404166666732635</v>
      </c>
      <c r="L914" s="1" t="str">
        <f t="shared" si="73"/>
        <v>OK</v>
      </c>
      <c r="M914" s="1">
        <f t="shared" si="70"/>
        <v>1</v>
      </c>
      <c r="N914" s="1">
        <f t="shared" si="71"/>
        <v>480</v>
      </c>
      <c r="O914" s="10">
        <f t="shared" si="74"/>
        <v>92.404166666732635</v>
      </c>
    </row>
    <row r="915" spans="1:15">
      <c r="A915" s="1" t="s">
        <v>1020</v>
      </c>
      <c r="B915" s="23">
        <v>45019.599305555559</v>
      </c>
      <c r="C915" s="1" t="s">
        <v>11</v>
      </c>
      <c r="D915" s="1" t="s">
        <v>59</v>
      </c>
      <c r="E915" s="1" t="s">
        <v>13</v>
      </c>
      <c r="F915" s="1" t="s">
        <v>130</v>
      </c>
      <c r="G915" s="1">
        <v>16</v>
      </c>
      <c r="H915" s="23">
        <v>45019.769305555557</v>
      </c>
      <c r="I915" s="1" t="b">
        <v>0</v>
      </c>
      <c r="J915" s="1">
        <v>1</v>
      </c>
      <c r="K915" s="10">
        <f t="shared" si="72"/>
        <v>4.0799999999580905</v>
      </c>
      <c r="L915" s="1" t="str">
        <f t="shared" si="73"/>
        <v>OK</v>
      </c>
      <c r="M915" s="1">
        <f t="shared" si="70"/>
        <v>1</v>
      </c>
      <c r="N915" s="1">
        <f t="shared" si="71"/>
        <v>16</v>
      </c>
      <c r="O915" s="10">
        <f t="shared" si="74"/>
        <v>4.0799999999580905</v>
      </c>
    </row>
    <row r="916" spans="1:15">
      <c r="A916" s="1" t="s">
        <v>1021</v>
      </c>
      <c r="B916" s="23">
        <v>45019.607638888891</v>
      </c>
      <c r="C916" s="1" t="s">
        <v>25</v>
      </c>
      <c r="D916" s="1" t="s">
        <v>59</v>
      </c>
      <c r="E916" s="1" t="s">
        <v>18</v>
      </c>
      <c r="F916" s="1" t="s">
        <v>178</v>
      </c>
      <c r="G916" s="1">
        <v>206</v>
      </c>
      <c r="H916" s="23">
        <v>45021.773425925923</v>
      </c>
      <c r="I916" s="1" t="b">
        <v>0</v>
      </c>
      <c r="K916" s="10">
        <f t="shared" si="72"/>
        <v>51.97888888878515</v>
      </c>
      <c r="L916" s="1" t="str">
        <f t="shared" si="73"/>
        <v>OK</v>
      </c>
      <c r="M916" s="1">
        <f t="shared" si="70"/>
        <v>1</v>
      </c>
      <c r="N916" s="1">
        <f t="shared" si="71"/>
        <v>206</v>
      </c>
      <c r="O916" s="10">
        <f t="shared" si="74"/>
        <v>51.97888888878515</v>
      </c>
    </row>
    <row r="917" spans="1:15">
      <c r="A917" s="1" t="s">
        <v>1022</v>
      </c>
      <c r="B917" s="23">
        <v>45019.646527777775</v>
      </c>
      <c r="C917" s="1" t="s">
        <v>11</v>
      </c>
      <c r="D917" s="1" t="s">
        <v>12</v>
      </c>
      <c r="E917" s="1" t="s">
        <v>13</v>
      </c>
      <c r="F917" s="1" t="s">
        <v>104</v>
      </c>
      <c r="G917" s="1">
        <v>17</v>
      </c>
      <c r="H917" s="23">
        <v>45019.778055555558</v>
      </c>
      <c r="I917" s="1" t="b">
        <v>0</v>
      </c>
      <c r="K917" s="10">
        <f t="shared" si="72"/>
        <v>3.1566666667931713</v>
      </c>
      <c r="L917" s="1" t="str">
        <f t="shared" si="73"/>
        <v>OK</v>
      </c>
      <c r="M917" s="1">
        <f t="shared" si="70"/>
        <v>1</v>
      </c>
      <c r="N917" s="1">
        <f t="shared" si="71"/>
        <v>17</v>
      </c>
      <c r="O917" s="10">
        <f t="shared" si="74"/>
        <v>3.1566666667931713</v>
      </c>
    </row>
    <row r="918" spans="1:15">
      <c r="A918" s="1" t="s">
        <v>1023</v>
      </c>
      <c r="B918" s="23">
        <v>45019.664583333331</v>
      </c>
      <c r="C918" s="1" t="s">
        <v>43</v>
      </c>
      <c r="D918" s="1" t="s">
        <v>26</v>
      </c>
      <c r="E918" s="1" t="s">
        <v>18</v>
      </c>
      <c r="F918" s="1" t="s">
        <v>86</v>
      </c>
      <c r="G918" s="1">
        <v>75</v>
      </c>
      <c r="H918" s="23">
        <v>45021.030995370369</v>
      </c>
      <c r="I918" s="1" t="b">
        <v>0</v>
      </c>
      <c r="K918" s="10">
        <f t="shared" si="72"/>
        <v>32.793888888903894</v>
      </c>
      <c r="L918" s="1" t="str">
        <f t="shared" si="73"/>
        <v>OK</v>
      </c>
      <c r="M918" s="1">
        <f t="shared" si="70"/>
        <v>1</v>
      </c>
      <c r="N918" s="1">
        <f t="shared" si="71"/>
        <v>75</v>
      </c>
      <c r="O918" s="10">
        <f t="shared" si="74"/>
        <v>32.793888888903894</v>
      </c>
    </row>
    <row r="919" spans="1:15">
      <c r="A919" s="1" t="s">
        <v>1024</v>
      </c>
      <c r="B919" s="23">
        <v>45019.693055555559</v>
      </c>
      <c r="C919" s="1" t="s">
        <v>16</v>
      </c>
      <c r="D919" s="1" t="s">
        <v>59</v>
      </c>
      <c r="E919" s="1" t="s">
        <v>13</v>
      </c>
      <c r="F919" s="1" t="s">
        <v>104</v>
      </c>
      <c r="G919" s="1">
        <v>8</v>
      </c>
      <c r="H919" s="23">
        <v>45019.771458333336</v>
      </c>
      <c r="I919" s="1" t="b">
        <v>0</v>
      </c>
      <c r="K919" s="10">
        <f t="shared" si="72"/>
        <v>1.8816666666534729</v>
      </c>
      <c r="L919" s="1" t="str">
        <f t="shared" si="73"/>
        <v>OK</v>
      </c>
      <c r="M919" s="1">
        <f t="shared" si="70"/>
        <v>1</v>
      </c>
      <c r="N919" s="1">
        <f t="shared" si="71"/>
        <v>8</v>
      </c>
      <c r="O919" s="10">
        <f t="shared" si="74"/>
        <v>1.8816666666534729</v>
      </c>
    </row>
    <row r="920" spans="1:15">
      <c r="A920" s="1" t="s">
        <v>1025</v>
      </c>
      <c r="B920" s="23">
        <v>45019.707638888889</v>
      </c>
      <c r="C920" s="1" t="s">
        <v>43</v>
      </c>
      <c r="D920" s="1" t="s">
        <v>26</v>
      </c>
      <c r="E920" s="1" t="s">
        <v>33</v>
      </c>
      <c r="F920" s="1" t="s">
        <v>186</v>
      </c>
      <c r="G920" s="1">
        <v>331</v>
      </c>
      <c r="I920" s="1" t="b">
        <v>0</v>
      </c>
      <c r="K920" s="10" t="str">
        <f t="shared" si="72"/>
        <v/>
      </c>
      <c r="L920" s="1" t="str">
        <f t="shared" si="73"/>
        <v>Cannot check</v>
      </c>
      <c r="M920" s="1">
        <f t="shared" si="70"/>
        <v>1</v>
      </c>
      <c r="N920" s="1">
        <f t="shared" si="71"/>
        <v>331</v>
      </c>
      <c r="O920" s="10" t="str">
        <f t="shared" si="74"/>
        <v/>
      </c>
    </row>
    <row r="921" spans="1:15">
      <c r="A921" s="1" t="s">
        <v>1026</v>
      </c>
      <c r="B921" s="23">
        <v>45019.928472222222</v>
      </c>
      <c r="C921" s="1" t="s">
        <v>16</v>
      </c>
      <c r="D921" s="1" t="s">
        <v>59</v>
      </c>
      <c r="E921" s="1" t="s">
        <v>18</v>
      </c>
      <c r="F921" s="1" t="s">
        <v>44</v>
      </c>
      <c r="G921" s="1">
        <v>40</v>
      </c>
      <c r="H921" s="23">
        <v>45020.807083333333</v>
      </c>
      <c r="I921" s="1" t="b">
        <v>0</v>
      </c>
      <c r="K921" s="10">
        <f t="shared" si="72"/>
        <v>21.086666666669771</v>
      </c>
      <c r="L921" s="1" t="str">
        <f t="shared" si="73"/>
        <v>OK</v>
      </c>
      <c r="M921" s="1">
        <f t="shared" si="70"/>
        <v>1</v>
      </c>
      <c r="N921" s="1">
        <f t="shared" si="71"/>
        <v>40</v>
      </c>
      <c r="O921" s="10">
        <f t="shared" si="74"/>
        <v>21.086666666669771</v>
      </c>
    </row>
    <row r="922" spans="1:15">
      <c r="A922" s="1" t="s">
        <v>1027</v>
      </c>
      <c r="B922" s="23">
        <v>45019.935416666667</v>
      </c>
      <c r="C922" s="1" t="s">
        <v>11</v>
      </c>
      <c r="D922" s="1" t="s">
        <v>17</v>
      </c>
      <c r="E922" s="1" t="s">
        <v>18</v>
      </c>
      <c r="F922" s="1" t="s">
        <v>345</v>
      </c>
      <c r="G922" s="1">
        <v>123</v>
      </c>
      <c r="H922" s="23">
        <v>45020.167708333334</v>
      </c>
      <c r="I922" s="1" t="b">
        <v>0</v>
      </c>
      <c r="K922" s="10">
        <f t="shared" si="72"/>
        <v>5.5750000000116415</v>
      </c>
      <c r="L922" s="1" t="str">
        <f t="shared" si="73"/>
        <v>OK</v>
      </c>
      <c r="M922" s="1">
        <f t="shared" si="70"/>
        <v>1</v>
      </c>
      <c r="N922" s="1">
        <f t="shared" si="71"/>
        <v>123</v>
      </c>
      <c r="O922" s="10">
        <f t="shared" si="74"/>
        <v>5.5750000000116415</v>
      </c>
    </row>
    <row r="923" spans="1:15">
      <c r="A923" s="1" t="s">
        <v>1028</v>
      </c>
      <c r="B923" s="23">
        <v>45020.310416666667</v>
      </c>
      <c r="C923" s="1" t="s">
        <v>25</v>
      </c>
      <c r="D923" s="1" t="s">
        <v>12</v>
      </c>
      <c r="E923" s="1" t="s">
        <v>33</v>
      </c>
      <c r="F923" s="1" t="s">
        <v>50</v>
      </c>
      <c r="G923" s="1">
        <v>32</v>
      </c>
      <c r="H923" s="23">
        <v>45024.605150462965</v>
      </c>
      <c r="I923" s="1" t="b">
        <v>1</v>
      </c>
      <c r="K923" s="10">
        <f t="shared" si="72"/>
        <v>103.07361111114733</v>
      </c>
      <c r="L923" s="1" t="str">
        <f t="shared" si="73"/>
        <v>OK</v>
      </c>
      <c r="M923" s="1">
        <f t="shared" si="70"/>
        <v>1</v>
      </c>
      <c r="N923" s="1">
        <f t="shared" si="71"/>
        <v>32</v>
      </c>
      <c r="O923" s="10">
        <f t="shared" si="74"/>
        <v>103.07361111114733</v>
      </c>
    </row>
    <row r="924" spans="1:15">
      <c r="A924" s="1" t="s">
        <v>1029</v>
      </c>
      <c r="B924" s="23">
        <v>45020.395833333336</v>
      </c>
      <c r="C924" s="1" t="s">
        <v>25</v>
      </c>
      <c r="D924" s="1" t="s">
        <v>17</v>
      </c>
      <c r="E924" s="1" t="s">
        <v>18</v>
      </c>
      <c r="F924" s="1" t="s">
        <v>86</v>
      </c>
      <c r="G924" s="1">
        <v>76</v>
      </c>
      <c r="H924" s="23">
        <v>45022.710347222222</v>
      </c>
      <c r="I924" s="1" t="b">
        <v>0</v>
      </c>
      <c r="K924" s="10">
        <f t="shared" si="72"/>
        <v>55.548333333281334</v>
      </c>
      <c r="L924" s="1" t="str">
        <f t="shared" si="73"/>
        <v>OK</v>
      </c>
      <c r="M924" s="1">
        <f t="shared" si="70"/>
        <v>1</v>
      </c>
      <c r="N924" s="1">
        <f t="shared" si="71"/>
        <v>76</v>
      </c>
      <c r="O924" s="10">
        <f t="shared" si="74"/>
        <v>55.548333333281334</v>
      </c>
    </row>
    <row r="925" spans="1:15">
      <c r="A925" s="1" t="s">
        <v>1030</v>
      </c>
      <c r="B925" s="23">
        <v>45020.59097222222</v>
      </c>
      <c r="C925" s="1" t="s">
        <v>43</v>
      </c>
      <c r="D925" s="1" t="s">
        <v>21</v>
      </c>
      <c r="E925" s="1" t="s">
        <v>33</v>
      </c>
      <c r="F925" s="1" t="s">
        <v>302</v>
      </c>
      <c r="G925" s="1">
        <v>857</v>
      </c>
      <c r="I925" s="1" t="b">
        <v>0</v>
      </c>
      <c r="K925" s="10" t="str">
        <f t="shared" si="72"/>
        <v/>
      </c>
      <c r="L925" s="1" t="str">
        <f t="shared" si="73"/>
        <v>Cannot check</v>
      </c>
      <c r="M925" s="1">
        <f t="shared" si="70"/>
        <v>1</v>
      </c>
      <c r="N925" s="1">
        <f t="shared" si="71"/>
        <v>857</v>
      </c>
      <c r="O925" s="10" t="str">
        <f t="shared" si="74"/>
        <v/>
      </c>
    </row>
    <row r="926" spans="1:15">
      <c r="A926" s="1" t="s">
        <v>1031</v>
      </c>
      <c r="B926" s="23">
        <v>45020.613888888889</v>
      </c>
      <c r="C926" s="1" t="s">
        <v>16</v>
      </c>
      <c r="D926" s="1" t="s">
        <v>21</v>
      </c>
      <c r="E926" s="1" t="s">
        <v>18</v>
      </c>
      <c r="F926" s="1" t="s">
        <v>46</v>
      </c>
      <c r="G926" s="1">
        <v>79</v>
      </c>
      <c r="H926" s="23">
        <v>45023.15483796296</v>
      </c>
      <c r="I926" s="1" t="b">
        <v>0</v>
      </c>
      <c r="K926" s="10">
        <f t="shared" si="72"/>
        <v>60.982777777709998</v>
      </c>
      <c r="L926" s="1" t="str">
        <f t="shared" si="73"/>
        <v>OK</v>
      </c>
      <c r="M926" s="1">
        <f t="shared" si="70"/>
        <v>1</v>
      </c>
      <c r="N926" s="1">
        <f t="shared" si="71"/>
        <v>79</v>
      </c>
      <c r="O926" s="10">
        <f t="shared" si="74"/>
        <v>60.982777777709998</v>
      </c>
    </row>
    <row r="927" spans="1:15">
      <c r="A927" s="1" t="s">
        <v>1032</v>
      </c>
      <c r="B927" s="23">
        <v>45020.615277777775</v>
      </c>
      <c r="C927" s="1" t="s">
        <v>11</v>
      </c>
      <c r="D927" s="1" t="s">
        <v>17</v>
      </c>
      <c r="E927" s="1" t="s">
        <v>22</v>
      </c>
      <c r="F927" s="1" t="s">
        <v>486</v>
      </c>
      <c r="G927" s="1">
        <v>7</v>
      </c>
      <c r="H927" s="23">
        <v>45020.971875000003</v>
      </c>
      <c r="I927" s="1" t="b">
        <v>0</v>
      </c>
      <c r="K927" s="10">
        <f t="shared" si="72"/>
        <v>8.5583333334652707</v>
      </c>
      <c r="L927" s="1" t="str">
        <f t="shared" si="73"/>
        <v>OK</v>
      </c>
      <c r="M927" s="1">
        <f t="shared" si="70"/>
        <v>1</v>
      </c>
      <c r="N927" s="1">
        <f t="shared" si="71"/>
        <v>7</v>
      </c>
      <c r="O927" s="10">
        <f t="shared" si="74"/>
        <v>8.5583333334652707</v>
      </c>
    </row>
    <row r="928" spans="1:15">
      <c r="A928" s="1" t="s">
        <v>1033</v>
      </c>
      <c r="B928" s="23">
        <v>45020.703472222223</v>
      </c>
      <c r="C928" s="1" t="s">
        <v>25</v>
      </c>
      <c r="D928" s="1" t="s">
        <v>59</v>
      </c>
      <c r="E928" s="1" t="s">
        <v>33</v>
      </c>
      <c r="F928" s="1" t="s">
        <v>114</v>
      </c>
      <c r="G928" s="1">
        <v>213</v>
      </c>
      <c r="H928" s="23">
        <v>45020.97515046296</v>
      </c>
      <c r="I928" s="1" t="b">
        <v>0</v>
      </c>
      <c r="K928" s="10">
        <f t="shared" si="72"/>
        <v>6.5202777776867151</v>
      </c>
      <c r="L928" s="1" t="str">
        <f t="shared" si="73"/>
        <v>OK</v>
      </c>
      <c r="M928" s="1">
        <f t="shared" si="70"/>
        <v>1</v>
      </c>
      <c r="N928" s="1">
        <f t="shared" si="71"/>
        <v>213</v>
      </c>
      <c r="O928" s="10">
        <f t="shared" si="74"/>
        <v>6.5202777776867151</v>
      </c>
    </row>
    <row r="929" spans="1:15">
      <c r="A929" s="1" t="s">
        <v>1034</v>
      </c>
      <c r="B929" s="23">
        <v>45020.75</v>
      </c>
      <c r="C929" s="1" t="s">
        <v>16</v>
      </c>
      <c r="D929" s="1" t="s">
        <v>26</v>
      </c>
      <c r="E929" s="1" t="s">
        <v>13</v>
      </c>
      <c r="F929" s="1" t="s">
        <v>39</v>
      </c>
      <c r="G929" s="1">
        <v>7</v>
      </c>
      <c r="H929" s="23">
        <v>45023.807337962964</v>
      </c>
      <c r="I929" s="1" t="b">
        <v>0</v>
      </c>
      <c r="K929" s="10">
        <f t="shared" si="72"/>
        <v>73.376111111138016</v>
      </c>
      <c r="L929" s="1" t="str">
        <f t="shared" si="73"/>
        <v>OK</v>
      </c>
      <c r="M929" s="1">
        <f t="shared" si="70"/>
        <v>1</v>
      </c>
      <c r="N929" s="1">
        <f t="shared" si="71"/>
        <v>7</v>
      </c>
      <c r="O929" s="10">
        <f t="shared" si="74"/>
        <v>73.376111111138016</v>
      </c>
    </row>
    <row r="930" spans="1:15">
      <c r="A930" s="1" t="s">
        <v>1035</v>
      </c>
      <c r="B930" s="23">
        <v>45020.809027777781</v>
      </c>
      <c r="C930" s="1" t="s">
        <v>16</v>
      </c>
      <c r="D930" s="1" t="s">
        <v>21</v>
      </c>
      <c r="E930" s="1" t="s">
        <v>18</v>
      </c>
      <c r="F930" s="1" t="s">
        <v>215</v>
      </c>
      <c r="G930" s="1">
        <v>131</v>
      </c>
      <c r="H930" s="23">
        <v>45043.658171296294</v>
      </c>
      <c r="I930" s="1" t="b">
        <v>0</v>
      </c>
      <c r="J930" s="1">
        <v>4</v>
      </c>
      <c r="K930" s="10">
        <f t="shared" si="72"/>
        <v>548.37944444431923</v>
      </c>
      <c r="L930" s="1" t="str">
        <f t="shared" si="73"/>
        <v>OK</v>
      </c>
      <c r="M930" s="1">
        <f t="shared" si="70"/>
        <v>1</v>
      </c>
      <c r="N930" s="1">
        <f t="shared" si="71"/>
        <v>131</v>
      </c>
      <c r="O930" s="10">
        <f t="shared" si="74"/>
        <v>548.37944444431923</v>
      </c>
    </row>
    <row r="931" spans="1:15">
      <c r="A931" s="1" t="s">
        <v>1036</v>
      </c>
      <c r="B931" s="23">
        <v>45020.811805555553</v>
      </c>
      <c r="C931" s="1" t="s">
        <v>11</v>
      </c>
      <c r="D931" s="1" t="s">
        <v>59</v>
      </c>
      <c r="E931" s="1" t="s">
        <v>18</v>
      </c>
      <c r="F931" s="1" t="s">
        <v>66</v>
      </c>
      <c r="G931" s="1">
        <v>150</v>
      </c>
      <c r="H931" s="23">
        <v>45021.339687500003</v>
      </c>
      <c r="I931" s="1" t="b">
        <v>0</v>
      </c>
      <c r="K931" s="10">
        <f t="shared" si="72"/>
        <v>12.669166666804813</v>
      </c>
      <c r="L931" s="1" t="str">
        <f t="shared" si="73"/>
        <v>OK</v>
      </c>
      <c r="M931" s="1">
        <f t="shared" si="70"/>
        <v>1</v>
      </c>
      <c r="N931" s="1">
        <f t="shared" si="71"/>
        <v>150</v>
      </c>
      <c r="O931" s="10">
        <f t="shared" si="74"/>
        <v>12.669166666804813</v>
      </c>
    </row>
    <row r="932" spans="1:15">
      <c r="A932" s="1" t="s">
        <v>1037</v>
      </c>
      <c r="B932" s="23">
        <v>45020.818749999999</v>
      </c>
      <c r="C932" s="1" t="s">
        <v>11</v>
      </c>
      <c r="D932" s="1" t="s">
        <v>12</v>
      </c>
      <c r="E932" s="1" t="s">
        <v>22</v>
      </c>
      <c r="F932" s="1" t="s">
        <v>345</v>
      </c>
      <c r="G932" s="1">
        <v>24</v>
      </c>
      <c r="H932" s="23">
        <v>45020.913240740738</v>
      </c>
      <c r="I932" s="1" t="b">
        <v>0</v>
      </c>
      <c r="J932" s="1">
        <v>3</v>
      </c>
      <c r="K932" s="10">
        <f t="shared" si="72"/>
        <v>2.2677777777425945</v>
      </c>
      <c r="L932" s="1" t="str">
        <f t="shared" si="73"/>
        <v>OK</v>
      </c>
      <c r="M932" s="1">
        <f t="shared" si="70"/>
        <v>1</v>
      </c>
      <c r="N932" s="1">
        <f t="shared" si="71"/>
        <v>24</v>
      </c>
      <c r="O932" s="10">
        <f t="shared" si="74"/>
        <v>2.2677777777425945</v>
      </c>
    </row>
    <row r="933" spans="1:15">
      <c r="A933" s="1" t="s">
        <v>1038</v>
      </c>
      <c r="B933" s="23">
        <v>45020.859027777777</v>
      </c>
      <c r="C933" s="1" t="s">
        <v>11</v>
      </c>
      <c r="D933" s="1" t="s">
        <v>17</v>
      </c>
      <c r="E933" s="1" t="s">
        <v>33</v>
      </c>
      <c r="F933" s="1" t="s">
        <v>237</v>
      </c>
      <c r="G933" s="1">
        <v>142</v>
      </c>
      <c r="H933" s="23">
        <v>45026.815092592595</v>
      </c>
      <c r="I933" s="1" t="b">
        <v>0</v>
      </c>
      <c r="K933" s="10">
        <f t="shared" si="72"/>
        <v>142.9455555556342</v>
      </c>
      <c r="L933" s="1" t="str">
        <f t="shared" si="73"/>
        <v>OK</v>
      </c>
      <c r="M933" s="1">
        <f t="shared" si="70"/>
        <v>1</v>
      </c>
      <c r="N933" s="1">
        <f t="shared" si="71"/>
        <v>142</v>
      </c>
      <c r="O933" s="10">
        <f t="shared" si="74"/>
        <v>142.9455555556342</v>
      </c>
    </row>
    <row r="934" spans="1:15">
      <c r="A934" s="1" t="s">
        <v>1039</v>
      </c>
      <c r="B934" s="23">
        <v>45020.879861111112</v>
      </c>
      <c r="C934" s="1" t="s">
        <v>25</v>
      </c>
      <c r="D934" s="1" t="s">
        <v>59</v>
      </c>
      <c r="E934" s="1" t="s">
        <v>13</v>
      </c>
      <c r="F934" s="1" t="s">
        <v>302</v>
      </c>
      <c r="G934" s="1">
        <v>22</v>
      </c>
      <c r="H934" s="23">
        <v>45020.997557870367</v>
      </c>
      <c r="I934" s="1" t="b">
        <v>1</v>
      </c>
      <c r="K934" s="10">
        <f t="shared" si="72"/>
        <v>2.8247222221107222</v>
      </c>
      <c r="L934" s="1" t="str">
        <f t="shared" si="73"/>
        <v>OK</v>
      </c>
      <c r="M934" s="1">
        <f t="shared" si="70"/>
        <v>1</v>
      </c>
      <c r="N934" s="1">
        <f t="shared" si="71"/>
        <v>22</v>
      </c>
      <c r="O934" s="10">
        <f t="shared" si="74"/>
        <v>2.8247222221107222</v>
      </c>
    </row>
    <row r="935" spans="1:15">
      <c r="A935" s="1" t="s">
        <v>1040</v>
      </c>
      <c r="B935" s="23">
        <v>45020.940972222219</v>
      </c>
      <c r="C935" s="1" t="s">
        <v>16</v>
      </c>
      <c r="D935" s="1" t="s">
        <v>21</v>
      </c>
      <c r="E935" s="1" t="s">
        <v>13</v>
      </c>
      <c r="F935" s="1" t="s">
        <v>78</v>
      </c>
      <c r="H935" s="23">
        <v>45021.510405092595</v>
      </c>
      <c r="I935" s="1" t="b">
        <v>0</v>
      </c>
      <c r="K935" s="10">
        <f t="shared" si="72"/>
        <v>13.666388889017981</v>
      </c>
      <c r="L935" s="1" t="str">
        <f t="shared" si="73"/>
        <v>Cannot check</v>
      </c>
      <c r="M935" s="1">
        <f t="shared" si="70"/>
        <v>1</v>
      </c>
      <c r="N935" s="1" t="str">
        <f t="shared" si="71"/>
        <v/>
      </c>
      <c r="O935" s="10">
        <f t="shared" si="74"/>
        <v>13.666388889017981</v>
      </c>
    </row>
    <row r="936" spans="1:15">
      <c r="A936" s="1" t="s">
        <v>1041</v>
      </c>
      <c r="B936" s="23">
        <v>45021.024305555555</v>
      </c>
      <c r="C936" s="1" t="s">
        <v>25</v>
      </c>
      <c r="D936" s="1" t="s">
        <v>17</v>
      </c>
      <c r="E936" s="1" t="s">
        <v>18</v>
      </c>
      <c r="F936" s="1" t="s">
        <v>44</v>
      </c>
      <c r="G936" s="1">
        <v>323</v>
      </c>
      <c r="I936" s="1" t="b">
        <v>0</v>
      </c>
      <c r="K936" s="10" t="str">
        <f t="shared" si="72"/>
        <v/>
      </c>
      <c r="L936" s="1" t="str">
        <f t="shared" si="73"/>
        <v>Cannot check</v>
      </c>
      <c r="M936" s="1">
        <f t="shared" si="70"/>
        <v>1</v>
      </c>
      <c r="N936" s="1">
        <f t="shared" si="71"/>
        <v>323</v>
      </c>
      <c r="O936" s="10" t="str">
        <f t="shared" si="74"/>
        <v/>
      </c>
    </row>
    <row r="937" spans="1:15">
      <c r="A937" s="1" t="s">
        <v>1042</v>
      </c>
      <c r="B937" s="23">
        <v>45021.149305555555</v>
      </c>
      <c r="C937" s="1" t="s">
        <v>25</v>
      </c>
      <c r="D937" s="1" t="s">
        <v>12</v>
      </c>
      <c r="E937" s="1" t="s">
        <v>18</v>
      </c>
      <c r="F937" s="1" t="s">
        <v>52</v>
      </c>
      <c r="G937" s="1">
        <v>33</v>
      </c>
      <c r="I937" s="1" t="b">
        <v>0</v>
      </c>
      <c r="K937" s="10" t="str">
        <f t="shared" si="72"/>
        <v/>
      </c>
      <c r="L937" s="1" t="str">
        <f t="shared" si="73"/>
        <v>Cannot check</v>
      </c>
      <c r="M937" s="1">
        <f t="shared" si="70"/>
        <v>1</v>
      </c>
      <c r="N937" s="1">
        <f t="shared" si="71"/>
        <v>33</v>
      </c>
      <c r="O937" s="10" t="str">
        <f t="shared" si="74"/>
        <v/>
      </c>
    </row>
    <row r="938" spans="1:15">
      <c r="A938" s="1" t="s">
        <v>1043</v>
      </c>
      <c r="B938" s="23">
        <v>45021.357638888891</v>
      </c>
      <c r="C938" s="1" t="s">
        <v>16</v>
      </c>
      <c r="D938" s="1" t="s">
        <v>17</v>
      </c>
      <c r="E938" s="1" t="s">
        <v>18</v>
      </c>
      <c r="F938" s="1" t="s">
        <v>259</v>
      </c>
      <c r="G938" s="1">
        <v>151</v>
      </c>
      <c r="H938" s="23">
        <v>45021.692858796298</v>
      </c>
      <c r="I938" s="1" t="b">
        <v>0</v>
      </c>
      <c r="K938" s="10">
        <f t="shared" si="72"/>
        <v>8.0452777777682059</v>
      </c>
      <c r="L938" s="1" t="str">
        <f t="shared" si="73"/>
        <v>OK</v>
      </c>
      <c r="M938" s="1">
        <f t="shared" si="70"/>
        <v>1</v>
      </c>
      <c r="N938" s="1">
        <f t="shared" si="71"/>
        <v>151</v>
      </c>
      <c r="O938" s="10">
        <f t="shared" si="74"/>
        <v>8.0452777777682059</v>
      </c>
    </row>
    <row r="939" spans="1:15">
      <c r="A939" s="1" t="s">
        <v>1044</v>
      </c>
      <c r="B939" s="23">
        <v>45021.413194444445</v>
      </c>
      <c r="C939" s="1" t="s">
        <v>25</v>
      </c>
      <c r="D939" s="1" t="s">
        <v>26</v>
      </c>
      <c r="E939" s="1" t="s">
        <v>18</v>
      </c>
      <c r="F939" s="1" t="s">
        <v>70</v>
      </c>
      <c r="G939" s="1">
        <v>16</v>
      </c>
      <c r="H939" s="23">
        <v>45022.564386574071</v>
      </c>
      <c r="I939" s="1" t="b">
        <v>0</v>
      </c>
      <c r="K939" s="10">
        <f t="shared" si="72"/>
        <v>27.628611111023929</v>
      </c>
      <c r="L939" s="1" t="str">
        <f t="shared" si="73"/>
        <v>OK</v>
      </c>
      <c r="M939" s="1">
        <f t="shared" si="70"/>
        <v>1</v>
      </c>
      <c r="N939" s="1">
        <f t="shared" si="71"/>
        <v>16</v>
      </c>
      <c r="O939" s="10">
        <f t="shared" si="74"/>
        <v>27.628611111023929</v>
      </c>
    </row>
    <row r="940" spans="1:15">
      <c r="A940" s="1" t="s">
        <v>1045</v>
      </c>
      <c r="B940" s="23">
        <v>45021.44027777778</v>
      </c>
      <c r="C940" s="1" t="s">
        <v>43</v>
      </c>
      <c r="D940" s="1" t="s">
        <v>21</v>
      </c>
      <c r="E940" s="1" t="s">
        <v>18</v>
      </c>
      <c r="F940" s="1" t="s">
        <v>392</v>
      </c>
      <c r="G940" s="1">
        <v>22</v>
      </c>
      <c r="H940" s="23">
        <v>45022.48474537037</v>
      </c>
      <c r="I940" s="1" t="b">
        <v>0</v>
      </c>
      <c r="J940" s="1">
        <v>4</v>
      </c>
      <c r="K940" s="10">
        <f t="shared" si="72"/>
        <v>25.067222222161945</v>
      </c>
      <c r="L940" s="1" t="str">
        <f t="shared" si="73"/>
        <v>OK</v>
      </c>
      <c r="M940" s="1">
        <f t="shared" si="70"/>
        <v>1</v>
      </c>
      <c r="N940" s="1">
        <f t="shared" si="71"/>
        <v>22</v>
      </c>
      <c r="O940" s="10">
        <f t="shared" si="74"/>
        <v>25.067222222161945</v>
      </c>
    </row>
    <row r="941" spans="1:15">
      <c r="A941" s="1" t="s">
        <v>1046</v>
      </c>
      <c r="B941" s="23">
        <v>45021.554861111108</v>
      </c>
      <c r="C941" s="1" t="s">
        <v>16</v>
      </c>
      <c r="D941" s="1" t="s">
        <v>21</v>
      </c>
      <c r="E941" s="1" t="s">
        <v>22</v>
      </c>
      <c r="F941" s="1" t="s">
        <v>134</v>
      </c>
      <c r="G941" s="1">
        <v>31</v>
      </c>
      <c r="H941" s="23">
        <v>45021.785185185188</v>
      </c>
      <c r="I941" s="1" t="b">
        <v>0</v>
      </c>
      <c r="J941" s="1">
        <v>2</v>
      </c>
      <c r="K941" s="10">
        <f t="shared" si="72"/>
        <v>5.5277777779265307</v>
      </c>
      <c r="L941" s="1" t="str">
        <f t="shared" si="73"/>
        <v>OK</v>
      </c>
      <c r="M941" s="1">
        <f t="shared" si="70"/>
        <v>1</v>
      </c>
      <c r="N941" s="1">
        <f t="shared" si="71"/>
        <v>31</v>
      </c>
      <c r="O941" s="10">
        <f t="shared" si="74"/>
        <v>5.5277777779265307</v>
      </c>
    </row>
    <row r="942" spans="1:15">
      <c r="A942" s="1" t="s">
        <v>1047</v>
      </c>
      <c r="B942" s="23">
        <v>45021.82916666667</v>
      </c>
      <c r="C942" s="1" t="s">
        <v>25</v>
      </c>
      <c r="D942" s="1" t="s">
        <v>59</v>
      </c>
      <c r="E942" s="1" t="s">
        <v>18</v>
      </c>
      <c r="F942" s="1" t="s">
        <v>317</v>
      </c>
      <c r="G942" s="1">
        <v>119</v>
      </c>
      <c r="H942" s="23">
        <v>45021.884918981479</v>
      </c>
      <c r="I942" s="1" t="b">
        <v>0</v>
      </c>
      <c r="K942" s="10">
        <f t="shared" si="72"/>
        <v>1.3380555554176681</v>
      </c>
      <c r="L942" s="1" t="str">
        <f t="shared" si="73"/>
        <v>Review</v>
      </c>
      <c r="M942" s="1">
        <f t="shared" si="70"/>
        <v>1</v>
      </c>
      <c r="N942" s="1" t="str">
        <f t="shared" si="71"/>
        <v/>
      </c>
      <c r="O942" s="10" t="str">
        <f t="shared" si="74"/>
        <v/>
      </c>
    </row>
    <row r="943" spans="1:15">
      <c r="A943" s="1" t="s">
        <v>1048</v>
      </c>
      <c r="B943" s="23">
        <v>45021.836111111108</v>
      </c>
      <c r="C943" s="1" t="s">
        <v>25</v>
      </c>
      <c r="D943" s="1" t="s">
        <v>17</v>
      </c>
      <c r="E943" s="1" t="s">
        <v>13</v>
      </c>
      <c r="F943" s="1" t="s">
        <v>415</v>
      </c>
      <c r="G943" s="1">
        <v>31</v>
      </c>
      <c r="H943" s="23">
        <v>45023.046516203707</v>
      </c>
      <c r="I943" s="1" t="b">
        <v>0</v>
      </c>
      <c r="K943" s="10">
        <f t="shared" si="72"/>
        <v>29.049722222378477</v>
      </c>
      <c r="L943" s="1" t="str">
        <f t="shared" si="73"/>
        <v>OK</v>
      </c>
      <c r="M943" s="1">
        <f t="shared" si="70"/>
        <v>1</v>
      </c>
      <c r="N943" s="1">
        <f t="shared" si="71"/>
        <v>31</v>
      </c>
      <c r="O943" s="10">
        <f t="shared" si="74"/>
        <v>29.049722222378477</v>
      </c>
    </row>
    <row r="944" spans="1:15">
      <c r="A944" s="1" t="s">
        <v>1049</v>
      </c>
      <c r="B944" s="23">
        <v>45021.898611111108</v>
      </c>
      <c r="C944" s="1" t="s">
        <v>16</v>
      </c>
      <c r="D944" s="1" t="s">
        <v>17</v>
      </c>
      <c r="E944" s="1" t="s">
        <v>33</v>
      </c>
      <c r="F944" s="1" t="s">
        <v>162</v>
      </c>
      <c r="G944" s="1">
        <v>179</v>
      </c>
      <c r="H944" s="23">
        <v>45030.62363425926</v>
      </c>
      <c r="I944" s="1" t="b">
        <v>0</v>
      </c>
      <c r="J944" s="1">
        <v>4</v>
      </c>
      <c r="K944" s="10">
        <f t="shared" si="72"/>
        <v>209.4005555556505</v>
      </c>
      <c r="L944" s="1" t="str">
        <f t="shared" si="73"/>
        <v>OK</v>
      </c>
      <c r="M944" s="1">
        <f t="shared" si="70"/>
        <v>1</v>
      </c>
      <c r="N944" s="1">
        <f t="shared" si="71"/>
        <v>179</v>
      </c>
      <c r="O944" s="10">
        <f t="shared" si="74"/>
        <v>209.4005555556505</v>
      </c>
    </row>
    <row r="945" spans="1:15">
      <c r="A945" s="1" t="s">
        <v>1050</v>
      </c>
      <c r="B945" s="23">
        <v>45021.95208333333</v>
      </c>
      <c r="C945" s="1" t="s">
        <v>16</v>
      </c>
      <c r="D945" s="1" t="s">
        <v>12</v>
      </c>
      <c r="E945" s="1" t="s">
        <v>33</v>
      </c>
      <c r="F945" s="1" t="s">
        <v>72</v>
      </c>
      <c r="G945" s="1">
        <v>248</v>
      </c>
      <c r="H945" s="23">
        <v>45035.074201388888</v>
      </c>
      <c r="I945" s="1" t="b">
        <v>0</v>
      </c>
      <c r="K945" s="10">
        <f t="shared" si="72"/>
        <v>314.93083333340473</v>
      </c>
      <c r="L945" s="1" t="str">
        <f t="shared" si="73"/>
        <v>OK</v>
      </c>
      <c r="M945" s="1">
        <f t="shared" si="70"/>
        <v>1</v>
      </c>
      <c r="N945" s="1">
        <f t="shared" si="71"/>
        <v>248</v>
      </c>
      <c r="O945" s="10">
        <f t="shared" si="74"/>
        <v>314.93083333340473</v>
      </c>
    </row>
    <row r="946" spans="1:15">
      <c r="A946" s="1" t="s">
        <v>1051</v>
      </c>
      <c r="B946" s="23">
        <v>45022.017361111109</v>
      </c>
      <c r="C946" s="1" t="s">
        <v>16</v>
      </c>
      <c r="D946" s="1" t="s">
        <v>59</v>
      </c>
      <c r="E946" s="1" t="s">
        <v>18</v>
      </c>
      <c r="F946" s="1" t="s">
        <v>66</v>
      </c>
      <c r="G946" s="1">
        <v>160</v>
      </c>
      <c r="H946" s="23">
        <v>45022.324479166666</v>
      </c>
      <c r="I946" s="1" t="b">
        <v>0</v>
      </c>
      <c r="K946" s="10">
        <f t="shared" si="72"/>
        <v>7.3708333333488554</v>
      </c>
      <c r="L946" s="1" t="str">
        <f t="shared" si="73"/>
        <v>OK</v>
      </c>
      <c r="M946" s="1">
        <f t="shared" si="70"/>
        <v>1</v>
      </c>
      <c r="N946" s="1">
        <f t="shared" si="71"/>
        <v>160</v>
      </c>
      <c r="O946" s="10">
        <f t="shared" si="74"/>
        <v>7.3708333333488554</v>
      </c>
    </row>
    <row r="947" spans="1:15">
      <c r="A947" s="1" t="s">
        <v>1052</v>
      </c>
      <c r="B947" s="23">
        <v>45022.134722222225</v>
      </c>
      <c r="C947" s="1" t="s">
        <v>16</v>
      </c>
      <c r="D947" s="1" t="s">
        <v>21</v>
      </c>
      <c r="E947" s="1" t="s">
        <v>18</v>
      </c>
      <c r="F947" s="1" t="s">
        <v>80</v>
      </c>
      <c r="G947" s="1">
        <v>642</v>
      </c>
      <c r="H947" s="23">
        <v>45022.386481481481</v>
      </c>
      <c r="I947" s="1" t="b">
        <v>0</v>
      </c>
      <c r="K947" s="10">
        <f t="shared" si="72"/>
        <v>6.0422222221386619</v>
      </c>
      <c r="L947" s="1" t="str">
        <f t="shared" si="73"/>
        <v>Review</v>
      </c>
      <c r="M947" s="1">
        <f t="shared" si="70"/>
        <v>1</v>
      </c>
      <c r="N947" s="1" t="str">
        <f t="shared" si="71"/>
        <v/>
      </c>
      <c r="O947" s="10" t="str">
        <f t="shared" si="74"/>
        <v/>
      </c>
    </row>
    <row r="948" spans="1:15">
      <c r="A948" s="1" t="s">
        <v>1053</v>
      </c>
      <c r="B948" s="23">
        <v>45022.224999999999</v>
      </c>
      <c r="C948" s="1" t="s">
        <v>25</v>
      </c>
      <c r="D948" s="1" t="s">
        <v>26</v>
      </c>
      <c r="E948" s="1" t="s">
        <v>18</v>
      </c>
      <c r="F948" s="1" t="s">
        <v>98</v>
      </c>
      <c r="G948" s="1">
        <v>358</v>
      </c>
      <c r="H948" s="23">
        <v>45023.728067129632</v>
      </c>
      <c r="I948" s="1" t="b">
        <v>0</v>
      </c>
      <c r="J948" s="1">
        <v>3</v>
      </c>
      <c r="K948" s="10">
        <f t="shared" si="72"/>
        <v>36.073611111205537</v>
      </c>
      <c r="L948" s="1" t="str">
        <f t="shared" si="73"/>
        <v>OK</v>
      </c>
      <c r="M948" s="1">
        <f t="shared" si="70"/>
        <v>1</v>
      </c>
      <c r="N948" s="1">
        <f t="shared" si="71"/>
        <v>358</v>
      </c>
      <c r="O948" s="10">
        <f t="shared" si="74"/>
        <v>36.073611111205537</v>
      </c>
    </row>
    <row r="949" spans="1:15">
      <c r="A949" s="1" t="s">
        <v>1054</v>
      </c>
      <c r="B949" s="23">
        <v>45022.751388888886</v>
      </c>
      <c r="C949" s="1" t="s">
        <v>25</v>
      </c>
      <c r="D949" s="1" t="s">
        <v>26</v>
      </c>
      <c r="E949" s="1" t="s">
        <v>13</v>
      </c>
      <c r="F949" s="1" t="s">
        <v>72</v>
      </c>
      <c r="G949" s="1">
        <v>13</v>
      </c>
      <c r="H949" s="23">
        <v>45023.728541666664</v>
      </c>
      <c r="I949" s="1" t="b">
        <v>0</v>
      </c>
      <c r="K949" s="10">
        <f t="shared" si="72"/>
        <v>23.451666666660458</v>
      </c>
      <c r="L949" s="1" t="str">
        <f t="shared" si="73"/>
        <v>OK</v>
      </c>
      <c r="M949" s="1">
        <f t="shared" si="70"/>
        <v>1</v>
      </c>
      <c r="N949" s="1">
        <f t="shared" si="71"/>
        <v>13</v>
      </c>
      <c r="O949" s="10">
        <f t="shared" si="74"/>
        <v>23.451666666660458</v>
      </c>
    </row>
    <row r="950" spans="1:15">
      <c r="A950" s="1" t="s">
        <v>1055</v>
      </c>
      <c r="B950" s="23">
        <v>45022.802083333336</v>
      </c>
      <c r="C950" s="1" t="s">
        <v>43</v>
      </c>
      <c r="D950" s="1" t="s">
        <v>21</v>
      </c>
      <c r="E950" s="1" t="s">
        <v>18</v>
      </c>
      <c r="F950" s="1" t="s">
        <v>27</v>
      </c>
      <c r="G950" s="1">
        <v>99</v>
      </c>
      <c r="H950" s="23">
        <v>45022.867673611108</v>
      </c>
      <c r="I950" s="1" t="b">
        <v>0</v>
      </c>
      <c r="J950" s="1">
        <v>2</v>
      </c>
      <c r="K950" s="10">
        <f t="shared" si="72"/>
        <v>1.5741666665417142</v>
      </c>
      <c r="L950" s="1" t="str">
        <f t="shared" si="73"/>
        <v>Review</v>
      </c>
      <c r="M950" s="1">
        <f t="shared" si="70"/>
        <v>1</v>
      </c>
      <c r="N950" s="1" t="str">
        <f t="shared" si="71"/>
        <v/>
      </c>
      <c r="O950" s="10" t="str">
        <f t="shared" si="74"/>
        <v/>
      </c>
    </row>
    <row r="951" spans="1:15">
      <c r="A951" s="1" t="s">
        <v>1056</v>
      </c>
      <c r="B951" s="23">
        <v>45022.854861111111</v>
      </c>
      <c r="C951" s="1" t="s">
        <v>11</v>
      </c>
      <c r="D951" s="1" t="s">
        <v>26</v>
      </c>
      <c r="E951" s="1" t="s">
        <v>13</v>
      </c>
      <c r="F951" s="1" t="s">
        <v>130</v>
      </c>
      <c r="G951" s="1">
        <v>38</v>
      </c>
      <c r="H951" s="23">
        <v>45022.925381944442</v>
      </c>
      <c r="I951" s="1" t="b">
        <v>0</v>
      </c>
      <c r="K951" s="10">
        <f t="shared" si="72"/>
        <v>1.692499999946449</v>
      </c>
      <c r="L951" s="1" t="str">
        <f t="shared" si="73"/>
        <v>OK</v>
      </c>
      <c r="M951" s="1">
        <f t="shared" si="70"/>
        <v>1</v>
      </c>
      <c r="N951" s="1">
        <f t="shared" si="71"/>
        <v>38</v>
      </c>
      <c r="O951" s="10">
        <f t="shared" si="74"/>
        <v>1.692499999946449</v>
      </c>
    </row>
    <row r="952" spans="1:15">
      <c r="A952" s="1" t="s">
        <v>1057</v>
      </c>
      <c r="B952" s="23">
        <v>45022.902777777781</v>
      </c>
      <c r="C952" s="1" t="s">
        <v>25</v>
      </c>
      <c r="D952" s="1" t="s">
        <v>12</v>
      </c>
      <c r="E952" s="1" t="s">
        <v>13</v>
      </c>
      <c r="F952" s="1" t="s">
        <v>31</v>
      </c>
      <c r="G952" s="1">
        <v>13</v>
      </c>
      <c r="H952" s="23">
        <v>45023.501331018517</v>
      </c>
      <c r="I952" s="1" t="b">
        <v>0</v>
      </c>
      <c r="K952" s="10">
        <f t="shared" si="72"/>
        <v>14.365277777658775</v>
      </c>
      <c r="L952" s="1" t="str">
        <f t="shared" si="73"/>
        <v>OK</v>
      </c>
      <c r="M952" s="1">
        <f t="shared" si="70"/>
        <v>1</v>
      </c>
      <c r="N952" s="1">
        <f t="shared" si="71"/>
        <v>13</v>
      </c>
      <c r="O952" s="10">
        <f t="shared" si="74"/>
        <v>14.365277777658775</v>
      </c>
    </row>
    <row r="953" spans="1:15">
      <c r="A953" s="1" t="s">
        <v>1058</v>
      </c>
      <c r="B953" s="23">
        <v>45023.137499999997</v>
      </c>
      <c r="C953" s="1" t="s">
        <v>11</v>
      </c>
      <c r="D953" s="1" t="s">
        <v>59</v>
      </c>
      <c r="E953" s="1" t="s">
        <v>18</v>
      </c>
      <c r="F953" s="1" t="s">
        <v>78</v>
      </c>
      <c r="G953" s="1">
        <v>44</v>
      </c>
      <c r="H953" s="23">
        <v>45023.626388888886</v>
      </c>
      <c r="I953" s="1" t="b">
        <v>0</v>
      </c>
      <c r="J953" s="1">
        <v>5</v>
      </c>
      <c r="K953" s="10">
        <f t="shared" si="72"/>
        <v>11.733333333337214</v>
      </c>
      <c r="L953" s="1" t="str">
        <f t="shared" si="73"/>
        <v>OK</v>
      </c>
      <c r="M953" s="1">
        <f t="shared" si="70"/>
        <v>1</v>
      </c>
      <c r="N953" s="1">
        <f t="shared" si="71"/>
        <v>44</v>
      </c>
      <c r="O953" s="10">
        <f t="shared" si="74"/>
        <v>11.733333333337214</v>
      </c>
    </row>
    <row r="954" spans="1:15">
      <c r="A954" s="1" t="s">
        <v>1059</v>
      </c>
      <c r="B954" s="23">
        <v>45023.185416666667</v>
      </c>
      <c r="C954" s="1" t="s">
        <v>43</v>
      </c>
      <c r="D954" s="1" t="s">
        <v>17</v>
      </c>
      <c r="E954" s="1" t="s">
        <v>18</v>
      </c>
      <c r="F954" s="1" t="s">
        <v>345</v>
      </c>
      <c r="G954" s="1">
        <v>99</v>
      </c>
      <c r="H954" s="23">
        <v>45023.548460648148</v>
      </c>
      <c r="I954" s="1" t="b">
        <v>1</v>
      </c>
      <c r="J954" s="1">
        <v>4</v>
      </c>
      <c r="K954" s="10">
        <f t="shared" si="72"/>
        <v>8.7130555555340834</v>
      </c>
      <c r="L954" s="1" t="str">
        <f t="shared" si="73"/>
        <v>OK</v>
      </c>
      <c r="M954" s="1">
        <f t="shared" si="70"/>
        <v>1</v>
      </c>
      <c r="N954" s="1">
        <f t="shared" si="71"/>
        <v>99</v>
      </c>
      <c r="O954" s="10">
        <f t="shared" si="74"/>
        <v>8.7130555555340834</v>
      </c>
    </row>
    <row r="955" spans="1:15">
      <c r="A955" s="1" t="s">
        <v>1060</v>
      </c>
      <c r="B955" s="23">
        <v>45023.213194444441</v>
      </c>
      <c r="C955" s="1" t="s">
        <v>25</v>
      </c>
      <c r="D955" s="1" t="s">
        <v>12</v>
      </c>
      <c r="E955" s="1" t="s">
        <v>13</v>
      </c>
      <c r="F955" s="1" t="s">
        <v>37</v>
      </c>
      <c r="G955" s="1">
        <v>34</v>
      </c>
      <c r="H955" s="23">
        <v>45023.286909722221</v>
      </c>
      <c r="I955" s="1" t="b">
        <v>0</v>
      </c>
      <c r="K955" s="10">
        <f t="shared" si="72"/>
        <v>1.7691666667233221</v>
      </c>
      <c r="L955" s="1" t="str">
        <f t="shared" si="73"/>
        <v>OK</v>
      </c>
      <c r="M955" s="1">
        <f t="shared" si="70"/>
        <v>1</v>
      </c>
      <c r="N955" s="1">
        <f t="shared" si="71"/>
        <v>34</v>
      </c>
      <c r="O955" s="10">
        <f t="shared" si="74"/>
        <v>1.7691666667233221</v>
      </c>
    </row>
    <row r="956" spans="1:15">
      <c r="A956" s="1" t="s">
        <v>1061</v>
      </c>
      <c r="B956" s="23">
        <v>45023.277777777781</v>
      </c>
      <c r="C956" s="1" t="s">
        <v>11</v>
      </c>
      <c r="D956" s="1" t="s">
        <v>17</v>
      </c>
      <c r="E956" s="1" t="s">
        <v>18</v>
      </c>
      <c r="F956" s="1" t="s">
        <v>234</v>
      </c>
      <c r="G956" s="1">
        <v>217</v>
      </c>
      <c r="H956" s="23">
        <v>45023.949583333335</v>
      </c>
      <c r="I956" s="1" t="b">
        <v>0</v>
      </c>
      <c r="J956" s="1">
        <v>3</v>
      </c>
      <c r="K956" s="10">
        <f t="shared" si="72"/>
        <v>16.123333333292976</v>
      </c>
      <c r="L956" s="1" t="str">
        <f t="shared" si="73"/>
        <v>OK</v>
      </c>
      <c r="M956" s="1">
        <f t="shared" si="70"/>
        <v>1</v>
      </c>
      <c r="N956" s="1">
        <f t="shared" si="71"/>
        <v>217</v>
      </c>
      <c r="O956" s="10">
        <f t="shared" si="74"/>
        <v>16.123333333292976</v>
      </c>
    </row>
    <row r="957" spans="1:15">
      <c r="A957" s="1" t="s">
        <v>1062</v>
      </c>
      <c r="B957" s="23">
        <v>45023.541666666664</v>
      </c>
      <c r="C957" s="1" t="s">
        <v>16</v>
      </c>
      <c r="D957" s="1" t="s">
        <v>17</v>
      </c>
      <c r="E957" s="1" t="s">
        <v>13</v>
      </c>
      <c r="F957" s="1" t="s">
        <v>201</v>
      </c>
      <c r="G957" s="1">
        <v>153</v>
      </c>
      <c r="H957" s="23">
        <v>45024.529930555553</v>
      </c>
      <c r="I957" s="1" t="b">
        <v>0</v>
      </c>
      <c r="K957" s="10">
        <f t="shared" si="72"/>
        <v>23.718333333323244</v>
      </c>
      <c r="L957" s="1" t="str">
        <f t="shared" si="73"/>
        <v>OK</v>
      </c>
      <c r="M957" s="1">
        <f t="shared" si="70"/>
        <v>1</v>
      </c>
      <c r="N957" s="1">
        <f t="shared" si="71"/>
        <v>153</v>
      </c>
      <c r="O957" s="10">
        <f t="shared" si="74"/>
        <v>23.718333333323244</v>
      </c>
    </row>
    <row r="958" spans="1:15">
      <c r="A958" s="1" t="s">
        <v>1063</v>
      </c>
      <c r="B958" s="23">
        <v>45023.794444444444</v>
      </c>
      <c r="C958" s="1" t="s">
        <v>16</v>
      </c>
      <c r="D958" s="1" t="s">
        <v>21</v>
      </c>
      <c r="E958" s="1" t="s">
        <v>13</v>
      </c>
      <c r="F958" s="1" t="s">
        <v>66</v>
      </c>
      <c r="G958" s="1">
        <v>52</v>
      </c>
      <c r="H958" s="23">
        <v>45023.971944444442</v>
      </c>
      <c r="I958" s="1" t="b">
        <v>0</v>
      </c>
      <c r="J958" s="1">
        <v>5</v>
      </c>
      <c r="K958" s="10">
        <f t="shared" si="72"/>
        <v>4.2599999999511056</v>
      </c>
      <c r="L958" s="1" t="str">
        <f t="shared" si="73"/>
        <v>OK</v>
      </c>
      <c r="M958" s="1">
        <f t="shared" si="70"/>
        <v>1</v>
      </c>
      <c r="N958" s="1">
        <f t="shared" si="71"/>
        <v>52</v>
      </c>
      <c r="O958" s="10">
        <f t="shared" si="74"/>
        <v>4.2599999999511056</v>
      </c>
    </row>
    <row r="959" spans="1:15">
      <c r="A959" s="1" t="s">
        <v>1064</v>
      </c>
      <c r="B959" s="23">
        <v>45023.961805555555</v>
      </c>
      <c r="C959" s="1" t="s">
        <v>11</v>
      </c>
      <c r="D959" s="1" t="s">
        <v>59</v>
      </c>
      <c r="E959" s="1" t="s">
        <v>33</v>
      </c>
      <c r="F959" s="1" t="s">
        <v>392</v>
      </c>
      <c r="G959" s="1">
        <v>589</v>
      </c>
      <c r="H959" s="23">
        <v>45025.129074074073</v>
      </c>
      <c r="I959" s="1" t="b">
        <v>0</v>
      </c>
      <c r="K959" s="10">
        <f t="shared" si="72"/>
        <v>28.014444444444962</v>
      </c>
      <c r="L959" s="1" t="str">
        <f t="shared" si="73"/>
        <v>OK</v>
      </c>
      <c r="M959" s="1">
        <f t="shared" si="70"/>
        <v>1</v>
      </c>
      <c r="N959" s="1">
        <f t="shared" si="71"/>
        <v>589</v>
      </c>
      <c r="O959" s="10">
        <f t="shared" si="74"/>
        <v>28.014444444444962</v>
      </c>
    </row>
    <row r="960" spans="1:15">
      <c r="A960" s="1" t="s">
        <v>1065</v>
      </c>
      <c r="B960" s="23">
        <v>45024.179166666669</v>
      </c>
      <c r="C960" s="1" t="s">
        <v>25</v>
      </c>
      <c r="D960" s="1" t="s">
        <v>12</v>
      </c>
      <c r="E960" s="1" t="s">
        <v>18</v>
      </c>
      <c r="F960" s="1" t="s">
        <v>19</v>
      </c>
      <c r="G960" s="1">
        <v>49</v>
      </c>
      <c r="H960" s="23">
        <v>45025.129942129628</v>
      </c>
      <c r="I960" s="1" t="b">
        <v>0</v>
      </c>
      <c r="K960" s="10">
        <f t="shared" si="72"/>
        <v>22.818611111026257</v>
      </c>
      <c r="L960" s="1" t="str">
        <f t="shared" si="73"/>
        <v>OK</v>
      </c>
      <c r="M960" s="1">
        <f t="shared" si="70"/>
        <v>1</v>
      </c>
      <c r="N960" s="1">
        <f t="shared" si="71"/>
        <v>49</v>
      </c>
      <c r="O960" s="10">
        <f t="shared" si="74"/>
        <v>22.818611111026257</v>
      </c>
    </row>
    <row r="961" spans="1:15">
      <c r="A961" s="1" t="s">
        <v>1066</v>
      </c>
      <c r="B961" s="23">
        <v>45024.254166666666</v>
      </c>
      <c r="C961" s="1" t="s">
        <v>11</v>
      </c>
      <c r="D961" s="1" t="s">
        <v>59</v>
      </c>
      <c r="E961" s="1" t="s">
        <v>18</v>
      </c>
      <c r="F961" s="1" t="s">
        <v>76</v>
      </c>
      <c r="G961" s="1">
        <v>291</v>
      </c>
      <c r="H961" s="23">
        <v>45027.618668981479</v>
      </c>
      <c r="I961" s="1" t="b">
        <v>1</v>
      </c>
      <c r="K961" s="10">
        <f t="shared" si="72"/>
        <v>80.748055555508472</v>
      </c>
      <c r="L961" s="1" t="str">
        <f t="shared" si="73"/>
        <v>OK</v>
      </c>
      <c r="M961" s="1">
        <f t="shared" si="70"/>
        <v>1</v>
      </c>
      <c r="N961" s="1">
        <f t="shared" si="71"/>
        <v>291</v>
      </c>
      <c r="O961" s="10">
        <f t="shared" si="74"/>
        <v>80.748055555508472</v>
      </c>
    </row>
    <row r="962" spans="1:15">
      <c r="A962" s="1" t="s">
        <v>1067</v>
      </c>
      <c r="B962" s="23">
        <v>45024.289583333331</v>
      </c>
      <c r="C962" s="1" t="s">
        <v>16</v>
      </c>
      <c r="D962" s="1" t="s">
        <v>26</v>
      </c>
      <c r="E962" s="1" t="s">
        <v>18</v>
      </c>
      <c r="F962" s="1" t="s">
        <v>41</v>
      </c>
      <c r="G962" s="1">
        <v>69</v>
      </c>
      <c r="H962" s="23">
        <v>45024.984074074076</v>
      </c>
      <c r="I962" s="1" t="b">
        <v>0</v>
      </c>
      <c r="J962" s="1">
        <v>5</v>
      </c>
      <c r="K962" s="10">
        <f t="shared" si="72"/>
        <v>16.667777777882293</v>
      </c>
      <c r="L962" s="1" t="str">
        <f t="shared" si="73"/>
        <v>OK</v>
      </c>
      <c r="M962" s="1">
        <f t="shared" ref="M962:M1025" si="75">COUNTIF($A$2:$A$4001,A962)</f>
        <v>1</v>
      </c>
      <c r="N962" s="1">
        <f t="shared" ref="N962:N1025" si="76">IF(OR(L962="Review",G962=""),"",G962)</f>
        <v>69</v>
      </c>
      <c r="O962" s="10">
        <f t="shared" si="74"/>
        <v>16.667777777882293</v>
      </c>
    </row>
    <row r="963" spans="1:15">
      <c r="A963" s="1" t="s">
        <v>1068</v>
      </c>
      <c r="B963" s="23">
        <v>45024.420138888891</v>
      </c>
      <c r="C963" s="1" t="s">
        <v>43</v>
      </c>
      <c r="D963" s="1" t="s">
        <v>21</v>
      </c>
      <c r="E963" s="1" t="s">
        <v>18</v>
      </c>
      <c r="F963" s="1" t="s">
        <v>23</v>
      </c>
      <c r="G963" s="1">
        <v>110</v>
      </c>
      <c r="H963" s="23">
        <v>45030.96738425926</v>
      </c>
      <c r="I963" s="1" t="b">
        <v>0</v>
      </c>
      <c r="K963" s="10">
        <f t="shared" ref="K963:K1026" si="77">IF(H963="","",(H963-B963)*24)</f>
        <v>157.1338888888713</v>
      </c>
      <c r="L963" s="1" t="str">
        <f t="shared" ref="L963:L1026" si="78">IF(OR(G963="",K963=""),"Cannot check",IF(G963&gt;K963*60,"Review","OK"))</f>
        <v>OK</v>
      </c>
      <c r="M963" s="1">
        <f t="shared" si="75"/>
        <v>1</v>
      </c>
      <c r="N963" s="1">
        <f t="shared" si="76"/>
        <v>110</v>
      </c>
      <c r="O963" s="10">
        <f t="shared" ref="O963:O1026" si="79">IF(OR(L963="Review",K963=""),"",K963)</f>
        <v>157.1338888888713</v>
      </c>
    </row>
    <row r="964" spans="1:15">
      <c r="A964" s="1" t="s">
        <v>1069</v>
      </c>
      <c r="B964" s="23">
        <v>45024.4375</v>
      </c>
      <c r="C964" s="1" t="s">
        <v>43</v>
      </c>
      <c r="D964" s="1" t="s">
        <v>17</v>
      </c>
      <c r="E964" s="1" t="s">
        <v>13</v>
      </c>
      <c r="F964" s="1" t="s">
        <v>44</v>
      </c>
      <c r="G964" s="1">
        <v>24</v>
      </c>
      <c r="H964" s="23">
        <v>45025.490937499999</v>
      </c>
      <c r="I964" s="1" t="b">
        <v>0</v>
      </c>
      <c r="J964" s="1">
        <v>3</v>
      </c>
      <c r="K964" s="10">
        <f t="shared" si="77"/>
        <v>25.28249999997206</v>
      </c>
      <c r="L964" s="1" t="str">
        <f t="shared" si="78"/>
        <v>OK</v>
      </c>
      <c r="M964" s="1">
        <f t="shared" si="75"/>
        <v>1</v>
      </c>
      <c r="N964" s="1">
        <f t="shared" si="76"/>
        <v>24</v>
      </c>
      <c r="O964" s="10">
        <f t="shared" si="79"/>
        <v>25.28249999997206</v>
      </c>
    </row>
    <row r="965" spans="1:15">
      <c r="A965" s="1" t="s">
        <v>1070</v>
      </c>
      <c r="B965" s="23">
        <v>45024.635416666664</v>
      </c>
      <c r="C965" s="1" t="s">
        <v>11</v>
      </c>
      <c r="D965" s="1" t="s">
        <v>59</v>
      </c>
      <c r="E965" s="1" t="s">
        <v>18</v>
      </c>
      <c r="F965" s="1" t="s">
        <v>224</v>
      </c>
      <c r="G965" s="1">
        <v>42</v>
      </c>
      <c r="H965" s="23">
        <v>45025.117303240739</v>
      </c>
      <c r="I965" s="1" t="b">
        <v>0</v>
      </c>
      <c r="K965" s="10">
        <f t="shared" si="77"/>
        <v>11.565277777786832</v>
      </c>
      <c r="L965" s="1" t="str">
        <f t="shared" si="78"/>
        <v>OK</v>
      </c>
      <c r="M965" s="1">
        <f t="shared" si="75"/>
        <v>1</v>
      </c>
      <c r="N965" s="1">
        <f t="shared" si="76"/>
        <v>42</v>
      </c>
      <c r="O965" s="10">
        <f t="shared" si="79"/>
        <v>11.565277777786832</v>
      </c>
    </row>
    <row r="966" spans="1:15">
      <c r="A966" s="1" t="s">
        <v>1071</v>
      </c>
      <c r="B966" s="23">
        <v>45024.861805555556</v>
      </c>
      <c r="C966" s="1" t="s">
        <v>25</v>
      </c>
      <c r="D966" s="1" t="s">
        <v>12</v>
      </c>
      <c r="E966" s="1" t="s">
        <v>33</v>
      </c>
      <c r="F966" s="1" t="s">
        <v>60</v>
      </c>
      <c r="G966" s="1">
        <v>153</v>
      </c>
      <c r="H966" s="23">
        <v>45028.181423611109</v>
      </c>
      <c r="I966" s="1" t="b">
        <v>0</v>
      </c>
      <c r="K966" s="10">
        <f t="shared" si="77"/>
        <v>79.670833333279006</v>
      </c>
      <c r="L966" s="1" t="str">
        <f t="shared" si="78"/>
        <v>OK</v>
      </c>
      <c r="M966" s="1">
        <f t="shared" si="75"/>
        <v>1</v>
      </c>
      <c r="N966" s="1">
        <f t="shared" si="76"/>
        <v>153</v>
      </c>
      <c r="O966" s="10">
        <f t="shared" si="79"/>
        <v>79.670833333279006</v>
      </c>
    </row>
    <row r="967" spans="1:15">
      <c r="A967" s="1" t="s">
        <v>1072</v>
      </c>
      <c r="B967" s="23">
        <v>45024.93472222222</v>
      </c>
      <c r="C967" s="1" t="s">
        <v>25</v>
      </c>
      <c r="D967" s="1" t="s">
        <v>59</v>
      </c>
      <c r="E967" s="1" t="s">
        <v>33</v>
      </c>
      <c r="F967" s="1" t="s">
        <v>96</v>
      </c>
      <c r="H967" s="23">
        <v>45028.732916666668</v>
      </c>
      <c r="I967" s="1" t="b">
        <v>0</v>
      </c>
      <c r="J967" s="1">
        <v>5</v>
      </c>
      <c r="K967" s="10">
        <f t="shared" si="77"/>
        <v>91.156666666734964</v>
      </c>
      <c r="L967" s="1" t="str">
        <f t="shared" si="78"/>
        <v>Cannot check</v>
      </c>
      <c r="M967" s="1">
        <f t="shared" si="75"/>
        <v>1</v>
      </c>
      <c r="N967" s="1" t="str">
        <f t="shared" si="76"/>
        <v/>
      </c>
      <c r="O967" s="10">
        <f t="shared" si="79"/>
        <v>91.156666666734964</v>
      </c>
    </row>
    <row r="968" spans="1:15">
      <c r="A968" s="1" t="s">
        <v>1073</v>
      </c>
      <c r="B968" s="23">
        <v>45024.986111111109</v>
      </c>
      <c r="C968" s="1" t="s">
        <v>43</v>
      </c>
      <c r="D968" s="1" t="s">
        <v>21</v>
      </c>
      <c r="E968" s="1" t="s">
        <v>33</v>
      </c>
      <c r="F968" s="1" t="s">
        <v>153</v>
      </c>
      <c r="G968" s="1">
        <v>345</v>
      </c>
      <c r="H968" s="23">
        <v>45025.456053240741</v>
      </c>
      <c r="I968" s="1" t="b">
        <v>1</v>
      </c>
      <c r="J968" s="1">
        <v>3</v>
      </c>
      <c r="K968" s="10">
        <f t="shared" si="77"/>
        <v>11.278611111163627</v>
      </c>
      <c r="L968" s="1" t="str">
        <f t="shared" si="78"/>
        <v>OK</v>
      </c>
      <c r="M968" s="1">
        <f t="shared" si="75"/>
        <v>1</v>
      </c>
      <c r="N968" s="1">
        <f t="shared" si="76"/>
        <v>345</v>
      </c>
      <c r="O968" s="10">
        <f t="shared" si="79"/>
        <v>11.278611111163627</v>
      </c>
    </row>
    <row r="969" spans="1:15">
      <c r="A969" s="1" t="s">
        <v>1074</v>
      </c>
      <c r="B969" s="23">
        <v>45025.020138888889</v>
      </c>
      <c r="C969" s="1" t="s">
        <v>43</v>
      </c>
      <c r="D969" s="1" t="s">
        <v>26</v>
      </c>
      <c r="E969" s="1" t="s">
        <v>18</v>
      </c>
      <c r="F969" s="1" t="s">
        <v>237</v>
      </c>
      <c r="G969" s="1">
        <v>28</v>
      </c>
      <c r="H969" s="23">
        <v>45029.788784722223</v>
      </c>
      <c r="I969" s="1" t="b">
        <v>0</v>
      </c>
      <c r="K969" s="10">
        <f t="shared" si="77"/>
        <v>114.44750000000931</v>
      </c>
      <c r="L969" s="1" t="str">
        <f t="shared" si="78"/>
        <v>OK</v>
      </c>
      <c r="M969" s="1">
        <f t="shared" si="75"/>
        <v>1</v>
      </c>
      <c r="N969" s="1">
        <f t="shared" si="76"/>
        <v>28</v>
      </c>
      <c r="O969" s="10">
        <f t="shared" si="79"/>
        <v>114.44750000000931</v>
      </c>
    </row>
    <row r="970" spans="1:15">
      <c r="A970" s="1" t="s">
        <v>1075</v>
      </c>
      <c r="B970" s="23">
        <v>45025.143055555556</v>
      </c>
      <c r="C970" s="1" t="s">
        <v>16</v>
      </c>
      <c r="D970" s="1" t="s">
        <v>59</v>
      </c>
      <c r="E970" s="1" t="s">
        <v>13</v>
      </c>
      <c r="F970" s="1" t="s">
        <v>76</v>
      </c>
      <c r="G970" s="1">
        <v>18</v>
      </c>
      <c r="H970" s="23">
        <v>45025.217581018522</v>
      </c>
      <c r="I970" s="1" t="b">
        <v>0</v>
      </c>
      <c r="K970" s="10">
        <f t="shared" si="77"/>
        <v>1.7886111111729406</v>
      </c>
      <c r="L970" s="1" t="str">
        <f t="shared" si="78"/>
        <v>OK</v>
      </c>
      <c r="M970" s="1">
        <f t="shared" si="75"/>
        <v>1</v>
      </c>
      <c r="N970" s="1">
        <f t="shared" si="76"/>
        <v>18</v>
      </c>
      <c r="O970" s="10">
        <f t="shared" si="79"/>
        <v>1.7886111111729406</v>
      </c>
    </row>
    <row r="971" spans="1:15">
      <c r="A971" s="1" t="s">
        <v>1076</v>
      </c>
      <c r="B971" s="23">
        <v>45025.162499999999</v>
      </c>
      <c r="C971" s="1" t="s">
        <v>25</v>
      </c>
      <c r="D971" s="1" t="s">
        <v>12</v>
      </c>
      <c r="E971" s="1" t="s">
        <v>33</v>
      </c>
      <c r="F971" s="1" t="s">
        <v>35</v>
      </c>
      <c r="G971" s="1">
        <v>264</v>
      </c>
      <c r="H971" s="23">
        <v>45026.353703703702</v>
      </c>
      <c r="I971" s="1" t="b">
        <v>0</v>
      </c>
      <c r="J971" s="1">
        <v>5</v>
      </c>
      <c r="K971" s="10">
        <f t="shared" si="77"/>
        <v>28.588888888887595</v>
      </c>
      <c r="L971" s="1" t="str">
        <f t="shared" si="78"/>
        <v>OK</v>
      </c>
      <c r="M971" s="1">
        <f t="shared" si="75"/>
        <v>1</v>
      </c>
      <c r="N971" s="1">
        <f t="shared" si="76"/>
        <v>264</v>
      </c>
      <c r="O971" s="10">
        <f t="shared" si="79"/>
        <v>28.588888888887595</v>
      </c>
    </row>
    <row r="972" spans="1:15">
      <c r="A972" s="1" t="s">
        <v>1077</v>
      </c>
      <c r="B972" s="23">
        <v>45025.163194444445</v>
      </c>
      <c r="C972" s="1" t="s">
        <v>11</v>
      </c>
      <c r="D972" s="1" t="s">
        <v>17</v>
      </c>
      <c r="E972" s="1" t="s">
        <v>18</v>
      </c>
      <c r="F972" s="1" t="s">
        <v>178</v>
      </c>
      <c r="G972" s="1">
        <v>156</v>
      </c>
      <c r="H972" s="23">
        <v>45025.622662037036</v>
      </c>
      <c r="I972" s="1" t="b">
        <v>0</v>
      </c>
      <c r="K972" s="10">
        <f t="shared" si="77"/>
        <v>11.0272222221829</v>
      </c>
      <c r="L972" s="1" t="str">
        <f t="shared" si="78"/>
        <v>OK</v>
      </c>
      <c r="M972" s="1">
        <f t="shared" si="75"/>
        <v>1</v>
      </c>
      <c r="N972" s="1">
        <f t="shared" si="76"/>
        <v>156</v>
      </c>
      <c r="O972" s="10">
        <f t="shared" si="79"/>
        <v>11.0272222221829</v>
      </c>
    </row>
    <row r="973" spans="1:15">
      <c r="A973" s="1" t="s">
        <v>1078</v>
      </c>
      <c r="B973" s="23">
        <v>45025.356944444444</v>
      </c>
      <c r="C973" s="1" t="s">
        <v>43</v>
      </c>
      <c r="D973" s="1" t="s">
        <v>17</v>
      </c>
      <c r="E973" s="1" t="s">
        <v>13</v>
      </c>
      <c r="F973" s="1" t="s">
        <v>80</v>
      </c>
      <c r="G973" s="1">
        <v>24</v>
      </c>
      <c r="H973" s="23">
        <v>45025.787638888891</v>
      </c>
      <c r="I973" s="1" t="b">
        <v>1</v>
      </c>
      <c r="J973" s="1">
        <v>4</v>
      </c>
      <c r="K973" s="10">
        <f t="shared" si="77"/>
        <v>10.336666666727979</v>
      </c>
      <c r="L973" s="1" t="str">
        <f t="shared" si="78"/>
        <v>OK</v>
      </c>
      <c r="M973" s="1">
        <f t="shared" si="75"/>
        <v>1</v>
      </c>
      <c r="N973" s="1">
        <f t="shared" si="76"/>
        <v>24</v>
      </c>
      <c r="O973" s="10">
        <f t="shared" si="79"/>
        <v>10.336666666727979</v>
      </c>
    </row>
    <row r="974" spans="1:15">
      <c r="A974" s="1" t="s">
        <v>1079</v>
      </c>
      <c r="B974" s="23">
        <v>45025.409722222219</v>
      </c>
      <c r="C974" s="1" t="s">
        <v>16</v>
      </c>
      <c r="D974" s="1" t="s">
        <v>12</v>
      </c>
      <c r="E974" s="1" t="s">
        <v>13</v>
      </c>
      <c r="F974" s="1" t="s">
        <v>70</v>
      </c>
      <c r="G974" s="1">
        <v>74</v>
      </c>
      <c r="H974" s="23">
        <v>45025.585011574076</v>
      </c>
      <c r="I974" s="1" t="b">
        <v>0</v>
      </c>
      <c r="J974" s="1">
        <v>3</v>
      </c>
      <c r="K974" s="10">
        <f t="shared" si="77"/>
        <v>4.2069444445660338</v>
      </c>
      <c r="L974" s="1" t="str">
        <f t="shared" si="78"/>
        <v>OK</v>
      </c>
      <c r="M974" s="1">
        <f t="shared" si="75"/>
        <v>1</v>
      </c>
      <c r="N974" s="1">
        <f t="shared" si="76"/>
        <v>74</v>
      </c>
      <c r="O974" s="10">
        <f t="shared" si="79"/>
        <v>4.2069444445660338</v>
      </c>
    </row>
    <row r="975" spans="1:15">
      <c r="A975" s="1" t="s">
        <v>1080</v>
      </c>
      <c r="B975" s="23">
        <v>45025.501388888886</v>
      </c>
      <c r="C975" s="1" t="s">
        <v>16</v>
      </c>
      <c r="D975" s="1" t="s">
        <v>12</v>
      </c>
      <c r="E975" s="1" t="s">
        <v>18</v>
      </c>
      <c r="F975" s="1" t="s">
        <v>239</v>
      </c>
      <c r="G975" s="1">
        <v>187</v>
      </c>
      <c r="H975" s="23">
        <v>45026.304594907408</v>
      </c>
      <c r="I975" s="1" t="b">
        <v>0</v>
      </c>
      <c r="J975" s="1">
        <v>1</v>
      </c>
      <c r="K975" s="10">
        <f t="shared" si="77"/>
        <v>19.276944444514811</v>
      </c>
      <c r="L975" s="1" t="str">
        <f t="shared" si="78"/>
        <v>OK</v>
      </c>
      <c r="M975" s="1">
        <f t="shared" si="75"/>
        <v>1</v>
      </c>
      <c r="N975" s="1">
        <f t="shared" si="76"/>
        <v>187</v>
      </c>
      <c r="O975" s="10">
        <f t="shared" si="79"/>
        <v>19.276944444514811</v>
      </c>
    </row>
    <row r="976" spans="1:15">
      <c r="A976" s="1" t="s">
        <v>1081</v>
      </c>
      <c r="B976" s="23">
        <v>45025.729861111111</v>
      </c>
      <c r="C976" s="1" t="s">
        <v>25</v>
      </c>
      <c r="D976" s="1" t="s">
        <v>26</v>
      </c>
      <c r="E976" s="1" t="s">
        <v>33</v>
      </c>
      <c r="F976" s="1" t="s">
        <v>112</v>
      </c>
      <c r="G976" s="1">
        <v>78</v>
      </c>
      <c r="H976" s="23">
        <v>45036.027592592596</v>
      </c>
      <c r="I976" s="1" t="b">
        <v>0</v>
      </c>
      <c r="K976" s="10">
        <f t="shared" si="77"/>
        <v>247.14555555564584</v>
      </c>
      <c r="L976" s="1" t="str">
        <f t="shared" si="78"/>
        <v>OK</v>
      </c>
      <c r="M976" s="1">
        <f t="shared" si="75"/>
        <v>1</v>
      </c>
      <c r="N976" s="1">
        <f t="shared" si="76"/>
        <v>78</v>
      </c>
      <c r="O976" s="10">
        <f t="shared" si="79"/>
        <v>247.14555555564584</v>
      </c>
    </row>
    <row r="977" spans="1:15">
      <c r="A977" s="1" t="s">
        <v>1082</v>
      </c>
      <c r="B977" s="23">
        <v>45025.876388888886</v>
      </c>
      <c r="C977" s="1" t="s">
        <v>16</v>
      </c>
      <c r="D977" s="1" t="s">
        <v>17</v>
      </c>
      <c r="E977" s="1" t="s">
        <v>18</v>
      </c>
      <c r="F977" s="1" t="s">
        <v>392</v>
      </c>
      <c r="G977" s="1">
        <v>272</v>
      </c>
      <c r="I977" s="1" t="b">
        <v>0</v>
      </c>
      <c r="K977" s="10" t="str">
        <f t="shared" si="77"/>
        <v/>
      </c>
      <c r="L977" s="1" t="str">
        <f t="shared" si="78"/>
        <v>Cannot check</v>
      </c>
      <c r="M977" s="1">
        <f t="shared" si="75"/>
        <v>1</v>
      </c>
      <c r="N977" s="1">
        <f t="shared" si="76"/>
        <v>272</v>
      </c>
      <c r="O977" s="10" t="str">
        <f t="shared" si="79"/>
        <v/>
      </c>
    </row>
    <row r="978" spans="1:15">
      <c r="A978" s="1" t="s">
        <v>1083</v>
      </c>
      <c r="B978" s="23">
        <v>45025.968055555553</v>
      </c>
      <c r="C978" s="1" t="s">
        <v>25</v>
      </c>
      <c r="D978" s="1" t="s">
        <v>21</v>
      </c>
      <c r="E978" s="1" t="s">
        <v>22</v>
      </c>
      <c r="F978" s="1" t="s">
        <v>100</v>
      </c>
      <c r="G978" s="1">
        <v>2</v>
      </c>
      <c r="H978" s="23">
        <v>45026.007523148146</v>
      </c>
      <c r="I978" s="1" t="b">
        <v>0</v>
      </c>
      <c r="K978" s="10">
        <f t="shared" si="77"/>
        <v>0.94722222222480923</v>
      </c>
      <c r="L978" s="1" t="str">
        <f t="shared" si="78"/>
        <v>OK</v>
      </c>
      <c r="M978" s="1">
        <f t="shared" si="75"/>
        <v>1</v>
      </c>
      <c r="N978" s="1">
        <f t="shared" si="76"/>
        <v>2</v>
      </c>
      <c r="O978" s="10">
        <f t="shared" si="79"/>
        <v>0.94722222222480923</v>
      </c>
    </row>
    <row r="979" spans="1:15">
      <c r="A979" s="1" t="s">
        <v>1084</v>
      </c>
      <c r="B979" s="23">
        <v>45026.050694444442</v>
      </c>
      <c r="C979" s="1" t="s">
        <v>11</v>
      </c>
      <c r="D979" s="1" t="s">
        <v>12</v>
      </c>
      <c r="E979" s="1" t="s">
        <v>18</v>
      </c>
      <c r="F979" s="1" t="s">
        <v>19</v>
      </c>
      <c r="G979" s="1">
        <v>5</v>
      </c>
      <c r="H979" s="23">
        <v>45027.216087962966</v>
      </c>
      <c r="I979" s="1" t="b">
        <v>0</v>
      </c>
      <c r="J979" s="1">
        <v>4</v>
      </c>
      <c r="K979" s="10">
        <f t="shared" si="77"/>
        <v>27.969444444577675</v>
      </c>
      <c r="L979" s="1" t="str">
        <f t="shared" si="78"/>
        <v>OK</v>
      </c>
      <c r="M979" s="1">
        <f t="shared" si="75"/>
        <v>1</v>
      </c>
      <c r="N979" s="1">
        <f t="shared" si="76"/>
        <v>5</v>
      </c>
      <c r="O979" s="10">
        <f t="shared" si="79"/>
        <v>27.969444444577675</v>
      </c>
    </row>
    <row r="980" spans="1:15">
      <c r="A980" s="1" t="s">
        <v>1085</v>
      </c>
      <c r="B980" s="23">
        <v>45026.099305555559</v>
      </c>
      <c r="C980" s="1" t="s">
        <v>11</v>
      </c>
      <c r="D980" s="1" t="s">
        <v>21</v>
      </c>
      <c r="E980" s="1" t="s">
        <v>18</v>
      </c>
      <c r="F980" s="1" t="s">
        <v>44</v>
      </c>
      <c r="G980" s="1">
        <v>18</v>
      </c>
      <c r="H980" s="23">
        <v>45027.274976851855</v>
      </c>
      <c r="I980" s="1" t="b">
        <v>0</v>
      </c>
      <c r="K980" s="10">
        <f t="shared" si="77"/>
        <v>28.21611111110542</v>
      </c>
      <c r="L980" s="1" t="str">
        <f t="shared" si="78"/>
        <v>OK</v>
      </c>
      <c r="M980" s="1">
        <f t="shared" si="75"/>
        <v>1</v>
      </c>
      <c r="N980" s="1">
        <f t="shared" si="76"/>
        <v>18</v>
      </c>
      <c r="O980" s="10">
        <f t="shared" si="79"/>
        <v>28.21611111110542</v>
      </c>
    </row>
    <row r="981" spans="1:15">
      <c r="A981" s="1" t="s">
        <v>1086</v>
      </c>
      <c r="B981" s="23">
        <v>45026.175000000003</v>
      </c>
      <c r="C981" s="1" t="s">
        <v>11</v>
      </c>
      <c r="D981" s="1" t="s">
        <v>17</v>
      </c>
      <c r="E981" s="1" t="s">
        <v>13</v>
      </c>
      <c r="F981" s="1" t="s">
        <v>175</v>
      </c>
      <c r="G981" s="1">
        <v>66</v>
      </c>
      <c r="H981" s="23">
        <v>45046.255752314813</v>
      </c>
      <c r="I981" s="1" t="b">
        <v>0</v>
      </c>
      <c r="J981" s="1">
        <v>4</v>
      </c>
      <c r="K981" s="10">
        <f t="shared" si="77"/>
        <v>481.93805555545259</v>
      </c>
      <c r="L981" s="1" t="str">
        <f t="shared" si="78"/>
        <v>OK</v>
      </c>
      <c r="M981" s="1">
        <f t="shared" si="75"/>
        <v>1</v>
      </c>
      <c r="N981" s="1">
        <f t="shared" si="76"/>
        <v>66</v>
      </c>
      <c r="O981" s="10">
        <f t="shared" si="79"/>
        <v>481.93805555545259</v>
      </c>
    </row>
    <row r="982" spans="1:15">
      <c r="A982" s="1" t="s">
        <v>1087</v>
      </c>
      <c r="B982" s="23">
        <v>45026.250694444447</v>
      </c>
      <c r="C982" s="1" t="s">
        <v>16</v>
      </c>
      <c r="D982" s="1" t="s">
        <v>59</v>
      </c>
      <c r="E982" s="1" t="s">
        <v>18</v>
      </c>
      <c r="F982" s="1" t="s">
        <v>128</v>
      </c>
      <c r="G982" s="1">
        <v>34</v>
      </c>
      <c r="H982" s="23">
        <v>45028.480381944442</v>
      </c>
      <c r="I982" s="1" t="b">
        <v>0</v>
      </c>
      <c r="J982" s="1">
        <v>5</v>
      </c>
      <c r="K982" s="10">
        <f t="shared" si="77"/>
        <v>53.512499999895226</v>
      </c>
      <c r="L982" s="1" t="str">
        <f t="shared" si="78"/>
        <v>OK</v>
      </c>
      <c r="M982" s="1">
        <f t="shared" si="75"/>
        <v>1</v>
      </c>
      <c r="N982" s="1">
        <f t="shared" si="76"/>
        <v>34</v>
      </c>
      <c r="O982" s="10">
        <f t="shared" si="79"/>
        <v>53.512499999895226</v>
      </c>
    </row>
    <row r="983" spans="1:15">
      <c r="A983" s="1" t="s">
        <v>1088</v>
      </c>
      <c r="B983" s="23">
        <v>45026.279166666667</v>
      </c>
      <c r="C983" s="1" t="s">
        <v>25</v>
      </c>
      <c r="D983" s="1" t="s">
        <v>26</v>
      </c>
      <c r="E983" s="1" t="s">
        <v>18</v>
      </c>
      <c r="F983" s="1" t="s">
        <v>132</v>
      </c>
      <c r="G983" s="1">
        <v>28</v>
      </c>
      <c r="H983" s="23">
        <v>45027.173402777778</v>
      </c>
      <c r="I983" s="1" t="b">
        <v>0</v>
      </c>
      <c r="J983" s="1">
        <v>5</v>
      </c>
      <c r="K983" s="10">
        <f t="shared" si="77"/>
        <v>21.461666666669771</v>
      </c>
      <c r="L983" s="1" t="str">
        <f t="shared" si="78"/>
        <v>OK</v>
      </c>
      <c r="M983" s="1">
        <f t="shared" si="75"/>
        <v>1</v>
      </c>
      <c r="N983" s="1">
        <f t="shared" si="76"/>
        <v>28</v>
      </c>
      <c r="O983" s="10">
        <f t="shared" si="79"/>
        <v>21.461666666669771</v>
      </c>
    </row>
    <row r="984" spans="1:15">
      <c r="A984" s="1" t="s">
        <v>1089</v>
      </c>
      <c r="B984" s="23">
        <v>45026.362500000003</v>
      </c>
      <c r="C984" s="1" t="s">
        <v>16</v>
      </c>
      <c r="D984" s="1" t="s">
        <v>17</v>
      </c>
      <c r="E984" s="1" t="s">
        <v>18</v>
      </c>
      <c r="F984" s="1" t="s">
        <v>128</v>
      </c>
      <c r="G984" s="1">
        <v>152</v>
      </c>
      <c r="H984" s="23">
        <v>45026.681273148148</v>
      </c>
      <c r="I984" s="1" t="b">
        <v>0</v>
      </c>
      <c r="K984" s="10">
        <f t="shared" si="77"/>
        <v>7.6505555554758757</v>
      </c>
      <c r="L984" s="1" t="str">
        <f t="shared" si="78"/>
        <v>OK</v>
      </c>
      <c r="M984" s="1">
        <f t="shared" si="75"/>
        <v>1</v>
      </c>
      <c r="N984" s="1">
        <f t="shared" si="76"/>
        <v>152</v>
      </c>
      <c r="O984" s="10">
        <f t="shared" si="79"/>
        <v>7.6505555554758757</v>
      </c>
    </row>
    <row r="985" spans="1:15">
      <c r="A985" s="1" t="s">
        <v>1090</v>
      </c>
      <c r="B985" s="23">
        <v>45026.381249999999</v>
      </c>
      <c r="C985" s="1" t="s">
        <v>11</v>
      </c>
      <c r="D985" s="1" t="s">
        <v>26</v>
      </c>
      <c r="E985" s="1" t="s">
        <v>18</v>
      </c>
      <c r="F985" s="1" t="s">
        <v>317</v>
      </c>
      <c r="G985" s="1">
        <v>679</v>
      </c>
      <c r="H985" s="23">
        <v>45030.786192129628</v>
      </c>
      <c r="I985" s="1" t="b">
        <v>0</v>
      </c>
      <c r="K985" s="10">
        <f t="shared" si="77"/>
        <v>105.71861111110775</v>
      </c>
      <c r="L985" s="1" t="str">
        <f t="shared" si="78"/>
        <v>OK</v>
      </c>
      <c r="M985" s="1">
        <f t="shared" si="75"/>
        <v>1</v>
      </c>
      <c r="N985" s="1">
        <f t="shared" si="76"/>
        <v>679</v>
      </c>
      <c r="O985" s="10">
        <f t="shared" si="79"/>
        <v>105.71861111110775</v>
      </c>
    </row>
    <row r="986" spans="1:15">
      <c r="A986" s="1" t="s">
        <v>1091</v>
      </c>
      <c r="B986" s="23">
        <v>45026.447916666664</v>
      </c>
      <c r="C986" s="1" t="s">
        <v>43</v>
      </c>
      <c r="D986" s="1" t="s">
        <v>21</v>
      </c>
      <c r="E986" s="1" t="s">
        <v>18</v>
      </c>
      <c r="F986" s="1" t="s">
        <v>120</v>
      </c>
      <c r="G986" s="1">
        <v>60</v>
      </c>
      <c r="H986" s="23">
        <v>45029.695416666669</v>
      </c>
      <c r="I986" s="1" t="b">
        <v>0</v>
      </c>
      <c r="J986" s="1">
        <v>5</v>
      </c>
      <c r="K986" s="10">
        <f t="shared" si="77"/>
        <v>77.940000000118744</v>
      </c>
      <c r="L986" s="1" t="str">
        <f t="shared" si="78"/>
        <v>OK</v>
      </c>
      <c r="M986" s="1">
        <f t="shared" si="75"/>
        <v>1</v>
      </c>
      <c r="N986" s="1">
        <f t="shared" si="76"/>
        <v>60</v>
      </c>
      <c r="O986" s="10">
        <f t="shared" si="79"/>
        <v>77.940000000118744</v>
      </c>
    </row>
    <row r="987" spans="1:15">
      <c r="A987" s="1" t="s">
        <v>1092</v>
      </c>
      <c r="B987" s="23">
        <v>45026.454861111109</v>
      </c>
      <c r="C987" s="1" t="s">
        <v>16</v>
      </c>
      <c r="D987" s="1" t="s">
        <v>21</v>
      </c>
      <c r="E987" s="1" t="s">
        <v>18</v>
      </c>
      <c r="F987" s="1" t="s">
        <v>153</v>
      </c>
      <c r="G987" s="1">
        <v>526</v>
      </c>
      <c r="H987" s="23">
        <v>45030.903402777774</v>
      </c>
      <c r="I987" s="1" t="b">
        <v>0</v>
      </c>
      <c r="K987" s="10">
        <f t="shared" si="77"/>
        <v>106.76499999995576</v>
      </c>
      <c r="L987" s="1" t="str">
        <f t="shared" si="78"/>
        <v>OK</v>
      </c>
      <c r="M987" s="1">
        <f t="shared" si="75"/>
        <v>1</v>
      </c>
      <c r="N987" s="1">
        <f t="shared" si="76"/>
        <v>526</v>
      </c>
      <c r="O987" s="10">
        <f t="shared" si="79"/>
        <v>106.76499999995576</v>
      </c>
    </row>
    <row r="988" spans="1:15">
      <c r="A988" s="1" t="s">
        <v>1093</v>
      </c>
      <c r="B988" s="23">
        <v>45026.652777777781</v>
      </c>
      <c r="C988" s="1" t="s">
        <v>25</v>
      </c>
      <c r="D988" s="1" t="s">
        <v>17</v>
      </c>
      <c r="E988" s="1" t="s">
        <v>33</v>
      </c>
      <c r="F988" s="1" t="s">
        <v>29</v>
      </c>
      <c r="G988" s="1">
        <v>65</v>
      </c>
      <c r="I988" s="1" t="b">
        <v>0</v>
      </c>
      <c r="K988" s="10" t="str">
        <f t="shared" si="77"/>
        <v/>
      </c>
      <c r="L988" s="1" t="str">
        <f t="shared" si="78"/>
        <v>Cannot check</v>
      </c>
      <c r="M988" s="1">
        <f t="shared" si="75"/>
        <v>1</v>
      </c>
      <c r="N988" s="1">
        <f t="shared" si="76"/>
        <v>65</v>
      </c>
      <c r="O988" s="10" t="str">
        <f t="shared" si="79"/>
        <v/>
      </c>
    </row>
    <row r="989" spans="1:15">
      <c r="A989" s="1" t="s">
        <v>1094</v>
      </c>
      <c r="B989" s="23">
        <v>45026.680555555555</v>
      </c>
      <c r="C989" s="1" t="s">
        <v>16</v>
      </c>
      <c r="D989" s="1" t="s">
        <v>59</v>
      </c>
      <c r="E989" s="1" t="s">
        <v>33</v>
      </c>
      <c r="F989" s="1" t="s">
        <v>96</v>
      </c>
      <c r="G989" s="1">
        <v>181</v>
      </c>
      <c r="H989" s="23">
        <v>45028.300520833334</v>
      </c>
      <c r="I989" s="1" t="b">
        <v>0</v>
      </c>
      <c r="K989" s="10">
        <f t="shared" si="77"/>
        <v>38.879166666709352</v>
      </c>
      <c r="L989" s="1" t="str">
        <f t="shared" si="78"/>
        <v>OK</v>
      </c>
      <c r="M989" s="1">
        <f t="shared" si="75"/>
        <v>1</v>
      </c>
      <c r="N989" s="1">
        <f t="shared" si="76"/>
        <v>181</v>
      </c>
      <c r="O989" s="10">
        <f t="shared" si="79"/>
        <v>38.879166666709352</v>
      </c>
    </row>
    <row r="990" spans="1:15">
      <c r="A990" s="1" t="s">
        <v>1095</v>
      </c>
      <c r="B990" s="23">
        <v>45026.754861111112</v>
      </c>
      <c r="C990" s="1" t="s">
        <v>16</v>
      </c>
      <c r="D990" s="1" t="s">
        <v>17</v>
      </c>
      <c r="E990" s="1" t="s">
        <v>33</v>
      </c>
      <c r="F990" s="1" t="s">
        <v>108</v>
      </c>
      <c r="G990" s="1">
        <v>233</v>
      </c>
      <c r="H990" s="23">
        <v>45031.948969907404</v>
      </c>
      <c r="I990" s="1" t="b">
        <v>0</v>
      </c>
      <c r="J990" s="1">
        <v>5</v>
      </c>
      <c r="K990" s="10">
        <f t="shared" si="77"/>
        <v>124.65861111099366</v>
      </c>
      <c r="L990" s="1" t="str">
        <f t="shared" si="78"/>
        <v>OK</v>
      </c>
      <c r="M990" s="1">
        <f t="shared" si="75"/>
        <v>1</v>
      </c>
      <c r="N990" s="1">
        <f t="shared" si="76"/>
        <v>233</v>
      </c>
      <c r="O990" s="10">
        <f t="shared" si="79"/>
        <v>124.65861111099366</v>
      </c>
    </row>
    <row r="991" spans="1:15">
      <c r="A991" s="1" t="s">
        <v>1096</v>
      </c>
      <c r="B991" s="23">
        <v>45026.897916666669</v>
      </c>
      <c r="C991" s="1" t="s">
        <v>25</v>
      </c>
      <c r="D991" s="1" t="s">
        <v>21</v>
      </c>
      <c r="E991" s="1" t="s">
        <v>18</v>
      </c>
      <c r="F991" s="1" t="s">
        <v>31</v>
      </c>
      <c r="G991" s="1">
        <v>95</v>
      </c>
      <c r="H991" s="23">
        <v>45026.981979166667</v>
      </c>
      <c r="I991" s="1" t="b">
        <v>0</v>
      </c>
      <c r="K991" s="10">
        <f t="shared" si="77"/>
        <v>2.0174999999580905</v>
      </c>
      <c r="L991" s="1" t="str">
        <f t="shared" si="78"/>
        <v>OK</v>
      </c>
      <c r="M991" s="1">
        <f t="shared" si="75"/>
        <v>1</v>
      </c>
      <c r="N991" s="1">
        <f t="shared" si="76"/>
        <v>95</v>
      </c>
      <c r="O991" s="10">
        <f t="shared" si="79"/>
        <v>2.0174999999580905</v>
      </c>
    </row>
    <row r="992" spans="1:15">
      <c r="A992" s="1" t="s">
        <v>1097</v>
      </c>
      <c r="B992" s="23">
        <v>45026.990277777775</v>
      </c>
      <c r="C992" s="1" t="s">
        <v>16</v>
      </c>
      <c r="D992" s="1" t="s">
        <v>26</v>
      </c>
      <c r="E992" s="1" t="s">
        <v>13</v>
      </c>
      <c r="F992" s="1" t="s">
        <v>57</v>
      </c>
      <c r="G992" s="1">
        <v>68</v>
      </c>
      <c r="I992" s="1" t="b">
        <v>0</v>
      </c>
      <c r="K992" s="10" t="str">
        <f t="shared" si="77"/>
        <v/>
      </c>
      <c r="L992" s="1" t="str">
        <f t="shared" si="78"/>
        <v>Cannot check</v>
      </c>
      <c r="M992" s="1">
        <f t="shared" si="75"/>
        <v>1</v>
      </c>
      <c r="N992" s="1">
        <f t="shared" si="76"/>
        <v>68</v>
      </c>
      <c r="O992" s="10" t="str">
        <f t="shared" si="79"/>
        <v/>
      </c>
    </row>
    <row r="993" spans="1:15">
      <c r="A993" s="1" t="s">
        <v>1098</v>
      </c>
      <c r="B993" s="23">
        <v>45027.03125</v>
      </c>
      <c r="C993" s="1" t="s">
        <v>16</v>
      </c>
      <c r="D993" s="1" t="s">
        <v>17</v>
      </c>
      <c r="E993" s="1" t="s">
        <v>18</v>
      </c>
      <c r="F993" s="1" t="s">
        <v>76</v>
      </c>
      <c r="G993" s="1">
        <v>56</v>
      </c>
      <c r="H993" s="23">
        <v>45028.356770833336</v>
      </c>
      <c r="I993" s="1" t="b">
        <v>0</v>
      </c>
      <c r="J993" s="1">
        <v>4</v>
      </c>
      <c r="K993" s="10">
        <f t="shared" si="77"/>
        <v>31.812500000058208</v>
      </c>
      <c r="L993" s="1" t="str">
        <f t="shared" si="78"/>
        <v>OK</v>
      </c>
      <c r="M993" s="1">
        <f t="shared" si="75"/>
        <v>1</v>
      </c>
      <c r="N993" s="1">
        <f t="shared" si="76"/>
        <v>56</v>
      </c>
      <c r="O993" s="10">
        <f t="shared" si="79"/>
        <v>31.812500000058208</v>
      </c>
    </row>
    <row r="994" spans="1:15">
      <c r="A994" s="1" t="s">
        <v>1099</v>
      </c>
      <c r="B994" s="23">
        <v>45027.100694444445</v>
      </c>
      <c r="C994" s="1" t="s">
        <v>16</v>
      </c>
      <c r="D994" s="1" t="s">
        <v>17</v>
      </c>
      <c r="E994" s="1" t="s">
        <v>18</v>
      </c>
      <c r="F994" s="1" t="s">
        <v>215</v>
      </c>
      <c r="G994" s="1">
        <v>146</v>
      </c>
      <c r="H994" s="23">
        <v>45047.031851851854</v>
      </c>
      <c r="I994" s="1" t="b">
        <v>0</v>
      </c>
      <c r="K994" s="10">
        <f t="shared" si="77"/>
        <v>478.3477777778171</v>
      </c>
      <c r="L994" s="1" t="str">
        <f t="shared" si="78"/>
        <v>OK</v>
      </c>
      <c r="M994" s="1">
        <f t="shared" si="75"/>
        <v>1</v>
      </c>
      <c r="N994" s="1">
        <f t="shared" si="76"/>
        <v>146</v>
      </c>
      <c r="O994" s="10">
        <f t="shared" si="79"/>
        <v>478.3477777778171</v>
      </c>
    </row>
    <row r="995" spans="1:15">
      <c r="A995" s="1" t="s">
        <v>1100</v>
      </c>
      <c r="B995" s="23">
        <v>45027.177083333336</v>
      </c>
      <c r="C995" s="1" t="s">
        <v>25</v>
      </c>
      <c r="D995" s="1" t="s">
        <v>21</v>
      </c>
      <c r="E995" s="1" t="s">
        <v>18</v>
      </c>
      <c r="F995" s="1" t="s">
        <v>415</v>
      </c>
      <c r="G995" s="1">
        <v>174</v>
      </c>
      <c r="H995" s="23">
        <v>45027.254479166666</v>
      </c>
      <c r="I995" s="1" t="b">
        <v>0</v>
      </c>
      <c r="K995" s="10">
        <f t="shared" si="77"/>
        <v>1.8574999999254942</v>
      </c>
      <c r="L995" s="1" t="str">
        <f t="shared" si="78"/>
        <v>Review</v>
      </c>
      <c r="M995" s="1">
        <f t="shared" si="75"/>
        <v>1</v>
      </c>
      <c r="N995" s="1" t="str">
        <f t="shared" si="76"/>
        <v/>
      </c>
      <c r="O995" s="10" t="str">
        <f t="shared" si="79"/>
        <v/>
      </c>
    </row>
    <row r="996" spans="1:15">
      <c r="A996" s="1" t="s">
        <v>1101</v>
      </c>
      <c r="B996" s="23">
        <v>45027.279861111114</v>
      </c>
      <c r="C996" s="1" t="s">
        <v>16</v>
      </c>
      <c r="D996" s="1" t="s">
        <v>21</v>
      </c>
      <c r="E996" s="1" t="s">
        <v>33</v>
      </c>
      <c r="F996" s="1" t="s">
        <v>68</v>
      </c>
      <c r="G996" s="1">
        <v>214</v>
      </c>
      <c r="H996" s="23">
        <v>45028.573275462964</v>
      </c>
      <c r="I996" s="1" t="b">
        <v>0</v>
      </c>
      <c r="K996" s="10">
        <f t="shared" si="77"/>
        <v>31.041944444412366</v>
      </c>
      <c r="L996" s="1" t="str">
        <f t="shared" si="78"/>
        <v>OK</v>
      </c>
      <c r="M996" s="1">
        <f t="shared" si="75"/>
        <v>1</v>
      </c>
      <c r="N996" s="1">
        <f t="shared" si="76"/>
        <v>214</v>
      </c>
      <c r="O996" s="10">
        <f t="shared" si="79"/>
        <v>31.041944444412366</v>
      </c>
    </row>
    <row r="997" spans="1:15">
      <c r="A997" s="1" t="s">
        <v>1102</v>
      </c>
      <c r="B997" s="23">
        <v>45027.298611111109</v>
      </c>
      <c r="C997" s="1" t="s">
        <v>25</v>
      </c>
      <c r="D997" s="1" t="s">
        <v>12</v>
      </c>
      <c r="E997" s="1" t="s">
        <v>13</v>
      </c>
      <c r="F997" s="1" t="s">
        <v>118</v>
      </c>
      <c r="G997" s="1">
        <v>142</v>
      </c>
      <c r="H997" s="23">
        <v>45027.395949074074</v>
      </c>
      <c r="I997" s="1" t="b">
        <v>0</v>
      </c>
      <c r="K997" s="10">
        <f t="shared" si="77"/>
        <v>2.3361111111589707</v>
      </c>
      <c r="L997" s="1" t="str">
        <f t="shared" si="78"/>
        <v>Review</v>
      </c>
      <c r="M997" s="1">
        <f t="shared" si="75"/>
        <v>1</v>
      </c>
      <c r="N997" s="1" t="str">
        <f t="shared" si="76"/>
        <v/>
      </c>
      <c r="O997" s="10" t="str">
        <f t="shared" si="79"/>
        <v/>
      </c>
    </row>
    <row r="998" spans="1:15">
      <c r="A998" s="1" t="s">
        <v>1103</v>
      </c>
      <c r="B998" s="23">
        <v>45027.393055555556</v>
      </c>
      <c r="C998" s="1" t="s">
        <v>16</v>
      </c>
      <c r="D998" s="1" t="s">
        <v>12</v>
      </c>
      <c r="E998" s="1" t="s">
        <v>18</v>
      </c>
      <c r="F998" s="1" t="s">
        <v>90</v>
      </c>
      <c r="G998" s="1">
        <v>179</v>
      </c>
      <c r="H998" s="23">
        <v>45027.506041666667</v>
      </c>
      <c r="I998" s="1" t="b">
        <v>0</v>
      </c>
      <c r="K998" s="10">
        <f t="shared" si="77"/>
        <v>2.7116666666697711</v>
      </c>
      <c r="L998" s="1" t="str">
        <f t="shared" si="78"/>
        <v>Review</v>
      </c>
      <c r="M998" s="1">
        <f t="shared" si="75"/>
        <v>1</v>
      </c>
      <c r="N998" s="1" t="str">
        <f t="shared" si="76"/>
        <v/>
      </c>
      <c r="O998" s="10" t="str">
        <f t="shared" si="79"/>
        <v/>
      </c>
    </row>
    <row r="999" spans="1:15">
      <c r="A999" s="1" t="s">
        <v>1104</v>
      </c>
      <c r="B999" s="23">
        <v>45027.500694444447</v>
      </c>
      <c r="C999" s="1" t="s">
        <v>25</v>
      </c>
      <c r="D999" s="1" t="s">
        <v>17</v>
      </c>
      <c r="E999" s="1" t="s">
        <v>13</v>
      </c>
      <c r="F999" s="1" t="s">
        <v>29</v>
      </c>
      <c r="G999" s="1">
        <v>50</v>
      </c>
      <c r="I999" s="1" t="b">
        <v>0</v>
      </c>
      <c r="K999" s="10" t="str">
        <f t="shared" si="77"/>
        <v/>
      </c>
      <c r="L999" s="1" t="str">
        <f t="shared" si="78"/>
        <v>Cannot check</v>
      </c>
      <c r="M999" s="1">
        <f t="shared" si="75"/>
        <v>1</v>
      </c>
      <c r="N999" s="1">
        <f t="shared" si="76"/>
        <v>50</v>
      </c>
      <c r="O999" s="10" t="str">
        <f t="shared" si="79"/>
        <v/>
      </c>
    </row>
    <row r="1000" spans="1:15">
      <c r="A1000" s="1" t="s">
        <v>1105</v>
      </c>
      <c r="B1000" s="23">
        <v>45027.593055555553</v>
      </c>
      <c r="C1000" s="1" t="s">
        <v>25</v>
      </c>
      <c r="D1000" s="1" t="s">
        <v>12</v>
      </c>
      <c r="E1000" s="1" t="s">
        <v>18</v>
      </c>
      <c r="F1000" s="1" t="s">
        <v>41</v>
      </c>
      <c r="G1000" s="1">
        <v>11</v>
      </c>
      <c r="H1000" s="23">
        <v>45028.103344907409</v>
      </c>
      <c r="I1000" s="1" t="b">
        <v>0</v>
      </c>
      <c r="J1000" s="1">
        <v>5</v>
      </c>
      <c r="K1000" s="10">
        <f t="shared" si="77"/>
        <v>12.246944444545079</v>
      </c>
      <c r="L1000" s="1" t="str">
        <f t="shared" si="78"/>
        <v>OK</v>
      </c>
      <c r="M1000" s="1">
        <f t="shared" si="75"/>
        <v>1</v>
      </c>
      <c r="N1000" s="1">
        <f t="shared" si="76"/>
        <v>11</v>
      </c>
      <c r="O1000" s="10">
        <f t="shared" si="79"/>
        <v>12.246944444545079</v>
      </c>
    </row>
    <row r="1001" spans="1:15">
      <c r="A1001" s="1" t="s">
        <v>1106</v>
      </c>
      <c r="B1001" s="23">
        <v>45027.625</v>
      </c>
      <c r="C1001" s="1" t="s">
        <v>11</v>
      </c>
      <c r="D1001" s="1" t="s">
        <v>12</v>
      </c>
      <c r="E1001" s="1" t="s">
        <v>33</v>
      </c>
      <c r="F1001" s="1" t="s">
        <v>118</v>
      </c>
      <c r="G1001" s="1">
        <v>55</v>
      </c>
      <c r="H1001" s="23">
        <v>45028.299479166664</v>
      </c>
      <c r="I1001" s="1" t="b">
        <v>0</v>
      </c>
      <c r="J1001" s="1">
        <v>5</v>
      </c>
      <c r="K1001" s="10">
        <f t="shared" si="77"/>
        <v>16.187499999941792</v>
      </c>
      <c r="L1001" s="1" t="str">
        <f t="shared" si="78"/>
        <v>OK</v>
      </c>
      <c r="M1001" s="1">
        <f t="shared" si="75"/>
        <v>1</v>
      </c>
      <c r="N1001" s="1">
        <f t="shared" si="76"/>
        <v>55</v>
      </c>
      <c r="O1001" s="10">
        <f t="shared" si="79"/>
        <v>16.187499999941792</v>
      </c>
    </row>
    <row r="1002" spans="1:15">
      <c r="A1002" s="1" t="s">
        <v>1107</v>
      </c>
      <c r="B1002" s="23">
        <v>45027.659722222219</v>
      </c>
      <c r="C1002" s="1" t="s">
        <v>16</v>
      </c>
      <c r="D1002" s="1" t="s">
        <v>17</v>
      </c>
      <c r="E1002" s="1" t="s">
        <v>18</v>
      </c>
      <c r="F1002" s="1" t="s">
        <v>80</v>
      </c>
      <c r="G1002" s="1">
        <v>86</v>
      </c>
      <c r="H1002" s="23">
        <v>45029.365300925929</v>
      </c>
      <c r="I1002" s="1" t="b">
        <v>0</v>
      </c>
      <c r="K1002" s="10">
        <f t="shared" si="77"/>
        <v>40.933888889034279</v>
      </c>
      <c r="L1002" s="1" t="str">
        <f t="shared" si="78"/>
        <v>OK</v>
      </c>
      <c r="M1002" s="1">
        <f t="shared" si="75"/>
        <v>1</v>
      </c>
      <c r="N1002" s="1">
        <f t="shared" si="76"/>
        <v>86</v>
      </c>
      <c r="O1002" s="10">
        <f t="shared" si="79"/>
        <v>40.933888889034279</v>
      </c>
    </row>
    <row r="1003" spans="1:15">
      <c r="A1003" s="1" t="s">
        <v>1108</v>
      </c>
      <c r="B1003" s="23">
        <v>45027.679861111108</v>
      </c>
      <c r="C1003" s="1" t="s">
        <v>16</v>
      </c>
      <c r="D1003" s="1" t="s">
        <v>21</v>
      </c>
      <c r="E1003" s="1" t="s">
        <v>18</v>
      </c>
      <c r="F1003" s="1" t="s">
        <v>128</v>
      </c>
      <c r="G1003" s="1">
        <v>69</v>
      </c>
      <c r="H1003" s="23">
        <v>45028.571851851855</v>
      </c>
      <c r="I1003" s="1" t="b">
        <v>0</v>
      </c>
      <c r="K1003" s="10">
        <f t="shared" si="77"/>
        <v>21.407777777931187</v>
      </c>
      <c r="L1003" s="1" t="str">
        <f t="shared" si="78"/>
        <v>OK</v>
      </c>
      <c r="M1003" s="1">
        <f t="shared" si="75"/>
        <v>1</v>
      </c>
      <c r="N1003" s="1">
        <f t="shared" si="76"/>
        <v>69</v>
      </c>
      <c r="O1003" s="10">
        <f t="shared" si="79"/>
        <v>21.407777777931187</v>
      </c>
    </row>
    <row r="1004" spans="1:15">
      <c r="A1004" s="1" t="s">
        <v>1109</v>
      </c>
      <c r="B1004" s="23">
        <v>45027.768055555556</v>
      </c>
      <c r="C1004" s="1" t="s">
        <v>25</v>
      </c>
      <c r="D1004" s="1" t="s">
        <v>59</v>
      </c>
      <c r="E1004" s="1" t="s">
        <v>18</v>
      </c>
      <c r="F1004" s="1" t="s">
        <v>234</v>
      </c>
      <c r="G1004" s="1">
        <v>224</v>
      </c>
      <c r="H1004" s="23">
        <v>45028.599594907406</v>
      </c>
      <c r="I1004" s="1" t="b">
        <v>0</v>
      </c>
      <c r="K1004" s="10">
        <f t="shared" si="77"/>
        <v>19.956944444391411</v>
      </c>
      <c r="L1004" s="1" t="str">
        <f t="shared" si="78"/>
        <v>OK</v>
      </c>
      <c r="M1004" s="1">
        <f t="shared" si="75"/>
        <v>1</v>
      </c>
      <c r="N1004" s="1">
        <f t="shared" si="76"/>
        <v>224</v>
      </c>
      <c r="O1004" s="10">
        <f t="shared" si="79"/>
        <v>19.956944444391411</v>
      </c>
    </row>
    <row r="1005" spans="1:15">
      <c r="A1005" s="1" t="s">
        <v>1110</v>
      </c>
      <c r="B1005" s="23">
        <v>45027.90902777778</v>
      </c>
      <c r="C1005" s="1" t="s">
        <v>25</v>
      </c>
      <c r="D1005" s="1" t="s">
        <v>17</v>
      </c>
      <c r="E1005" s="1" t="s">
        <v>18</v>
      </c>
      <c r="F1005" s="1" t="s">
        <v>37</v>
      </c>
      <c r="G1005" s="1">
        <v>200</v>
      </c>
      <c r="H1005" s="23">
        <v>45032.085648148146</v>
      </c>
      <c r="I1005" s="1" t="b">
        <v>0</v>
      </c>
      <c r="K1005" s="10">
        <f t="shared" si="77"/>
        <v>100.23888888879446</v>
      </c>
      <c r="L1005" s="1" t="str">
        <f t="shared" si="78"/>
        <v>OK</v>
      </c>
      <c r="M1005" s="1">
        <f t="shared" si="75"/>
        <v>1</v>
      </c>
      <c r="N1005" s="1">
        <f t="shared" si="76"/>
        <v>200</v>
      </c>
      <c r="O1005" s="10">
        <f t="shared" si="79"/>
        <v>100.23888888879446</v>
      </c>
    </row>
    <row r="1006" spans="1:15">
      <c r="A1006" s="1" t="s">
        <v>1111</v>
      </c>
      <c r="B1006" s="23">
        <v>45028.246527777781</v>
      </c>
      <c r="C1006" s="1" t="s">
        <v>11</v>
      </c>
      <c r="D1006" s="1" t="s">
        <v>59</v>
      </c>
      <c r="E1006" s="1" t="s">
        <v>18</v>
      </c>
      <c r="F1006" s="1" t="s">
        <v>66</v>
      </c>
      <c r="G1006" s="1">
        <v>27</v>
      </c>
      <c r="H1006" s="23">
        <v>45029.197650462964</v>
      </c>
      <c r="I1006" s="1" t="b">
        <v>0</v>
      </c>
      <c r="J1006" s="1">
        <v>2</v>
      </c>
      <c r="K1006" s="10">
        <f t="shared" si="77"/>
        <v>22.826944444386754</v>
      </c>
      <c r="L1006" s="1" t="str">
        <f t="shared" si="78"/>
        <v>OK</v>
      </c>
      <c r="M1006" s="1">
        <f t="shared" si="75"/>
        <v>1</v>
      </c>
      <c r="N1006" s="1">
        <f t="shared" si="76"/>
        <v>27</v>
      </c>
      <c r="O1006" s="10">
        <f t="shared" si="79"/>
        <v>22.826944444386754</v>
      </c>
    </row>
    <row r="1007" spans="1:15">
      <c r="A1007" s="1" t="s">
        <v>1112</v>
      </c>
      <c r="B1007" s="23">
        <v>45028.443749999999</v>
      </c>
      <c r="C1007" s="1" t="s">
        <v>43</v>
      </c>
      <c r="D1007" s="1" t="s">
        <v>26</v>
      </c>
      <c r="E1007" s="1" t="s">
        <v>18</v>
      </c>
      <c r="F1007" s="1" t="s">
        <v>130</v>
      </c>
      <c r="G1007" s="1">
        <v>102</v>
      </c>
      <c r="H1007" s="23">
        <v>45038.634270833332</v>
      </c>
      <c r="I1007" s="1" t="b">
        <v>0</v>
      </c>
      <c r="K1007" s="10">
        <f t="shared" si="77"/>
        <v>244.57250000000931</v>
      </c>
      <c r="L1007" s="1" t="str">
        <f t="shared" si="78"/>
        <v>OK</v>
      </c>
      <c r="M1007" s="1">
        <f t="shared" si="75"/>
        <v>1</v>
      </c>
      <c r="N1007" s="1">
        <f t="shared" si="76"/>
        <v>102</v>
      </c>
      <c r="O1007" s="10">
        <f t="shared" si="79"/>
        <v>244.57250000000931</v>
      </c>
    </row>
    <row r="1008" spans="1:15">
      <c r="A1008" s="1" t="s">
        <v>1113</v>
      </c>
      <c r="B1008" s="23">
        <v>45028.620833333334</v>
      </c>
      <c r="C1008" s="1" t="s">
        <v>25</v>
      </c>
      <c r="D1008" s="1" t="s">
        <v>21</v>
      </c>
      <c r="E1008" s="1" t="s">
        <v>13</v>
      </c>
      <c r="F1008" s="1" t="s">
        <v>64</v>
      </c>
      <c r="G1008" s="1">
        <v>99</v>
      </c>
      <c r="H1008" s="23">
        <v>45028.7653125</v>
      </c>
      <c r="I1008" s="1" t="b">
        <v>1</v>
      </c>
      <c r="K1008" s="10">
        <f t="shared" si="77"/>
        <v>3.467499999969732</v>
      </c>
      <c r="L1008" s="1" t="str">
        <f t="shared" si="78"/>
        <v>OK</v>
      </c>
      <c r="M1008" s="1">
        <f t="shared" si="75"/>
        <v>1</v>
      </c>
      <c r="N1008" s="1">
        <f t="shared" si="76"/>
        <v>99</v>
      </c>
      <c r="O1008" s="10">
        <f t="shared" si="79"/>
        <v>3.467499999969732</v>
      </c>
    </row>
    <row r="1009" spans="1:15">
      <c r="A1009" s="1" t="s">
        <v>1114</v>
      </c>
      <c r="B1009" s="23">
        <v>45028.635416666664</v>
      </c>
      <c r="C1009" s="1" t="s">
        <v>16</v>
      </c>
      <c r="D1009" s="1" t="s">
        <v>17</v>
      </c>
      <c r="E1009" s="1" t="s">
        <v>22</v>
      </c>
      <c r="F1009" s="1" t="s">
        <v>317</v>
      </c>
      <c r="G1009" s="1">
        <v>21</v>
      </c>
      <c r="H1009" s="23">
        <v>45028.654745370368</v>
      </c>
      <c r="I1009" s="1" t="b">
        <v>0</v>
      </c>
      <c r="K1009" s="10">
        <f t="shared" si="77"/>
        <v>0.46388888888759539</v>
      </c>
      <c r="L1009" s="1" t="str">
        <f t="shared" si="78"/>
        <v>OK</v>
      </c>
      <c r="M1009" s="1">
        <f t="shared" si="75"/>
        <v>1</v>
      </c>
      <c r="N1009" s="1">
        <f t="shared" si="76"/>
        <v>21</v>
      </c>
      <c r="O1009" s="10">
        <f t="shared" si="79"/>
        <v>0.46388888888759539</v>
      </c>
    </row>
    <row r="1010" spans="1:15">
      <c r="A1010" s="1" t="s">
        <v>1115</v>
      </c>
      <c r="B1010" s="23">
        <v>45028.716666666667</v>
      </c>
      <c r="C1010" s="1" t="s">
        <v>25</v>
      </c>
      <c r="D1010" s="1" t="s">
        <v>59</v>
      </c>
      <c r="E1010" s="1" t="s">
        <v>18</v>
      </c>
      <c r="F1010" s="1" t="s">
        <v>72</v>
      </c>
      <c r="G1010" s="1">
        <v>15</v>
      </c>
      <c r="H1010" s="23">
        <v>45029.047511574077</v>
      </c>
      <c r="I1010" s="1" t="b">
        <v>0</v>
      </c>
      <c r="K1010" s="10">
        <f t="shared" si="77"/>
        <v>7.94027777784504</v>
      </c>
      <c r="L1010" s="1" t="str">
        <f t="shared" si="78"/>
        <v>OK</v>
      </c>
      <c r="M1010" s="1">
        <f t="shared" si="75"/>
        <v>1</v>
      </c>
      <c r="N1010" s="1">
        <f t="shared" si="76"/>
        <v>15</v>
      </c>
      <c r="O1010" s="10">
        <f t="shared" si="79"/>
        <v>7.94027777784504</v>
      </c>
    </row>
    <row r="1011" spans="1:15">
      <c r="A1011" s="1" t="s">
        <v>1116</v>
      </c>
      <c r="B1011" s="23">
        <v>45029.131944444445</v>
      </c>
      <c r="C1011" s="1" t="s">
        <v>25</v>
      </c>
      <c r="D1011" s="1" t="s">
        <v>21</v>
      </c>
      <c r="E1011" s="1" t="s">
        <v>13</v>
      </c>
      <c r="F1011" s="1" t="s">
        <v>709</v>
      </c>
      <c r="G1011" s="1">
        <v>8</v>
      </c>
      <c r="H1011" s="23">
        <v>45035.732141203705</v>
      </c>
      <c r="I1011" s="1" t="b">
        <v>0</v>
      </c>
      <c r="K1011" s="10">
        <f t="shared" si="77"/>
        <v>158.40472222224344</v>
      </c>
      <c r="L1011" s="1" t="str">
        <f t="shared" si="78"/>
        <v>OK</v>
      </c>
      <c r="M1011" s="1">
        <f t="shared" si="75"/>
        <v>1</v>
      </c>
      <c r="N1011" s="1">
        <f t="shared" si="76"/>
        <v>8</v>
      </c>
      <c r="O1011" s="10">
        <f t="shared" si="79"/>
        <v>158.40472222224344</v>
      </c>
    </row>
    <row r="1012" spans="1:15">
      <c r="A1012" s="1" t="s">
        <v>1117</v>
      </c>
      <c r="B1012" s="23">
        <v>45029.17291666667</v>
      </c>
      <c r="C1012" s="1" t="s">
        <v>11</v>
      </c>
      <c r="D1012" s="1" t="s">
        <v>17</v>
      </c>
      <c r="E1012" s="1" t="s">
        <v>13</v>
      </c>
      <c r="F1012" s="1" t="s">
        <v>345</v>
      </c>
      <c r="G1012" s="1">
        <v>113</v>
      </c>
      <c r="H1012" s="23">
        <v>45030.212048611109</v>
      </c>
      <c r="I1012" s="1" t="b">
        <v>0</v>
      </c>
      <c r="K1012" s="10">
        <f t="shared" si="77"/>
        <v>24.939166666532401</v>
      </c>
      <c r="L1012" s="1" t="str">
        <f t="shared" si="78"/>
        <v>OK</v>
      </c>
      <c r="M1012" s="1">
        <f t="shared" si="75"/>
        <v>1</v>
      </c>
      <c r="N1012" s="1">
        <f t="shared" si="76"/>
        <v>113</v>
      </c>
      <c r="O1012" s="10">
        <f t="shared" si="79"/>
        <v>24.939166666532401</v>
      </c>
    </row>
    <row r="1013" spans="1:15">
      <c r="A1013" s="1" t="s">
        <v>1118</v>
      </c>
      <c r="B1013" s="23">
        <v>45029.191666666666</v>
      </c>
      <c r="C1013" s="1" t="s">
        <v>16</v>
      </c>
      <c r="D1013" s="1" t="s">
        <v>17</v>
      </c>
      <c r="E1013" s="1" t="s">
        <v>18</v>
      </c>
      <c r="F1013" s="1" t="s">
        <v>27</v>
      </c>
      <c r="G1013" s="1">
        <v>46</v>
      </c>
      <c r="H1013" s="23">
        <v>45031.248263888891</v>
      </c>
      <c r="I1013" s="1" t="b">
        <v>0</v>
      </c>
      <c r="J1013" s="1">
        <v>2</v>
      </c>
      <c r="K1013" s="10">
        <f t="shared" si="77"/>
        <v>49.358333333395422</v>
      </c>
      <c r="L1013" s="1" t="str">
        <f t="shared" si="78"/>
        <v>OK</v>
      </c>
      <c r="M1013" s="1">
        <f t="shared" si="75"/>
        <v>1</v>
      </c>
      <c r="N1013" s="1">
        <f t="shared" si="76"/>
        <v>46</v>
      </c>
      <c r="O1013" s="10">
        <f t="shared" si="79"/>
        <v>49.358333333395422</v>
      </c>
    </row>
    <row r="1014" spans="1:15">
      <c r="A1014" s="1" t="s">
        <v>1119</v>
      </c>
      <c r="B1014" s="23">
        <v>45029.365277777775</v>
      </c>
      <c r="C1014" s="1" t="s">
        <v>16</v>
      </c>
      <c r="D1014" s="1" t="s">
        <v>17</v>
      </c>
      <c r="E1014" s="1" t="s">
        <v>18</v>
      </c>
      <c r="F1014" s="1" t="s">
        <v>392</v>
      </c>
      <c r="G1014" s="1">
        <v>229</v>
      </c>
      <c r="H1014" s="23">
        <v>45034.001956018517</v>
      </c>
      <c r="I1014" s="1" t="b">
        <v>0</v>
      </c>
      <c r="J1014" s="1">
        <v>5</v>
      </c>
      <c r="K1014" s="10">
        <f t="shared" si="77"/>
        <v>111.28027777781244</v>
      </c>
      <c r="L1014" s="1" t="str">
        <f t="shared" si="78"/>
        <v>OK</v>
      </c>
      <c r="M1014" s="1">
        <f t="shared" si="75"/>
        <v>1</v>
      </c>
      <c r="N1014" s="1">
        <f t="shared" si="76"/>
        <v>229</v>
      </c>
      <c r="O1014" s="10">
        <f t="shared" si="79"/>
        <v>111.28027777781244</v>
      </c>
    </row>
    <row r="1015" spans="1:15">
      <c r="A1015" s="1" t="s">
        <v>1120</v>
      </c>
      <c r="B1015" s="23">
        <v>45029.478472222225</v>
      </c>
      <c r="C1015" s="1" t="s">
        <v>25</v>
      </c>
      <c r="D1015" s="1" t="s">
        <v>12</v>
      </c>
      <c r="E1015" s="1" t="s">
        <v>18</v>
      </c>
      <c r="F1015" s="1" t="s">
        <v>302</v>
      </c>
      <c r="G1015" s="1">
        <v>82</v>
      </c>
      <c r="H1015" s="23">
        <v>45032.020879629628</v>
      </c>
      <c r="I1015" s="1" t="b">
        <v>0</v>
      </c>
      <c r="K1015" s="10">
        <f t="shared" si="77"/>
        <v>61.017777777684387</v>
      </c>
      <c r="L1015" s="1" t="str">
        <f t="shared" si="78"/>
        <v>OK</v>
      </c>
      <c r="M1015" s="1">
        <f t="shared" si="75"/>
        <v>1</v>
      </c>
      <c r="N1015" s="1">
        <f t="shared" si="76"/>
        <v>82</v>
      </c>
      <c r="O1015" s="10">
        <f t="shared" si="79"/>
        <v>61.017777777684387</v>
      </c>
    </row>
    <row r="1016" spans="1:15">
      <c r="A1016" s="1" t="s">
        <v>1121</v>
      </c>
      <c r="B1016" s="23">
        <v>45029.59375</v>
      </c>
      <c r="C1016" s="1" t="s">
        <v>25</v>
      </c>
      <c r="D1016" s="1" t="s">
        <v>17</v>
      </c>
      <c r="E1016" s="1" t="s">
        <v>18</v>
      </c>
      <c r="F1016" s="1" t="s">
        <v>64</v>
      </c>
      <c r="G1016" s="1">
        <v>18</v>
      </c>
      <c r="I1016" s="1" t="b">
        <v>0</v>
      </c>
      <c r="K1016" s="10" t="str">
        <f t="shared" si="77"/>
        <v/>
      </c>
      <c r="L1016" s="1" t="str">
        <f t="shared" si="78"/>
        <v>Cannot check</v>
      </c>
      <c r="M1016" s="1">
        <f t="shared" si="75"/>
        <v>1</v>
      </c>
      <c r="N1016" s="1">
        <f t="shared" si="76"/>
        <v>18</v>
      </c>
      <c r="O1016" s="10" t="str">
        <f t="shared" si="79"/>
        <v/>
      </c>
    </row>
    <row r="1017" spans="1:15">
      <c r="A1017" s="1" t="s">
        <v>1122</v>
      </c>
      <c r="B1017" s="23">
        <v>45029.663888888892</v>
      </c>
      <c r="C1017" s="1" t="s">
        <v>11</v>
      </c>
      <c r="D1017" s="1" t="s">
        <v>21</v>
      </c>
      <c r="E1017" s="1" t="s">
        <v>18</v>
      </c>
      <c r="F1017" s="1" t="s">
        <v>35</v>
      </c>
      <c r="G1017" s="1">
        <v>474</v>
      </c>
      <c r="H1017" s="23">
        <v>45031.270775462966</v>
      </c>
      <c r="I1017" s="1" t="b">
        <v>1</v>
      </c>
      <c r="J1017" s="1">
        <v>4</v>
      </c>
      <c r="K1017" s="10">
        <f t="shared" si="77"/>
        <v>38.565277777786832</v>
      </c>
      <c r="L1017" s="1" t="str">
        <f t="shared" si="78"/>
        <v>OK</v>
      </c>
      <c r="M1017" s="1">
        <f t="shared" si="75"/>
        <v>1</v>
      </c>
      <c r="N1017" s="1">
        <f t="shared" si="76"/>
        <v>474</v>
      </c>
      <c r="O1017" s="10">
        <f t="shared" si="79"/>
        <v>38.565277777786832</v>
      </c>
    </row>
    <row r="1018" spans="1:15">
      <c r="A1018" s="1" t="s">
        <v>1123</v>
      </c>
      <c r="B1018" s="23">
        <v>45029.731249999997</v>
      </c>
      <c r="C1018" s="1" t="s">
        <v>16</v>
      </c>
      <c r="D1018" s="1" t="s">
        <v>17</v>
      </c>
      <c r="E1018" s="1" t="s">
        <v>18</v>
      </c>
      <c r="F1018" s="1" t="s">
        <v>234</v>
      </c>
      <c r="G1018" s="1">
        <v>322</v>
      </c>
      <c r="H1018" s="23">
        <v>45030.787928240738</v>
      </c>
      <c r="I1018" s="1" t="b">
        <v>0</v>
      </c>
      <c r="J1018" s="1">
        <v>2</v>
      </c>
      <c r="K1018" s="10">
        <f t="shared" si="77"/>
        <v>25.360277777770534</v>
      </c>
      <c r="L1018" s="1" t="str">
        <f t="shared" si="78"/>
        <v>OK</v>
      </c>
      <c r="M1018" s="1">
        <f t="shared" si="75"/>
        <v>1</v>
      </c>
      <c r="N1018" s="1">
        <f t="shared" si="76"/>
        <v>322</v>
      </c>
      <c r="O1018" s="10">
        <f t="shared" si="79"/>
        <v>25.360277777770534</v>
      </c>
    </row>
    <row r="1019" spans="1:15">
      <c r="A1019" s="1" t="s">
        <v>1124</v>
      </c>
      <c r="B1019" s="23">
        <v>45029.75277777778</v>
      </c>
      <c r="C1019" s="1" t="s">
        <v>16</v>
      </c>
      <c r="D1019" s="1" t="s">
        <v>59</v>
      </c>
      <c r="E1019" s="1" t="s">
        <v>18</v>
      </c>
      <c r="F1019" s="1" t="s">
        <v>74</v>
      </c>
      <c r="G1019" s="1">
        <v>139</v>
      </c>
      <c r="H1019" s="23">
        <v>45034.664733796293</v>
      </c>
      <c r="I1019" s="1" t="b">
        <v>0</v>
      </c>
      <c r="K1019" s="10">
        <f t="shared" si="77"/>
        <v>117.88694444432622</v>
      </c>
      <c r="L1019" s="1" t="str">
        <f t="shared" si="78"/>
        <v>OK</v>
      </c>
      <c r="M1019" s="1">
        <f t="shared" si="75"/>
        <v>1</v>
      </c>
      <c r="N1019" s="1">
        <f t="shared" si="76"/>
        <v>139</v>
      </c>
      <c r="O1019" s="10">
        <f t="shared" si="79"/>
        <v>117.88694444432622</v>
      </c>
    </row>
    <row r="1020" spans="1:15">
      <c r="A1020" s="1" t="s">
        <v>1125</v>
      </c>
      <c r="B1020" s="23">
        <v>45029.87777777778</v>
      </c>
      <c r="C1020" s="1" t="s">
        <v>16</v>
      </c>
      <c r="D1020" s="1" t="s">
        <v>59</v>
      </c>
      <c r="E1020" s="1" t="s">
        <v>18</v>
      </c>
      <c r="F1020" s="1" t="s">
        <v>130</v>
      </c>
      <c r="H1020" s="23">
        <v>45040.264618055553</v>
      </c>
      <c r="I1020" s="1" t="b">
        <v>1</v>
      </c>
      <c r="K1020" s="10">
        <f t="shared" si="77"/>
        <v>249.28416666656267</v>
      </c>
      <c r="L1020" s="1" t="str">
        <f t="shared" si="78"/>
        <v>Cannot check</v>
      </c>
      <c r="M1020" s="1">
        <f t="shared" si="75"/>
        <v>1</v>
      </c>
      <c r="N1020" s="1" t="str">
        <f t="shared" si="76"/>
        <v/>
      </c>
      <c r="O1020" s="10">
        <f t="shared" si="79"/>
        <v>249.28416666656267</v>
      </c>
    </row>
    <row r="1021" spans="1:15">
      <c r="A1021" s="1" t="s">
        <v>1126</v>
      </c>
      <c r="B1021" s="23">
        <v>45029.977083333331</v>
      </c>
      <c r="C1021" s="1" t="s">
        <v>43</v>
      </c>
      <c r="D1021" s="1" t="s">
        <v>12</v>
      </c>
      <c r="E1021" s="1" t="s">
        <v>13</v>
      </c>
      <c r="F1021" s="1" t="s">
        <v>178</v>
      </c>
      <c r="G1021" s="1">
        <v>85</v>
      </c>
      <c r="H1021" s="23">
        <v>45030.157037037039</v>
      </c>
      <c r="I1021" s="1" t="b">
        <v>0</v>
      </c>
      <c r="J1021" s="1">
        <v>3</v>
      </c>
      <c r="K1021" s="10">
        <f t="shared" si="77"/>
        <v>4.3188888889853843</v>
      </c>
      <c r="L1021" s="1" t="str">
        <f t="shared" si="78"/>
        <v>OK</v>
      </c>
      <c r="M1021" s="1">
        <f t="shared" si="75"/>
        <v>1</v>
      </c>
      <c r="N1021" s="1">
        <f t="shared" si="76"/>
        <v>85</v>
      </c>
      <c r="O1021" s="10">
        <f t="shared" si="79"/>
        <v>4.3188888889853843</v>
      </c>
    </row>
    <row r="1022" spans="1:15">
      <c r="A1022" s="1" t="s">
        <v>1127</v>
      </c>
      <c r="B1022" s="23">
        <v>45030.071527777778</v>
      </c>
      <c r="C1022" s="1" t="s">
        <v>16</v>
      </c>
      <c r="D1022" s="1" t="s">
        <v>17</v>
      </c>
      <c r="E1022" s="1" t="s">
        <v>18</v>
      </c>
      <c r="F1022" s="1" t="s">
        <v>237</v>
      </c>
      <c r="G1022" s="1">
        <v>266</v>
      </c>
      <c r="H1022" s="23">
        <v>45032.627418981479</v>
      </c>
      <c r="I1022" s="1" t="b">
        <v>1</v>
      </c>
      <c r="J1022" s="1">
        <v>4</v>
      </c>
      <c r="K1022" s="10">
        <f t="shared" si="77"/>
        <v>61.341388888831716</v>
      </c>
      <c r="L1022" s="1" t="str">
        <f t="shared" si="78"/>
        <v>OK</v>
      </c>
      <c r="M1022" s="1">
        <f t="shared" si="75"/>
        <v>1</v>
      </c>
      <c r="N1022" s="1">
        <f t="shared" si="76"/>
        <v>266</v>
      </c>
      <c r="O1022" s="10">
        <f t="shared" si="79"/>
        <v>61.341388888831716</v>
      </c>
    </row>
    <row r="1023" spans="1:15">
      <c r="A1023" s="1" t="s">
        <v>1128</v>
      </c>
      <c r="B1023" s="23">
        <v>45030.149305555555</v>
      </c>
      <c r="C1023" s="1" t="s">
        <v>25</v>
      </c>
      <c r="D1023" s="1" t="s">
        <v>59</v>
      </c>
      <c r="E1023" s="1" t="s">
        <v>18</v>
      </c>
      <c r="F1023" s="1" t="s">
        <v>198</v>
      </c>
      <c r="G1023" s="1">
        <v>311</v>
      </c>
      <c r="H1023" s="23">
        <v>45030.836134259262</v>
      </c>
      <c r="I1023" s="1" t="b">
        <v>0</v>
      </c>
      <c r="K1023" s="10">
        <f t="shared" si="77"/>
        <v>16.483888888964429</v>
      </c>
      <c r="L1023" s="1" t="str">
        <f t="shared" si="78"/>
        <v>OK</v>
      </c>
      <c r="M1023" s="1">
        <f t="shared" si="75"/>
        <v>1</v>
      </c>
      <c r="N1023" s="1">
        <f t="shared" si="76"/>
        <v>311</v>
      </c>
      <c r="O1023" s="10">
        <f t="shared" si="79"/>
        <v>16.483888888964429</v>
      </c>
    </row>
    <row r="1024" spans="1:15">
      <c r="A1024" s="1" t="s">
        <v>1129</v>
      </c>
      <c r="B1024" s="23">
        <v>45030.214583333334</v>
      </c>
      <c r="C1024" s="1" t="s">
        <v>25</v>
      </c>
      <c r="D1024" s="1" t="s">
        <v>17</v>
      </c>
      <c r="E1024" s="1" t="s">
        <v>13</v>
      </c>
      <c r="F1024" s="1" t="s">
        <v>48</v>
      </c>
      <c r="G1024" s="1">
        <v>91</v>
      </c>
      <c r="H1024" s="23">
        <v>45030.511805555558</v>
      </c>
      <c r="I1024" s="1" t="b">
        <v>0</v>
      </c>
      <c r="J1024" s="1">
        <v>3</v>
      </c>
      <c r="K1024" s="10">
        <f t="shared" si="77"/>
        <v>7.1333333333604969</v>
      </c>
      <c r="L1024" s="1" t="str">
        <f t="shared" si="78"/>
        <v>OK</v>
      </c>
      <c r="M1024" s="1">
        <f t="shared" si="75"/>
        <v>1</v>
      </c>
      <c r="N1024" s="1">
        <f t="shared" si="76"/>
        <v>91</v>
      </c>
      <c r="O1024" s="10">
        <f t="shared" si="79"/>
        <v>7.1333333333604969</v>
      </c>
    </row>
    <row r="1025" spans="1:15">
      <c r="A1025" s="1" t="s">
        <v>1130</v>
      </c>
      <c r="B1025" s="23">
        <v>45030.220138888886</v>
      </c>
      <c r="C1025" s="1" t="s">
        <v>11</v>
      </c>
      <c r="D1025" s="1" t="s">
        <v>12</v>
      </c>
      <c r="E1025" s="1" t="s">
        <v>18</v>
      </c>
      <c r="F1025" s="1" t="s">
        <v>302</v>
      </c>
      <c r="G1025" s="1">
        <v>100</v>
      </c>
      <c r="H1025" s="23">
        <v>45033.807847222219</v>
      </c>
      <c r="I1025" s="1" t="b">
        <v>0</v>
      </c>
      <c r="K1025" s="10">
        <f t="shared" si="77"/>
        <v>86.104999999981374</v>
      </c>
      <c r="L1025" s="1" t="str">
        <f t="shared" si="78"/>
        <v>OK</v>
      </c>
      <c r="M1025" s="1">
        <f t="shared" si="75"/>
        <v>1</v>
      </c>
      <c r="N1025" s="1">
        <f t="shared" si="76"/>
        <v>100</v>
      </c>
      <c r="O1025" s="10">
        <f t="shared" si="79"/>
        <v>86.104999999981374</v>
      </c>
    </row>
    <row r="1026" spans="1:15">
      <c r="A1026" s="1" t="s">
        <v>1131</v>
      </c>
      <c r="B1026" s="23">
        <v>45030.352777777778</v>
      </c>
      <c r="C1026" s="1" t="s">
        <v>25</v>
      </c>
      <c r="D1026" s="1" t="s">
        <v>59</v>
      </c>
      <c r="E1026" s="1" t="s">
        <v>13</v>
      </c>
      <c r="F1026" s="1" t="s">
        <v>118</v>
      </c>
      <c r="G1026" s="1">
        <v>26</v>
      </c>
      <c r="H1026" s="23">
        <v>45030.576574074075</v>
      </c>
      <c r="I1026" s="1" t="b">
        <v>0</v>
      </c>
      <c r="K1026" s="10">
        <f t="shared" si="77"/>
        <v>5.3711111111333594</v>
      </c>
      <c r="L1026" s="1" t="str">
        <f t="shared" si="78"/>
        <v>OK</v>
      </c>
      <c r="M1026" s="1">
        <f t="shared" ref="M1026:M1089" si="80">COUNTIF($A$2:$A$4001,A1026)</f>
        <v>1</v>
      </c>
      <c r="N1026" s="1">
        <f t="shared" ref="N1026:N1089" si="81">IF(OR(L1026="Review",G1026=""),"",G1026)</f>
        <v>26</v>
      </c>
      <c r="O1026" s="10">
        <f t="shared" si="79"/>
        <v>5.3711111111333594</v>
      </c>
    </row>
    <row r="1027" spans="1:15">
      <c r="A1027" s="1" t="s">
        <v>1132</v>
      </c>
      <c r="B1027" s="23">
        <v>45030.404861111114</v>
      </c>
      <c r="C1027" s="1" t="s">
        <v>11</v>
      </c>
      <c r="D1027" s="1" t="s">
        <v>26</v>
      </c>
      <c r="E1027" s="1" t="s">
        <v>18</v>
      </c>
      <c r="F1027" s="1" t="s">
        <v>104</v>
      </c>
      <c r="G1027" s="1">
        <v>78</v>
      </c>
      <c r="H1027" s="23">
        <v>45030.536319444444</v>
      </c>
      <c r="I1027" s="1" t="b">
        <v>0</v>
      </c>
      <c r="K1027" s="10">
        <f t="shared" ref="K1027:K1090" si="82">IF(H1027="","",(H1027-B1027)*24)</f>
        <v>3.1549999999115244</v>
      </c>
      <c r="L1027" s="1" t="str">
        <f t="shared" ref="L1027:L1090" si="83">IF(OR(G1027="",K1027=""),"Cannot check",IF(G1027&gt;K1027*60,"Review","OK"))</f>
        <v>OK</v>
      </c>
      <c r="M1027" s="1">
        <f t="shared" si="80"/>
        <v>1</v>
      </c>
      <c r="N1027" s="1">
        <f t="shared" si="81"/>
        <v>78</v>
      </c>
      <c r="O1027" s="10">
        <f t="shared" ref="O1027:O1090" si="84">IF(OR(L1027="Review",K1027=""),"",K1027)</f>
        <v>3.1549999999115244</v>
      </c>
    </row>
    <row r="1028" spans="1:15">
      <c r="A1028" s="1" t="s">
        <v>1133</v>
      </c>
      <c r="B1028" s="23">
        <v>45030.413888888892</v>
      </c>
      <c r="C1028" s="1" t="s">
        <v>16</v>
      </c>
      <c r="D1028" s="1" t="s">
        <v>21</v>
      </c>
      <c r="E1028" s="1" t="s">
        <v>18</v>
      </c>
      <c r="F1028" s="1" t="s">
        <v>128</v>
      </c>
      <c r="G1028" s="1">
        <v>205</v>
      </c>
      <c r="H1028" s="23">
        <v>45031.281631944446</v>
      </c>
      <c r="I1028" s="1" t="b">
        <v>0</v>
      </c>
      <c r="J1028" s="1">
        <v>4</v>
      </c>
      <c r="K1028" s="10">
        <f t="shared" si="82"/>
        <v>20.825833333306946</v>
      </c>
      <c r="L1028" s="1" t="str">
        <f t="shared" si="83"/>
        <v>OK</v>
      </c>
      <c r="M1028" s="1">
        <f t="shared" si="80"/>
        <v>1</v>
      </c>
      <c r="N1028" s="1">
        <f t="shared" si="81"/>
        <v>205</v>
      </c>
      <c r="O1028" s="10">
        <f t="shared" si="84"/>
        <v>20.825833333306946</v>
      </c>
    </row>
    <row r="1029" spans="1:15">
      <c r="A1029" s="1" t="s">
        <v>1134</v>
      </c>
      <c r="B1029" s="23">
        <v>45030.570833333331</v>
      </c>
      <c r="C1029" s="1" t="s">
        <v>11</v>
      </c>
      <c r="D1029" s="1" t="s">
        <v>17</v>
      </c>
      <c r="E1029" s="1" t="s">
        <v>18</v>
      </c>
      <c r="F1029" s="1" t="s">
        <v>57</v>
      </c>
      <c r="G1029" s="1">
        <v>37</v>
      </c>
      <c r="H1029" s="23">
        <v>45031.73709490741</v>
      </c>
      <c r="I1029" s="1" t="b">
        <v>0</v>
      </c>
      <c r="J1029" s="1">
        <v>5</v>
      </c>
      <c r="K1029" s="10">
        <f t="shared" si="82"/>
        <v>27.990277777891606</v>
      </c>
      <c r="L1029" s="1" t="str">
        <f t="shared" si="83"/>
        <v>OK</v>
      </c>
      <c r="M1029" s="1">
        <f t="shared" si="80"/>
        <v>1</v>
      </c>
      <c r="N1029" s="1">
        <f t="shared" si="81"/>
        <v>37</v>
      </c>
      <c r="O1029" s="10">
        <f t="shared" si="84"/>
        <v>27.990277777891606</v>
      </c>
    </row>
    <row r="1030" spans="1:15">
      <c r="A1030" s="1" t="s">
        <v>1135</v>
      </c>
      <c r="B1030" s="23">
        <v>45030.741666666669</v>
      </c>
      <c r="C1030" s="1" t="s">
        <v>43</v>
      </c>
      <c r="D1030" s="1" t="s">
        <v>21</v>
      </c>
      <c r="E1030" s="1" t="s">
        <v>33</v>
      </c>
      <c r="F1030" s="1" t="s">
        <v>86</v>
      </c>
      <c r="G1030" s="1">
        <v>225</v>
      </c>
      <c r="H1030" s="23">
        <v>45031.939918981479</v>
      </c>
      <c r="I1030" s="1" t="b">
        <v>0</v>
      </c>
      <c r="K1030" s="10">
        <f t="shared" si="82"/>
        <v>28.758055555459578</v>
      </c>
      <c r="L1030" s="1" t="str">
        <f t="shared" si="83"/>
        <v>OK</v>
      </c>
      <c r="M1030" s="1">
        <f t="shared" si="80"/>
        <v>1</v>
      </c>
      <c r="N1030" s="1">
        <f t="shared" si="81"/>
        <v>225</v>
      </c>
      <c r="O1030" s="10">
        <f t="shared" si="84"/>
        <v>28.758055555459578</v>
      </c>
    </row>
    <row r="1031" spans="1:15">
      <c r="A1031" s="1" t="s">
        <v>1136</v>
      </c>
      <c r="B1031" s="23">
        <v>45030.779861111114</v>
      </c>
      <c r="C1031" s="1" t="s">
        <v>16</v>
      </c>
      <c r="D1031" s="1" t="s">
        <v>59</v>
      </c>
      <c r="E1031" s="1" t="s">
        <v>13</v>
      </c>
      <c r="F1031" s="1" t="s">
        <v>96</v>
      </c>
      <c r="G1031" s="1">
        <v>21</v>
      </c>
      <c r="H1031" s="23">
        <v>45031.089166666665</v>
      </c>
      <c r="I1031" s="1" t="b">
        <v>0</v>
      </c>
      <c r="J1031" s="1">
        <v>4</v>
      </c>
      <c r="K1031" s="10">
        <f t="shared" si="82"/>
        <v>7.4233333332231268</v>
      </c>
      <c r="L1031" s="1" t="str">
        <f t="shared" si="83"/>
        <v>OK</v>
      </c>
      <c r="M1031" s="1">
        <f t="shared" si="80"/>
        <v>1</v>
      </c>
      <c r="N1031" s="1">
        <f t="shared" si="81"/>
        <v>21</v>
      </c>
      <c r="O1031" s="10">
        <f t="shared" si="84"/>
        <v>7.4233333332231268</v>
      </c>
    </row>
    <row r="1032" spans="1:15">
      <c r="A1032" s="1" t="s">
        <v>1137</v>
      </c>
      <c r="B1032" s="23">
        <v>45030.822916666664</v>
      </c>
      <c r="C1032" s="1" t="s">
        <v>16</v>
      </c>
      <c r="D1032" s="1" t="s">
        <v>59</v>
      </c>
      <c r="E1032" s="1" t="s">
        <v>33</v>
      </c>
      <c r="F1032" s="1" t="s">
        <v>48</v>
      </c>
      <c r="G1032" s="1">
        <v>172</v>
      </c>
      <c r="H1032" s="23">
        <v>45031.515462962961</v>
      </c>
      <c r="I1032" s="1" t="b">
        <v>0</v>
      </c>
      <c r="J1032" s="1">
        <v>3</v>
      </c>
      <c r="K1032" s="10">
        <f t="shared" si="82"/>
        <v>16.621111111133359</v>
      </c>
      <c r="L1032" s="1" t="str">
        <f t="shared" si="83"/>
        <v>OK</v>
      </c>
      <c r="M1032" s="1">
        <f t="shared" si="80"/>
        <v>1</v>
      </c>
      <c r="N1032" s="1">
        <f t="shared" si="81"/>
        <v>172</v>
      </c>
      <c r="O1032" s="10">
        <f t="shared" si="84"/>
        <v>16.621111111133359</v>
      </c>
    </row>
    <row r="1033" spans="1:15">
      <c r="A1033" s="1" t="s">
        <v>1138</v>
      </c>
      <c r="B1033" s="23">
        <v>45030.827777777777</v>
      </c>
      <c r="C1033" s="1" t="s">
        <v>16</v>
      </c>
      <c r="D1033" s="1" t="s">
        <v>21</v>
      </c>
      <c r="E1033" s="1" t="s">
        <v>13</v>
      </c>
      <c r="F1033" s="1" t="s">
        <v>114</v>
      </c>
      <c r="G1033" s="1">
        <v>33</v>
      </c>
      <c r="H1033" s="23">
        <v>45032.330648148149</v>
      </c>
      <c r="I1033" s="1" t="b">
        <v>0</v>
      </c>
      <c r="K1033" s="10">
        <f t="shared" si="82"/>
        <v>36.068888888927177</v>
      </c>
      <c r="L1033" s="1" t="str">
        <f t="shared" si="83"/>
        <v>OK</v>
      </c>
      <c r="M1033" s="1">
        <f t="shared" si="80"/>
        <v>1</v>
      </c>
      <c r="N1033" s="1">
        <f t="shared" si="81"/>
        <v>33</v>
      </c>
      <c r="O1033" s="10">
        <f t="shared" si="84"/>
        <v>36.068888888927177</v>
      </c>
    </row>
    <row r="1034" spans="1:15">
      <c r="A1034" s="1" t="s">
        <v>1139</v>
      </c>
      <c r="B1034" s="23">
        <v>45030.933333333334</v>
      </c>
      <c r="C1034" s="1" t="s">
        <v>43</v>
      </c>
      <c r="D1034" s="1" t="s">
        <v>12</v>
      </c>
      <c r="E1034" s="1" t="s">
        <v>18</v>
      </c>
      <c r="F1034" s="1" t="s">
        <v>317</v>
      </c>
      <c r="G1034" s="1">
        <v>101</v>
      </c>
      <c r="H1034" s="23">
        <v>45031.104780092595</v>
      </c>
      <c r="I1034" s="1" t="b">
        <v>0</v>
      </c>
      <c r="J1034" s="1">
        <v>4</v>
      </c>
      <c r="K1034" s="10">
        <f t="shared" si="82"/>
        <v>4.1147222222643904</v>
      </c>
      <c r="L1034" s="1" t="str">
        <f t="shared" si="83"/>
        <v>OK</v>
      </c>
      <c r="M1034" s="1">
        <f t="shared" si="80"/>
        <v>1</v>
      </c>
      <c r="N1034" s="1">
        <f t="shared" si="81"/>
        <v>101</v>
      </c>
      <c r="O1034" s="10">
        <f t="shared" si="84"/>
        <v>4.1147222222643904</v>
      </c>
    </row>
    <row r="1035" spans="1:15">
      <c r="A1035" s="1" t="s">
        <v>1140</v>
      </c>
      <c r="B1035" s="23">
        <v>45030.950694444444</v>
      </c>
      <c r="C1035" s="1" t="s">
        <v>11</v>
      </c>
      <c r="D1035" s="1" t="s">
        <v>59</v>
      </c>
      <c r="E1035" s="1" t="s">
        <v>18</v>
      </c>
      <c r="F1035" s="1" t="s">
        <v>27</v>
      </c>
      <c r="G1035" s="1">
        <v>303</v>
      </c>
      <c r="H1035" s="23">
        <v>45031.536817129629</v>
      </c>
      <c r="I1035" s="1" t="b">
        <v>0</v>
      </c>
      <c r="K1035" s="10">
        <f t="shared" si="82"/>
        <v>14.066944444435649</v>
      </c>
      <c r="L1035" s="1" t="str">
        <f t="shared" si="83"/>
        <v>OK</v>
      </c>
      <c r="M1035" s="1">
        <f t="shared" si="80"/>
        <v>1</v>
      </c>
      <c r="N1035" s="1">
        <f t="shared" si="81"/>
        <v>303</v>
      </c>
      <c r="O1035" s="10">
        <f t="shared" si="84"/>
        <v>14.066944444435649</v>
      </c>
    </row>
    <row r="1036" spans="1:15">
      <c r="A1036" s="1" t="s">
        <v>1141</v>
      </c>
      <c r="B1036" s="23">
        <v>45031.027777777781</v>
      </c>
      <c r="C1036" s="1" t="s">
        <v>16</v>
      </c>
      <c r="D1036" s="1" t="s">
        <v>26</v>
      </c>
      <c r="E1036" s="1" t="s">
        <v>13</v>
      </c>
      <c r="F1036" s="1" t="s">
        <v>106</v>
      </c>
      <c r="G1036" s="1">
        <v>17</v>
      </c>
      <c r="I1036" s="1" t="b">
        <v>0</v>
      </c>
      <c r="K1036" s="10" t="str">
        <f t="shared" si="82"/>
        <v/>
      </c>
      <c r="L1036" s="1" t="str">
        <f t="shared" si="83"/>
        <v>Cannot check</v>
      </c>
      <c r="M1036" s="1">
        <f t="shared" si="80"/>
        <v>1</v>
      </c>
      <c r="N1036" s="1">
        <f t="shared" si="81"/>
        <v>17</v>
      </c>
      <c r="O1036" s="10" t="str">
        <f t="shared" si="84"/>
        <v/>
      </c>
    </row>
    <row r="1037" spans="1:15">
      <c r="A1037" s="1" t="s">
        <v>1142</v>
      </c>
      <c r="B1037" s="23">
        <v>45031.225694444445</v>
      </c>
      <c r="C1037" s="1" t="s">
        <v>25</v>
      </c>
      <c r="D1037" s="1" t="s">
        <v>59</v>
      </c>
      <c r="E1037" s="1" t="s">
        <v>18</v>
      </c>
      <c r="F1037" s="1" t="s">
        <v>392</v>
      </c>
      <c r="G1037" s="1">
        <v>76</v>
      </c>
      <c r="H1037" s="23">
        <v>45032.441770833335</v>
      </c>
      <c r="I1037" s="1" t="b">
        <v>1</v>
      </c>
      <c r="J1037" s="1">
        <v>5</v>
      </c>
      <c r="K1037" s="10">
        <f t="shared" si="82"/>
        <v>29.185833333351184</v>
      </c>
      <c r="L1037" s="1" t="str">
        <f t="shared" si="83"/>
        <v>OK</v>
      </c>
      <c r="M1037" s="1">
        <f t="shared" si="80"/>
        <v>1</v>
      </c>
      <c r="N1037" s="1">
        <f t="shared" si="81"/>
        <v>76</v>
      </c>
      <c r="O1037" s="10">
        <f t="shared" si="84"/>
        <v>29.185833333351184</v>
      </c>
    </row>
    <row r="1038" spans="1:15">
      <c r="A1038" s="1" t="s">
        <v>1143</v>
      </c>
      <c r="B1038" s="23">
        <v>45031.25</v>
      </c>
      <c r="C1038" s="1" t="s">
        <v>25</v>
      </c>
      <c r="D1038" s="1" t="s">
        <v>17</v>
      </c>
      <c r="E1038" s="1" t="s">
        <v>18</v>
      </c>
      <c r="F1038" s="1" t="s">
        <v>80</v>
      </c>
      <c r="G1038" s="1">
        <v>129</v>
      </c>
      <c r="H1038" s="23">
        <v>45031.493668981479</v>
      </c>
      <c r="I1038" s="1" t="b">
        <v>0</v>
      </c>
      <c r="J1038" s="1">
        <v>4</v>
      </c>
      <c r="K1038" s="10">
        <f t="shared" si="82"/>
        <v>5.848055555485189</v>
      </c>
      <c r="L1038" s="1" t="str">
        <f t="shared" si="83"/>
        <v>OK</v>
      </c>
      <c r="M1038" s="1">
        <f t="shared" si="80"/>
        <v>1</v>
      </c>
      <c r="N1038" s="1">
        <f t="shared" si="81"/>
        <v>129</v>
      </c>
      <c r="O1038" s="10">
        <f t="shared" si="84"/>
        <v>5.848055555485189</v>
      </c>
    </row>
    <row r="1039" spans="1:15">
      <c r="A1039" s="1" t="s">
        <v>1144</v>
      </c>
      <c r="B1039" s="23">
        <v>45031.291666666664</v>
      </c>
      <c r="C1039" s="1" t="s">
        <v>11</v>
      </c>
      <c r="D1039" s="1" t="s">
        <v>17</v>
      </c>
      <c r="E1039" s="1" t="s">
        <v>13</v>
      </c>
      <c r="F1039" s="1" t="s">
        <v>106</v>
      </c>
      <c r="G1039" s="1">
        <v>39</v>
      </c>
      <c r="H1039" s="23">
        <v>45031.945706018516</v>
      </c>
      <c r="I1039" s="1" t="b">
        <v>0</v>
      </c>
      <c r="J1039" s="1">
        <v>5</v>
      </c>
      <c r="K1039" s="10">
        <f t="shared" si="82"/>
        <v>15.696944444440305</v>
      </c>
      <c r="L1039" s="1" t="str">
        <f t="shared" si="83"/>
        <v>OK</v>
      </c>
      <c r="M1039" s="1">
        <f t="shared" si="80"/>
        <v>1</v>
      </c>
      <c r="N1039" s="1">
        <f t="shared" si="81"/>
        <v>39</v>
      </c>
      <c r="O1039" s="10">
        <f t="shared" si="84"/>
        <v>15.696944444440305</v>
      </c>
    </row>
    <row r="1040" spans="1:15">
      <c r="A1040" s="1" t="s">
        <v>1145</v>
      </c>
      <c r="B1040" s="23">
        <v>45031.317361111112</v>
      </c>
      <c r="C1040" s="1" t="s">
        <v>25</v>
      </c>
      <c r="D1040" s="1" t="s">
        <v>21</v>
      </c>
      <c r="E1040" s="1" t="s">
        <v>22</v>
      </c>
      <c r="F1040" s="1" t="s">
        <v>108</v>
      </c>
      <c r="G1040" s="1">
        <v>34</v>
      </c>
      <c r="H1040" s="23">
        <v>45031.473356481481</v>
      </c>
      <c r="I1040" s="1" t="b">
        <v>0</v>
      </c>
      <c r="K1040" s="10">
        <f t="shared" si="82"/>
        <v>3.7438888888573274</v>
      </c>
      <c r="L1040" s="1" t="str">
        <f t="shared" si="83"/>
        <v>OK</v>
      </c>
      <c r="M1040" s="1">
        <f t="shared" si="80"/>
        <v>1</v>
      </c>
      <c r="N1040" s="1">
        <f t="shared" si="81"/>
        <v>34</v>
      </c>
      <c r="O1040" s="10">
        <f t="shared" si="84"/>
        <v>3.7438888888573274</v>
      </c>
    </row>
    <row r="1041" spans="1:15">
      <c r="A1041" s="1" t="s">
        <v>1146</v>
      </c>
      <c r="B1041" s="23">
        <v>45031.324305555558</v>
      </c>
      <c r="C1041" s="1" t="s">
        <v>16</v>
      </c>
      <c r="D1041" s="1" t="s">
        <v>17</v>
      </c>
      <c r="E1041" s="1" t="s">
        <v>18</v>
      </c>
      <c r="F1041" s="1" t="s">
        <v>31</v>
      </c>
      <c r="G1041" s="1">
        <v>40</v>
      </c>
      <c r="H1041" s="23">
        <v>45033.692141203705</v>
      </c>
      <c r="I1041" s="1" t="b">
        <v>0</v>
      </c>
      <c r="K1041" s="10">
        <f t="shared" si="82"/>
        <v>56.82805555552477</v>
      </c>
      <c r="L1041" s="1" t="str">
        <f t="shared" si="83"/>
        <v>OK</v>
      </c>
      <c r="M1041" s="1">
        <f t="shared" si="80"/>
        <v>1</v>
      </c>
      <c r="N1041" s="1">
        <f t="shared" si="81"/>
        <v>40</v>
      </c>
      <c r="O1041" s="10">
        <f t="shared" si="84"/>
        <v>56.82805555552477</v>
      </c>
    </row>
    <row r="1042" spans="1:15">
      <c r="A1042" s="1" t="s">
        <v>1147</v>
      </c>
      <c r="B1042" s="23">
        <v>45031.345833333333</v>
      </c>
      <c r="C1042" s="1" t="s">
        <v>16</v>
      </c>
      <c r="D1042" s="1" t="s">
        <v>12</v>
      </c>
      <c r="E1042" s="1" t="s">
        <v>22</v>
      </c>
      <c r="F1042" s="1" t="s">
        <v>64</v>
      </c>
      <c r="G1042" s="1">
        <v>18</v>
      </c>
      <c r="H1042" s="23">
        <v>45031.650555555556</v>
      </c>
      <c r="I1042" s="1" t="b">
        <v>0</v>
      </c>
      <c r="J1042" s="1">
        <v>1</v>
      </c>
      <c r="K1042" s="10">
        <f t="shared" si="82"/>
        <v>7.313333333353512</v>
      </c>
      <c r="L1042" s="1" t="str">
        <f t="shared" si="83"/>
        <v>OK</v>
      </c>
      <c r="M1042" s="1">
        <f t="shared" si="80"/>
        <v>1</v>
      </c>
      <c r="N1042" s="1">
        <f t="shared" si="81"/>
        <v>18</v>
      </c>
      <c r="O1042" s="10">
        <f t="shared" si="84"/>
        <v>7.313333333353512</v>
      </c>
    </row>
    <row r="1043" spans="1:15">
      <c r="A1043" s="1" t="s">
        <v>1148</v>
      </c>
      <c r="B1043" s="23">
        <v>45031.392361111109</v>
      </c>
      <c r="C1043" s="1" t="s">
        <v>43</v>
      </c>
      <c r="D1043" s="1" t="s">
        <v>17</v>
      </c>
      <c r="E1043" s="1" t="s">
        <v>22</v>
      </c>
      <c r="F1043" s="1" t="s">
        <v>57</v>
      </c>
      <c r="G1043" s="1">
        <v>37</v>
      </c>
      <c r="H1043" s="23">
        <v>45031.81726851852</v>
      </c>
      <c r="I1043" s="1" t="b">
        <v>0</v>
      </c>
      <c r="K1043" s="10">
        <f t="shared" si="82"/>
        <v>10.197777777852025</v>
      </c>
      <c r="L1043" s="1" t="str">
        <f t="shared" si="83"/>
        <v>OK</v>
      </c>
      <c r="M1043" s="1">
        <f t="shared" si="80"/>
        <v>1</v>
      </c>
      <c r="N1043" s="1">
        <f t="shared" si="81"/>
        <v>37</v>
      </c>
      <c r="O1043" s="10">
        <f t="shared" si="84"/>
        <v>10.197777777852025</v>
      </c>
    </row>
    <row r="1044" spans="1:15">
      <c r="A1044" s="1" t="s">
        <v>1149</v>
      </c>
      <c r="B1044" s="23">
        <v>45031.397916666669</v>
      </c>
      <c r="C1044" s="1" t="s">
        <v>11</v>
      </c>
      <c r="D1044" s="1" t="s">
        <v>12</v>
      </c>
      <c r="E1044" s="1" t="s">
        <v>18</v>
      </c>
      <c r="F1044" s="1" t="s">
        <v>108</v>
      </c>
      <c r="G1044" s="1">
        <v>248</v>
      </c>
      <c r="H1044" s="23">
        <v>45033.304895833331</v>
      </c>
      <c r="I1044" s="1" t="b">
        <v>0</v>
      </c>
      <c r="K1044" s="10">
        <f t="shared" si="82"/>
        <v>45.767499999899883</v>
      </c>
      <c r="L1044" s="1" t="str">
        <f t="shared" si="83"/>
        <v>OK</v>
      </c>
      <c r="M1044" s="1">
        <f t="shared" si="80"/>
        <v>1</v>
      </c>
      <c r="N1044" s="1">
        <f t="shared" si="81"/>
        <v>248</v>
      </c>
      <c r="O1044" s="10">
        <f t="shared" si="84"/>
        <v>45.767499999899883</v>
      </c>
    </row>
    <row r="1045" spans="1:15">
      <c r="A1045" s="1" t="s">
        <v>1150</v>
      </c>
      <c r="B1045" s="23">
        <v>45031.462500000001</v>
      </c>
      <c r="C1045" s="1" t="s">
        <v>43</v>
      </c>
      <c r="D1045" s="1" t="s">
        <v>12</v>
      </c>
      <c r="E1045" s="1" t="s">
        <v>18</v>
      </c>
      <c r="F1045" s="1" t="s">
        <v>52</v>
      </c>
      <c r="G1045" s="1">
        <v>97</v>
      </c>
      <c r="H1045" s="23">
        <v>45032.03875</v>
      </c>
      <c r="I1045" s="1" t="b">
        <v>0</v>
      </c>
      <c r="K1045" s="10">
        <f t="shared" si="82"/>
        <v>13.82999999995809</v>
      </c>
      <c r="L1045" s="1" t="str">
        <f t="shared" si="83"/>
        <v>OK</v>
      </c>
      <c r="M1045" s="1">
        <f t="shared" si="80"/>
        <v>1</v>
      </c>
      <c r="N1045" s="1">
        <f t="shared" si="81"/>
        <v>97</v>
      </c>
      <c r="O1045" s="10">
        <f t="shared" si="84"/>
        <v>13.82999999995809</v>
      </c>
    </row>
    <row r="1046" spans="1:15">
      <c r="A1046" s="1" t="s">
        <v>1151</v>
      </c>
      <c r="B1046" s="23">
        <v>45031.51458333333</v>
      </c>
      <c r="C1046" s="1" t="s">
        <v>43</v>
      </c>
      <c r="D1046" s="1" t="s">
        <v>17</v>
      </c>
      <c r="E1046" s="1" t="s">
        <v>33</v>
      </c>
      <c r="F1046" s="1" t="s">
        <v>104</v>
      </c>
      <c r="H1046" s="23">
        <v>45047.846631944441</v>
      </c>
      <c r="I1046" s="1" t="b">
        <v>0</v>
      </c>
      <c r="J1046" s="1">
        <v>5</v>
      </c>
      <c r="K1046" s="10">
        <f t="shared" si="82"/>
        <v>391.96916666667676</v>
      </c>
      <c r="L1046" s="1" t="str">
        <f t="shared" si="83"/>
        <v>Cannot check</v>
      </c>
      <c r="M1046" s="1">
        <f t="shared" si="80"/>
        <v>1</v>
      </c>
      <c r="N1046" s="1" t="str">
        <f t="shared" si="81"/>
        <v/>
      </c>
      <c r="O1046" s="10">
        <f t="shared" si="84"/>
        <v>391.96916666667676</v>
      </c>
    </row>
    <row r="1047" spans="1:15">
      <c r="A1047" s="1" t="s">
        <v>1152</v>
      </c>
      <c r="B1047" s="23">
        <v>45031.534722222219</v>
      </c>
      <c r="C1047" s="1" t="s">
        <v>11</v>
      </c>
      <c r="D1047" s="1" t="s">
        <v>21</v>
      </c>
      <c r="E1047" s="1" t="s">
        <v>13</v>
      </c>
      <c r="F1047" s="1" t="s">
        <v>57</v>
      </c>
      <c r="G1047" s="1">
        <v>101</v>
      </c>
      <c r="H1047" s="23">
        <v>45031.57135416667</v>
      </c>
      <c r="I1047" s="1" t="b">
        <v>0</v>
      </c>
      <c r="K1047" s="10">
        <f t="shared" si="82"/>
        <v>0.87916666682576761</v>
      </c>
      <c r="L1047" s="1" t="str">
        <f t="shared" si="83"/>
        <v>Review</v>
      </c>
      <c r="M1047" s="1">
        <f t="shared" si="80"/>
        <v>1</v>
      </c>
      <c r="N1047" s="1" t="str">
        <f t="shared" si="81"/>
        <v/>
      </c>
      <c r="O1047" s="10" t="str">
        <f t="shared" si="84"/>
        <v/>
      </c>
    </row>
    <row r="1048" spans="1:15">
      <c r="A1048" s="1" t="s">
        <v>1153</v>
      </c>
      <c r="B1048" s="23">
        <v>45031.544444444444</v>
      </c>
      <c r="C1048" s="1" t="s">
        <v>25</v>
      </c>
      <c r="D1048" s="1" t="s">
        <v>12</v>
      </c>
      <c r="E1048" s="1" t="s">
        <v>18</v>
      </c>
      <c r="F1048" s="1" t="s">
        <v>112</v>
      </c>
      <c r="G1048" s="1">
        <v>136</v>
      </c>
      <c r="H1048" s="23">
        <v>45032.375104166669</v>
      </c>
      <c r="I1048" s="1" t="b">
        <v>0</v>
      </c>
      <c r="K1048" s="10">
        <f t="shared" si="82"/>
        <v>19.935833333409391</v>
      </c>
      <c r="L1048" s="1" t="str">
        <f t="shared" si="83"/>
        <v>OK</v>
      </c>
      <c r="M1048" s="1">
        <f t="shared" si="80"/>
        <v>1</v>
      </c>
      <c r="N1048" s="1">
        <f t="shared" si="81"/>
        <v>136</v>
      </c>
      <c r="O1048" s="10">
        <f t="shared" si="84"/>
        <v>19.935833333409391</v>
      </c>
    </row>
    <row r="1049" spans="1:15">
      <c r="A1049" s="1" t="s">
        <v>1154</v>
      </c>
      <c r="B1049" s="23">
        <v>45031.573611111111</v>
      </c>
      <c r="C1049" s="1" t="s">
        <v>11</v>
      </c>
      <c r="D1049" s="1" t="s">
        <v>21</v>
      </c>
      <c r="E1049" s="1" t="s">
        <v>18</v>
      </c>
      <c r="F1049" s="1" t="s">
        <v>46</v>
      </c>
      <c r="G1049" s="1">
        <v>83</v>
      </c>
      <c r="H1049" s="23">
        <v>45037.412962962961</v>
      </c>
      <c r="I1049" s="1" t="b">
        <v>1</v>
      </c>
      <c r="J1049" s="1">
        <v>5</v>
      </c>
      <c r="K1049" s="10">
        <f t="shared" si="82"/>
        <v>140.14444444439141</v>
      </c>
      <c r="L1049" s="1" t="str">
        <f t="shared" si="83"/>
        <v>OK</v>
      </c>
      <c r="M1049" s="1">
        <f t="shared" si="80"/>
        <v>1</v>
      </c>
      <c r="N1049" s="1">
        <f t="shared" si="81"/>
        <v>83</v>
      </c>
      <c r="O1049" s="10">
        <f t="shared" si="84"/>
        <v>140.14444444439141</v>
      </c>
    </row>
    <row r="1050" spans="1:15">
      <c r="A1050" s="1" t="s">
        <v>1155</v>
      </c>
      <c r="B1050" s="23">
        <v>45031.62222222222</v>
      </c>
      <c r="C1050" s="1" t="s">
        <v>16</v>
      </c>
      <c r="D1050" s="1" t="s">
        <v>26</v>
      </c>
      <c r="E1050" s="1" t="s">
        <v>18</v>
      </c>
      <c r="F1050" s="1" t="s">
        <v>35</v>
      </c>
      <c r="G1050" s="1">
        <v>70</v>
      </c>
      <c r="H1050" s="23">
        <v>45032.841736111113</v>
      </c>
      <c r="I1050" s="1" t="b">
        <v>0</v>
      </c>
      <c r="J1050" s="1">
        <v>2</v>
      </c>
      <c r="K1050" s="10">
        <f t="shared" si="82"/>
        <v>29.268333333428018</v>
      </c>
      <c r="L1050" s="1" t="str">
        <f t="shared" si="83"/>
        <v>OK</v>
      </c>
      <c r="M1050" s="1">
        <f t="shared" si="80"/>
        <v>1</v>
      </c>
      <c r="N1050" s="1">
        <f t="shared" si="81"/>
        <v>70</v>
      </c>
      <c r="O1050" s="10">
        <f t="shared" si="84"/>
        <v>29.268333333428018</v>
      </c>
    </row>
    <row r="1051" spans="1:15">
      <c r="A1051" s="1" t="s">
        <v>1156</v>
      </c>
      <c r="B1051" s="23">
        <v>45031.634027777778</v>
      </c>
      <c r="C1051" s="1" t="s">
        <v>25</v>
      </c>
      <c r="D1051" s="1" t="s">
        <v>17</v>
      </c>
      <c r="E1051" s="1" t="s">
        <v>13</v>
      </c>
      <c r="F1051" s="1" t="s">
        <v>66</v>
      </c>
      <c r="G1051" s="1">
        <v>50</v>
      </c>
      <c r="H1051" s="23">
        <v>45033.069502314815</v>
      </c>
      <c r="I1051" s="1" t="b">
        <v>0</v>
      </c>
      <c r="K1051" s="10">
        <f t="shared" si="82"/>
        <v>34.451388888875954</v>
      </c>
      <c r="L1051" s="1" t="str">
        <f t="shared" si="83"/>
        <v>OK</v>
      </c>
      <c r="M1051" s="1">
        <f t="shared" si="80"/>
        <v>1</v>
      </c>
      <c r="N1051" s="1">
        <f t="shared" si="81"/>
        <v>50</v>
      </c>
      <c r="O1051" s="10">
        <f t="shared" si="84"/>
        <v>34.451388888875954</v>
      </c>
    </row>
    <row r="1052" spans="1:15">
      <c r="A1052" s="1" t="s">
        <v>1157</v>
      </c>
      <c r="B1052" s="23">
        <v>45031.652083333334</v>
      </c>
      <c r="C1052" s="1" t="s">
        <v>16</v>
      </c>
      <c r="D1052" s="1" t="s">
        <v>12</v>
      </c>
      <c r="E1052" s="1" t="s">
        <v>18</v>
      </c>
      <c r="F1052" s="1" t="s">
        <v>134</v>
      </c>
      <c r="G1052" s="1">
        <v>55</v>
      </c>
      <c r="H1052" s="23">
        <v>45032.88517361111</v>
      </c>
      <c r="I1052" s="1" t="b">
        <v>0</v>
      </c>
      <c r="J1052" s="1">
        <v>4</v>
      </c>
      <c r="K1052" s="10">
        <f t="shared" si="82"/>
        <v>29.594166666618548</v>
      </c>
      <c r="L1052" s="1" t="str">
        <f t="shared" si="83"/>
        <v>OK</v>
      </c>
      <c r="M1052" s="1">
        <f t="shared" si="80"/>
        <v>1</v>
      </c>
      <c r="N1052" s="1">
        <f t="shared" si="81"/>
        <v>55</v>
      </c>
      <c r="O1052" s="10">
        <f t="shared" si="84"/>
        <v>29.594166666618548</v>
      </c>
    </row>
    <row r="1053" spans="1:15">
      <c r="A1053" s="1" t="s">
        <v>1158</v>
      </c>
      <c r="B1053" s="23">
        <v>45031.772222222222</v>
      </c>
      <c r="C1053" s="1" t="s">
        <v>43</v>
      </c>
      <c r="D1053" s="1" t="s">
        <v>21</v>
      </c>
      <c r="E1053" s="1" t="s">
        <v>33</v>
      </c>
      <c r="F1053" s="1" t="s">
        <v>102</v>
      </c>
      <c r="G1053" s="1">
        <v>185</v>
      </c>
      <c r="H1053" s="23">
        <v>45033.435740740744</v>
      </c>
      <c r="I1053" s="1" t="b">
        <v>0</v>
      </c>
      <c r="K1053" s="10">
        <f t="shared" si="82"/>
        <v>39.924444444535766</v>
      </c>
      <c r="L1053" s="1" t="str">
        <f t="shared" si="83"/>
        <v>OK</v>
      </c>
      <c r="M1053" s="1">
        <f t="shared" si="80"/>
        <v>1</v>
      </c>
      <c r="N1053" s="1">
        <f t="shared" si="81"/>
        <v>185</v>
      </c>
      <c r="O1053" s="10">
        <f t="shared" si="84"/>
        <v>39.924444444535766</v>
      </c>
    </row>
    <row r="1054" spans="1:15">
      <c r="A1054" s="1" t="s">
        <v>1159</v>
      </c>
      <c r="B1054" s="23">
        <v>45031.77847222222</v>
      </c>
      <c r="C1054" s="1" t="s">
        <v>16</v>
      </c>
      <c r="D1054" s="1" t="s">
        <v>12</v>
      </c>
      <c r="E1054" s="1" t="s">
        <v>18</v>
      </c>
      <c r="F1054" s="1" t="s">
        <v>98</v>
      </c>
      <c r="G1054" s="1">
        <v>31</v>
      </c>
      <c r="H1054" s="23">
        <v>45032.16783564815</v>
      </c>
      <c r="I1054" s="1" t="b">
        <v>0</v>
      </c>
      <c r="J1054" s="1">
        <v>1</v>
      </c>
      <c r="K1054" s="10">
        <f t="shared" si="82"/>
        <v>9.3447222223039716</v>
      </c>
      <c r="L1054" s="1" t="str">
        <f t="shared" si="83"/>
        <v>OK</v>
      </c>
      <c r="M1054" s="1">
        <f t="shared" si="80"/>
        <v>1</v>
      </c>
      <c r="N1054" s="1">
        <f t="shared" si="81"/>
        <v>31</v>
      </c>
      <c r="O1054" s="10">
        <f t="shared" si="84"/>
        <v>9.3447222223039716</v>
      </c>
    </row>
    <row r="1055" spans="1:15">
      <c r="A1055" s="1" t="s">
        <v>1160</v>
      </c>
      <c r="B1055" s="23">
        <v>45031.98333333333</v>
      </c>
      <c r="C1055" s="1" t="s">
        <v>25</v>
      </c>
      <c r="D1055" s="1" t="s">
        <v>21</v>
      </c>
      <c r="E1055" s="1" t="s">
        <v>13</v>
      </c>
      <c r="F1055" s="1" t="s">
        <v>274</v>
      </c>
      <c r="G1055" s="1">
        <v>83</v>
      </c>
      <c r="H1055" s="23">
        <v>45032.137407407405</v>
      </c>
      <c r="I1055" s="1" t="b">
        <v>1</v>
      </c>
      <c r="K1055" s="10">
        <f t="shared" si="82"/>
        <v>3.6977777777938172</v>
      </c>
      <c r="L1055" s="1" t="str">
        <f t="shared" si="83"/>
        <v>OK</v>
      </c>
      <c r="M1055" s="1">
        <f t="shared" si="80"/>
        <v>1</v>
      </c>
      <c r="N1055" s="1">
        <f t="shared" si="81"/>
        <v>83</v>
      </c>
      <c r="O1055" s="10">
        <f t="shared" si="84"/>
        <v>3.6977777777938172</v>
      </c>
    </row>
    <row r="1056" spans="1:15">
      <c r="A1056" s="1" t="s">
        <v>1161</v>
      </c>
      <c r="B1056" s="23">
        <v>45032.022222222222</v>
      </c>
      <c r="C1056" s="1" t="s">
        <v>16</v>
      </c>
      <c r="D1056" s="1" t="s">
        <v>59</v>
      </c>
      <c r="E1056" s="1" t="s">
        <v>13</v>
      </c>
      <c r="F1056" s="1" t="s">
        <v>215</v>
      </c>
      <c r="G1056" s="1">
        <v>14</v>
      </c>
      <c r="H1056" s="23">
        <v>45033.616215277776</v>
      </c>
      <c r="I1056" s="1" t="b">
        <v>0</v>
      </c>
      <c r="K1056" s="10">
        <f t="shared" si="82"/>
        <v>38.255833333299961</v>
      </c>
      <c r="L1056" s="1" t="str">
        <f t="shared" si="83"/>
        <v>OK</v>
      </c>
      <c r="M1056" s="1">
        <f t="shared" si="80"/>
        <v>1</v>
      </c>
      <c r="N1056" s="1">
        <f t="shared" si="81"/>
        <v>14</v>
      </c>
      <c r="O1056" s="10">
        <f t="shared" si="84"/>
        <v>38.255833333299961</v>
      </c>
    </row>
    <row r="1057" spans="1:15">
      <c r="A1057" s="1" t="s">
        <v>1162</v>
      </c>
      <c r="B1057" s="23">
        <v>45032.270138888889</v>
      </c>
      <c r="C1057" s="1" t="s">
        <v>11</v>
      </c>
      <c r="D1057" s="1" t="s">
        <v>21</v>
      </c>
      <c r="E1057" s="1" t="s">
        <v>13</v>
      </c>
      <c r="F1057" s="1" t="s">
        <v>167</v>
      </c>
      <c r="G1057" s="1">
        <v>18</v>
      </c>
      <c r="H1057" s="23">
        <v>45036.623206018521</v>
      </c>
      <c r="I1057" s="1" t="b">
        <v>0</v>
      </c>
      <c r="K1057" s="10">
        <f t="shared" si="82"/>
        <v>104.47361111117061</v>
      </c>
      <c r="L1057" s="1" t="str">
        <f t="shared" si="83"/>
        <v>OK</v>
      </c>
      <c r="M1057" s="1">
        <f t="shared" si="80"/>
        <v>1</v>
      </c>
      <c r="N1057" s="1">
        <f t="shared" si="81"/>
        <v>18</v>
      </c>
      <c r="O1057" s="10">
        <f t="shared" si="84"/>
        <v>104.47361111117061</v>
      </c>
    </row>
    <row r="1058" spans="1:15">
      <c r="A1058" s="1" t="s">
        <v>1163</v>
      </c>
      <c r="B1058" s="23">
        <v>45032.29583333333</v>
      </c>
      <c r="C1058" s="1" t="s">
        <v>16</v>
      </c>
      <c r="D1058" s="1" t="s">
        <v>17</v>
      </c>
      <c r="E1058" s="1" t="s">
        <v>13</v>
      </c>
      <c r="F1058" s="1" t="s">
        <v>72</v>
      </c>
      <c r="G1058" s="1">
        <v>38</v>
      </c>
      <c r="H1058" s="23">
        <v>45032.898217592592</v>
      </c>
      <c r="I1058" s="1" t="b">
        <v>0</v>
      </c>
      <c r="K1058" s="10">
        <f t="shared" si="82"/>
        <v>14.45722222229233</v>
      </c>
      <c r="L1058" s="1" t="str">
        <f t="shared" si="83"/>
        <v>OK</v>
      </c>
      <c r="M1058" s="1">
        <f t="shared" si="80"/>
        <v>1</v>
      </c>
      <c r="N1058" s="1">
        <f t="shared" si="81"/>
        <v>38</v>
      </c>
      <c r="O1058" s="10">
        <f t="shared" si="84"/>
        <v>14.45722222229233</v>
      </c>
    </row>
    <row r="1059" spans="1:15">
      <c r="A1059" s="1" t="s">
        <v>1164</v>
      </c>
      <c r="B1059" s="23">
        <v>45032.32708333333</v>
      </c>
      <c r="C1059" s="1" t="s">
        <v>11</v>
      </c>
      <c r="D1059" s="1" t="s">
        <v>59</v>
      </c>
      <c r="E1059" s="1" t="s">
        <v>13</v>
      </c>
      <c r="F1059" s="1" t="s">
        <v>118</v>
      </c>
      <c r="G1059" s="1">
        <v>106</v>
      </c>
      <c r="H1059" s="23">
        <v>45032.797384259262</v>
      </c>
      <c r="I1059" s="1" t="b">
        <v>0</v>
      </c>
      <c r="K1059" s="10">
        <f t="shared" si="82"/>
        <v>11.287222222366836</v>
      </c>
      <c r="L1059" s="1" t="str">
        <f t="shared" si="83"/>
        <v>OK</v>
      </c>
      <c r="M1059" s="1">
        <f t="shared" si="80"/>
        <v>1</v>
      </c>
      <c r="N1059" s="1">
        <f t="shared" si="81"/>
        <v>106</v>
      </c>
      <c r="O1059" s="10">
        <f t="shared" si="84"/>
        <v>11.287222222366836</v>
      </c>
    </row>
    <row r="1060" spans="1:15">
      <c r="A1060" s="1" t="s">
        <v>1165</v>
      </c>
      <c r="B1060" s="23">
        <v>45032.352777777778</v>
      </c>
      <c r="C1060" s="1" t="s">
        <v>16</v>
      </c>
      <c r="D1060" s="1" t="s">
        <v>21</v>
      </c>
      <c r="E1060" s="1" t="s">
        <v>18</v>
      </c>
      <c r="F1060" s="1" t="s">
        <v>94</v>
      </c>
      <c r="G1060" s="1">
        <v>92</v>
      </c>
      <c r="H1060" s="23">
        <v>45037.533206018517</v>
      </c>
      <c r="I1060" s="1" t="b">
        <v>0</v>
      </c>
      <c r="K1060" s="10">
        <f t="shared" si="82"/>
        <v>124.33027777774259</v>
      </c>
      <c r="L1060" s="1" t="str">
        <f t="shared" si="83"/>
        <v>OK</v>
      </c>
      <c r="M1060" s="1">
        <f t="shared" si="80"/>
        <v>1</v>
      </c>
      <c r="N1060" s="1">
        <f t="shared" si="81"/>
        <v>92</v>
      </c>
      <c r="O1060" s="10">
        <f t="shared" si="84"/>
        <v>124.33027777774259</v>
      </c>
    </row>
    <row r="1061" spans="1:15">
      <c r="A1061" s="1" t="s">
        <v>1166</v>
      </c>
      <c r="B1061" s="23">
        <v>45032.370138888888</v>
      </c>
      <c r="C1061" s="1" t="s">
        <v>25</v>
      </c>
      <c r="D1061" s="1" t="s">
        <v>26</v>
      </c>
      <c r="E1061" s="1" t="s">
        <v>18</v>
      </c>
      <c r="F1061" s="1" t="s">
        <v>226</v>
      </c>
      <c r="G1061" s="1">
        <v>131</v>
      </c>
      <c r="H1061" s="23">
        <v>45032.927627314813</v>
      </c>
      <c r="I1061" s="1" t="b">
        <v>0</v>
      </c>
      <c r="K1061" s="10">
        <f t="shared" si="82"/>
        <v>13.379722222220153</v>
      </c>
      <c r="L1061" s="1" t="str">
        <f t="shared" si="83"/>
        <v>OK</v>
      </c>
      <c r="M1061" s="1">
        <f t="shared" si="80"/>
        <v>1</v>
      </c>
      <c r="N1061" s="1">
        <f t="shared" si="81"/>
        <v>131</v>
      </c>
      <c r="O1061" s="10">
        <f t="shared" si="84"/>
        <v>13.379722222220153</v>
      </c>
    </row>
    <row r="1062" spans="1:15">
      <c r="A1062" s="1" t="s">
        <v>1167</v>
      </c>
      <c r="B1062" s="23">
        <v>45032.46875</v>
      </c>
      <c r="C1062" s="1" t="s">
        <v>11</v>
      </c>
      <c r="D1062" s="1" t="s">
        <v>21</v>
      </c>
      <c r="E1062" s="1" t="s">
        <v>18</v>
      </c>
      <c r="F1062" s="1" t="s">
        <v>37</v>
      </c>
      <c r="G1062" s="1">
        <v>135</v>
      </c>
      <c r="H1062" s="23">
        <v>45033.896504629629</v>
      </c>
      <c r="I1062" s="1" t="b">
        <v>0</v>
      </c>
      <c r="K1062" s="10">
        <f t="shared" si="82"/>
        <v>34.266111111093778</v>
      </c>
      <c r="L1062" s="1" t="str">
        <f t="shared" si="83"/>
        <v>OK</v>
      </c>
      <c r="M1062" s="1">
        <f t="shared" si="80"/>
        <v>1</v>
      </c>
      <c r="N1062" s="1">
        <f t="shared" si="81"/>
        <v>135</v>
      </c>
      <c r="O1062" s="10">
        <f t="shared" si="84"/>
        <v>34.266111111093778</v>
      </c>
    </row>
    <row r="1063" spans="1:15">
      <c r="A1063" s="1" t="s">
        <v>1168</v>
      </c>
      <c r="B1063" s="23">
        <v>45032.588194444441</v>
      </c>
      <c r="C1063" s="1" t="s">
        <v>11</v>
      </c>
      <c r="D1063" s="1" t="s">
        <v>21</v>
      </c>
      <c r="E1063" s="1" t="s">
        <v>18</v>
      </c>
      <c r="F1063" s="1" t="s">
        <v>86</v>
      </c>
      <c r="G1063" s="1">
        <v>129</v>
      </c>
      <c r="H1063" s="23">
        <v>45032.856516203705</v>
      </c>
      <c r="I1063" s="1" t="b">
        <v>1</v>
      </c>
      <c r="J1063" s="1">
        <v>4</v>
      </c>
      <c r="K1063" s="10">
        <f t="shared" si="82"/>
        <v>6.4397222223342396</v>
      </c>
      <c r="L1063" s="1" t="str">
        <f t="shared" si="83"/>
        <v>OK</v>
      </c>
      <c r="M1063" s="1">
        <f t="shared" si="80"/>
        <v>1</v>
      </c>
      <c r="N1063" s="1">
        <f t="shared" si="81"/>
        <v>129</v>
      </c>
      <c r="O1063" s="10">
        <f t="shared" si="84"/>
        <v>6.4397222223342396</v>
      </c>
    </row>
    <row r="1064" spans="1:15">
      <c r="A1064" s="1" t="s">
        <v>1169</v>
      </c>
      <c r="B1064" s="23">
        <v>45032.6875</v>
      </c>
      <c r="C1064" s="1" t="s">
        <v>16</v>
      </c>
      <c r="D1064" s="1" t="s">
        <v>21</v>
      </c>
      <c r="E1064" s="1" t="s">
        <v>18</v>
      </c>
      <c r="F1064" s="1" t="s">
        <v>145</v>
      </c>
      <c r="G1064" s="1">
        <v>148</v>
      </c>
      <c r="H1064" s="23">
        <v>45034.745127314818</v>
      </c>
      <c r="I1064" s="1" t="b">
        <v>0</v>
      </c>
      <c r="K1064" s="10">
        <f t="shared" si="82"/>
        <v>49.383055555634201</v>
      </c>
      <c r="L1064" s="1" t="str">
        <f t="shared" si="83"/>
        <v>OK</v>
      </c>
      <c r="M1064" s="1">
        <f t="shared" si="80"/>
        <v>1</v>
      </c>
      <c r="N1064" s="1">
        <f t="shared" si="81"/>
        <v>148</v>
      </c>
      <c r="O1064" s="10">
        <f t="shared" si="84"/>
        <v>49.383055555634201</v>
      </c>
    </row>
    <row r="1065" spans="1:15">
      <c r="A1065" s="1" t="s">
        <v>1170</v>
      </c>
      <c r="B1065" s="23">
        <v>45032.854166666664</v>
      </c>
      <c r="C1065" s="1" t="s">
        <v>11</v>
      </c>
      <c r="D1065" s="1" t="s">
        <v>12</v>
      </c>
      <c r="E1065" s="1" t="s">
        <v>13</v>
      </c>
      <c r="F1065" s="1" t="s">
        <v>37</v>
      </c>
      <c r="G1065" s="1">
        <v>220</v>
      </c>
      <c r="H1065" s="23">
        <v>45033.490127314813</v>
      </c>
      <c r="I1065" s="1" t="b">
        <v>0</v>
      </c>
      <c r="K1065" s="10">
        <f t="shared" si="82"/>
        <v>15.26305555558065</v>
      </c>
      <c r="L1065" s="1" t="str">
        <f t="shared" si="83"/>
        <v>OK</v>
      </c>
      <c r="M1065" s="1">
        <f t="shared" si="80"/>
        <v>1</v>
      </c>
      <c r="N1065" s="1">
        <f t="shared" si="81"/>
        <v>220</v>
      </c>
      <c r="O1065" s="10">
        <f t="shared" si="84"/>
        <v>15.26305555558065</v>
      </c>
    </row>
    <row r="1066" spans="1:15">
      <c r="A1066" s="1" t="s">
        <v>1171</v>
      </c>
      <c r="B1066" s="23">
        <v>45032.893750000003</v>
      </c>
      <c r="C1066" s="1" t="s">
        <v>16</v>
      </c>
      <c r="D1066" s="1" t="s">
        <v>26</v>
      </c>
      <c r="E1066" s="1" t="s">
        <v>33</v>
      </c>
      <c r="F1066" s="1" t="s">
        <v>50</v>
      </c>
      <c r="G1066" s="1">
        <v>47</v>
      </c>
      <c r="H1066" s="23">
        <v>45034.135289351849</v>
      </c>
      <c r="I1066" s="1" t="b">
        <v>0</v>
      </c>
      <c r="K1066" s="10">
        <f t="shared" si="82"/>
        <v>29.796944444300607</v>
      </c>
      <c r="L1066" s="1" t="str">
        <f t="shared" si="83"/>
        <v>OK</v>
      </c>
      <c r="M1066" s="1">
        <f t="shared" si="80"/>
        <v>1</v>
      </c>
      <c r="N1066" s="1">
        <f t="shared" si="81"/>
        <v>47</v>
      </c>
      <c r="O1066" s="10">
        <f t="shared" si="84"/>
        <v>29.796944444300607</v>
      </c>
    </row>
    <row r="1067" spans="1:15">
      <c r="A1067" s="1" t="s">
        <v>1172</v>
      </c>
      <c r="B1067" s="23">
        <v>45032.975694444445</v>
      </c>
      <c r="C1067" s="1" t="s">
        <v>16</v>
      </c>
      <c r="D1067" s="1" t="s">
        <v>21</v>
      </c>
      <c r="E1067" s="1" t="s">
        <v>18</v>
      </c>
      <c r="F1067" s="1" t="s">
        <v>112</v>
      </c>
      <c r="G1067" s="1">
        <v>385</v>
      </c>
      <c r="I1067" s="1" t="b">
        <v>0</v>
      </c>
      <c r="K1067" s="10" t="str">
        <f t="shared" si="82"/>
        <v/>
      </c>
      <c r="L1067" s="1" t="str">
        <f t="shared" si="83"/>
        <v>Cannot check</v>
      </c>
      <c r="M1067" s="1">
        <f t="shared" si="80"/>
        <v>1</v>
      </c>
      <c r="N1067" s="1">
        <f t="shared" si="81"/>
        <v>385</v>
      </c>
      <c r="O1067" s="10" t="str">
        <f t="shared" si="84"/>
        <v/>
      </c>
    </row>
    <row r="1068" spans="1:15">
      <c r="A1068" s="1" t="s">
        <v>1173</v>
      </c>
      <c r="B1068" s="23">
        <v>45033.152777777781</v>
      </c>
      <c r="C1068" s="1" t="s">
        <v>16</v>
      </c>
      <c r="D1068" s="1" t="s">
        <v>17</v>
      </c>
      <c r="E1068" s="1" t="s">
        <v>33</v>
      </c>
      <c r="F1068" s="1" t="s">
        <v>120</v>
      </c>
      <c r="G1068" s="1">
        <v>155</v>
      </c>
      <c r="H1068" s="23">
        <v>45034.595636574071</v>
      </c>
      <c r="I1068" s="1" t="b">
        <v>0</v>
      </c>
      <c r="K1068" s="10">
        <f t="shared" si="82"/>
        <v>34.628611110965721</v>
      </c>
      <c r="L1068" s="1" t="str">
        <f t="shared" si="83"/>
        <v>OK</v>
      </c>
      <c r="M1068" s="1">
        <f t="shared" si="80"/>
        <v>1</v>
      </c>
      <c r="N1068" s="1">
        <f t="shared" si="81"/>
        <v>155</v>
      </c>
      <c r="O1068" s="10">
        <f t="shared" si="84"/>
        <v>34.628611110965721</v>
      </c>
    </row>
    <row r="1069" spans="1:15">
      <c r="A1069" s="1" t="s">
        <v>1174</v>
      </c>
      <c r="B1069" s="23">
        <v>45033.348611111112</v>
      </c>
      <c r="C1069" s="1" t="s">
        <v>25</v>
      </c>
      <c r="D1069" s="1" t="s">
        <v>59</v>
      </c>
      <c r="E1069" s="1" t="s">
        <v>18</v>
      </c>
      <c r="F1069" s="1" t="s">
        <v>50</v>
      </c>
      <c r="G1069" s="1">
        <v>262</v>
      </c>
      <c r="H1069" s="23">
        <v>45033.58053240741</v>
      </c>
      <c r="I1069" s="1" t="b">
        <v>0</v>
      </c>
      <c r="K1069" s="10">
        <f t="shared" si="82"/>
        <v>5.5661111111403443</v>
      </c>
      <c r="L1069" s="1" t="str">
        <f t="shared" si="83"/>
        <v>OK</v>
      </c>
      <c r="M1069" s="1">
        <f t="shared" si="80"/>
        <v>1</v>
      </c>
      <c r="N1069" s="1">
        <f t="shared" si="81"/>
        <v>262</v>
      </c>
      <c r="O1069" s="10">
        <f t="shared" si="84"/>
        <v>5.5661111111403443</v>
      </c>
    </row>
    <row r="1070" spans="1:15">
      <c r="A1070" s="1" t="s">
        <v>1175</v>
      </c>
      <c r="B1070" s="23">
        <v>45033.40347222222</v>
      </c>
      <c r="C1070" s="1" t="s">
        <v>43</v>
      </c>
      <c r="D1070" s="1" t="s">
        <v>59</v>
      </c>
      <c r="E1070" s="1" t="s">
        <v>22</v>
      </c>
      <c r="F1070" s="1" t="s">
        <v>132</v>
      </c>
      <c r="G1070" s="1">
        <v>13</v>
      </c>
      <c r="H1070" s="23">
        <v>45033.556458333333</v>
      </c>
      <c r="I1070" s="1" t="b">
        <v>0</v>
      </c>
      <c r="K1070" s="10">
        <f t="shared" si="82"/>
        <v>3.6716666666907258</v>
      </c>
      <c r="L1070" s="1" t="str">
        <f t="shared" si="83"/>
        <v>OK</v>
      </c>
      <c r="M1070" s="1">
        <f t="shared" si="80"/>
        <v>1</v>
      </c>
      <c r="N1070" s="1">
        <f t="shared" si="81"/>
        <v>13</v>
      </c>
      <c r="O1070" s="10">
        <f t="shared" si="84"/>
        <v>3.6716666666907258</v>
      </c>
    </row>
    <row r="1071" spans="1:15">
      <c r="A1071" s="1" t="s">
        <v>1176</v>
      </c>
      <c r="B1071" s="23">
        <v>45033.507638888892</v>
      </c>
      <c r="C1071" s="1" t="s">
        <v>11</v>
      </c>
      <c r="D1071" s="1" t="s">
        <v>26</v>
      </c>
      <c r="E1071" s="1" t="s">
        <v>18</v>
      </c>
      <c r="F1071" s="1" t="s">
        <v>167</v>
      </c>
      <c r="G1071" s="1">
        <v>188</v>
      </c>
      <c r="H1071" s="23">
        <v>45035.694895833331</v>
      </c>
      <c r="I1071" s="1" t="b">
        <v>0</v>
      </c>
      <c r="K1071" s="10">
        <f t="shared" si="82"/>
        <v>52.494166666525416</v>
      </c>
      <c r="L1071" s="1" t="str">
        <f t="shared" si="83"/>
        <v>OK</v>
      </c>
      <c r="M1071" s="1">
        <f t="shared" si="80"/>
        <v>1</v>
      </c>
      <c r="N1071" s="1">
        <f t="shared" si="81"/>
        <v>188</v>
      </c>
      <c r="O1071" s="10">
        <f t="shared" si="84"/>
        <v>52.494166666525416</v>
      </c>
    </row>
    <row r="1072" spans="1:15">
      <c r="A1072" s="1" t="s">
        <v>1177</v>
      </c>
      <c r="B1072" s="23">
        <v>45033.638194444444</v>
      </c>
      <c r="C1072" s="1" t="s">
        <v>11</v>
      </c>
      <c r="D1072" s="1" t="s">
        <v>21</v>
      </c>
      <c r="E1072" s="1" t="s">
        <v>18</v>
      </c>
      <c r="F1072" s="1" t="s">
        <v>162</v>
      </c>
      <c r="G1072" s="1">
        <v>82</v>
      </c>
      <c r="H1072" s="23">
        <v>45034.247685185182</v>
      </c>
      <c r="I1072" s="1" t="b">
        <v>0</v>
      </c>
      <c r="J1072" s="1">
        <v>2</v>
      </c>
      <c r="K1072" s="10">
        <f t="shared" si="82"/>
        <v>14.627777777728625</v>
      </c>
      <c r="L1072" s="1" t="str">
        <f t="shared" si="83"/>
        <v>OK</v>
      </c>
      <c r="M1072" s="1">
        <f t="shared" si="80"/>
        <v>1</v>
      </c>
      <c r="N1072" s="1">
        <f t="shared" si="81"/>
        <v>82</v>
      </c>
      <c r="O1072" s="10">
        <f t="shared" si="84"/>
        <v>14.627777777728625</v>
      </c>
    </row>
    <row r="1073" spans="1:15">
      <c r="A1073" s="1" t="s">
        <v>1178</v>
      </c>
      <c r="B1073" s="23">
        <v>45033.763194444444</v>
      </c>
      <c r="C1073" s="1" t="s">
        <v>16</v>
      </c>
      <c r="D1073" s="1" t="s">
        <v>17</v>
      </c>
      <c r="E1073" s="1" t="s">
        <v>18</v>
      </c>
      <c r="F1073" s="1" t="s">
        <v>72</v>
      </c>
      <c r="G1073" s="1">
        <v>162</v>
      </c>
      <c r="H1073" s="23">
        <v>45038.503854166665</v>
      </c>
      <c r="I1073" s="1" t="b">
        <v>0</v>
      </c>
      <c r="J1073" s="1">
        <v>4</v>
      </c>
      <c r="K1073" s="10">
        <f t="shared" si="82"/>
        <v>113.77583333331859</v>
      </c>
      <c r="L1073" s="1" t="str">
        <f t="shared" si="83"/>
        <v>OK</v>
      </c>
      <c r="M1073" s="1">
        <f t="shared" si="80"/>
        <v>1</v>
      </c>
      <c r="N1073" s="1">
        <f t="shared" si="81"/>
        <v>162</v>
      </c>
      <c r="O1073" s="10">
        <f t="shared" si="84"/>
        <v>113.77583333331859</v>
      </c>
    </row>
    <row r="1074" spans="1:15">
      <c r="A1074" s="1" t="s">
        <v>1179</v>
      </c>
      <c r="B1074" s="23">
        <v>45033.835416666669</v>
      </c>
      <c r="C1074" s="1" t="s">
        <v>25</v>
      </c>
      <c r="D1074" s="1" t="s">
        <v>17</v>
      </c>
      <c r="E1074" s="1" t="s">
        <v>18</v>
      </c>
      <c r="F1074" s="1" t="s">
        <v>74</v>
      </c>
      <c r="G1074" s="1">
        <v>105</v>
      </c>
      <c r="H1074" s="23">
        <v>45034.624398148146</v>
      </c>
      <c r="I1074" s="1" t="b">
        <v>0</v>
      </c>
      <c r="K1074" s="10">
        <f t="shared" si="82"/>
        <v>18.935555555450264</v>
      </c>
      <c r="L1074" s="1" t="str">
        <f t="shared" si="83"/>
        <v>OK</v>
      </c>
      <c r="M1074" s="1">
        <f t="shared" si="80"/>
        <v>1</v>
      </c>
      <c r="N1074" s="1">
        <f t="shared" si="81"/>
        <v>105</v>
      </c>
      <c r="O1074" s="10">
        <f t="shared" si="84"/>
        <v>18.935555555450264</v>
      </c>
    </row>
    <row r="1075" spans="1:15">
      <c r="A1075" s="1" t="s">
        <v>1180</v>
      </c>
      <c r="B1075" s="23">
        <v>45033.87777777778</v>
      </c>
      <c r="C1075" s="1" t="s">
        <v>25</v>
      </c>
      <c r="D1075" s="1" t="s">
        <v>26</v>
      </c>
      <c r="E1075" s="1" t="s">
        <v>18</v>
      </c>
      <c r="F1075" s="1" t="s">
        <v>239</v>
      </c>
      <c r="G1075" s="1">
        <v>92</v>
      </c>
      <c r="H1075" s="23">
        <v>45034.80909722222</v>
      </c>
      <c r="I1075" s="1" t="b">
        <v>0</v>
      </c>
      <c r="K1075" s="10">
        <f t="shared" si="82"/>
        <v>22.351666666567326</v>
      </c>
      <c r="L1075" s="1" t="str">
        <f t="shared" si="83"/>
        <v>OK</v>
      </c>
      <c r="M1075" s="1">
        <f t="shared" si="80"/>
        <v>1</v>
      </c>
      <c r="N1075" s="1">
        <f t="shared" si="81"/>
        <v>92</v>
      </c>
      <c r="O1075" s="10">
        <f t="shared" si="84"/>
        <v>22.351666666567326</v>
      </c>
    </row>
    <row r="1076" spans="1:15">
      <c r="A1076" s="1" t="s">
        <v>1181</v>
      </c>
      <c r="B1076" s="23">
        <v>45033.890972222223</v>
      </c>
      <c r="C1076" s="1" t="s">
        <v>11</v>
      </c>
      <c r="D1076" s="1" t="s">
        <v>26</v>
      </c>
      <c r="E1076" s="1" t="s">
        <v>13</v>
      </c>
      <c r="F1076" s="1" t="s">
        <v>245</v>
      </c>
      <c r="G1076" s="1">
        <v>58</v>
      </c>
      <c r="H1076" s="23">
        <v>45034.45584490741</v>
      </c>
      <c r="I1076" s="1" t="b">
        <v>0</v>
      </c>
      <c r="K1076" s="10">
        <f t="shared" si="82"/>
        <v>13.556944444484543</v>
      </c>
      <c r="L1076" s="1" t="str">
        <f t="shared" si="83"/>
        <v>OK</v>
      </c>
      <c r="M1076" s="1">
        <f t="shared" si="80"/>
        <v>1</v>
      </c>
      <c r="N1076" s="1">
        <f t="shared" si="81"/>
        <v>58</v>
      </c>
      <c r="O1076" s="10">
        <f t="shared" si="84"/>
        <v>13.556944444484543</v>
      </c>
    </row>
    <row r="1077" spans="1:15">
      <c r="A1077" s="1" t="s">
        <v>1182</v>
      </c>
      <c r="B1077" s="23">
        <v>45033.890972222223</v>
      </c>
      <c r="C1077" s="1" t="s">
        <v>25</v>
      </c>
      <c r="D1077" s="1" t="s">
        <v>21</v>
      </c>
      <c r="E1077" s="1" t="s">
        <v>33</v>
      </c>
      <c r="F1077" s="1" t="s">
        <v>92</v>
      </c>
      <c r="G1077" s="1">
        <v>250</v>
      </c>
      <c r="H1077" s="23">
        <v>45050.750497685185</v>
      </c>
      <c r="I1077" s="1" t="b">
        <v>0</v>
      </c>
      <c r="J1077" s="1">
        <v>4</v>
      </c>
      <c r="K1077" s="10">
        <f t="shared" si="82"/>
        <v>404.62861111108214</v>
      </c>
      <c r="L1077" s="1" t="str">
        <f t="shared" si="83"/>
        <v>OK</v>
      </c>
      <c r="M1077" s="1">
        <f t="shared" si="80"/>
        <v>1</v>
      </c>
      <c r="N1077" s="1">
        <f t="shared" si="81"/>
        <v>250</v>
      </c>
      <c r="O1077" s="10">
        <f t="shared" si="84"/>
        <v>404.62861111108214</v>
      </c>
    </row>
    <row r="1078" spans="1:15">
      <c r="A1078" s="1" t="s">
        <v>1183</v>
      </c>
      <c r="B1078" s="23">
        <v>45033.938888888886</v>
      </c>
      <c r="C1078" s="1" t="s">
        <v>11</v>
      </c>
      <c r="D1078" s="1" t="s">
        <v>17</v>
      </c>
      <c r="E1078" s="1" t="s">
        <v>33</v>
      </c>
      <c r="F1078" s="1" t="s">
        <v>23</v>
      </c>
      <c r="G1078" s="1">
        <v>125</v>
      </c>
      <c r="H1078" s="23">
        <v>45068.508553240739</v>
      </c>
      <c r="I1078" s="1" t="b">
        <v>0</v>
      </c>
      <c r="K1078" s="10">
        <f t="shared" si="82"/>
        <v>829.67194444447523</v>
      </c>
      <c r="L1078" s="1" t="str">
        <f t="shared" si="83"/>
        <v>OK</v>
      </c>
      <c r="M1078" s="1">
        <f t="shared" si="80"/>
        <v>1</v>
      </c>
      <c r="N1078" s="1">
        <f t="shared" si="81"/>
        <v>125</v>
      </c>
      <c r="O1078" s="10">
        <f t="shared" si="84"/>
        <v>829.67194444447523</v>
      </c>
    </row>
    <row r="1079" spans="1:15">
      <c r="A1079" s="1" t="s">
        <v>1184</v>
      </c>
      <c r="B1079" s="23">
        <v>45034.015277777777</v>
      </c>
      <c r="C1079" s="1" t="s">
        <v>16</v>
      </c>
      <c r="D1079" s="1" t="s">
        <v>12</v>
      </c>
      <c r="E1079" s="1" t="s">
        <v>18</v>
      </c>
      <c r="F1079" s="1" t="s">
        <v>326</v>
      </c>
      <c r="G1079" s="1">
        <v>63</v>
      </c>
      <c r="H1079" s="23">
        <v>45034.944432870368</v>
      </c>
      <c r="I1079" s="1" t="b">
        <v>0</v>
      </c>
      <c r="K1079" s="10">
        <f t="shared" si="82"/>
        <v>22.299722222203854</v>
      </c>
      <c r="L1079" s="1" t="str">
        <f t="shared" si="83"/>
        <v>OK</v>
      </c>
      <c r="M1079" s="1">
        <f t="shared" si="80"/>
        <v>1</v>
      </c>
      <c r="N1079" s="1">
        <f t="shared" si="81"/>
        <v>63</v>
      </c>
      <c r="O1079" s="10">
        <f t="shared" si="84"/>
        <v>22.299722222203854</v>
      </c>
    </row>
    <row r="1080" spans="1:15">
      <c r="A1080" s="1" t="s">
        <v>1185</v>
      </c>
      <c r="B1080" s="23">
        <v>45034.101388888892</v>
      </c>
      <c r="C1080" s="1" t="s">
        <v>11</v>
      </c>
      <c r="D1080" s="1" t="s">
        <v>21</v>
      </c>
      <c r="E1080" s="1" t="s">
        <v>13</v>
      </c>
      <c r="F1080" s="1" t="s">
        <v>88</v>
      </c>
      <c r="G1080" s="1">
        <v>43</v>
      </c>
      <c r="H1080" s="23">
        <v>45037.635081018518</v>
      </c>
      <c r="I1080" s="1" t="b">
        <v>0</v>
      </c>
      <c r="K1080" s="10">
        <f t="shared" si="82"/>
        <v>84.808611111016944</v>
      </c>
      <c r="L1080" s="1" t="str">
        <f t="shared" si="83"/>
        <v>OK</v>
      </c>
      <c r="M1080" s="1">
        <f t="shared" si="80"/>
        <v>1</v>
      </c>
      <c r="N1080" s="1">
        <f t="shared" si="81"/>
        <v>43</v>
      </c>
      <c r="O1080" s="10">
        <f t="shared" si="84"/>
        <v>84.808611111016944</v>
      </c>
    </row>
    <row r="1081" spans="1:15">
      <c r="A1081" s="1" t="s">
        <v>1186</v>
      </c>
      <c r="B1081" s="23">
        <v>45034.15347222222</v>
      </c>
      <c r="C1081" s="1" t="s">
        <v>25</v>
      </c>
      <c r="D1081" s="1" t="s">
        <v>17</v>
      </c>
      <c r="E1081" s="1" t="s">
        <v>18</v>
      </c>
      <c r="F1081" s="1" t="s">
        <v>274</v>
      </c>
      <c r="G1081" s="1">
        <v>46</v>
      </c>
      <c r="H1081" s="23">
        <v>45034.534282407411</v>
      </c>
      <c r="I1081" s="1" t="b">
        <v>0</v>
      </c>
      <c r="K1081" s="10">
        <f t="shared" si="82"/>
        <v>9.1394444445613772</v>
      </c>
      <c r="L1081" s="1" t="str">
        <f t="shared" si="83"/>
        <v>OK</v>
      </c>
      <c r="M1081" s="1">
        <f t="shared" si="80"/>
        <v>1</v>
      </c>
      <c r="N1081" s="1">
        <f t="shared" si="81"/>
        <v>46</v>
      </c>
      <c r="O1081" s="10">
        <f t="shared" si="84"/>
        <v>9.1394444445613772</v>
      </c>
    </row>
    <row r="1082" spans="1:15">
      <c r="A1082" s="1" t="s">
        <v>1187</v>
      </c>
      <c r="B1082" s="23">
        <v>45034.254861111112</v>
      </c>
      <c r="C1082" s="1" t="s">
        <v>25</v>
      </c>
      <c r="D1082" s="1" t="s">
        <v>17</v>
      </c>
      <c r="E1082" s="1" t="s">
        <v>18</v>
      </c>
      <c r="F1082" s="1" t="s">
        <v>102</v>
      </c>
      <c r="G1082" s="1">
        <v>121</v>
      </c>
      <c r="H1082" s="23">
        <v>45034.717372685183</v>
      </c>
      <c r="I1082" s="1" t="b">
        <v>0</v>
      </c>
      <c r="K1082" s="10">
        <f t="shared" si="82"/>
        <v>11.100277777703013</v>
      </c>
      <c r="L1082" s="1" t="str">
        <f t="shared" si="83"/>
        <v>OK</v>
      </c>
      <c r="M1082" s="1">
        <f t="shared" si="80"/>
        <v>1</v>
      </c>
      <c r="N1082" s="1">
        <f t="shared" si="81"/>
        <v>121</v>
      </c>
      <c r="O1082" s="10">
        <f t="shared" si="84"/>
        <v>11.100277777703013</v>
      </c>
    </row>
    <row r="1083" spans="1:15">
      <c r="A1083" s="1" t="s">
        <v>1188</v>
      </c>
      <c r="B1083" s="23">
        <v>45034.336111111108</v>
      </c>
      <c r="C1083" s="1" t="s">
        <v>25</v>
      </c>
      <c r="D1083" s="1" t="s">
        <v>21</v>
      </c>
      <c r="E1083" s="1" t="s">
        <v>13</v>
      </c>
      <c r="F1083" s="1" t="s">
        <v>64</v>
      </c>
      <c r="G1083" s="1">
        <v>32</v>
      </c>
      <c r="H1083" s="23">
        <v>45034.65152777778</v>
      </c>
      <c r="I1083" s="1" t="b">
        <v>1</v>
      </c>
      <c r="J1083" s="1">
        <v>4</v>
      </c>
      <c r="K1083" s="10">
        <f t="shared" si="82"/>
        <v>7.5700000001234002</v>
      </c>
      <c r="L1083" s="1" t="str">
        <f t="shared" si="83"/>
        <v>OK</v>
      </c>
      <c r="M1083" s="1">
        <f t="shared" si="80"/>
        <v>1</v>
      </c>
      <c r="N1083" s="1">
        <f t="shared" si="81"/>
        <v>32</v>
      </c>
      <c r="O1083" s="10">
        <f t="shared" si="84"/>
        <v>7.5700000001234002</v>
      </c>
    </row>
    <row r="1084" spans="1:15">
      <c r="A1084" s="1" t="s">
        <v>1189</v>
      </c>
      <c r="B1084" s="23">
        <v>45034.682638888888</v>
      </c>
      <c r="C1084" s="1" t="s">
        <v>25</v>
      </c>
      <c r="D1084" s="1" t="s">
        <v>12</v>
      </c>
      <c r="E1084" s="1" t="s">
        <v>18</v>
      </c>
      <c r="F1084" s="1" t="s">
        <v>54</v>
      </c>
      <c r="G1084" s="1">
        <v>9</v>
      </c>
      <c r="H1084" s="23">
        <v>45035.255185185182</v>
      </c>
      <c r="I1084" s="1" t="b">
        <v>0</v>
      </c>
      <c r="J1084" s="1">
        <v>5</v>
      </c>
      <c r="K1084" s="10">
        <f t="shared" si="82"/>
        <v>13.741111111070495</v>
      </c>
      <c r="L1084" s="1" t="str">
        <f t="shared" si="83"/>
        <v>OK</v>
      </c>
      <c r="M1084" s="1">
        <f t="shared" si="80"/>
        <v>1</v>
      </c>
      <c r="N1084" s="1">
        <f t="shared" si="81"/>
        <v>9</v>
      </c>
      <c r="O1084" s="10">
        <f t="shared" si="84"/>
        <v>13.741111111070495</v>
      </c>
    </row>
    <row r="1085" spans="1:15">
      <c r="A1085" s="1" t="s">
        <v>1190</v>
      </c>
      <c r="B1085" s="23">
        <v>45034.688888888886</v>
      </c>
      <c r="C1085" s="1" t="s">
        <v>11</v>
      </c>
      <c r="D1085" s="1" t="s">
        <v>21</v>
      </c>
      <c r="E1085" s="1" t="s">
        <v>18</v>
      </c>
      <c r="F1085" s="1" t="s">
        <v>228</v>
      </c>
      <c r="G1085" s="1">
        <v>94</v>
      </c>
      <c r="H1085" s="23">
        <v>45034.829479166663</v>
      </c>
      <c r="I1085" s="1" t="b">
        <v>0</v>
      </c>
      <c r="K1085" s="10">
        <f t="shared" si="82"/>
        <v>3.374166666646488</v>
      </c>
      <c r="L1085" s="1" t="str">
        <f t="shared" si="83"/>
        <v>OK</v>
      </c>
      <c r="M1085" s="1">
        <f t="shared" si="80"/>
        <v>1</v>
      </c>
      <c r="N1085" s="1">
        <f t="shared" si="81"/>
        <v>94</v>
      </c>
      <c r="O1085" s="10">
        <f t="shared" si="84"/>
        <v>3.374166666646488</v>
      </c>
    </row>
    <row r="1086" spans="1:15">
      <c r="A1086" s="1" t="s">
        <v>1191</v>
      </c>
      <c r="B1086" s="23">
        <v>45034.702777777777</v>
      </c>
      <c r="C1086" s="1" t="s">
        <v>11</v>
      </c>
      <c r="D1086" s="1" t="s">
        <v>21</v>
      </c>
      <c r="E1086" s="1" t="s">
        <v>13</v>
      </c>
      <c r="F1086" s="1" t="s">
        <v>31</v>
      </c>
      <c r="G1086" s="1">
        <v>87</v>
      </c>
      <c r="H1086" s="23">
        <v>45035.269560185188</v>
      </c>
      <c r="I1086" s="1" t="b">
        <v>0</v>
      </c>
      <c r="J1086" s="1">
        <v>4</v>
      </c>
      <c r="K1086" s="10">
        <f t="shared" si="82"/>
        <v>13.602777777879965</v>
      </c>
      <c r="L1086" s="1" t="str">
        <f t="shared" si="83"/>
        <v>OK</v>
      </c>
      <c r="M1086" s="1">
        <f t="shared" si="80"/>
        <v>1</v>
      </c>
      <c r="N1086" s="1">
        <f t="shared" si="81"/>
        <v>87</v>
      </c>
      <c r="O1086" s="10">
        <f t="shared" si="84"/>
        <v>13.602777777879965</v>
      </c>
    </row>
    <row r="1087" spans="1:15">
      <c r="A1087" s="1" t="s">
        <v>1192</v>
      </c>
      <c r="B1087" s="23">
        <v>45034.838888888888</v>
      </c>
      <c r="C1087" s="1" t="s">
        <v>16</v>
      </c>
      <c r="D1087" s="1" t="s">
        <v>17</v>
      </c>
      <c r="E1087" s="1" t="s">
        <v>18</v>
      </c>
      <c r="F1087" s="1" t="s">
        <v>110</v>
      </c>
      <c r="G1087" s="1">
        <v>75</v>
      </c>
      <c r="H1087" s="23">
        <v>45035.739270833335</v>
      </c>
      <c r="I1087" s="1" t="b">
        <v>0</v>
      </c>
      <c r="K1087" s="10">
        <f t="shared" si="82"/>
        <v>21.609166666748933</v>
      </c>
      <c r="L1087" s="1" t="str">
        <f t="shared" si="83"/>
        <v>OK</v>
      </c>
      <c r="M1087" s="1">
        <f t="shared" si="80"/>
        <v>1</v>
      </c>
      <c r="N1087" s="1">
        <f t="shared" si="81"/>
        <v>75</v>
      </c>
      <c r="O1087" s="10">
        <f t="shared" si="84"/>
        <v>21.609166666748933</v>
      </c>
    </row>
    <row r="1088" spans="1:15">
      <c r="A1088" s="1" t="s">
        <v>1193</v>
      </c>
      <c r="B1088" s="23">
        <v>45034.847916666666</v>
      </c>
      <c r="C1088" s="1" t="s">
        <v>11</v>
      </c>
      <c r="D1088" s="1" t="s">
        <v>59</v>
      </c>
      <c r="E1088" s="1" t="s">
        <v>33</v>
      </c>
      <c r="F1088" s="1" t="s">
        <v>228</v>
      </c>
      <c r="G1088" s="1">
        <v>41</v>
      </c>
      <c r="H1088" s="23">
        <v>45040.696250000001</v>
      </c>
      <c r="I1088" s="1" t="b">
        <v>0</v>
      </c>
      <c r="K1088" s="10">
        <f t="shared" si="82"/>
        <v>140.36000000004424</v>
      </c>
      <c r="L1088" s="1" t="str">
        <f t="shared" si="83"/>
        <v>OK</v>
      </c>
      <c r="M1088" s="1">
        <f t="shared" si="80"/>
        <v>1</v>
      </c>
      <c r="N1088" s="1">
        <f t="shared" si="81"/>
        <v>41</v>
      </c>
      <c r="O1088" s="10">
        <f t="shared" si="84"/>
        <v>140.36000000004424</v>
      </c>
    </row>
    <row r="1089" spans="1:15">
      <c r="A1089" s="1" t="s">
        <v>1194</v>
      </c>
      <c r="B1089" s="23">
        <v>45034.909722222219</v>
      </c>
      <c r="C1089" s="1" t="s">
        <v>16</v>
      </c>
      <c r="D1089" s="1" t="s">
        <v>12</v>
      </c>
      <c r="E1089" s="1" t="s">
        <v>18</v>
      </c>
      <c r="F1089" s="1" t="s">
        <v>110</v>
      </c>
      <c r="G1089" s="1">
        <v>110</v>
      </c>
      <c r="H1089" s="23">
        <v>45035.090150462966</v>
      </c>
      <c r="I1089" s="1" t="b">
        <v>0</v>
      </c>
      <c r="K1089" s="10">
        <f t="shared" si="82"/>
        <v>4.3302777779172175</v>
      </c>
      <c r="L1089" s="1" t="str">
        <f t="shared" si="83"/>
        <v>OK</v>
      </c>
      <c r="M1089" s="1">
        <f t="shared" si="80"/>
        <v>1</v>
      </c>
      <c r="N1089" s="1">
        <f t="shared" si="81"/>
        <v>110</v>
      </c>
      <c r="O1089" s="10">
        <f t="shared" si="84"/>
        <v>4.3302777779172175</v>
      </c>
    </row>
    <row r="1090" spans="1:15">
      <c r="A1090" s="1" t="s">
        <v>1195</v>
      </c>
      <c r="B1090" s="23">
        <v>45034.946527777778</v>
      </c>
      <c r="C1090" s="1" t="s">
        <v>16</v>
      </c>
      <c r="D1090" s="1" t="s">
        <v>26</v>
      </c>
      <c r="E1090" s="1" t="s">
        <v>13</v>
      </c>
      <c r="F1090" s="1" t="s">
        <v>110</v>
      </c>
      <c r="G1090" s="1">
        <v>58</v>
      </c>
      <c r="H1090" s="23">
        <v>45035.172627314816</v>
      </c>
      <c r="I1090" s="1" t="b">
        <v>0</v>
      </c>
      <c r="K1090" s="10">
        <f t="shared" si="82"/>
        <v>5.4263888889108784</v>
      </c>
      <c r="L1090" s="1" t="str">
        <f t="shared" si="83"/>
        <v>OK</v>
      </c>
      <c r="M1090" s="1">
        <f t="shared" ref="M1090:M1153" si="85">COUNTIF($A$2:$A$4001,A1090)</f>
        <v>1</v>
      </c>
      <c r="N1090" s="1">
        <f t="shared" ref="N1090:N1153" si="86">IF(OR(L1090="Review",G1090=""),"",G1090)</f>
        <v>58</v>
      </c>
      <c r="O1090" s="10">
        <f t="shared" si="84"/>
        <v>5.4263888889108784</v>
      </c>
    </row>
    <row r="1091" spans="1:15">
      <c r="A1091" s="1" t="s">
        <v>1196</v>
      </c>
      <c r="B1091" s="23">
        <v>45035.013194444444</v>
      </c>
      <c r="C1091" s="1" t="s">
        <v>43</v>
      </c>
      <c r="D1091" s="1" t="s">
        <v>17</v>
      </c>
      <c r="E1091" s="1" t="s">
        <v>13</v>
      </c>
      <c r="F1091" s="1" t="s">
        <v>112</v>
      </c>
      <c r="G1091" s="1">
        <v>77</v>
      </c>
      <c r="H1091" s="23">
        <v>45035.199490740742</v>
      </c>
      <c r="I1091" s="1" t="b">
        <v>0</v>
      </c>
      <c r="K1091" s="10">
        <f t="shared" ref="K1091:K1154" si="87">IF(H1091="","",(H1091-B1091)*24)</f>
        <v>4.471111111168284</v>
      </c>
      <c r="L1091" s="1" t="str">
        <f t="shared" ref="L1091:L1154" si="88">IF(OR(G1091="",K1091=""),"Cannot check",IF(G1091&gt;K1091*60,"Review","OK"))</f>
        <v>OK</v>
      </c>
      <c r="M1091" s="1">
        <f t="shared" si="85"/>
        <v>1</v>
      </c>
      <c r="N1091" s="1">
        <f t="shared" si="86"/>
        <v>77</v>
      </c>
      <c r="O1091" s="10">
        <f t="shared" ref="O1091:O1154" si="89">IF(OR(L1091="Review",K1091=""),"",K1091)</f>
        <v>4.471111111168284</v>
      </c>
    </row>
    <row r="1092" spans="1:15">
      <c r="A1092" s="1" t="s">
        <v>1197</v>
      </c>
      <c r="B1092" s="23">
        <v>45035.347222222219</v>
      </c>
      <c r="C1092" s="1" t="s">
        <v>25</v>
      </c>
      <c r="D1092" s="1" t="s">
        <v>17</v>
      </c>
      <c r="E1092" s="1" t="s">
        <v>18</v>
      </c>
      <c r="F1092" s="1" t="s">
        <v>94</v>
      </c>
      <c r="G1092" s="1">
        <v>84</v>
      </c>
      <c r="H1092" s="23">
        <v>45035.776203703703</v>
      </c>
      <c r="I1092" s="1" t="b">
        <v>1</v>
      </c>
      <c r="K1092" s="10">
        <f t="shared" si="87"/>
        <v>10.295555555610918</v>
      </c>
      <c r="L1092" s="1" t="str">
        <f t="shared" si="88"/>
        <v>OK</v>
      </c>
      <c r="M1092" s="1">
        <f t="shared" si="85"/>
        <v>1</v>
      </c>
      <c r="N1092" s="1">
        <f t="shared" si="86"/>
        <v>84</v>
      </c>
      <c r="O1092" s="10">
        <f t="shared" si="89"/>
        <v>10.295555555610918</v>
      </c>
    </row>
    <row r="1093" spans="1:15">
      <c r="A1093" s="1" t="s">
        <v>1198</v>
      </c>
      <c r="B1093" s="23">
        <v>45035.477777777778</v>
      </c>
      <c r="C1093" s="1" t="s">
        <v>25</v>
      </c>
      <c r="D1093" s="1" t="s">
        <v>17</v>
      </c>
      <c r="E1093" s="1" t="s">
        <v>18</v>
      </c>
      <c r="F1093" s="1" t="s">
        <v>201</v>
      </c>
      <c r="G1093" s="1">
        <v>40</v>
      </c>
      <c r="H1093" s="23">
        <v>45040.15483796296</v>
      </c>
      <c r="I1093" s="1" t="b">
        <v>0</v>
      </c>
      <c r="J1093" s="1">
        <v>2</v>
      </c>
      <c r="K1093" s="10">
        <f t="shared" si="87"/>
        <v>112.24944444437278</v>
      </c>
      <c r="L1093" s="1" t="str">
        <f t="shared" si="88"/>
        <v>OK</v>
      </c>
      <c r="M1093" s="1">
        <f t="shared" si="85"/>
        <v>1</v>
      </c>
      <c r="N1093" s="1">
        <f t="shared" si="86"/>
        <v>40</v>
      </c>
      <c r="O1093" s="10">
        <f t="shared" si="89"/>
        <v>112.24944444437278</v>
      </c>
    </row>
    <row r="1094" spans="1:15">
      <c r="A1094" s="1" t="s">
        <v>1199</v>
      </c>
      <c r="B1094" s="23">
        <v>45035.724305555559</v>
      </c>
      <c r="C1094" s="1" t="s">
        <v>43</v>
      </c>
      <c r="D1094" s="1" t="s">
        <v>21</v>
      </c>
      <c r="E1094" s="1" t="s">
        <v>33</v>
      </c>
      <c r="F1094" s="1" t="s">
        <v>486</v>
      </c>
      <c r="G1094" s="1">
        <v>67</v>
      </c>
      <c r="H1094" s="23">
        <v>45036.693622685183</v>
      </c>
      <c r="I1094" s="1" t="b">
        <v>0</v>
      </c>
      <c r="K1094" s="10">
        <f t="shared" si="87"/>
        <v>23.263611110975035</v>
      </c>
      <c r="L1094" s="1" t="str">
        <f t="shared" si="88"/>
        <v>OK</v>
      </c>
      <c r="M1094" s="1">
        <f t="shared" si="85"/>
        <v>1</v>
      </c>
      <c r="N1094" s="1">
        <f t="shared" si="86"/>
        <v>67</v>
      </c>
      <c r="O1094" s="10">
        <f t="shared" si="89"/>
        <v>23.263611110975035</v>
      </c>
    </row>
    <row r="1095" spans="1:15">
      <c r="A1095" s="1" t="s">
        <v>1200</v>
      </c>
      <c r="B1095" s="23">
        <v>45035.878472222219</v>
      </c>
      <c r="C1095" s="1" t="s">
        <v>16</v>
      </c>
      <c r="D1095" s="1" t="s">
        <v>17</v>
      </c>
      <c r="E1095" s="1" t="s">
        <v>18</v>
      </c>
      <c r="F1095" s="1" t="s">
        <v>392</v>
      </c>
      <c r="G1095" s="1">
        <v>92</v>
      </c>
      <c r="H1095" s="23">
        <v>45044.084803240738</v>
      </c>
      <c r="I1095" s="1" t="b">
        <v>0</v>
      </c>
      <c r="K1095" s="10">
        <f t="shared" si="87"/>
        <v>196.95194444444496</v>
      </c>
      <c r="L1095" s="1" t="str">
        <f t="shared" si="88"/>
        <v>OK</v>
      </c>
      <c r="M1095" s="1">
        <f t="shared" si="85"/>
        <v>1</v>
      </c>
      <c r="N1095" s="1">
        <f t="shared" si="86"/>
        <v>92</v>
      </c>
      <c r="O1095" s="10">
        <f t="shared" si="89"/>
        <v>196.95194444444496</v>
      </c>
    </row>
    <row r="1096" spans="1:15">
      <c r="A1096" s="1" t="s">
        <v>1201</v>
      </c>
      <c r="B1096" s="23">
        <v>45035.890972222223</v>
      </c>
      <c r="C1096" s="1" t="s">
        <v>43</v>
      </c>
      <c r="D1096" s="1" t="s">
        <v>17</v>
      </c>
      <c r="E1096" s="1" t="s">
        <v>18</v>
      </c>
      <c r="F1096" s="1" t="s">
        <v>80</v>
      </c>
      <c r="G1096" s="1">
        <v>154</v>
      </c>
      <c r="H1096" s="23">
        <v>45037.016631944447</v>
      </c>
      <c r="I1096" s="1" t="b">
        <v>0</v>
      </c>
      <c r="K1096" s="10">
        <f t="shared" si="87"/>
        <v>27.015833333367482</v>
      </c>
      <c r="L1096" s="1" t="str">
        <f t="shared" si="88"/>
        <v>OK</v>
      </c>
      <c r="M1096" s="1">
        <f t="shared" si="85"/>
        <v>1</v>
      </c>
      <c r="N1096" s="1">
        <f t="shared" si="86"/>
        <v>154</v>
      </c>
      <c r="O1096" s="10">
        <f t="shared" si="89"/>
        <v>27.015833333367482</v>
      </c>
    </row>
    <row r="1097" spans="1:15">
      <c r="A1097" s="1" t="s">
        <v>1202</v>
      </c>
      <c r="B1097" s="23">
        <v>45035.934027777781</v>
      </c>
      <c r="C1097" s="1" t="s">
        <v>11</v>
      </c>
      <c r="D1097" s="1" t="s">
        <v>21</v>
      </c>
      <c r="E1097" s="1" t="s">
        <v>13</v>
      </c>
      <c r="F1097" s="1" t="s">
        <v>148</v>
      </c>
      <c r="G1097" s="1">
        <v>46</v>
      </c>
      <c r="H1097" s="23">
        <v>45036.285856481481</v>
      </c>
      <c r="I1097" s="1" t="b">
        <v>0</v>
      </c>
      <c r="J1097" s="1">
        <v>5</v>
      </c>
      <c r="K1097" s="10">
        <f t="shared" si="87"/>
        <v>8.4438888888107613</v>
      </c>
      <c r="L1097" s="1" t="str">
        <f t="shared" si="88"/>
        <v>OK</v>
      </c>
      <c r="M1097" s="1">
        <f t="shared" si="85"/>
        <v>1</v>
      </c>
      <c r="N1097" s="1">
        <f t="shared" si="86"/>
        <v>46</v>
      </c>
      <c r="O1097" s="10">
        <f t="shared" si="89"/>
        <v>8.4438888888107613</v>
      </c>
    </row>
    <row r="1098" spans="1:15">
      <c r="A1098" s="1" t="s">
        <v>1203</v>
      </c>
      <c r="B1098" s="23">
        <v>45035.954861111109</v>
      </c>
      <c r="C1098" s="1" t="s">
        <v>16</v>
      </c>
      <c r="D1098" s="1" t="s">
        <v>21</v>
      </c>
      <c r="E1098" s="1" t="s">
        <v>33</v>
      </c>
      <c r="F1098" s="1" t="s">
        <v>66</v>
      </c>
      <c r="G1098" s="1">
        <v>292</v>
      </c>
      <c r="H1098" s="23">
        <v>45036.996041666665</v>
      </c>
      <c r="I1098" s="1" t="b">
        <v>0</v>
      </c>
      <c r="J1098" s="1">
        <v>3</v>
      </c>
      <c r="K1098" s="10">
        <f t="shared" si="87"/>
        <v>24.98833333334187</v>
      </c>
      <c r="L1098" s="1" t="str">
        <f t="shared" si="88"/>
        <v>OK</v>
      </c>
      <c r="M1098" s="1">
        <f t="shared" si="85"/>
        <v>1</v>
      </c>
      <c r="N1098" s="1">
        <f t="shared" si="86"/>
        <v>292</v>
      </c>
      <c r="O1098" s="10">
        <f t="shared" si="89"/>
        <v>24.98833333334187</v>
      </c>
    </row>
    <row r="1099" spans="1:15">
      <c r="A1099" s="1" t="s">
        <v>1204</v>
      </c>
      <c r="B1099" s="23">
        <v>45036.081944444442</v>
      </c>
      <c r="C1099" s="1" t="s">
        <v>25</v>
      </c>
      <c r="D1099" s="1" t="s">
        <v>12</v>
      </c>
      <c r="E1099" s="1" t="s">
        <v>13</v>
      </c>
      <c r="F1099" s="1" t="s">
        <v>88</v>
      </c>
      <c r="G1099" s="1">
        <v>27</v>
      </c>
      <c r="H1099" s="23">
        <v>45036.703761574077</v>
      </c>
      <c r="I1099" s="1" t="b">
        <v>0</v>
      </c>
      <c r="K1099" s="10">
        <f t="shared" si="87"/>
        <v>14.923611111240461</v>
      </c>
      <c r="L1099" s="1" t="str">
        <f t="shared" si="88"/>
        <v>OK</v>
      </c>
      <c r="M1099" s="1">
        <f t="shared" si="85"/>
        <v>1</v>
      </c>
      <c r="N1099" s="1">
        <f t="shared" si="86"/>
        <v>27</v>
      </c>
      <c r="O1099" s="10">
        <f t="shared" si="89"/>
        <v>14.923611111240461</v>
      </c>
    </row>
    <row r="1100" spans="1:15">
      <c r="A1100" s="1" t="s">
        <v>1205</v>
      </c>
      <c r="B1100" s="23">
        <v>45036.425000000003</v>
      </c>
      <c r="C1100" s="1" t="s">
        <v>25</v>
      </c>
      <c r="D1100" s="1" t="s">
        <v>59</v>
      </c>
      <c r="E1100" s="1" t="s">
        <v>18</v>
      </c>
      <c r="F1100" s="1" t="s">
        <v>326</v>
      </c>
      <c r="G1100" s="1">
        <v>49</v>
      </c>
      <c r="H1100" s="23">
        <v>45037.101701388892</v>
      </c>
      <c r="I1100" s="1" t="b">
        <v>0</v>
      </c>
      <c r="K1100" s="10">
        <f t="shared" si="87"/>
        <v>16.240833333344199</v>
      </c>
      <c r="L1100" s="1" t="str">
        <f t="shared" si="88"/>
        <v>OK</v>
      </c>
      <c r="M1100" s="1">
        <f t="shared" si="85"/>
        <v>1</v>
      </c>
      <c r="N1100" s="1">
        <f t="shared" si="86"/>
        <v>49</v>
      </c>
      <c r="O1100" s="10">
        <f t="shared" si="89"/>
        <v>16.240833333344199</v>
      </c>
    </row>
    <row r="1101" spans="1:15">
      <c r="A1101" s="1" t="s">
        <v>1206</v>
      </c>
      <c r="B1101" s="23">
        <v>45036.525000000001</v>
      </c>
      <c r="C1101" s="1" t="s">
        <v>25</v>
      </c>
      <c r="D1101" s="1" t="s">
        <v>17</v>
      </c>
      <c r="E1101" s="1" t="s">
        <v>18</v>
      </c>
      <c r="F1101" s="1" t="s">
        <v>70</v>
      </c>
      <c r="H1101" s="23">
        <v>45060.785752314812</v>
      </c>
      <c r="I1101" s="1" t="b">
        <v>0</v>
      </c>
      <c r="K1101" s="10">
        <f t="shared" si="87"/>
        <v>582.25805555545958</v>
      </c>
      <c r="L1101" s="1" t="str">
        <f t="shared" si="88"/>
        <v>Cannot check</v>
      </c>
      <c r="M1101" s="1">
        <f t="shared" si="85"/>
        <v>1</v>
      </c>
      <c r="N1101" s="1" t="str">
        <f t="shared" si="86"/>
        <v/>
      </c>
      <c r="O1101" s="10">
        <f t="shared" si="89"/>
        <v>582.25805555545958</v>
      </c>
    </row>
    <row r="1102" spans="1:15">
      <c r="A1102" s="1" t="s">
        <v>1207</v>
      </c>
      <c r="B1102" s="23">
        <v>45036.675694444442</v>
      </c>
      <c r="C1102" s="1" t="s">
        <v>11</v>
      </c>
      <c r="D1102" s="1" t="s">
        <v>17</v>
      </c>
      <c r="E1102" s="1" t="s">
        <v>18</v>
      </c>
      <c r="F1102" s="1" t="s">
        <v>72</v>
      </c>
      <c r="G1102" s="1">
        <v>124</v>
      </c>
      <c r="H1102" s="23">
        <v>45037.965196759258</v>
      </c>
      <c r="I1102" s="1" t="b">
        <v>0</v>
      </c>
      <c r="K1102" s="10">
        <f t="shared" si="87"/>
        <v>30.948055555578321</v>
      </c>
      <c r="L1102" s="1" t="str">
        <f t="shared" si="88"/>
        <v>OK</v>
      </c>
      <c r="M1102" s="1">
        <f t="shared" si="85"/>
        <v>1</v>
      </c>
      <c r="N1102" s="1">
        <f t="shared" si="86"/>
        <v>124</v>
      </c>
      <c r="O1102" s="10">
        <f t="shared" si="89"/>
        <v>30.948055555578321</v>
      </c>
    </row>
    <row r="1103" spans="1:15">
      <c r="A1103" s="1" t="s">
        <v>1208</v>
      </c>
      <c r="B1103" s="23">
        <v>45036.698611111111</v>
      </c>
      <c r="C1103" s="1" t="s">
        <v>25</v>
      </c>
      <c r="D1103" s="1" t="s">
        <v>21</v>
      </c>
      <c r="E1103" s="1" t="s">
        <v>18</v>
      </c>
      <c r="F1103" s="1" t="s">
        <v>27</v>
      </c>
      <c r="G1103" s="1">
        <v>7</v>
      </c>
      <c r="H1103" s="23">
        <v>45037.555428240739</v>
      </c>
      <c r="I1103" s="1" t="b">
        <v>0</v>
      </c>
      <c r="K1103" s="10">
        <f t="shared" si="87"/>
        <v>20.563611111079808</v>
      </c>
      <c r="L1103" s="1" t="str">
        <f t="shared" si="88"/>
        <v>OK</v>
      </c>
      <c r="M1103" s="1">
        <f t="shared" si="85"/>
        <v>1</v>
      </c>
      <c r="N1103" s="1">
        <f t="shared" si="86"/>
        <v>7</v>
      </c>
      <c r="O1103" s="10">
        <f t="shared" si="89"/>
        <v>20.563611111079808</v>
      </c>
    </row>
    <row r="1104" spans="1:15">
      <c r="A1104" s="1" t="s">
        <v>1209</v>
      </c>
      <c r="B1104" s="23">
        <v>45036.737500000003</v>
      </c>
      <c r="C1104" s="1" t="s">
        <v>25</v>
      </c>
      <c r="D1104" s="1" t="s">
        <v>26</v>
      </c>
      <c r="E1104" s="1" t="s">
        <v>33</v>
      </c>
      <c r="F1104" s="1" t="s">
        <v>76</v>
      </c>
      <c r="G1104" s="1">
        <v>811</v>
      </c>
      <c r="H1104" s="23">
        <v>45045.525810185187</v>
      </c>
      <c r="I1104" s="1" t="b">
        <v>0</v>
      </c>
      <c r="K1104" s="10">
        <f t="shared" si="87"/>
        <v>210.91944444441469</v>
      </c>
      <c r="L1104" s="1" t="str">
        <f t="shared" si="88"/>
        <v>OK</v>
      </c>
      <c r="M1104" s="1">
        <f t="shared" si="85"/>
        <v>1</v>
      </c>
      <c r="N1104" s="1">
        <f t="shared" si="86"/>
        <v>811</v>
      </c>
      <c r="O1104" s="10">
        <f t="shared" si="89"/>
        <v>210.91944444441469</v>
      </c>
    </row>
    <row r="1105" spans="1:15">
      <c r="A1105" s="1" t="s">
        <v>1210</v>
      </c>
      <c r="B1105" s="23">
        <v>45036.801388888889</v>
      </c>
      <c r="C1105" s="1" t="s">
        <v>11</v>
      </c>
      <c r="D1105" s="1" t="s">
        <v>12</v>
      </c>
      <c r="E1105" s="1" t="s">
        <v>22</v>
      </c>
      <c r="F1105" s="1" t="s">
        <v>201</v>
      </c>
      <c r="G1105" s="1">
        <v>22</v>
      </c>
      <c r="H1105" s="23">
        <v>45036.904699074075</v>
      </c>
      <c r="I1105" s="1" t="b">
        <v>0</v>
      </c>
      <c r="K1105" s="10">
        <f t="shared" si="87"/>
        <v>2.4794444444705732</v>
      </c>
      <c r="L1105" s="1" t="str">
        <f t="shared" si="88"/>
        <v>OK</v>
      </c>
      <c r="M1105" s="1">
        <f t="shared" si="85"/>
        <v>1</v>
      </c>
      <c r="N1105" s="1">
        <f t="shared" si="86"/>
        <v>22</v>
      </c>
      <c r="O1105" s="10">
        <f t="shared" si="89"/>
        <v>2.4794444444705732</v>
      </c>
    </row>
    <row r="1106" spans="1:15">
      <c r="A1106" s="1" t="s">
        <v>1211</v>
      </c>
      <c r="B1106" s="23">
        <v>45036.893750000003</v>
      </c>
      <c r="C1106" s="1" t="s">
        <v>16</v>
      </c>
      <c r="D1106" s="1" t="s">
        <v>17</v>
      </c>
      <c r="E1106" s="1" t="s">
        <v>13</v>
      </c>
      <c r="F1106" s="1" t="s">
        <v>110</v>
      </c>
      <c r="G1106" s="1">
        <v>12</v>
      </c>
      <c r="H1106" s="23">
        <v>45038.322372685187</v>
      </c>
      <c r="I1106" s="1" t="b">
        <v>0</v>
      </c>
      <c r="J1106" s="1">
        <v>2</v>
      </c>
      <c r="K1106" s="10">
        <f t="shared" si="87"/>
        <v>34.286944444407709</v>
      </c>
      <c r="L1106" s="1" t="str">
        <f t="shared" si="88"/>
        <v>OK</v>
      </c>
      <c r="M1106" s="1">
        <f t="shared" si="85"/>
        <v>1</v>
      </c>
      <c r="N1106" s="1">
        <f t="shared" si="86"/>
        <v>12</v>
      </c>
      <c r="O1106" s="10">
        <f t="shared" si="89"/>
        <v>34.286944444407709</v>
      </c>
    </row>
    <row r="1107" spans="1:15">
      <c r="A1107" s="1" t="s">
        <v>1212</v>
      </c>
      <c r="B1107" s="23">
        <v>45037.173611111109</v>
      </c>
      <c r="C1107" s="1" t="s">
        <v>43</v>
      </c>
      <c r="D1107" s="1" t="s">
        <v>59</v>
      </c>
      <c r="E1107" s="1" t="s">
        <v>18</v>
      </c>
      <c r="F1107" s="1" t="s">
        <v>148</v>
      </c>
      <c r="G1107" s="1">
        <v>21</v>
      </c>
      <c r="H1107" s="23">
        <v>45060.921516203707</v>
      </c>
      <c r="I1107" s="1" t="b">
        <v>0</v>
      </c>
      <c r="K1107" s="10">
        <f t="shared" si="87"/>
        <v>569.94972222234355</v>
      </c>
      <c r="L1107" s="1" t="str">
        <f t="shared" si="88"/>
        <v>OK</v>
      </c>
      <c r="M1107" s="1">
        <f t="shared" si="85"/>
        <v>1</v>
      </c>
      <c r="N1107" s="1">
        <f t="shared" si="86"/>
        <v>21</v>
      </c>
      <c r="O1107" s="10">
        <f t="shared" si="89"/>
        <v>569.94972222234355</v>
      </c>
    </row>
    <row r="1108" spans="1:15">
      <c r="A1108" s="1" t="s">
        <v>1213</v>
      </c>
      <c r="B1108" s="23">
        <v>45037.195138888892</v>
      </c>
      <c r="C1108" s="1" t="s">
        <v>16</v>
      </c>
      <c r="D1108" s="1" t="s">
        <v>17</v>
      </c>
      <c r="E1108" s="1" t="s">
        <v>18</v>
      </c>
      <c r="F1108" s="1" t="s">
        <v>68</v>
      </c>
      <c r="G1108" s="1">
        <v>14</v>
      </c>
      <c r="H1108" s="23">
        <v>45038.327152777776</v>
      </c>
      <c r="I1108" s="1" t="b">
        <v>0</v>
      </c>
      <c r="K1108" s="10">
        <f t="shared" si="87"/>
        <v>27.16833333321847</v>
      </c>
      <c r="L1108" s="1" t="str">
        <f t="shared" si="88"/>
        <v>OK</v>
      </c>
      <c r="M1108" s="1">
        <f t="shared" si="85"/>
        <v>1</v>
      </c>
      <c r="N1108" s="1">
        <f t="shared" si="86"/>
        <v>14</v>
      </c>
      <c r="O1108" s="10">
        <f t="shared" si="89"/>
        <v>27.16833333321847</v>
      </c>
    </row>
    <row r="1109" spans="1:15">
      <c r="A1109" s="1" t="s">
        <v>1214</v>
      </c>
      <c r="B1109" s="23">
        <v>45037.331250000003</v>
      </c>
      <c r="C1109" s="1" t="s">
        <v>25</v>
      </c>
      <c r="D1109" s="1" t="s">
        <v>17</v>
      </c>
      <c r="E1109" s="1" t="s">
        <v>13</v>
      </c>
      <c r="F1109" s="1" t="s">
        <v>39</v>
      </c>
      <c r="G1109" s="1">
        <v>20</v>
      </c>
      <c r="H1109" s="23">
        <v>45038.710416666669</v>
      </c>
      <c r="I1109" s="1" t="b">
        <v>0</v>
      </c>
      <c r="K1109" s="10">
        <f t="shared" si="87"/>
        <v>33.099999999976717</v>
      </c>
      <c r="L1109" s="1" t="str">
        <f t="shared" si="88"/>
        <v>OK</v>
      </c>
      <c r="M1109" s="1">
        <f t="shared" si="85"/>
        <v>1</v>
      </c>
      <c r="N1109" s="1">
        <f t="shared" si="86"/>
        <v>20</v>
      </c>
      <c r="O1109" s="10">
        <f t="shared" si="89"/>
        <v>33.099999999976717</v>
      </c>
    </row>
    <row r="1110" spans="1:15">
      <c r="A1110" s="1" t="s">
        <v>1215</v>
      </c>
      <c r="B1110" s="23">
        <v>45037.463194444441</v>
      </c>
      <c r="C1110" s="1" t="s">
        <v>11</v>
      </c>
      <c r="D1110" s="1" t="s">
        <v>17</v>
      </c>
      <c r="E1110" s="1" t="s">
        <v>18</v>
      </c>
      <c r="F1110" s="1" t="s">
        <v>110</v>
      </c>
      <c r="G1110" s="1">
        <v>189</v>
      </c>
      <c r="H1110" s="23">
        <v>45041.313391203701</v>
      </c>
      <c r="I1110" s="1" t="b">
        <v>0</v>
      </c>
      <c r="J1110" s="1">
        <v>5</v>
      </c>
      <c r="K1110" s="10">
        <f t="shared" si="87"/>
        <v>92.404722222243436</v>
      </c>
      <c r="L1110" s="1" t="str">
        <f t="shared" si="88"/>
        <v>OK</v>
      </c>
      <c r="M1110" s="1">
        <f t="shared" si="85"/>
        <v>1</v>
      </c>
      <c r="N1110" s="1">
        <f t="shared" si="86"/>
        <v>189</v>
      </c>
      <c r="O1110" s="10">
        <f t="shared" si="89"/>
        <v>92.404722222243436</v>
      </c>
    </row>
    <row r="1111" spans="1:15">
      <c r="A1111" s="1" t="s">
        <v>1216</v>
      </c>
      <c r="B1111" s="23">
        <v>45037.602083333331</v>
      </c>
      <c r="C1111" s="1" t="s">
        <v>25</v>
      </c>
      <c r="D1111" s="1" t="s">
        <v>59</v>
      </c>
      <c r="E1111" s="1" t="s">
        <v>33</v>
      </c>
      <c r="F1111" s="1" t="s">
        <v>64</v>
      </c>
      <c r="G1111" s="1">
        <v>48</v>
      </c>
      <c r="H1111" s="23">
        <v>45038.380219907405</v>
      </c>
      <c r="I1111" s="1" t="b">
        <v>0</v>
      </c>
      <c r="K1111" s="10">
        <f t="shared" si="87"/>
        <v>18.675277777772862</v>
      </c>
      <c r="L1111" s="1" t="str">
        <f t="shared" si="88"/>
        <v>OK</v>
      </c>
      <c r="M1111" s="1">
        <f t="shared" si="85"/>
        <v>1</v>
      </c>
      <c r="N1111" s="1">
        <f t="shared" si="86"/>
        <v>48</v>
      </c>
      <c r="O1111" s="10">
        <f t="shared" si="89"/>
        <v>18.675277777772862</v>
      </c>
    </row>
    <row r="1112" spans="1:15">
      <c r="A1112" s="1" t="s">
        <v>1217</v>
      </c>
      <c r="B1112" s="23">
        <v>45037.662499999999</v>
      </c>
      <c r="C1112" s="1" t="s">
        <v>16</v>
      </c>
      <c r="D1112" s="1" t="s">
        <v>12</v>
      </c>
      <c r="E1112" s="1" t="s">
        <v>33</v>
      </c>
      <c r="F1112" s="1" t="s">
        <v>72</v>
      </c>
      <c r="G1112" s="1">
        <v>253</v>
      </c>
      <c r="H1112" s="23">
        <v>45040.144189814811</v>
      </c>
      <c r="I1112" s="1" t="b">
        <v>0</v>
      </c>
      <c r="K1112" s="10">
        <f t="shared" si="87"/>
        <v>59.560555555508472</v>
      </c>
      <c r="L1112" s="1" t="str">
        <f t="shared" si="88"/>
        <v>OK</v>
      </c>
      <c r="M1112" s="1">
        <f t="shared" si="85"/>
        <v>1</v>
      </c>
      <c r="N1112" s="1">
        <f t="shared" si="86"/>
        <v>253</v>
      </c>
      <c r="O1112" s="10">
        <f t="shared" si="89"/>
        <v>59.560555555508472</v>
      </c>
    </row>
    <row r="1113" spans="1:15">
      <c r="A1113" s="1" t="s">
        <v>1218</v>
      </c>
      <c r="B1113" s="23">
        <v>45037.697916666664</v>
      </c>
      <c r="C1113" s="1" t="s">
        <v>16</v>
      </c>
      <c r="D1113" s="1" t="s">
        <v>26</v>
      </c>
      <c r="E1113" s="1" t="s">
        <v>33</v>
      </c>
      <c r="F1113" s="1" t="s">
        <v>88</v>
      </c>
      <c r="G1113" s="1">
        <v>659</v>
      </c>
      <c r="H1113" s="23">
        <v>45039.563842592594</v>
      </c>
      <c r="I1113" s="1" t="b">
        <v>0</v>
      </c>
      <c r="K1113" s="10">
        <f t="shared" si="87"/>
        <v>44.782222222303972</v>
      </c>
      <c r="L1113" s="1" t="str">
        <f t="shared" si="88"/>
        <v>OK</v>
      </c>
      <c r="M1113" s="1">
        <f t="shared" si="85"/>
        <v>1</v>
      </c>
      <c r="N1113" s="1">
        <f t="shared" si="86"/>
        <v>659</v>
      </c>
      <c r="O1113" s="10">
        <f t="shared" si="89"/>
        <v>44.782222222303972</v>
      </c>
    </row>
    <row r="1114" spans="1:15">
      <c r="A1114" s="1" t="s">
        <v>1219</v>
      </c>
      <c r="B1114" s="23">
        <v>45037.744444444441</v>
      </c>
      <c r="C1114" s="1" t="s">
        <v>16</v>
      </c>
      <c r="D1114" s="1" t="s">
        <v>21</v>
      </c>
      <c r="E1114" s="1" t="s">
        <v>18</v>
      </c>
      <c r="F1114" s="1" t="s">
        <v>52</v>
      </c>
      <c r="G1114" s="1">
        <v>117</v>
      </c>
      <c r="H1114" s="23">
        <v>45038.489212962966</v>
      </c>
      <c r="I1114" s="1" t="b">
        <v>1</v>
      </c>
      <c r="J1114" s="1">
        <v>4</v>
      </c>
      <c r="K1114" s="10">
        <f t="shared" si="87"/>
        <v>17.874444444605615</v>
      </c>
      <c r="L1114" s="1" t="str">
        <f t="shared" si="88"/>
        <v>OK</v>
      </c>
      <c r="M1114" s="1">
        <f t="shared" si="85"/>
        <v>1</v>
      </c>
      <c r="N1114" s="1">
        <f t="shared" si="86"/>
        <v>117</v>
      </c>
      <c r="O1114" s="10">
        <f t="shared" si="89"/>
        <v>17.874444444605615</v>
      </c>
    </row>
    <row r="1115" spans="1:15">
      <c r="A1115" s="1" t="s">
        <v>1220</v>
      </c>
      <c r="B1115" s="23">
        <v>45038.068749999999</v>
      </c>
      <c r="C1115" s="1" t="s">
        <v>11</v>
      </c>
      <c r="D1115" s="1" t="s">
        <v>26</v>
      </c>
      <c r="E1115" s="1" t="s">
        <v>18</v>
      </c>
      <c r="F1115" s="1" t="s">
        <v>108</v>
      </c>
      <c r="G1115" s="1">
        <v>63</v>
      </c>
      <c r="H1115" s="23">
        <v>45038.586388888885</v>
      </c>
      <c r="I1115" s="1" t="b">
        <v>0</v>
      </c>
      <c r="J1115" s="1">
        <v>4</v>
      </c>
      <c r="K1115" s="10">
        <f t="shared" si="87"/>
        <v>12.423333333281334</v>
      </c>
      <c r="L1115" s="1" t="str">
        <f t="shared" si="88"/>
        <v>OK</v>
      </c>
      <c r="M1115" s="1">
        <f t="shared" si="85"/>
        <v>1</v>
      </c>
      <c r="N1115" s="1">
        <f t="shared" si="86"/>
        <v>63</v>
      </c>
      <c r="O1115" s="10">
        <f t="shared" si="89"/>
        <v>12.423333333281334</v>
      </c>
    </row>
    <row r="1116" spans="1:15">
      <c r="A1116" s="1" t="s">
        <v>1221</v>
      </c>
      <c r="B1116" s="23">
        <v>45038.085416666669</v>
      </c>
      <c r="C1116" s="1" t="s">
        <v>25</v>
      </c>
      <c r="D1116" s="1" t="s">
        <v>59</v>
      </c>
      <c r="E1116" s="1" t="s">
        <v>18</v>
      </c>
      <c r="F1116" s="1" t="s">
        <v>153</v>
      </c>
      <c r="G1116" s="1">
        <v>107</v>
      </c>
      <c r="I1116" s="1" t="b">
        <v>0</v>
      </c>
      <c r="K1116" s="10" t="str">
        <f t="shared" si="87"/>
        <v/>
      </c>
      <c r="L1116" s="1" t="str">
        <f t="shared" si="88"/>
        <v>Cannot check</v>
      </c>
      <c r="M1116" s="1">
        <f t="shared" si="85"/>
        <v>1</v>
      </c>
      <c r="N1116" s="1">
        <f t="shared" si="86"/>
        <v>107</v>
      </c>
      <c r="O1116" s="10" t="str">
        <f t="shared" si="89"/>
        <v/>
      </c>
    </row>
    <row r="1117" spans="1:15">
      <c r="A1117" s="1" t="s">
        <v>1222</v>
      </c>
      <c r="B1117" s="23">
        <v>45038.142361111109</v>
      </c>
      <c r="C1117" s="1" t="s">
        <v>25</v>
      </c>
      <c r="D1117" s="1" t="s">
        <v>26</v>
      </c>
      <c r="E1117" s="1" t="s">
        <v>13</v>
      </c>
      <c r="F1117" s="1" t="s">
        <v>153</v>
      </c>
      <c r="G1117" s="1">
        <v>4</v>
      </c>
      <c r="H1117" s="23">
        <v>45040.224872685183</v>
      </c>
      <c r="I1117" s="1" t="b">
        <v>0</v>
      </c>
      <c r="J1117" s="1">
        <v>4</v>
      </c>
      <c r="K1117" s="10">
        <f t="shared" si="87"/>
        <v>49.980277777765878</v>
      </c>
      <c r="L1117" s="1" t="str">
        <f t="shared" si="88"/>
        <v>OK</v>
      </c>
      <c r="M1117" s="1">
        <f t="shared" si="85"/>
        <v>1</v>
      </c>
      <c r="N1117" s="1">
        <f t="shared" si="86"/>
        <v>4</v>
      </c>
      <c r="O1117" s="10">
        <f t="shared" si="89"/>
        <v>49.980277777765878</v>
      </c>
    </row>
    <row r="1118" spans="1:15">
      <c r="A1118" s="1" t="s">
        <v>1223</v>
      </c>
      <c r="B1118" s="23">
        <v>45038.150694444441</v>
      </c>
      <c r="C1118" s="1" t="s">
        <v>25</v>
      </c>
      <c r="D1118" s="1" t="s">
        <v>12</v>
      </c>
      <c r="E1118" s="1" t="s">
        <v>18</v>
      </c>
      <c r="F1118" s="1" t="s">
        <v>68</v>
      </c>
      <c r="G1118" s="1">
        <v>196</v>
      </c>
      <c r="H1118" s="23">
        <v>45038.373599537037</v>
      </c>
      <c r="I1118" s="1" t="b">
        <v>0</v>
      </c>
      <c r="J1118" s="1">
        <v>5</v>
      </c>
      <c r="K1118" s="10">
        <f t="shared" si="87"/>
        <v>5.3497222223086283</v>
      </c>
      <c r="L1118" s="1" t="str">
        <f t="shared" si="88"/>
        <v>OK</v>
      </c>
      <c r="M1118" s="1">
        <f t="shared" si="85"/>
        <v>1</v>
      </c>
      <c r="N1118" s="1">
        <f t="shared" si="86"/>
        <v>196</v>
      </c>
      <c r="O1118" s="10">
        <f t="shared" si="89"/>
        <v>5.3497222223086283</v>
      </c>
    </row>
    <row r="1119" spans="1:15">
      <c r="A1119" s="1" t="s">
        <v>1224</v>
      </c>
      <c r="B1119" s="23">
        <v>45038.207638888889</v>
      </c>
      <c r="C1119" s="1" t="s">
        <v>16</v>
      </c>
      <c r="D1119" s="1" t="s">
        <v>17</v>
      </c>
      <c r="E1119" s="1" t="s">
        <v>18</v>
      </c>
      <c r="F1119" s="1" t="s">
        <v>110</v>
      </c>
      <c r="H1119" s="23">
        <v>45039.658750000002</v>
      </c>
      <c r="I1119" s="1" t="b">
        <v>0</v>
      </c>
      <c r="J1119" s="1">
        <v>5</v>
      </c>
      <c r="K1119" s="10">
        <f t="shared" si="87"/>
        <v>34.826666666718666</v>
      </c>
      <c r="L1119" s="1" t="str">
        <f t="shared" si="88"/>
        <v>Cannot check</v>
      </c>
      <c r="M1119" s="1">
        <f t="shared" si="85"/>
        <v>1</v>
      </c>
      <c r="N1119" s="1" t="str">
        <f t="shared" si="86"/>
        <v/>
      </c>
      <c r="O1119" s="10">
        <f t="shared" si="89"/>
        <v>34.826666666718666</v>
      </c>
    </row>
    <row r="1120" spans="1:15">
      <c r="A1120" s="1" t="s">
        <v>1225</v>
      </c>
      <c r="B1120" s="23">
        <v>45038.262499999997</v>
      </c>
      <c r="C1120" s="1" t="s">
        <v>16</v>
      </c>
      <c r="D1120" s="1" t="s">
        <v>26</v>
      </c>
      <c r="E1120" s="1" t="s">
        <v>22</v>
      </c>
      <c r="F1120" s="1" t="s">
        <v>259</v>
      </c>
      <c r="G1120" s="1">
        <v>47</v>
      </c>
      <c r="H1120" s="23">
        <v>45038.499305555553</v>
      </c>
      <c r="I1120" s="1" t="b">
        <v>0</v>
      </c>
      <c r="K1120" s="10">
        <f t="shared" si="87"/>
        <v>5.6833333333488554</v>
      </c>
      <c r="L1120" s="1" t="str">
        <f t="shared" si="88"/>
        <v>OK</v>
      </c>
      <c r="M1120" s="1">
        <f t="shared" si="85"/>
        <v>1</v>
      </c>
      <c r="N1120" s="1">
        <f t="shared" si="86"/>
        <v>47</v>
      </c>
      <c r="O1120" s="10">
        <f t="shared" si="89"/>
        <v>5.6833333333488554</v>
      </c>
    </row>
    <row r="1121" spans="1:15">
      <c r="A1121" s="1" t="s">
        <v>1226</v>
      </c>
      <c r="B1121" s="23">
        <v>45038.306250000001</v>
      </c>
      <c r="C1121" s="1" t="s">
        <v>25</v>
      </c>
      <c r="D1121" s="1" t="s">
        <v>17</v>
      </c>
      <c r="E1121" s="1" t="s">
        <v>18</v>
      </c>
      <c r="F1121" s="1" t="s">
        <v>96</v>
      </c>
      <c r="G1121" s="1">
        <v>74</v>
      </c>
      <c r="H1121" s="23">
        <v>45040.399340277778</v>
      </c>
      <c r="I1121" s="1" t="b">
        <v>0</v>
      </c>
      <c r="K1121" s="10">
        <f t="shared" si="87"/>
        <v>50.234166666632518</v>
      </c>
      <c r="L1121" s="1" t="str">
        <f t="shared" si="88"/>
        <v>OK</v>
      </c>
      <c r="M1121" s="1">
        <f t="shared" si="85"/>
        <v>1</v>
      </c>
      <c r="N1121" s="1">
        <f t="shared" si="86"/>
        <v>74</v>
      </c>
      <c r="O1121" s="10">
        <f t="shared" si="89"/>
        <v>50.234166666632518</v>
      </c>
    </row>
    <row r="1122" spans="1:15">
      <c r="A1122" s="1" t="s">
        <v>1227</v>
      </c>
      <c r="B1122" s="23">
        <v>45038.456944444442</v>
      </c>
      <c r="C1122" s="1" t="s">
        <v>11</v>
      </c>
      <c r="D1122" s="1" t="s">
        <v>17</v>
      </c>
      <c r="E1122" s="1" t="s">
        <v>33</v>
      </c>
      <c r="F1122" s="1" t="s">
        <v>201</v>
      </c>
      <c r="G1122" s="1">
        <v>77</v>
      </c>
      <c r="H1122" s="23">
        <v>45065.724675925929</v>
      </c>
      <c r="I1122" s="1" t="b">
        <v>0</v>
      </c>
      <c r="K1122" s="10">
        <f t="shared" si="87"/>
        <v>654.42555555567378</v>
      </c>
      <c r="L1122" s="1" t="str">
        <f t="shared" si="88"/>
        <v>OK</v>
      </c>
      <c r="M1122" s="1">
        <f t="shared" si="85"/>
        <v>1</v>
      </c>
      <c r="N1122" s="1">
        <f t="shared" si="86"/>
        <v>77</v>
      </c>
      <c r="O1122" s="10">
        <f t="shared" si="89"/>
        <v>654.42555555567378</v>
      </c>
    </row>
    <row r="1123" spans="1:15">
      <c r="A1123" s="1" t="s">
        <v>1228</v>
      </c>
      <c r="B1123" s="23">
        <v>45038.589583333334</v>
      </c>
      <c r="C1123" s="1" t="s">
        <v>43</v>
      </c>
      <c r="D1123" s="1" t="s">
        <v>12</v>
      </c>
      <c r="E1123" s="1" t="s">
        <v>18</v>
      </c>
      <c r="F1123" s="1" t="s">
        <v>198</v>
      </c>
      <c r="G1123" s="1">
        <v>75</v>
      </c>
      <c r="H1123" s="23">
        <v>45039.190787037034</v>
      </c>
      <c r="I1123" s="1" t="b">
        <v>0</v>
      </c>
      <c r="K1123" s="10">
        <f t="shared" si="87"/>
        <v>14.428888888796791</v>
      </c>
      <c r="L1123" s="1" t="str">
        <f t="shared" si="88"/>
        <v>OK</v>
      </c>
      <c r="M1123" s="1">
        <f t="shared" si="85"/>
        <v>1</v>
      </c>
      <c r="N1123" s="1">
        <f t="shared" si="86"/>
        <v>75</v>
      </c>
      <c r="O1123" s="10">
        <f t="shared" si="89"/>
        <v>14.428888888796791</v>
      </c>
    </row>
    <row r="1124" spans="1:15">
      <c r="A1124" s="1" t="s">
        <v>1229</v>
      </c>
      <c r="B1124" s="23">
        <v>45038.685416666667</v>
      </c>
      <c r="C1124" s="1" t="s">
        <v>16</v>
      </c>
      <c r="D1124" s="1" t="s">
        <v>21</v>
      </c>
      <c r="E1124" s="1" t="s">
        <v>33</v>
      </c>
      <c r="F1124" s="1" t="s">
        <v>35</v>
      </c>
      <c r="G1124" s="1">
        <v>262</v>
      </c>
      <c r="H1124" s="23">
        <v>45040.338831018518</v>
      </c>
      <c r="I1124" s="1" t="b">
        <v>0</v>
      </c>
      <c r="J1124" s="1">
        <v>5</v>
      </c>
      <c r="K1124" s="10">
        <f t="shared" si="87"/>
        <v>39.681944444426335</v>
      </c>
      <c r="L1124" s="1" t="str">
        <f t="shared" si="88"/>
        <v>OK</v>
      </c>
      <c r="M1124" s="1">
        <f t="shared" si="85"/>
        <v>1</v>
      </c>
      <c r="N1124" s="1">
        <f t="shared" si="86"/>
        <v>262</v>
      </c>
      <c r="O1124" s="10">
        <f t="shared" si="89"/>
        <v>39.681944444426335</v>
      </c>
    </row>
    <row r="1125" spans="1:15">
      <c r="A1125" s="1" t="s">
        <v>1230</v>
      </c>
      <c r="B1125" s="23">
        <v>45038.686111111114</v>
      </c>
      <c r="C1125" s="1" t="s">
        <v>16</v>
      </c>
      <c r="D1125" s="1" t="s">
        <v>17</v>
      </c>
      <c r="E1125" s="1" t="s">
        <v>33</v>
      </c>
      <c r="F1125" s="1" t="s">
        <v>98</v>
      </c>
      <c r="G1125" s="1">
        <v>640</v>
      </c>
      <c r="H1125" s="23">
        <v>45040.41646990741</v>
      </c>
      <c r="I1125" s="1" t="b">
        <v>0</v>
      </c>
      <c r="J1125" s="1">
        <v>5</v>
      </c>
      <c r="K1125" s="10">
        <f t="shared" si="87"/>
        <v>41.52861111110542</v>
      </c>
      <c r="L1125" s="1" t="str">
        <f t="shared" si="88"/>
        <v>OK</v>
      </c>
      <c r="M1125" s="1">
        <f t="shared" si="85"/>
        <v>1</v>
      </c>
      <c r="N1125" s="1">
        <f t="shared" si="86"/>
        <v>640</v>
      </c>
      <c r="O1125" s="10">
        <f t="shared" si="89"/>
        <v>41.52861111110542</v>
      </c>
    </row>
    <row r="1126" spans="1:15">
      <c r="A1126" s="1" t="s">
        <v>1231</v>
      </c>
      <c r="B1126" s="23">
        <v>45038.727083333331</v>
      </c>
      <c r="C1126" s="1" t="s">
        <v>25</v>
      </c>
      <c r="D1126" s="1" t="s">
        <v>21</v>
      </c>
      <c r="E1126" s="1" t="s">
        <v>13</v>
      </c>
      <c r="F1126" s="1" t="s">
        <v>50</v>
      </c>
      <c r="G1126" s="1">
        <v>81</v>
      </c>
      <c r="H1126" s="23">
        <v>45041.100937499999</v>
      </c>
      <c r="I1126" s="1" t="b">
        <v>1</v>
      </c>
      <c r="K1126" s="10">
        <f t="shared" si="87"/>
        <v>56.972500000032596</v>
      </c>
      <c r="L1126" s="1" t="str">
        <f t="shared" si="88"/>
        <v>OK</v>
      </c>
      <c r="M1126" s="1">
        <f t="shared" si="85"/>
        <v>1</v>
      </c>
      <c r="N1126" s="1">
        <f t="shared" si="86"/>
        <v>81</v>
      </c>
      <c r="O1126" s="10">
        <f t="shared" si="89"/>
        <v>56.972500000032596</v>
      </c>
    </row>
    <row r="1127" spans="1:15">
      <c r="A1127" s="1" t="s">
        <v>1232</v>
      </c>
      <c r="B1127" s="23">
        <v>45038.754166666666</v>
      </c>
      <c r="C1127" s="1" t="s">
        <v>25</v>
      </c>
      <c r="D1127" s="1" t="s">
        <v>59</v>
      </c>
      <c r="E1127" s="1" t="s">
        <v>13</v>
      </c>
      <c r="F1127" s="1" t="s">
        <v>178</v>
      </c>
      <c r="G1127" s="1">
        <v>312</v>
      </c>
      <c r="H1127" s="23">
        <v>45039.184837962966</v>
      </c>
      <c r="I1127" s="1" t="b">
        <v>0</v>
      </c>
      <c r="K1127" s="10">
        <f t="shared" si="87"/>
        <v>10.336111111217178</v>
      </c>
      <c r="L1127" s="1" t="str">
        <f t="shared" si="88"/>
        <v>OK</v>
      </c>
      <c r="M1127" s="1">
        <f t="shared" si="85"/>
        <v>1</v>
      </c>
      <c r="N1127" s="1">
        <f t="shared" si="86"/>
        <v>312</v>
      </c>
      <c r="O1127" s="10">
        <f t="shared" si="89"/>
        <v>10.336111111217178</v>
      </c>
    </row>
    <row r="1128" spans="1:15">
      <c r="A1128" s="1" t="s">
        <v>1233</v>
      </c>
      <c r="B1128" s="23">
        <v>45038.776388888888</v>
      </c>
      <c r="C1128" s="1" t="s">
        <v>16</v>
      </c>
      <c r="D1128" s="1" t="s">
        <v>12</v>
      </c>
      <c r="E1128" s="1" t="s">
        <v>18</v>
      </c>
      <c r="F1128" s="1" t="s">
        <v>102</v>
      </c>
      <c r="G1128" s="1">
        <v>89</v>
      </c>
      <c r="H1128" s="23">
        <v>45041.133773148147</v>
      </c>
      <c r="I1128" s="1" t="b">
        <v>0</v>
      </c>
      <c r="J1128" s="1">
        <v>2</v>
      </c>
      <c r="K1128" s="10">
        <f t="shared" si="87"/>
        <v>56.577222222229466</v>
      </c>
      <c r="L1128" s="1" t="str">
        <f t="shared" si="88"/>
        <v>OK</v>
      </c>
      <c r="M1128" s="1">
        <f t="shared" si="85"/>
        <v>1</v>
      </c>
      <c r="N1128" s="1">
        <f t="shared" si="86"/>
        <v>89</v>
      </c>
      <c r="O1128" s="10">
        <f t="shared" si="89"/>
        <v>56.577222222229466</v>
      </c>
    </row>
    <row r="1129" spans="1:15">
      <c r="A1129" s="1" t="s">
        <v>1234</v>
      </c>
      <c r="B1129" s="23">
        <v>45038.77847222222</v>
      </c>
      <c r="C1129" s="1" t="s">
        <v>11</v>
      </c>
      <c r="D1129" s="1" t="s">
        <v>59</v>
      </c>
      <c r="E1129" s="1" t="s">
        <v>13</v>
      </c>
      <c r="F1129" s="1" t="s">
        <v>162</v>
      </c>
      <c r="G1129" s="1">
        <v>117</v>
      </c>
      <c r="H1129" s="23">
        <v>45039.045300925929</v>
      </c>
      <c r="I1129" s="1" t="b">
        <v>0</v>
      </c>
      <c r="J1129" s="1">
        <v>1</v>
      </c>
      <c r="K1129" s="10">
        <f t="shared" si="87"/>
        <v>6.403888889006339</v>
      </c>
      <c r="L1129" s="1" t="str">
        <f t="shared" si="88"/>
        <v>OK</v>
      </c>
      <c r="M1129" s="1">
        <f t="shared" si="85"/>
        <v>1</v>
      </c>
      <c r="N1129" s="1">
        <f t="shared" si="86"/>
        <v>117</v>
      </c>
      <c r="O1129" s="10">
        <f t="shared" si="89"/>
        <v>6.403888889006339</v>
      </c>
    </row>
    <row r="1130" spans="1:15">
      <c r="A1130" s="1" t="s">
        <v>1235</v>
      </c>
      <c r="B1130" s="23">
        <v>45039.002083333333</v>
      </c>
      <c r="C1130" s="1" t="s">
        <v>25</v>
      </c>
      <c r="D1130" s="1" t="s">
        <v>21</v>
      </c>
      <c r="E1130" s="1" t="s">
        <v>18</v>
      </c>
      <c r="F1130" s="1" t="s">
        <v>345</v>
      </c>
      <c r="G1130" s="1">
        <v>764</v>
      </c>
      <c r="H1130" s="23">
        <v>45041.729560185187</v>
      </c>
      <c r="I1130" s="1" t="b">
        <v>0</v>
      </c>
      <c r="K1130" s="10">
        <f t="shared" si="87"/>
        <v>65.459444444510154</v>
      </c>
      <c r="L1130" s="1" t="str">
        <f t="shared" si="88"/>
        <v>OK</v>
      </c>
      <c r="M1130" s="1">
        <f t="shared" si="85"/>
        <v>1</v>
      </c>
      <c r="N1130" s="1">
        <f t="shared" si="86"/>
        <v>764</v>
      </c>
      <c r="O1130" s="10">
        <f t="shared" si="89"/>
        <v>65.459444444510154</v>
      </c>
    </row>
    <row r="1131" spans="1:15">
      <c r="A1131" s="1" t="s">
        <v>1236</v>
      </c>
      <c r="B1131" s="23">
        <v>45039.244444444441</v>
      </c>
      <c r="C1131" s="1" t="s">
        <v>25</v>
      </c>
      <c r="D1131" s="1" t="s">
        <v>12</v>
      </c>
      <c r="E1131" s="1" t="s">
        <v>33</v>
      </c>
      <c r="F1131" s="1" t="s">
        <v>114</v>
      </c>
      <c r="G1131" s="1">
        <v>186</v>
      </c>
      <c r="H1131" s="23">
        <v>45042.509328703702</v>
      </c>
      <c r="I1131" s="1" t="b">
        <v>0</v>
      </c>
      <c r="K1131" s="10">
        <f t="shared" si="87"/>
        <v>78.357222222257406</v>
      </c>
      <c r="L1131" s="1" t="str">
        <f t="shared" si="88"/>
        <v>OK</v>
      </c>
      <c r="M1131" s="1">
        <f t="shared" si="85"/>
        <v>1</v>
      </c>
      <c r="N1131" s="1">
        <f t="shared" si="86"/>
        <v>186</v>
      </c>
      <c r="O1131" s="10">
        <f t="shared" si="89"/>
        <v>78.357222222257406</v>
      </c>
    </row>
    <row r="1132" spans="1:15">
      <c r="A1132" s="1" t="s">
        <v>1237</v>
      </c>
      <c r="B1132" s="23">
        <v>45039.383333333331</v>
      </c>
      <c r="C1132" s="1" t="s">
        <v>25</v>
      </c>
      <c r="D1132" s="1" t="s">
        <v>21</v>
      </c>
      <c r="E1132" s="1" t="s">
        <v>18</v>
      </c>
      <c r="F1132" s="1" t="s">
        <v>64</v>
      </c>
      <c r="G1132" s="1">
        <v>27</v>
      </c>
      <c r="H1132" s="23">
        <v>45039.767962962964</v>
      </c>
      <c r="I1132" s="1" t="b">
        <v>0</v>
      </c>
      <c r="K1132" s="10">
        <f t="shared" si="87"/>
        <v>9.2311111111775972</v>
      </c>
      <c r="L1132" s="1" t="str">
        <f t="shared" si="88"/>
        <v>OK</v>
      </c>
      <c r="M1132" s="1">
        <f t="shared" si="85"/>
        <v>1</v>
      </c>
      <c r="N1132" s="1">
        <f t="shared" si="86"/>
        <v>27</v>
      </c>
      <c r="O1132" s="10">
        <f t="shared" si="89"/>
        <v>9.2311111111775972</v>
      </c>
    </row>
    <row r="1133" spans="1:15">
      <c r="A1133" s="1" t="s">
        <v>1238</v>
      </c>
      <c r="B1133" s="23">
        <v>45039.718055555553</v>
      </c>
      <c r="C1133" s="1" t="s">
        <v>11</v>
      </c>
      <c r="D1133" s="1" t="s">
        <v>12</v>
      </c>
      <c r="E1133" s="1" t="s">
        <v>33</v>
      </c>
      <c r="F1133" s="1" t="s">
        <v>367</v>
      </c>
      <c r="G1133" s="1">
        <v>182</v>
      </c>
      <c r="H1133" s="23">
        <v>45040.664837962962</v>
      </c>
      <c r="I1133" s="1" t="b">
        <v>0</v>
      </c>
      <c r="J1133" s="1">
        <v>5</v>
      </c>
      <c r="K1133" s="10">
        <f t="shared" si="87"/>
        <v>22.7227777778171</v>
      </c>
      <c r="L1133" s="1" t="str">
        <f t="shared" si="88"/>
        <v>OK</v>
      </c>
      <c r="M1133" s="1">
        <f t="shared" si="85"/>
        <v>1</v>
      </c>
      <c r="N1133" s="1">
        <f t="shared" si="86"/>
        <v>182</v>
      </c>
      <c r="O1133" s="10">
        <f t="shared" si="89"/>
        <v>22.7227777778171</v>
      </c>
    </row>
    <row r="1134" spans="1:15">
      <c r="A1134" s="1" t="s">
        <v>1239</v>
      </c>
      <c r="B1134" s="23">
        <v>45039.729166666664</v>
      </c>
      <c r="C1134" s="1" t="s">
        <v>16</v>
      </c>
      <c r="D1134" s="1" t="s">
        <v>21</v>
      </c>
      <c r="E1134" s="1" t="s">
        <v>33</v>
      </c>
      <c r="F1134" s="1" t="s">
        <v>245</v>
      </c>
      <c r="G1134" s="1">
        <v>333</v>
      </c>
      <c r="H1134" s="23">
        <v>45049.546875</v>
      </c>
      <c r="I1134" s="1" t="b">
        <v>0</v>
      </c>
      <c r="K1134" s="10">
        <f t="shared" si="87"/>
        <v>235.62500000005821</v>
      </c>
      <c r="L1134" s="1" t="str">
        <f t="shared" si="88"/>
        <v>OK</v>
      </c>
      <c r="M1134" s="1">
        <f t="shared" si="85"/>
        <v>1</v>
      </c>
      <c r="N1134" s="1">
        <f t="shared" si="86"/>
        <v>333</v>
      </c>
      <c r="O1134" s="10">
        <f t="shared" si="89"/>
        <v>235.62500000005821</v>
      </c>
    </row>
    <row r="1135" spans="1:15">
      <c r="A1135" s="1" t="s">
        <v>1240</v>
      </c>
      <c r="B1135" s="23">
        <v>45039.840277777781</v>
      </c>
      <c r="C1135" s="1" t="s">
        <v>16</v>
      </c>
      <c r="D1135" s="1" t="s">
        <v>17</v>
      </c>
      <c r="E1135" s="1" t="s">
        <v>33</v>
      </c>
      <c r="F1135" s="1" t="s">
        <v>92</v>
      </c>
      <c r="H1135" s="23">
        <v>45041.632754629631</v>
      </c>
      <c r="I1135" s="1" t="b">
        <v>0</v>
      </c>
      <c r="K1135" s="10">
        <f t="shared" si="87"/>
        <v>43.019444444391411</v>
      </c>
      <c r="L1135" s="1" t="str">
        <f t="shared" si="88"/>
        <v>Cannot check</v>
      </c>
      <c r="M1135" s="1">
        <f t="shared" si="85"/>
        <v>1</v>
      </c>
      <c r="N1135" s="1" t="str">
        <f t="shared" si="86"/>
        <v/>
      </c>
      <c r="O1135" s="10">
        <f t="shared" si="89"/>
        <v>43.019444444391411</v>
      </c>
    </row>
    <row r="1136" spans="1:15">
      <c r="A1136" s="1" t="s">
        <v>1241</v>
      </c>
      <c r="B1136" s="23">
        <v>45040.09652777778</v>
      </c>
      <c r="C1136" s="1" t="s">
        <v>16</v>
      </c>
      <c r="D1136" s="1" t="s">
        <v>12</v>
      </c>
      <c r="E1136" s="1" t="s">
        <v>18</v>
      </c>
      <c r="F1136" s="1" t="s">
        <v>64</v>
      </c>
      <c r="G1136" s="1">
        <v>346</v>
      </c>
      <c r="H1136" s="23">
        <v>45040.518518518518</v>
      </c>
      <c r="I1136" s="1" t="b">
        <v>0</v>
      </c>
      <c r="J1136" s="1">
        <v>5</v>
      </c>
      <c r="K1136" s="10">
        <f t="shared" si="87"/>
        <v>10.127777777728625</v>
      </c>
      <c r="L1136" s="1" t="str">
        <f t="shared" si="88"/>
        <v>OK</v>
      </c>
      <c r="M1136" s="1">
        <f t="shared" si="85"/>
        <v>1</v>
      </c>
      <c r="N1136" s="1">
        <f t="shared" si="86"/>
        <v>346</v>
      </c>
      <c r="O1136" s="10">
        <f t="shared" si="89"/>
        <v>10.127777777728625</v>
      </c>
    </row>
    <row r="1137" spans="1:15">
      <c r="A1137" s="1" t="s">
        <v>1242</v>
      </c>
      <c r="B1137" s="23">
        <v>45040.109722222223</v>
      </c>
      <c r="C1137" s="1" t="s">
        <v>16</v>
      </c>
      <c r="D1137" s="1" t="s">
        <v>21</v>
      </c>
      <c r="E1137" s="1" t="s">
        <v>13</v>
      </c>
      <c r="F1137" s="1" t="s">
        <v>134</v>
      </c>
      <c r="G1137" s="1">
        <v>17</v>
      </c>
      <c r="H1137" s="23">
        <v>45040.675092592595</v>
      </c>
      <c r="I1137" s="1" t="b">
        <v>0</v>
      </c>
      <c r="K1137" s="10">
        <f t="shared" si="87"/>
        <v>13.568888888927177</v>
      </c>
      <c r="L1137" s="1" t="str">
        <f t="shared" si="88"/>
        <v>OK</v>
      </c>
      <c r="M1137" s="1">
        <f t="shared" si="85"/>
        <v>1</v>
      </c>
      <c r="N1137" s="1">
        <f t="shared" si="86"/>
        <v>17</v>
      </c>
      <c r="O1137" s="10">
        <f t="shared" si="89"/>
        <v>13.568888888927177</v>
      </c>
    </row>
    <row r="1138" spans="1:15">
      <c r="A1138" s="1" t="s">
        <v>1243</v>
      </c>
      <c r="B1138" s="23">
        <v>45040.132638888892</v>
      </c>
      <c r="C1138" s="1" t="s">
        <v>25</v>
      </c>
      <c r="D1138" s="1" t="s">
        <v>17</v>
      </c>
      <c r="E1138" s="1" t="s">
        <v>18</v>
      </c>
      <c r="F1138" s="1" t="s">
        <v>39</v>
      </c>
      <c r="G1138" s="1">
        <v>121</v>
      </c>
      <c r="H1138" s="23">
        <v>45046.467314814814</v>
      </c>
      <c r="I1138" s="1" t="b">
        <v>0</v>
      </c>
      <c r="K1138" s="10">
        <f t="shared" si="87"/>
        <v>152.03222222212935</v>
      </c>
      <c r="L1138" s="1" t="str">
        <f t="shared" si="88"/>
        <v>OK</v>
      </c>
      <c r="M1138" s="1">
        <f t="shared" si="85"/>
        <v>1</v>
      </c>
      <c r="N1138" s="1">
        <f t="shared" si="86"/>
        <v>121</v>
      </c>
      <c r="O1138" s="10">
        <f t="shared" si="89"/>
        <v>152.03222222212935</v>
      </c>
    </row>
    <row r="1139" spans="1:15">
      <c r="A1139" s="1" t="s">
        <v>1244</v>
      </c>
      <c r="B1139" s="23">
        <v>45040.209722222222</v>
      </c>
      <c r="C1139" s="1" t="s">
        <v>16</v>
      </c>
      <c r="D1139" s="1" t="s">
        <v>21</v>
      </c>
      <c r="E1139" s="1" t="s">
        <v>13</v>
      </c>
      <c r="F1139" s="1" t="s">
        <v>44</v>
      </c>
      <c r="G1139" s="1">
        <v>19</v>
      </c>
      <c r="H1139" s="23">
        <v>45040.269675925927</v>
      </c>
      <c r="I1139" s="1" t="b">
        <v>0</v>
      </c>
      <c r="K1139" s="10">
        <f t="shared" si="87"/>
        <v>1.43888888892252</v>
      </c>
      <c r="L1139" s="1" t="str">
        <f t="shared" si="88"/>
        <v>OK</v>
      </c>
      <c r="M1139" s="1">
        <f t="shared" si="85"/>
        <v>1</v>
      </c>
      <c r="N1139" s="1">
        <f t="shared" si="86"/>
        <v>19</v>
      </c>
      <c r="O1139" s="10">
        <f t="shared" si="89"/>
        <v>1.43888888892252</v>
      </c>
    </row>
    <row r="1140" spans="1:15">
      <c r="A1140" s="1" t="s">
        <v>1245</v>
      </c>
      <c r="B1140" s="23">
        <v>45040.212500000001</v>
      </c>
      <c r="C1140" s="1" t="s">
        <v>11</v>
      </c>
      <c r="D1140" s="1" t="s">
        <v>21</v>
      </c>
      <c r="E1140" s="1" t="s">
        <v>18</v>
      </c>
      <c r="F1140" s="1" t="s">
        <v>39</v>
      </c>
      <c r="G1140" s="1">
        <v>37</v>
      </c>
      <c r="H1140" s="23">
        <v>45040.470370370371</v>
      </c>
      <c r="I1140" s="1" t="b">
        <v>0</v>
      </c>
      <c r="K1140" s="10">
        <f t="shared" si="87"/>
        <v>6.1888888888643123</v>
      </c>
      <c r="L1140" s="1" t="str">
        <f t="shared" si="88"/>
        <v>OK</v>
      </c>
      <c r="M1140" s="1">
        <f t="shared" si="85"/>
        <v>1</v>
      </c>
      <c r="N1140" s="1">
        <f t="shared" si="86"/>
        <v>37</v>
      </c>
      <c r="O1140" s="10">
        <f t="shared" si="89"/>
        <v>6.1888888888643123</v>
      </c>
    </row>
    <row r="1141" spans="1:15">
      <c r="A1141" s="1" t="s">
        <v>1246</v>
      </c>
      <c r="B1141" s="23">
        <v>45040.275000000001</v>
      </c>
      <c r="C1141" s="1" t="s">
        <v>16</v>
      </c>
      <c r="D1141" s="1" t="s">
        <v>26</v>
      </c>
      <c r="E1141" s="1" t="s">
        <v>33</v>
      </c>
      <c r="F1141" s="1" t="s">
        <v>60</v>
      </c>
      <c r="G1141" s="1">
        <v>94</v>
      </c>
      <c r="H1141" s="23">
        <v>45041.793206018519</v>
      </c>
      <c r="I1141" s="1" t="b">
        <v>1</v>
      </c>
      <c r="J1141" s="1">
        <v>4</v>
      </c>
      <c r="K1141" s="10">
        <f t="shared" si="87"/>
        <v>36.436944444430992</v>
      </c>
      <c r="L1141" s="1" t="str">
        <f t="shared" si="88"/>
        <v>OK</v>
      </c>
      <c r="M1141" s="1">
        <f t="shared" si="85"/>
        <v>1</v>
      </c>
      <c r="N1141" s="1">
        <f t="shared" si="86"/>
        <v>94</v>
      </c>
      <c r="O1141" s="10">
        <f t="shared" si="89"/>
        <v>36.436944444430992</v>
      </c>
    </row>
    <row r="1142" spans="1:15">
      <c r="A1142" s="1" t="s">
        <v>1247</v>
      </c>
      <c r="B1142" s="23">
        <v>45040.336111111108</v>
      </c>
      <c r="C1142" s="1" t="s">
        <v>25</v>
      </c>
      <c r="D1142" s="1" t="s">
        <v>17</v>
      </c>
      <c r="E1142" s="1" t="s">
        <v>18</v>
      </c>
      <c r="F1142" s="1" t="s">
        <v>72</v>
      </c>
      <c r="G1142" s="1">
        <v>159</v>
      </c>
      <c r="H1142" s="23">
        <v>45042.308946759258</v>
      </c>
      <c r="I1142" s="1" t="b">
        <v>0</v>
      </c>
      <c r="J1142" s="1">
        <v>5</v>
      </c>
      <c r="K1142" s="10">
        <f t="shared" si="87"/>
        <v>47.348055555601604</v>
      </c>
      <c r="L1142" s="1" t="str">
        <f t="shared" si="88"/>
        <v>OK</v>
      </c>
      <c r="M1142" s="1">
        <f t="shared" si="85"/>
        <v>1</v>
      </c>
      <c r="N1142" s="1">
        <f t="shared" si="86"/>
        <v>159</v>
      </c>
      <c r="O1142" s="10">
        <f t="shared" si="89"/>
        <v>47.348055555601604</v>
      </c>
    </row>
    <row r="1143" spans="1:15">
      <c r="A1143" s="1" t="s">
        <v>1248</v>
      </c>
      <c r="B1143" s="23">
        <v>45040.376388888886</v>
      </c>
      <c r="C1143" s="1" t="s">
        <v>11</v>
      </c>
      <c r="D1143" s="1" t="s">
        <v>17</v>
      </c>
      <c r="E1143" s="1" t="s">
        <v>33</v>
      </c>
      <c r="F1143" s="1" t="s">
        <v>148</v>
      </c>
      <c r="H1143" s="23">
        <v>45042.922511574077</v>
      </c>
      <c r="I1143" s="1" t="b">
        <v>0</v>
      </c>
      <c r="K1143" s="10">
        <f t="shared" si="87"/>
        <v>61.106944444589317</v>
      </c>
      <c r="L1143" s="1" t="str">
        <f t="shared" si="88"/>
        <v>Cannot check</v>
      </c>
      <c r="M1143" s="1">
        <f t="shared" si="85"/>
        <v>1</v>
      </c>
      <c r="N1143" s="1" t="str">
        <f t="shared" si="86"/>
        <v/>
      </c>
      <c r="O1143" s="10">
        <f t="shared" si="89"/>
        <v>61.106944444589317</v>
      </c>
    </row>
    <row r="1144" spans="1:15">
      <c r="A1144" s="1" t="s">
        <v>1249</v>
      </c>
      <c r="B1144" s="23">
        <v>45040.40347222222</v>
      </c>
      <c r="C1144" s="1" t="s">
        <v>25</v>
      </c>
      <c r="D1144" s="1" t="s">
        <v>26</v>
      </c>
      <c r="E1144" s="1" t="s">
        <v>13</v>
      </c>
      <c r="F1144" s="1" t="s">
        <v>48</v>
      </c>
      <c r="G1144" s="1">
        <v>105</v>
      </c>
      <c r="H1144" s="23">
        <v>45041.640914351854</v>
      </c>
      <c r="I1144" s="1" t="b">
        <v>0</v>
      </c>
      <c r="J1144" s="1">
        <v>4</v>
      </c>
      <c r="K1144" s="10">
        <f t="shared" si="87"/>
        <v>29.698611111205537</v>
      </c>
      <c r="L1144" s="1" t="str">
        <f t="shared" si="88"/>
        <v>OK</v>
      </c>
      <c r="M1144" s="1">
        <f t="shared" si="85"/>
        <v>1</v>
      </c>
      <c r="N1144" s="1">
        <f t="shared" si="86"/>
        <v>105</v>
      </c>
      <c r="O1144" s="10">
        <f t="shared" si="89"/>
        <v>29.698611111205537</v>
      </c>
    </row>
    <row r="1145" spans="1:15">
      <c r="A1145" s="1" t="s">
        <v>1250</v>
      </c>
      <c r="B1145" s="23">
        <v>45040.59375</v>
      </c>
      <c r="C1145" s="1" t="s">
        <v>16</v>
      </c>
      <c r="D1145" s="1" t="s">
        <v>26</v>
      </c>
      <c r="E1145" s="1" t="s">
        <v>18</v>
      </c>
      <c r="F1145" s="1" t="s">
        <v>130</v>
      </c>
      <c r="G1145" s="1">
        <v>135</v>
      </c>
      <c r="H1145" s="23">
        <v>45040.753888888888</v>
      </c>
      <c r="I1145" s="1" t="b">
        <v>0</v>
      </c>
      <c r="J1145" s="1">
        <v>5</v>
      </c>
      <c r="K1145" s="10">
        <f t="shared" si="87"/>
        <v>3.843333333323244</v>
      </c>
      <c r="L1145" s="1" t="str">
        <f t="shared" si="88"/>
        <v>OK</v>
      </c>
      <c r="M1145" s="1">
        <f t="shared" si="85"/>
        <v>1</v>
      </c>
      <c r="N1145" s="1">
        <f t="shared" si="86"/>
        <v>135</v>
      </c>
      <c r="O1145" s="10">
        <f t="shared" si="89"/>
        <v>3.843333333323244</v>
      </c>
    </row>
    <row r="1146" spans="1:15">
      <c r="A1146" s="1" t="s">
        <v>1251</v>
      </c>
      <c r="B1146" s="23">
        <v>45040.820138888892</v>
      </c>
      <c r="C1146" s="1" t="s">
        <v>25</v>
      </c>
      <c r="D1146" s="1" t="s">
        <v>21</v>
      </c>
      <c r="E1146" s="1" t="s">
        <v>22</v>
      </c>
      <c r="F1146" s="1" t="s">
        <v>153</v>
      </c>
      <c r="G1146" s="1">
        <v>28</v>
      </c>
      <c r="H1146" s="23">
        <v>45040.917141203703</v>
      </c>
      <c r="I1146" s="1" t="b">
        <v>0</v>
      </c>
      <c r="K1146" s="10">
        <f t="shared" si="87"/>
        <v>2.3280555554665625</v>
      </c>
      <c r="L1146" s="1" t="str">
        <f t="shared" si="88"/>
        <v>OK</v>
      </c>
      <c r="M1146" s="1">
        <f t="shared" si="85"/>
        <v>1</v>
      </c>
      <c r="N1146" s="1">
        <f t="shared" si="86"/>
        <v>28</v>
      </c>
      <c r="O1146" s="10">
        <f t="shared" si="89"/>
        <v>2.3280555554665625</v>
      </c>
    </row>
    <row r="1147" spans="1:15">
      <c r="A1147" s="1" t="s">
        <v>1252</v>
      </c>
      <c r="B1147" s="23">
        <v>45040.869444444441</v>
      </c>
      <c r="C1147" s="1" t="s">
        <v>25</v>
      </c>
      <c r="D1147" s="1" t="s">
        <v>17</v>
      </c>
      <c r="E1147" s="1" t="s">
        <v>33</v>
      </c>
      <c r="F1147" s="1" t="s">
        <v>302</v>
      </c>
      <c r="G1147" s="1">
        <v>406</v>
      </c>
      <c r="I1147" s="1" t="b">
        <v>0</v>
      </c>
      <c r="K1147" s="10" t="str">
        <f t="shared" si="87"/>
        <v/>
      </c>
      <c r="L1147" s="1" t="str">
        <f t="shared" si="88"/>
        <v>Cannot check</v>
      </c>
      <c r="M1147" s="1">
        <f t="shared" si="85"/>
        <v>1</v>
      </c>
      <c r="N1147" s="1">
        <f t="shared" si="86"/>
        <v>406</v>
      </c>
      <c r="O1147" s="10" t="str">
        <f t="shared" si="89"/>
        <v/>
      </c>
    </row>
    <row r="1148" spans="1:15">
      <c r="A1148" s="1" t="s">
        <v>1253</v>
      </c>
      <c r="B1148" s="23">
        <v>45041.065972222219</v>
      </c>
      <c r="C1148" s="1" t="s">
        <v>16</v>
      </c>
      <c r="D1148" s="1" t="s">
        <v>59</v>
      </c>
      <c r="E1148" s="1" t="s">
        <v>18</v>
      </c>
      <c r="F1148" s="1" t="s">
        <v>86</v>
      </c>
      <c r="G1148" s="1">
        <v>23</v>
      </c>
      <c r="H1148" s="23">
        <v>45041.960798611108</v>
      </c>
      <c r="I1148" s="1" t="b">
        <v>0</v>
      </c>
      <c r="K1148" s="10">
        <f t="shared" si="87"/>
        <v>21.475833333330229</v>
      </c>
      <c r="L1148" s="1" t="str">
        <f t="shared" si="88"/>
        <v>OK</v>
      </c>
      <c r="M1148" s="1">
        <f t="shared" si="85"/>
        <v>1</v>
      </c>
      <c r="N1148" s="1">
        <f t="shared" si="86"/>
        <v>23</v>
      </c>
      <c r="O1148" s="10">
        <f t="shared" si="89"/>
        <v>21.475833333330229</v>
      </c>
    </row>
    <row r="1149" spans="1:15">
      <c r="A1149" s="1" t="s">
        <v>1254</v>
      </c>
      <c r="B1149" s="23">
        <v>45041.150694444441</v>
      </c>
      <c r="C1149" s="1" t="s">
        <v>16</v>
      </c>
      <c r="D1149" s="1" t="s">
        <v>21</v>
      </c>
      <c r="E1149" s="1" t="s">
        <v>18</v>
      </c>
      <c r="F1149" s="1" t="s">
        <v>367</v>
      </c>
      <c r="G1149" s="1">
        <v>184</v>
      </c>
      <c r="H1149" s="23">
        <v>45042.232905092591</v>
      </c>
      <c r="I1149" s="1" t="b">
        <v>0</v>
      </c>
      <c r="K1149" s="10">
        <f t="shared" si="87"/>
        <v>25.973055555601604</v>
      </c>
      <c r="L1149" s="1" t="str">
        <f t="shared" si="88"/>
        <v>OK</v>
      </c>
      <c r="M1149" s="1">
        <f t="shared" si="85"/>
        <v>1</v>
      </c>
      <c r="N1149" s="1">
        <f t="shared" si="86"/>
        <v>184</v>
      </c>
      <c r="O1149" s="10">
        <f t="shared" si="89"/>
        <v>25.973055555601604</v>
      </c>
    </row>
    <row r="1150" spans="1:15">
      <c r="A1150" s="1" t="s">
        <v>1255</v>
      </c>
      <c r="B1150" s="23">
        <v>45041.192361111112</v>
      </c>
      <c r="C1150" s="1" t="s">
        <v>25</v>
      </c>
      <c r="D1150" s="1" t="s">
        <v>17</v>
      </c>
      <c r="E1150" s="1" t="s">
        <v>18</v>
      </c>
      <c r="F1150" s="1" t="s">
        <v>110</v>
      </c>
      <c r="G1150" s="1">
        <v>187</v>
      </c>
      <c r="H1150" s="23">
        <v>45042.516111111108</v>
      </c>
      <c r="I1150" s="1" t="b">
        <v>0</v>
      </c>
      <c r="K1150" s="10">
        <f t="shared" si="87"/>
        <v>31.769999999902211</v>
      </c>
      <c r="L1150" s="1" t="str">
        <f t="shared" si="88"/>
        <v>OK</v>
      </c>
      <c r="M1150" s="1">
        <f t="shared" si="85"/>
        <v>1</v>
      </c>
      <c r="N1150" s="1">
        <f t="shared" si="86"/>
        <v>187</v>
      </c>
      <c r="O1150" s="10">
        <f t="shared" si="89"/>
        <v>31.769999999902211</v>
      </c>
    </row>
    <row r="1151" spans="1:15">
      <c r="A1151" s="1" t="s">
        <v>1256</v>
      </c>
      <c r="B1151" s="23">
        <v>45041.254861111112</v>
      </c>
      <c r="C1151" s="1" t="s">
        <v>11</v>
      </c>
      <c r="D1151" s="1" t="s">
        <v>59</v>
      </c>
      <c r="E1151" s="1" t="s">
        <v>18</v>
      </c>
      <c r="F1151" s="1" t="s">
        <v>206</v>
      </c>
      <c r="G1151" s="1">
        <v>187</v>
      </c>
      <c r="H1151" s="23">
        <v>45041.939050925925</v>
      </c>
      <c r="I1151" s="1" t="b">
        <v>0</v>
      </c>
      <c r="K1151" s="10">
        <f t="shared" si="87"/>
        <v>16.420555555494502</v>
      </c>
      <c r="L1151" s="1" t="str">
        <f t="shared" si="88"/>
        <v>OK</v>
      </c>
      <c r="M1151" s="1">
        <f t="shared" si="85"/>
        <v>1</v>
      </c>
      <c r="N1151" s="1">
        <f t="shared" si="86"/>
        <v>187</v>
      </c>
      <c r="O1151" s="10">
        <f t="shared" si="89"/>
        <v>16.420555555494502</v>
      </c>
    </row>
    <row r="1152" spans="1:15">
      <c r="A1152" s="1" t="s">
        <v>1257</v>
      </c>
      <c r="B1152" s="23">
        <v>45041.313194444447</v>
      </c>
      <c r="C1152" s="1" t="s">
        <v>16</v>
      </c>
      <c r="D1152" s="1" t="s">
        <v>26</v>
      </c>
      <c r="E1152" s="1" t="s">
        <v>18</v>
      </c>
      <c r="F1152" s="1" t="s">
        <v>215</v>
      </c>
      <c r="G1152" s="1">
        <v>195</v>
      </c>
      <c r="H1152" s="23">
        <v>45042.014131944445</v>
      </c>
      <c r="I1152" s="1" t="b">
        <v>0</v>
      </c>
      <c r="K1152" s="10">
        <f t="shared" si="87"/>
        <v>16.822499999951106</v>
      </c>
      <c r="L1152" s="1" t="str">
        <f t="shared" si="88"/>
        <v>OK</v>
      </c>
      <c r="M1152" s="1">
        <f t="shared" si="85"/>
        <v>1</v>
      </c>
      <c r="N1152" s="1">
        <f t="shared" si="86"/>
        <v>195</v>
      </c>
      <c r="O1152" s="10">
        <f t="shared" si="89"/>
        <v>16.822499999951106</v>
      </c>
    </row>
    <row r="1153" spans="1:15">
      <c r="A1153" s="1" t="s">
        <v>1258</v>
      </c>
      <c r="B1153" s="23">
        <v>45041.567361111112</v>
      </c>
      <c r="C1153" s="1" t="s">
        <v>25</v>
      </c>
      <c r="D1153" s="1" t="s">
        <v>21</v>
      </c>
      <c r="E1153" s="1" t="s">
        <v>18</v>
      </c>
      <c r="F1153" s="1" t="s">
        <v>54</v>
      </c>
      <c r="G1153" s="1">
        <v>135</v>
      </c>
      <c r="H1153" s="23">
        <v>45041.938946759263</v>
      </c>
      <c r="I1153" s="1" t="b">
        <v>0</v>
      </c>
      <c r="J1153" s="1">
        <v>4</v>
      </c>
      <c r="K1153" s="10">
        <f t="shared" si="87"/>
        <v>8.9180555556085892</v>
      </c>
      <c r="L1153" s="1" t="str">
        <f t="shared" si="88"/>
        <v>OK</v>
      </c>
      <c r="M1153" s="1">
        <f t="shared" si="85"/>
        <v>1</v>
      </c>
      <c r="N1153" s="1">
        <f t="shared" si="86"/>
        <v>135</v>
      </c>
      <c r="O1153" s="10">
        <f t="shared" si="89"/>
        <v>8.9180555556085892</v>
      </c>
    </row>
    <row r="1154" spans="1:15">
      <c r="A1154" s="1" t="s">
        <v>1259</v>
      </c>
      <c r="B1154" s="23">
        <v>45041.581944444442</v>
      </c>
      <c r="C1154" s="1" t="s">
        <v>11</v>
      </c>
      <c r="D1154" s="1" t="s">
        <v>59</v>
      </c>
      <c r="E1154" s="1" t="s">
        <v>33</v>
      </c>
      <c r="F1154" s="1" t="s">
        <v>64</v>
      </c>
      <c r="G1154" s="1">
        <v>463</v>
      </c>
      <c r="H1154" s="23">
        <v>45042.147928240738</v>
      </c>
      <c r="I1154" s="1" t="b">
        <v>0</v>
      </c>
      <c r="J1154" s="1">
        <v>5</v>
      </c>
      <c r="K1154" s="10">
        <f t="shared" si="87"/>
        <v>13.583611111098435</v>
      </c>
      <c r="L1154" s="1" t="str">
        <f t="shared" si="88"/>
        <v>OK</v>
      </c>
      <c r="M1154" s="1">
        <f t="shared" ref="M1154:M1217" si="90">COUNTIF($A$2:$A$4001,A1154)</f>
        <v>1</v>
      </c>
      <c r="N1154" s="1">
        <f t="shared" ref="N1154:N1217" si="91">IF(OR(L1154="Review",G1154=""),"",G1154)</f>
        <v>463</v>
      </c>
      <c r="O1154" s="10">
        <f t="shared" si="89"/>
        <v>13.583611111098435</v>
      </c>
    </row>
    <row r="1155" spans="1:15">
      <c r="A1155" s="1" t="s">
        <v>1260</v>
      </c>
      <c r="B1155" s="23">
        <v>45041.616666666669</v>
      </c>
      <c r="C1155" s="1" t="s">
        <v>16</v>
      </c>
      <c r="D1155" s="1" t="s">
        <v>17</v>
      </c>
      <c r="E1155" s="1" t="s">
        <v>33</v>
      </c>
      <c r="F1155" s="1" t="s">
        <v>709</v>
      </c>
      <c r="G1155" s="1">
        <v>615</v>
      </c>
      <c r="H1155" s="23">
        <v>45052.155844907407</v>
      </c>
      <c r="I1155" s="1" t="b">
        <v>0</v>
      </c>
      <c r="J1155" s="1">
        <v>5</v>
      </c>
      <c r="K1155" s="10">
        <f t="shared" ref="K1155:K1218" si="92">IF(H1155="","",(H1155-B1155)*24)</f>
        <v>252.94027777772862</v>
      </c>
      <c r="L1155" s="1" t="str">
        <f t="shared" ref="L1155:L1218" si="93">IF(OR(G1155="",K1155=""),"Cannot check",IF(G1155&gt;K1155*60,"Review","OK"))</f>
        <v>OK</v>
      </c>
      <c r="M1155" s="1">
        <f t="shared" si="90"/>
        <v>1</v>
      </c>
      <c r="N1155" s="1">
        <f t="shared" si="91"/>
        <v>615</v>
      </c>
      <c r="O1155" s="10">
        <f t="shared" ref="O1155:O1218" si="94">IF(OR(L1155="Review",K1155=""),"",K1155)</f>
        <v>252.94027777772862</v>
      </c>
    </row>
    <row r="1156" spans="1:15">
      <c r="A1156" s="1" t="s">
        <v>1261</v>
      </c>
      <c r="B1156" s="23">
        <v>45041.64166666667</v>
      </c>
      <c r="C1156" s="1" t="s">
        <v>43</v>
      </c>
      <c r="D1156" s="1" t="s">
        <v>26</v>
      </c>
      <c r="E1156" s="1" t="s">
        <v>18</v>
      </c>
      <c r="F1156" s="1" t="s">
        <v>108</v>
      </c>
      <c r="G1156" s="1">
        <v>383</v>
      </c>
      <c r="H1156" s="23">
        <v>45043.158125000002</v>
      </c>
      <c r="I1156" s="1" t="b">
        <v>1</v>
      </c>
      <c r="K1156" s="10">
        <f t="shared" si="92"/>
        <v>36.394999999960419</v>
      </c>
      <c r="L1156" s="1" t="str">
        <f t="shared" si="93"/>
        <v>OK</v>
      </c>
      <c r="M1156" s="1">
        <f t="shared" si="90"/>
        <v>1</v>
      </c>
      <c r="N1156" s="1">
        <f t="shared" si="91"/>
        <v>383</v>
      </c>
      <c r="O1156" s="10">
        <f t="shared" si="94"/>
        <v>36.394999999960419</v>
      </c>
    </row>
    <row r="1157" spans="1:15">
      <c r="A1157" s="1" t="s">
        <v>1262</v>
      </c>
      <c r="B1157" s="23">
        <v>45041.736805555556</v>
      </c>
      <c r="C1157" s="1" t="s">
        <v>16</v>
      </c>
      <c r="D1157" s="1" t="s">
        <v>17</v>
      </c>
      <c r="E1157" s="1" t="s">
        <v>18</v>
      </c>
      <c r="F1157" s="1" t="s">
        <v>201</v>
      </c>
      <c r="G1157" s="1">
        <v>441</v>
      </c>
      <c r="H1157" s="23">
        <v>45043.42260416667</v>
      </c>
      <c r="I1157" s="1" t="b">
        <v>0</v>
      </c>
      <c r="K1157" s="10">
        <f t="shared" si="92"/>
        <v>40.45916666672565</v>
      </c>
      <c r="L1157" s="1" t="str">
        <f t="shared" si="93"/>
        <v>OK</v>
      </c>
      <c r="M1157" s="1">
        <f t="shared" si="90"/>
        <v>1</v>
      </c>
      <c r="N1157" s="1">
        <f t="shared" si="91"/>
        <v>441</v>
      </c>
      <c r="O1157" s="10">
        <f t="shared" si="94"/>
        <v>40.45916666672565</v>
      </c>
    </row>
    <row r="1158" spans="1:15">
      <c r="A1158" s="1" t="s">
        <v>1263</v>
      </c>
      <c r="B1158" s="23">
        <v>45042.40625</v>
      </c>
      <c r="C1158" s="1" t="s">
        <v>11</v>
      </c>
      <c r="D1158" s="1" t="s">
        <v>21</v>
      </c>
      <c r="E1158" s="1" t="s">
        <v>33</v>
      </c>
      <c r="F1158" s="1" t="s">
        <v>104</v>
      </c>
      <c r="G1158" s="1">
        <v>260</v>
      </c>
      <c r="H1158" s="23">
        <v>45046.895636574074</v>
      </c>
      <c r="I1158" s="1" t="b">
        <v>0</v>
      </c>
      <c r="K1158" s="10">
        <f t="shared" si="92"/>
        <v>107.74527777777985</v>
      </c>
      <c r="L1158" s="1" t="str">
        <f t="shared" si="93"/>
        <v>OK</v>
      </c>
      <c r="M1158" s="1">
        <f t="shared" si="90"/>
        <v>1</v>
      </c>
      <c r="N1158" s="1">
        <f t="shared" si="91"/>
        <v>260</v>
      </c>
      <c r="O1158" s="10">
        <f t="shared" si="94"/>
        <v>107.74527777777985</v>
      </c>
    </row>
    <row r="1159" spans="1:15">
      <c r="A1159" s="1" t="s">
        <v>1264</v>
      </c>
      <c r="B1159" s="23">
        <v>45042.603472222225</v>
      </c>
      <c r="C1159" s="1" t="s">
        <v>43</v>
      </c>
      <c r="D1159" s="1" t="s">
        <v>17</v>
      </c>
      <c r="E1159" s="1" t="s">
        <v>18</v>
      </c>
      <c r="F1159" s="1" t="s">
        <v>74</v>
      </c>
      <c r="G1159" s="1">
        <v>52</v>
      </c>
      <c r="H1159" s="23">
        <v>45045.051261574074</v>
      </c>
      <c r="I1159" s="1" t="b">
        <v>0</v>
      </c>
      <c r="K1159" s="10">
        <f t="shared" si="92"/>
        <v>58.746944444370456</v>
      </c>
      <c r="L1159" s="1" t="str">
        <f t="shared" si="93"/>
        <v>OK</v>
      </c>
      <c r="M1159" s="1">
        <f t="shared" si="90"/>
        <v>1</v>
      </c>
      <c r="N1159" s="1">
        <f t="shared" si="91"/>
        <v>52</v>
      </c>
      <c r="O1159" s="10">
        <f t="shared" si="94"/>
        <v>58.746944444370456</v>
      </c>
    </row>
    <row r="1160" spans="1:15">
      <c r="A1160" s="1" t="s">
        <v>1265</v>
      </c>
      <c r="B1160" s="23">
        <v>45042.741666666669</v>
      </c>
      <c r="C1160" s="1" t="s">
        <v>25</v>
      </c>
      <c r="D1160" s="1" t="s">
        <v>21</v>
      </c>
      <c r="E1160" s="1" t="s">
        <v>33</v>
      </c>
      <c r="F1160" s="1" t="s">
        <v>104</v>
      </c>
      <c r="G1160" s="1">
        <v>25</v>
      </c>
      <c r="H1160" s="23">
        <v>45043.275972222225</v>
      </c>
      <c r="I1160" s="1" t="b">
        <v>1</v>
      </c>
      <c r="K1160" s="10">
        <f t="shared" si="92"/>
        <v>12.823333333362825</v>
      </c>
      <c r="L1160" s="1" t="str">
        <f t="shared" si="93"/>
        <v>OK</v>
      </c>
      <c r="M1160" s="1">
        <f t="shared" si="90"/>
        <v>1</v>
      </c>
      <c r="N1160" s="1">
        <f t="shared" si="91"/>
        <v>25</v>
      </c>
      <c r="O1160" s="10">
        <f t="shared" si="94"/>
        <v>12.823333333362825</v>
      </c>
    </row>
    <row r="1161" spans="1:15">
      <c r="A1161" s="1" t="s">
        <v>1266</v>
      </c>
      <c r="B1161" s="23">
        <v>45042.763194444444</v>
      </c>
      <c r="C1161" s="1" t="s">
        <v>11</v>
      </c>
      <c r="D1161" s="1" t="s">
        <v>12</v>
      </c>
      <c r="E1161" s="1" t="s">
        <v>22</v>
      </c>
      <c r="F1161" s="1" t="s">
        <v>302</v>
      </c>
      <c r="G1161" s="1">
        <v>9</v>
      </c>
      <c r="H1161" s="23">
        <v>45042.829780092594</v>
      </c>
      <c r="I1161" s="1" t="b">
        <v>0</v>
      </c>
      <c r="K1161" s="10">
        <f t="shared" si="92"/>
        <v>1.5980555556016043</v>
      </c>
      <c r="L1161" s="1" t="str">
        <f t="shared" si="93"/>
        <v>OK</v>
      </c>
      <c r="M1161" s="1">
        <f t="shared" si="90"/>
        <v>1</v>
      </c>
      <c r="N1161" s="1">
        <f t="shared" si="91"/>
        <v>9</v>
      </c>
      <c r="O1161" s="10">
        <f t="shared" si="94"/>
        <v>1.5980555556016043</v>
      </c>
    </row>
    <row r="1162" spans="1:15">
      <c r="A1162" s="1" t="s">
        <v>1267</v>
      </c>
      <c r="B1162" s="23">
        <v>45042.811805555553</v>
      </c>
      <c r="C1162" s="1" t="s">
        <v>16</v>
      </c>
      <c r="D1162" s="1" t="s">
        <v>17</v>
      </c>
      <c r="E1162" s="1" t="s">
        <v>18</v>
      </c>
      <c r="F1162" s="1" t="s">
        <v>100</v>
      </c>
      <c r="G1162" s="1">
        <v>66</v>
      </c>
      <c r="H1162" s="23">
        <v>45044.632488425923</v>
      </c>
      <c r="I1162" s="1" t="b">
        <v>0</v>
      </c>
      <c r="J1162" s="1">
        <v>1</v>
      </c>
      <c r="K1162" s="10">
        <f t="shared" si="92"/>
        <v>43.696388888871297</v>
      </c>
      <c r="L1162" s="1" t="str">
        <f t="shared" si="93"/>
        <v>OK</v>
      </c>
      <c r="M1162" s="1">
        <f t="shared" si="90"/>
        <v>1</v>
      </c>
      <c r="N1162" s="1">
        <f t="shared" si="91"/>
        <v>66</v>
      </c>
      <c r="O1162" s="10">
        <f t="shared" si="94"/>
        <v>43.696388888871297</v>
      </c>
    </row>
    <row r="1163" spans="1:15">
      <c r="A1163" s="1" t="s">
        <v>1268</v>
      </c>
      <c r="B1163" s="23">
        <v>45043</v>
      </c>
      <c r="C1163" s="1" t="s">
        <v>11</v>
      </c>
      <c r="D1163" s="1" t="s">
        <v>17</v>
      </c>
      <c r="E1163" s="1" t="s">
        <v>18</v>
      </c>
      <c r="F1163" s="1" t="s">
        <v>94</v>
      </c>
      <c r="G1163" s="1">
        <v>33</v>
      </c>
      <c r="H1163" s="23">
        <v>45047.317349537036</v>
      </c>
      <c r="I1163" s="1" t="b">
        <v>0</v>
      </c>
      <c r="K1163" s="10">
        <f t="shared" si="92"/>
        <v>103.616388888855</v>
      </c>
      <c r="L1163" s="1" t="str">
        <f t="shared" si="93"/>
        <v>OK</v>
      </c>
      <c r="M1163" s="1">
        <f t="shared" si="90"/>
        <v>1</v>
      </c>
      <c r="N1163" s="1">
        <f t="shared" si="91"/>
        <v>33</v>
      </c>
      <c r="O1163" s="10">
        <f t="shared" si="94"/>
        <v>103.616388888855</v>
      </c>
    </row>
    <row r="1164" spans="1:15">
      <c r="A1164" s="1" t="s">
        <v>1269</v>
      </c>
      <c r="B1164" s="23">
        <v>45043.011805555558</v>
      </c>
      <c r="C1164" s="1" t="s">
        <v>11</v>
      </c>
      <c r="D1164" s="1" t="s">
        <v>59</v>
      </c>
      <c r="E1164" s="1" t="s">
        <v>18</v>
      </c>
      <c r="F1164" s="1" t="s">
        <v>274</v>
      </c>
      <c r="G1164" s="1">
        <v>140</v>
      </c>
      <c r="H1164" s="23">
        <v>45043.625555555554</v>
      </c>
      <c r="I1164" s="1" t="b">
        <v>0</v>
      </c>
      <c r="J1164" s="1">
        <v>4</v>
      </c>
      <c r="K1164" s="10">
        <f t="shared" si="92"/>
        <v>14.729999999923166</v>
      </c>
      <c r="L1164" s="1" t="str">
        <f t="shared" si="93"/>
        <v>OK</v>
      </c>
      <c r="M1164" s="1">
        <f t="shared" si="90"/>
        <v>1</v>
      </c>
      <c r="N1164" s="1">
        <f t="shared" si="91"/>
        <v>140</v>
      </c>
      <c r="O1164" s="10">
        <f t="shared" si="94"/>
        <v>14.729999999923166</v>
      </c>
    </row>
    <row r="1165" spans="1:15">
      <c r="A1165" s="1" t="s">
        <v>1270</v>
      </c>
      <c r="B1165" s="23">
        <v>45043.240277777775</v>
      </c>
      <c r="C1165" s="1" t="s">
        <v>43</v>
      </c>
      <c r="D1165" s="1" t="s">
        <v>17</v>
      </c>
      <c r="E1165" s="1" t="s">
        <v>18</v>
      </c>
      <c r="F1165" s="1" t="s">
        <v>92</v>
      </c>
      <c r="G1165" s="1">
        <v>45</v>
      </c>
      <c r="H1165" s="23">
        <v>45046.075925925928</v>
      </c>
      <c r="I1165" s="1" t="b">
        <v>0</v>
      </c>
      <c r="J1165" s="1">
        <v>3</v>
      </c>
      <c r="K1165" s="10">
        <f t="shared" si="92"/>
        <v>68.055555555678438</v>
      </c>
      <c r="L1165" s="1" t="str">
        <f t="shared" si="93"/>
        <v>OK</v>
      </c>
      <c r="M1165" s="1">
        <f t="shared" si="90"/>
        <v>1</v>
      </c>
      <c r="N1165" s="1">
        <f t="shared" si="91"/>
        <v>45</v>
      </c>
      <c r="O1165" s="10">
        <f t="shared" si="94"/>
        <v>68.055555555678438</v>
      </c>
    </row>
    <row r="1166" spans="1:15">
      <c r="A1166" s="1" t="s">
        <v>1271</v>
      </c>
      <c r="B1166" s="23">
        <v>45043.344444444447</v>
      </c>
      <c r="C1166" s="1" t="s">
        <v>25</v>
      </c>
      <c r="D1166" s="1" t="s">
        <v>17</v>
      </c>
      <c r="E1166" s="1" t="s">
        <v>22</v>
      </c>
      <c r="F1166" s="1" t="s">
        <v>46</v>
      </c>
      <c r="G1166" s="1">
        <v>2</v>
      </c>
      <c r="H1166" s="23">
        <v>45043.874374999999</v>
      </c>
      <c r="I1166" s="1" t="b">
        <v>0</v>
      </c>
      <c r="K1166" s="10">
        <f t="shared" si="92"/>
        <v>12.718333333265036</v>
      </c>
      <c r="L1166" s="1" t="str">
        <f t="shared" si="93"/>
        <v>OK</v>
      </c>
      <c r="M1166" s="1">
        <f t="shared" si="90"/>
        <v>1</v>
      </c>
      <c r="N1166" s="1">
        <f t="shared" si="91"/>
        <v>2</v>
      </c>
      <c r="O1166" s="10">
        <f t="shared" si="94"/>
        <v>12.718333333265036</v>
      </c>
    </row>
    <row r="1167" spans="1:15">
      <c r="A1167" s="1" t="s">
        <v>1272</v>
      </c>
      <c r="B1167" s="23">
        <v>45043.522222222222</v>
      </c>
      <c r="C1167" s="1" t="s">
        <v>16</v>
      </c>
      <c r="D1167" s="1" t="s">
        <v>26</v>
      </c>
      <c r="E1167" s="1" t="s">
        <v>18</v>
      </c>
      <c r="F1167" s="1" t="s">
        <v>29</v>
      </c>
      <c r="G1167" s="1">
        <v>61</v>
      </c>
      <c r="H1167" s="23">
        <v>45044.501469907409</v>
      </c>
      <c r="I1167" s="1" t="b">
        <v>0</v>
      </c>
      <c r="J1167" s="1">
        <v>5</v>
      </c>
      <c r="K1167" s="10">
        <f t="shared" si="92"/>
        <v>23.501944444491528</v>
      </c>
      <c r="L1167" s="1" t="str">
        <f t="shared" si="93"/>
        <v>OK</v>
      </c>
      <c r="M1167" s="1">
        <f t="shared" si="90"/>
        <v>1</v>
      </c>
      <c r="N1167" s="1">
        <f t="shared" si="91"/>
        <v>61</v>
      </c>
      <c r="O1167" s="10">
        <f t="shared" si="94"/>
        <v>23.501944444491528</v>
      </c>
    </row>
    <row r="1168" spans="1:15">
      <c r="A1168" s="1" t="s">
        <v>1273</v>
      </c>
      <c r="B1168" s="23">
        <v>45043.90625</v>
      </c>
      <c r="C1168" s="1" t="s">
        <v>16</v>
      </c>
      <c r="D1168" s="1" t="s">
        <v>59</v>
      </c>
      <c r="E1168" s="1" t="s">
        <v>13</v>
      </c>
      <c r="F1168" s="1" t="s">
        <v>237</v>
      </c>
      <c r="G1168" s="1">
        <v>68</v>
      </c>
      <c r="H1168" s="23">
        <v>45044.65965277778</v>
      </c>
      <c r="I1168" s="1" t="b">
        <v>0</v>
      </c>
      <c r="J1168" s="1">
        <v>1</v>
      </c>
      <c r="K1168" s="10">
        <f t="shared" si="92"/>
        <v>18.081666666723322</v>
      </c>
      <c r="L1168" s="1" t="str">
        <f t="shared" si="93"/>
        <v>OK</v>
      </c>
      <c r="M1168" s="1">
        <f t="shared" si="90"/>
        <v>1</v>
      </c>
      <c r="N1168" s="1">
        <f t="shared" si="91"/>
        <v>68</v>
      </c>
      <c r="O1168" s="10">
        <f t="shared" si="94"/>
        <v>18.081666666723322</v>
      </c>
    </row>
    <row r="1169" spans="1:15">
      <c r="A1169" s="1" t="s">
        <v>1274</v>
      </c>
      <c r="B1169" s="23">
        <v>45044.044444444444</v>
      </c>
      <c r="C1169" s="1" t="s">
        <v>16</v>
      </c>
      <c r="D1169" s="1" t="s">
        <v>12</v>
      </c>
      <c r="E1169" s="1" t="s">
        <v>18</v>
      </c>
      <c r="F1169" s="1" t="s">
        <v>74</v>
      </c>
      <c r="H1169" s="23">
        <v>45044.412615740737</v>
      </c>
      <c r="I1169" s="1" t="b">
        <v>0</v>
      </c>
      <c r="K1169" s="10">
        <f t="shared" si="92"/>
        <v>8.8361111110425554</v>
      </c>
      <c r="L1169" s="1" t="str">
        <f t="shared" si="93"/>
        <v>Cannot check</v>
      </c>
      <c r="M1169" s="1">
        <f t="shared" si="90"/>
        <v>1</v>
      </c>
      <c r="N1169" s="1" t="str">
        <f t="shared" si="91"/>
        <v/>
      </c>
      <c r="O1169" s="10">
        <f t="shared" si="94"/>
        <v>8.8361111110425554</v>
      </c>
    </row>
    <row r="1170" spans="1:15">
      <c r="A1170" s="1" t="s">
        <v>1275</v>
      </c>
      <c r="B1170" s="23">
        <v>45044.165277777778</v>
      </c>
      <c r="C1170" s="1" t="s">
        <v>25</v>
      </c>
      <c r="D1170" s="1" t="s">
        <v>21</v>
      </c>
      <c r="E1170" s="1" t="s">
        <v>22</v>
      </c>
      <c r="F1170" s="1" t="s">
        <v>35</v>
      </c>
      <c r="G1170" s="1">
        <v>20</v>
      </c>
      <c r="H1170" s="23">
        <v>45044.426712962966</v>
      </c>
      <c r="I1170" s="1" t="b">
        <v>0</v>
      </c>
      <c r="J1170" s="1">
        <v>5</v>
      </c>
      <c r="K1170" s="10">
        <f t="shared" si="92"/>
        <v>6.2744444445124827</v>
      </c>
      <c r="L1170" s="1" t="str">
        <f t="shared" si="93"/>
        <v>OK</v>
      </c>
      <c r="M1170" s="1">
        <f t="shared" si="90"/>
        <v>1</v>
      </c>
      <c r="N1170" s="1">
        <f t="shared" si="91"/>
        <v>20</v>
      </c>
      <c r="O1170" s="10">
        <f t="shared" si="94"/>
        <v>6.2744444445124827</v>
      </c>
    </row>
    <row r="1171" spans="1:15">
      <c r="A1171" s="1" t="s">
        <v>1276</v>
      </c>
      <c r="B1171" s="23">
        <v>45044.224305555559</v>
      </c>
      <c r="C1171" s="1" t="s">
        <v>16</v>
      </c>
      <c r="D1171" s="1" t="s">
        <v>17</v>
      </c>
      <c r="E1171" s="1" t="s">
        <v>22</v>
      </c>
      <c r="F1171" s="1" t="s">
        <v>302</v>
      </c>
      <c r="G1171" s="1">
        <v>22</v>
      </c>
      <c r="H1171" s="23">
        <v>45044.303807870368</v>
      </c>
      <c r="I1171" s="1" t="b">
        <v>0</v>
      </c>
      <c r="K1171" s="10">
        <f t="shared" si="92"/>
        <v>1.908055555424653</v>
      </c>
      <c r="L1171" s="1" t="str">
        <f t="shared" si="93"/>
        <v>OK</v>
      </c>
      <c r="M1171" s="1">
        <f t="shared" si="90"/>
        <v>1</v>
      </c>
      <c r="N1171" s="1">
        <f t="shared" si="91"/>
        <v>22</v>
      </c>
      <c r="O1171" s="10">
        <f t="shared" si="94"/>
        <v>1.908055555424653</v>
      </c>
    </row>
    <row r="1172" spans="1:15">
      <c r="A1172" s="1" t="s">
        <v>1277</v>
      </c>
      <c r="B1172" s="23">
        <v>45044.676388888889</v>
      </c>
      <c r="C1172" s="1" t="s">
        <v>16</v>
      </c>
      <c r="D1172" s="1" t="s">
        <v>17</v>
      </c>
      <c r="E1172" s="1" t="s">
        <v>22</v>
      </c>
      <c r="F1172" s="1" t="s">
        <v>62</v>
      </c>
      <c r="G1172" s="1">
        <v>12</v>
      </c>
      <c r="H1172" s="23">
        <v>45044.750833333332</v>
      </c>
      <c r="I1172" s="1" t="b">
        <v>0</v>
      </c>
      <c r="K1172" s="10">
        <f t="shared" si="92"/>
        <v>1.7866666666232049</v>
      </c>
      <c r="L1172" s="1" t="str">
        <f t="shared" si="93"/>
        <v>OK</v>
      </c>
      <c r="M1172" s="1">
        <f t="shared" si="90"/>
        <v>1</v>
      </c>
      <c r="N1172" s="1">
        <f t="shared" si="91"/>
        <v>12</v>
      </c>
      <c r="O1172" s="10">
        <f t="shared" si="94"/>
        <v>1.7866666666232049</v>
      </c>
    </row>
    <row r="1173" spans="1:15">
      <c r="A1173" s="1" t="s">
        <v>1278</v>
      </c>
      <c r="B1173" s="23">
        <v>45044.784722222219</v>
      </c>
      <c r="C1173" s="1" t="s">
        <v>25</v>
      </c>
      <c r="D1173" s="1" t="s">
        <v>21</v>
      </c>
      <c r="E1173" s="1" t="s">
        <v>13</v>
      </c>
      <c r="F1173" s="1" t="s">
        <v>80</v>
      </c>
      <c r="G1173" s="1">
        <v>17</v>
      </c>
      <c r="H1173" s="23">
        <v>45047.420787037037</v>
      </c>
      <c r="I1173" s="1" t="b">
        <v>0</v>
      </c>
      <c r="J1173" s="1">
        <v>5</v>
      </c>
      <c r="K1173" s="10">
        <f t="shared" si="92"/>
        <v>63.265555555641185</v>
      </c>
      <c r="L1173" s="1" t="str">
        <f t="shared" si="93"/>
        <v>OK</v>
      </c>
      <c r="M1173" s="1">
        <f t="shared" si="90"/>
        <v>1</v>
      </c>
      <c r="N1173" s="1">
        <f t="shared" si="91"/>
        <v>17</v>
      </c>
      <c r="O1173" s="10">
        <f t="shared" si="94"/>
        <v>63.265555555641185</v>
      </c>
    </row>
    <row r="1174" spans="1:15">
      <c r="A1174" s="1" t="s">
        <v>1279</v>
      </c>
      <c r="B1174" s="23">
        <v>45044.839583333334</v>
      </c>
      <c r="C1174" s="1" t="s">
        <v>11</v>
      </c>
      <c r="D1174" s="1" t="s">
        <v>21</v>
      </c>
      <c r="E1174" s="1" t="s">
        <v>18</v>
      </c>
      <c r="F1174" s="1" t="s">
        <v>90</v>
      </c>
      <c r="G1174" s="1">
        <v>198</v>
      </c>
      <c r="H1174" s="23">
        <v>45050.684178240743</v>
      </c>
      <c r="I1174" s="1" t="b">
        <v>0</v>
      </c>
      <c r="K1174" s="10">
        <f t="shared" si="92"/>
        <v>140.27027777780313</v>
      </c>
      <c r="L1174" s="1" t="str">
        <f t="shared" si="93"/>
        <v>OK</v>
      </c>
      <c r="M1174" s="1">
        <f t="shared" si="90"/>
        <v>1</v>
      </c>
      <c r="N1174" s="1">
        <f t="shared" si="91"/>
        <v>198</v>
      </c>
      <c r="O1174" s="10">
        <f t="shared" si="94"/>
        <v>140.27027777780313</v>
      </c>
    </row>
    <row r="1175" spans="1:15">
      <c r="A1175" s="1" t="s">
        <v>1280</v>
      </c>
      <c r="B1175" s="23">
        <v>45044.857638888891</v>
      </c>
      <c r="C1175" s="1" t="s">
        <v>16</v>
      </c>
      <c r="D1175" s="1" t="s">
        <v>17</v>
      </c>
      <c r="E1175" s="1" t="s">
        <v>22</v>
      </c>
      <c r="F1175" s="1" t="s">
        <v>224</v>
      </c>
      <c r="G1175" s="1">
        <v>52</v>
      </c>
      <c r="H1175" s="23">
        <v>45045.096932870372</v>
      </c>
      <c r="I1175" s="1" t="b">
        <v>0</v>
      </c>
      <c r="K1175" s="10">
        <f t="shared" si="92"/>
        <v>5.7430555555620231</v>
      </c>
      <c r="L1175" s="1" t="str">
        <f t="shared" si="93"/>
        <v>OK</v>
      </c>
      <c r="M1175" s="1">
        <f t="shared" si="90"/>
        <v>1</v>
      </c>
      <c r="N1175" s="1">
        <f t="shared" si="91"/>
        <v>52</v>
      </c>
      <c r="O1175" s="10">
        <f t="shared" si="94"/>
        <v>5.7430555555620231</v>
      </c>
    </row>
    <row r="1176" spans="1:15">
      <c r="A1176" s="1" t="s">
        <v>1281</v>
      </c>
      <c r="B1176" s="23">
        <v>45044.956250000003</v>
      </c>
      <c r="C1176" s="1" t="s">
        <v>16</v>
      </c>
      <c r="D1176" s="1" t="s">
        <v>21</v>
      </c>
      <c r="E1176" s="1" t="s">
        <v>18</v>
      </c>
      <c r="F1176" s="1" t="s">
        <v>224</v>
      </c>
      <c r="G1176" s="1">
        <v>71</v>
      </c>
      <c r="H1176" s="23">
        <v>45045.031180555554</v>
      </c>
      <c r="I1176" s="1" t="b">
        <v>0</v>
      </c>
      <c r="J1176" s="1">
        <v>5</v>
      </c>
      <c r="K1176" s="10">
        <f t="shared" si="92"/>
        <v>1.7983333332231268</v>
      </c>
      <c r="L1176" s="1" t="str">
        <f t="shared" si="93"/>
        <v>OK</v>
      </c>
      <c r="M1176" s="1">
        <f t="shared" si="90"/>
        <v>1</v>
      </c>
      <c r="N1176" s="1">
        <f t="shared" si="91"/>
        <v>71</v>
      </c>
      <c r="O1176" s="10">
        <f t="shared" si="94"/>
        <v>1.7983333332231268</v>
      </c>
    </row>
    <row r="1177" spans="1:15">
      <c r="A1177" s="1" t="s">
        <v>1282</v>
      </c>
      <c r="B1177" s="23">
        <v>45045.456944444442</v>
      </c>
      <c r="C1177" s="1" t="s">
        <v>16</v>
      </c>
      <c r="D1177" s="1" t="s">
        <v>12</v>
      </c>
      <c r="E1177" s="1" t="s">
        <v>33</v>
      </c>
      <c r="F1177" s="1" t="s">
        <v>709</v>
      </c>
      <c r="G1177" s="1">
        <v>147</v>
      </c>
      <c r="H1177" s="23">
        <v>45048.967835648145</v>
      </c>
      <c r="I1177" s="1" t="b">
        <v>0</v>
      </c>
      <c r="J1177" s="1">
        <v>4</v>
      </c>
      <c r="K1177" s="10">
        <f t="shared" si="92"/>
        <v>84.261388888873626</v>
      </c>
      <c r="L1177" s="1" t="str">
        <f t="shared" si="93"/>
        <v>OK</v>
      </c>
      <c r="M1177" s="1">
        <f t="shared" si="90"/>
        <v>1</v>
      </c>
      <c r="N1177" s="1">
        <f t="shared" si="91"/>
        <v>147</v>
      </c>
      <c r="O1177" s="10">
        <f t="shared" si="94"/>
        <v>84.261388888873626</v>
      </c>
    </row>
    <row r="1178" spans="1:15">
      <c r="A1178" s="1" t="s">
        <v>1283</v>
      </c>
      <c r="B1178" s="23">
        <v>45045.472916666666</v>
      </c>
      <c r="C1178" s="1" t="s">
        <v>16</v>
      </c>
      <c r="D1178" s="1" t="s">
        <v>26</v>
      </c>
      <c r="E1178" s="1" t="s">
        <v>18</v>
      </c>
      <c r="F1178" s="1" t="s">
        <v>48</v>
      </c>
      <c r="G1178" s="1">
        <v>29</v>
      </c>
      <c r="H1178" s="23">
        <v>45045.732557870368</v>
      </c>
      <c r="I1178" s="1" t="b">
        <v>0</v>
      </c>
      <c r="K1178" s="10">
        <f t="shared" si="92"/>
        <v>6.2313888888456859</v>
      </c>
      <c r="L1178" s="1" t="str">
        <f t="shared" si="93"/>
        <v>OK</v>
      </c>
      <c r="M1178" s="1">
        <f t="shared" si="90"/>
        <v>1</v>
      </c>
      <c r="N1178" s="1">
        <f t="shared" si="91"/>
        <v>29</v>
      </c>
      <c r="O1178" s="10">
        <f t="shared" si="94"/>
        <v>6.2313888888456859</v>
      </c>
    </row>
    <row r="1179" spans="1:15">
      <c r="A1179" s="1" t="s">
        <v>1284</v>
      </c>
      <c r="B1179" s="23">
        <v>45045.504166666666</v>
      </c>
      <c r="C1179" s="1" t="s">
        <v>16</v>
      </c>
      <c r="D1179" s="1" t="s">
        <v>26</v>
      </c>
      <c r="E1179" s="1" t="s">
        <v>18</v>
      </c>
      <c r="F1179" s="1" t="s">
        <v>88</v>
      </c>
      <c r="G1179" s="1">
        <v>34</v>
      </c>
      <c r="H1179" s="23">
        <v>45047.811261574076</v>
      </c>
      <c r="I1179" s="1" t="b">
        <v>0</v>
      </c>
      <c r="J1179" s="1">
        <v>5</v>
      </c>
      <c r="K1179" s="10">
        <f t="shared" si="92"/>
        <v>55.370277777838055</v>
      </c>
      <c r="L1179" s="1" t="str">
        <f t="shared" si="93"/>
        <v>OK</v>
      </c>
      <c r="M1179" s="1">
        <f t="shared" si="90"/>
        <v>1</v>
      </c>
      <c r="N1179" s="1">
        <f t="shared" si="91"/>
        <v>34</v>
      </c>
      <c r="O1179" s="10">
        <f t="shared" si="94"/>
        <v>55.370277777838055</v>
      </c>
    </row>
    <row r="1180" spans="1:15">
      <c r="A1180" s="1" t="s">
        <v>1285</v>
      </c>
      <c r="B1180" s="23">
        <v>45045.54583333333</v>
      </c>
      <c r="C1180" s="1" t="s">
        <v>43</v>
      </c>
      <c r="D1180" s="1" t="s">
        <v>26</v>
      </c>
      <c r="E1180" s="1" t="s">
        <v>18</v>
      </c>
      <c r="F1180" s="1" t="s">
        <v>198</v>
      </c>
      <c r="H1180" s="23">
        <v>45047.028344907405</v>
      </c>
      <c r="I1180" s="1" t="b">
        <v>0</v>
      </c>
      <c r="K1180" s="10">
        <f t="shared" si="92"/>
        <v>35.580277777800802</v>
      </c>
      <c r="L1180" s="1" t="str">
        <f t="shared" si="93"/>
        <v>Cannot check</v>
      </c>
      <c r="M1180" s="1">
        <f t="shared" si="90"/>
        <v>1</v>
      </c>
      <c r="N1180" s="1" t="str">
        <f t="shared" si="91"/>
        <v/>
      </c>
      <c r="O1180" s="10">
        <f t="shared" si="94"/>
        <v>35.580277777800802</v>
      </c>
    </row>
    <row r="1181" spans="1:15">
      <c r="A1181" s="1" t="s">
        <v>1286</v>
      </c>
      <c r="B1181" s="23">
        <v>45045.572916666664</v>
      </c>
      <c r="C1181" s="1" t="s">
        <v>16</v>
      </c>
      <c r="D1181" s="1" t="s">
        <v>17</v>
      </c>
      <c r="E1181" s="1" t="s">
        <v>13</v>
      </c>
      <c r="F1181" s="1" t="s">
        <v>198</v>
      </c>
      <c r="G1181" s="1">
        <v>17</v>
      </c>
      <c r="H1181" s="23">
        <v>45046.103252314817</v>
      </c>
      <c r="I1181" s="1" t="b">
        <v>0</v>
      </c>
      <c r="K1181" s="10">
        <f t="shared" si="92"/>
        <v>12.728055555664469</v>
      </c>
      <c r="L1181" s="1" t="str">
        <f t="shared" si="93"/>
        <v>OK</v>
      </c>
      <c r="M1181" s="1">
        <f t="shared" si="90"/>
        <v>1</v>
      </c>
      <c r="N1181" s="1">
        <f t="shared" si="91"/>
        <v>17</v>
      </c>
      <c r="O1181" s="10">
        <f t="shared" si="94"/>
        <v>12.728055555664469</v>
      </c>
    </row>
    <row r="1182" spans="1:15">
      <c r="A1182" s="1" t="s">
        <v>1287</v>
      </c>
      <c r="B1182" s="23">
        <v>45045.743055555555</v>
      </c>
      <c r="C1182" s="1" t="s">
        <v>43</v>
      </c>
      <c r="D1182" s="1" t="s">
        <v>17</v>
      </c>
      <c r="E1182" s="1" t="s">
        <v>22</v>
      </c>
      <c r="F1182" s="1" t="s">
        <v>92</v>
      </c>
      <c r="G1182" s="1">
        <v>83</v>
      </c>
      <c r="H1182" s="23">
        <v>45047.904976851853</v>
      </c>
      <c r="I1182" s="1" t="b">
        <v>0</v>
      </c>
      <c r="K1182" s="10">
        <f t="shared" si="92"/>
        <v>51.886111111147329</v>
      </c>
      <c r="L1182" s="1" t="str">
        <f t="shared" si="93"/>
        <v>OK</v>
      </c>
      <c r="M1182" s="1">
        <f t="shared" si="90"/>
        <v>1</v>
      </c>
      <c r="N1182" s="1">
        <f t="shared" si="91"/>
        <v>83</v>
      </c>
      <c r="O1182" s="10">
        <f t="shared" si="94"/>
        <v>51.886111111147329</v>
      </c>
    </row>
    <row r="1183" spans="1:15">
      <c r="A1183" s="1" t="s">
        <v>1288</v>
      </c>
      <c r="B1183" s="23">
        <v>45045.747916666667</v>
      </c>
      <c r="C1183" s="1" t="s">
        <v>25</v>
      </c>
      <c r="D1183" s="1" t="s">
        <v>26</v>
      </c>
      <c r="E1183" s="1" t="s">
        <v>33</v>
      </c>
      <c r="F1183" s="1" t="s">
        <v>76</v>
      </c>
      <c r="G1183" s="1">
        <v>366</v>
      </c>
      <c r="I1183" s="1" t="b">
        <v>0</v>
      </c>
      <c r="K1183" s="10" t="str">
        <f t="shared" si="92"/>
        <v/>
      </c>
      <c r="L1183" s="1" t="str">
        <f t="shared" si="93"/>
        <v>Cannot check</v>
      </c>
      <c r="M1183" s="1">
        <f t="shared" si="90"/>
        <v>1</v>
      </c>
      <c r="N1183" s="1">
        <f t="shared" si="91"/>
        <v>366</v>
      </c>
      <c r="O1183" s="10" t="str">
        <f t="shared" si="94"/>
        <v/>
      </c>
    </row>
    <row r="1184" spans="1:15">
      <c r="A1184" s="1" t="s">
        <v>1289</v>
      </c>
      <c r="B1184" s="23">
        <v>45045.760416666664</v>
      </c>
      <c r="C1184" s="1" t="s">
        <v>16</v>
      </c>
      <c r="D1184" s="1" t="s">
        <v>26</v>
      </c>
      <c r="E1184" s="1" t="s">
        <v>18</v>
      </c>
      <c r="F1184" s="1" t="s">
        <v>110</v>
      </c>
      <c r="G1184" s="1">
        <v>83</v>
      </c>
      <c r="H1184" s="23">
        <v>45047.940023148149</v>
      </c>
      <c r="I1184" s="1" t="b">
        <v>0</v>
      </c>
      <c r="K1184" s="10">
        <f t="shared" si="92"/>
        <v>52.310555555624887</v>
      </c>
      <c r="L1184" s="1" t="str">
        <f t="shared" si="93"/>
        <v>OK</v>
      </c>
      <c r="M1184" s="1">
        <f t="shared" si="90"/>
        <v>1</v>
      </c>
      <c r="N1184" s="1">
        <f t="shared" si="91"/>
        <v>83</v>
      </c>
      <c r="O1184" s="10">
        <f t="shared" si="94"/>
        <v>52.310555555624887</v>
      </c>
    </row>
    <row r="1185" spans="1:15">
      <c r="A1185" s="1" t="s">
        <v>1290</v>
      </c>
      <c r="B1185" s="23">
        <v>45045.861805555556</v>
      </c>
      <c r="C1185" s="1" t="s">
        <v>16</v>
      </c>
      <c r="D1185" s="1" t="s">
        <v>59</v>
      </c>
      <c r="E1185" s="1" t="s">
        <v>18</v>
      </c>
      <c r="F1185" s="1" t="s">
        <v>145</v>
      </c>
      <c r="H1185" s="23">
        <v>45046.445844907408</v>
      </c>
      <c r="I1185" s="1" t="b">
        <v>0</v>
      </c>
      <c r="K1185" s="10">
        <f t="shared" si="92"/>
        <v>14.01694444444729</v>
      </c>
      <c r="L1185" s="1" t="str">
        <f t="shared" si="93"/>
        <v>Cannot check</v>
      </c>
      <c r="M1185" s="1">
        <f t="shared" si="90"/>
        <v>1</v>
      </c>
      <c r="N1185" s="1" t="str">
        <f t="shared" si="91"/>
        <v/>
      </c>
      <c r="O1185" s="10">
        <f t="shared" si="94"/>
        <v>14.01694444444729</v>
      </c>
    </row>
    <row r="1186" spans="1:15">
      <c r="A1186" s="1" t="s">
        <v>1291</v>
      </c>
      <c r="B1186" s="23">
        <v>45045.87222222222</v>
      </c>
      <c r="C1186" s="1" t="s">
        <v>16</v>
      </c>
      <c r="D1186" s="1" t="s">
        <v>59</v>
      </c>
      <c r="E1186" s="1" t="s">
        <v>33</v>
      </c>
      <c r="F1186" s="1" t="s">
        <v>367</v>
      </c>
      <c r="G1186" s="1">
        <v>105</v>
      </c>
      <c r="I1186" s="1" t="b">
        <v>0</v>
      </c>
      <c r="K1186" s="10" t="str">
        <f t="shared" si="92"/>
        <v/>
      </c>
      <c r="L1186" s="1" t="str">
        <f t="shared" si="93"/>
        <v>Cannot check</v>
      </c>
      <c r="M1186" s="1">
        <f t="shared" si="90"/>
        <v>1</v>
      </c>
      <c r="N1186" s="1">
        <f t="shared" si="91"/>
        <v>105</v>
      </c>
      <c r="O1186" s="10" t="str">
        <f t="shared" si="94"/>
        <v/>
      </c>
    </row>
    <row r="1187" spans="1:15">
      <c r="A1187" s="1" t="s">
        <v>1292</v>
      </c>
      <c r="B1187" s="23">
        <v>45045.925694444442</v>
      </c>
      <c r="C1187" s="1" t="s">
        <v>16</v>
      </c>
      <c r="D1187" s="1" t="s">
        <v>26</v>
      </c>
      <c r="E1187" s="1" t="s">
        <v>18</v>
      </c>
      <c r="F1187" s="1" t="s">
        <v>74</v>
      </c>
      <c r="G1187" s="1">
        <v>354</v>
      </c>
      <c r="H1187" s="23">
        <v>45046.061481481483</v>
      </c>
      <c r="I1187" s="1" t="b">
        <v>0</v>
      </c>
      <c r="J1187" s="1">
        <v>4</v>
      </c>
      <c r="K1187" s="10">
        <f t="shared" si="92"/>
        <v>3.2588888889877126</v>
      </c>
      <c r="L1187" s="1" t="str">
        <f t="shared" si="93"/>
        <v>Review</v>
      </c>
      <c r="M1187" s="1">
        <f t="shared" si="90"/>
        <v>1</v>
      </c>
      <c r="N1187" s="1" t="str">
        <f t="shared" si="91"/>
        <v/>
      </c>
      <c r="O1187" s="10" t="str">
        <f t="shared" si="94"/>
        <v/>
      </c>
    </row>
    <row r="1188" spans="1:15">
      <c r="A1188" s="1" t="s">
        <v>1293</v>
      </c>
      <c r="B1188" s="23">
        <v>45045.959722222222</v>
      </c>
      <c r="C1188" s="1" t="s">
        <v>43</v>
      </c>
      <c r="D1188" s="1" t="s">
        <v>12</v>
      </c>
      <c r="E1188" s="1" t="s">
        <v>18</v>
      </c>
      <c r="F1188" s="1" t="s">
        <v>206</v>
      </c>
      <c r="G1188" s="1">
        <v>467</v>
      </c>
      <c r="H1188" s="23">
        <v>45047.966157407405</v>
      </c>
      <c r="I1188" s="1" t="b">
        <v>0</v>
      </c>
      <c r="K1188" s="10">
        <f t="shared" si="92"/>
        <v>48.154444444400724</v>
      </c>
      <c r="L1188" s="1" t="str">
        <f t="shared" si="93"/>
        <v>OK</v>
      </c>
      <c r="M1188" s="1">
        <f t="shared" si="90"/>
        <v>1</v>
      </c>
      <c r="N1188" s="1">
        <f t="shared" si="91"/>
        <v>467</v>
      </c>
      <c r="O1188" s="10">
        <f t="shared" si="94"/>
        <v>48.154444444400724</v>
      </c>
    </row>
    <row r="1189" spans="1:15">
      <c r="A1189" s="1" t="s">
        <v>1294</v>
      </c>
      <c r="B1189" s="23">
        <v>45046.431250000001</v>
      </c>
      <c r="C1189" s="1" t="s">
        <v>11</v>
      </c>
      <c r="D1189" s="1" t="s">
        <v>17</v>
      </c>
      <c r="E1189" s="1" t="s">
        <v>13</v>
      </c>
      <c r="F1189" s="1" t="s">
        <v>41</v>
      </c>
      <c r="G1189" s="1">
        <v>28</v>
      </c>
      <c r="H1189" s="23">
        <v>45046.687905092593</v>
      </c>
      <c r="I1189" s="1" t="b">
        <v>0</v>
      </c>
      <c r="K1189" s="10">
        <f t="shared" si="92"/>
        <v>6.1597222221898846</v>
      </c>
      <c r="L1189" s="1" t="str">
        <f t="shared" si="93"/>
        <v>OK</v>
      </c>
      <c r="M1189" s="1">
        <f t="shared" si="90"/>
        <v>1</v>
      </c>
      <c r="N1189" s="1">
        <f t="shared" si="91"/>
        <v>28</v>
      </c>
      <c r="O1189" s="10">
        <f t="shared" si="94"/>
        <v>6.1597222221898846</v>
      </c>
    </row>
    <row r="1190" spans="1:15">
      <c r="A1190" s="1" t="s">
        <v>1295</v>
      </c>
      <c r="B1190" s="23">
        <v>45046.490277777775</v>
      </c>
      <c r="C1190" s="1" t="s">
        <v>16</v>
      </c>
      <c r="D1190" s="1" t="s">
        <v>17</v>
      </c>
      <c r="E1190" s="1" t="s">
        <v>13</v>
      </c>
      <c r="F1190" s="1" t="s">
        <v>130</v>
      </c>
      <c r="G1190" s="1">
        <v>38</v>
      </c>
      <c r="H1190" s="23">
        <v>45055.057858796295</v>
      </c>
      <c r="I1190" s="1" t="b">
        <v>0</v>
      </c>
      <c r="K1190" s="10">
        <f t="shared" si="92"/>
        <v>205.62194444448687</v>
      </c>
      <c r="L1190" s="1" t="str">
        <f t="shared" si="93"/>
        <v>OK</v>
      </c>
      <c r="M1190" s="1">
        <f t="shared" si="90"/>
        <v>1</v>
      </c>
      <c r="N1190" s="1">
        <f t="shared" si="91"/>
        <v>38</v>
      </c>
      <c r="O1190" s="10">
        <f t="shared" si="94"/>
        <v>205.62194444448687</v>
      </c>
    </row>
    <row r="1191" spans="1:15">
      <c r="A1191" s="1" t="s">
        <v>1296</v>
      </c>
      <c r="B1191" s="23">
        <v>45046.507638888892</v>
      </c>
      <c r="C1191" s="1" t="s">
        <v>25</v>
      </c>
      <c r="D1191" s="1" t="s">
        <v>12</v>
      </c>
      <c r="E1191" s="1" t="s">
        <v>33</v>
      </c>
      <c r="F1191" s="1" t="s">
        <v>245</v>
      </c>
      <c r="G1191" s="1">
        <v>118</v>
      </c>
      <c r="H1191" s="23">
        <v>45052.854386574072</v>
      </c>
      <c r="I1191" s="1" t="b">
        <v>0</v>
      </c>
      <c r="J1191" s="1">
        <v>4</v>
      </c>
      <c r="K1191" s="10">
        <f t="shared" si="92"/>
        <v>152.32194444432389</v>
      </c>
      <c r="L1191" s="1" t="str">
        <f t="shared" si="93"/>
        <v>OK</v>
      </c>
      <c r="M1191" s="1">
        <f t="shared" si="90"/>
        <v>1</v>
      </c>
      <c r="N1191" s="1">
        <f t="shared" si="91"/>
        <v>118</v>
      </c>
      <c r="O1191" s="10">
        <f t="shared" si="94"/>
        <v>152.32194444432389</v>
      </c>
    </row>
    <row r="1192" spans="1:15">
      <c r="A1192" s="1" t="s">
        <v>1297</v>
      </c>
      <c r="B1192" s="23">
        <v>45046.573611111111</v>
      </c>
      <c r="C1192" s="1" t="s">
        <v>25</v>
      </c>
      <c r="D1192" s="1" t="s">
        <v>17</v>
      </c>
      <c r="E1192" s="1" t="s">
        <v>13</v>
      </c>
      <c r="F1192" s="1" t="s">
        <v>145</v>
      </c>
      <c r="G1192" s="1">
        <v>34</v>
      </c>
      <c r="I1192" s="1" t="b">
        <v>0</v>
      </c>
      <c r="K1192" s="10" t="str">
        <f t="shared" si="92"/>
        <v/>
      </c>
      <c r="L1192" s="1" t="str">
        <f t="shared" si="93"/>
        <v>Cannot check</v>
      </c>
      <c r="M1192" s="1">
        <f t="shared" si="90"/>
        <v>1</v>
      </c>
      <c r="N1192" s="1">
        <f t="shared" si="91"/>
        <v>34</v>
      </c>
      <c r="O1192" s="10" t="str">
        <f t="shared" si="94"/>
        <v/>
      </c>
    </row>
    <row r="1193" spans="1:15">
      <c r="A1193" s="1" t="s">
        <v>1298</v>
      </c>
      <c r="B1193" s="23">
        <v>45046.578472222223</v>
      </c>
      <c r="C1193" s="1" t="s">
        <v>25</v>
      </c>
      <c r="D1193" s="1" t="s">
        <v>59</v>
      </c>
      <c r="E1193" s="1" t="s">
        <v>18</v>
      </c>
      <c r="F1193" s="1" t="s">
        <v>104</v>
      </c>
      <c r="G1193" s="1">
        <v>25</v>
      </c>
      <c r="H1193" s="23">
        <v>45048.409675925926</v>
      </c>
      <c r="I1193" s="1" t="b">
        <v>0</v>
      </c>
      <c r="K1193" s="10">
        <f t="shared" si="92"/>
        <v>43.948888888873626</v>
      </c>
      <c r="L1193" s="1" t="str">
        <f t="shared" si="93"/>
        <v>OK</v>
      </c>
      <c r="M1193" s="1">
        <f t="shared" si="90"/>
        <v>1</v>
      </c>
      <c r="N1193" s="1">
        <f t="shared" si="91"/>
        <v>25</v>
      </c>
      <c r="O1193" s="10">
        <f t="shared" si="94"/>
        <v>43.948888888873626</v>
      </c>
    </row>
    <row r="1194" spans="1:15">
      <c r="A1194" s="1" t="s">
        <v>1299</v>
      </c>
      <c r="B1194" s="23">
        <v>45046.631249999999</v>
      </c>
      <c r="C1194" s="1" t="s">
        <v>11</v>
      </c>
      <c r="D1194" s="1" t="s">
        <v>17</v>
      </c>
      <c r="E1194" s="1" t="s">
        <v>33</v>
      </c>
      <c r="F1194" s="1" t="s">
        <v>41</v>
      </c>
      <c r="G1194" s="1">
        <v>217</v>
      </c>
      <c r="H1194" s="23">
        <v>45052.77784722222</v>
      </c>
      <c r="I1194" s="1" t="b">
        <v>0</v>
      </c>
      <c r="K1194" s="10">
        <f t="shared" si="92"/>
        <v>147.5183333333116</v>
      </c>
      <c r="L1194" s="1" t="str">
        <f t="shared" si="93"/>
        <v>OK</v>
      </c>
      <c r="M1194" s="1">
        <f t="shared" si="90"/>
        <v>1</v>
      </c>
      <c r="N1194" s="1">
        <f t="shared" si="91"/>
        <v>217</v>
      </c>
      <c r="O1194" s="10">
        <f t="shared" si="94"/>
        <v>147.5183333333116</v>
      </c>
    </row>
    <row r="1195" spans="1:15">
      <c r="A1195" s="1" t="s">
        <v>1300</v>
      </c>
      <c r="B1195" s="23">
        <v>45046.631944444445</v>
      </c>
      <c r="C1195" s="1" t="s">
        <v>11</v>
      </c>
      <c r="D1195" s="1" t="s">
        <v>21</v>
      </c>
      <c r="E1195" s="1" t="s">
        <v>22</v>
      </c>
      <c r="F1195" s="1" t="s">
        <v>86</v>
      </c>
      <c r="G1195" s="1">
        <v>2</v>
      </c>
      <c r="H1195" s="23">
        <v>45046.731388888889</v>
      </c>
      <c r="I1195" s="1" t="b">
        <v>0</v>
      </c>
      <c r="K1195" s="10">
        <f t="shared" si="92"/>
        <v>2.3866666666581295</v>
      </c>
      <c r="L1195" s="1" t="str">
        <f t="shared" si="93"/>
        <v>OK</v>
      </c>
      <c r="M1195" s="1">
        <f t="shared" si="90"/>
        <v>1</v>
      </c>
      <c r="N1195" s="1">
        <f t="shared" si="91"/>
        <v>2</v>
      </c>
      <c r="O1195" s="10">
        <f t="shared" si="94"/>
        <v>2.3866666666581295</v>
      </c>
    </row>
    <row r="1196" spans="1:15">
      <c r="A1196" s="1" t="s">
        <v>1301</v>
      </c>
      <c r="B1196" s="23">
        <v>45046.997916666667</v>
      </c>
      <c r="C1196" s="1" t="s">
        <v>16</v>
      </c>
      <c r="D1196" s="1" t="s">
        <v>21</v>
      </c>
      <c r="E1196" s="1" t="s">
        <v>33</v>
      </c>
      <c r="F1196" s="1" t="s">
        <v>57</v>
      </c>
      <c r="G1196" s="1">
        <v>133</v>
      </c>
      <c r="H1196" s="23">
        <v>45050.9219212963</v>
      </c>
      <c r="I1196" s="1" t="b">
        <v>1</v>
      </c>
      <c r="K1196" s="10">
        <f t="shared" si="92"/>
        <v>94.176111111184582</v>
      </c>
      <c r="L1196" s="1" t="str">
        <f t="shared" si="93"/>
        <v>OK</v>
      </c>
      <c r="M1196" s="1">
        <f t="shared" si="90"/>
        <v>1</v>
      </c>
      <c r="N1196" s="1">
        <f t="shared" si="91"/>
        <v>133</v>
      </c>
      <c r="O1196" s="10">
        <f t="shared" si="94"/>
        <v>94.176111111184582</v>
      </c>
    </row>
    <row r="1197" spans="1:15">
      <c r="A1197" s="1" t="s">
        <v>1302</v>
      </c>
      <c r="B1197" s="23">
        <v>45047.001388888886</v>
      </c>
      <c r="C1197" s="1" t="s">
        <v>43</v>
      </c>
      <c r="D1197" s="1" t="s">
        <v>21</v>
      </c>
      <c r="E1197" s="1" t="s">
        <v>22</v>
      </c>
      <c r="F1197" s="1" t="s">
        <v>27</v>
      </c>
      <c r="G1197" s="1">
        <v>15</v>
      </c>
      <c r="H1197" s="23">
        <v>45047.364525462966</v>
      </c>
      <c r="I1197" s="1" t="b">
        <v>0</v>
      </c>
      <c r="K1197" s="10">
        <f t="shared" si="92"/>
        <v>8.7152777779265307</v>
      </c>
      <c r="L1197" s="1" t="str">
        <f t="shared" si="93"/>
        <v>OK</v>
      </c>
      <c r="M1197" s="1">
        <f t="shared" si="90"/>
        <v>1</v>
      </c>
      <c r="N1197" s="1">
        <f t="shared" si="91"/>
        <v>15</v>
      </c>
      <c r="O1197" s="10">
        <f t="shared" si="94"/>
        <v>8.7152777779265307</v>
      </c>
    </row>
    <row r="1198" spans="1:15">
      <c r="A1198" s="1" t="s">
        <v>1303</v>
      </c>
      <c r="B1198" s="23">
        <v>45047.013194444444</v>
      </c>
      <c r="C1198" s="1" t="s">
        <v>25</v>
      </c>
      <c r="D1198" s="1" t="s">
        <v>17</v>
      </c>
      <c r="E1198" s="1" t="s">
        <v>18</v>
      </c>
      <c r="F1198" s="1" t="s">
        <v>66</v>
      </c>
      <c r="G1198" s="1">
        <v>28</v>
      </c>
      <c r="H1198" s="23">
        <v>45047.930937500001</v>
      </c>
      <c r="I1198" s="1" t="b">
        <v>0</v>
      </c>
      <c r="J1198" s="1">
        <v>5</v>
      </c>
      <c r="K1198" s="10">
        <f t="shared" si="92"/>
        <v>22.025833333376795</v>
      </c>
      <c r="L1198" s="1" t="str">
        <f t="shared" si="93"/>
        <v>OK</v>
      </c>
      <c r="M1198" s="1">
        <f t="shared" si="90"/>
        <v>1</v>
      </c>
      <c r="N1198" s="1">
        <f t="shared" si="91"/>
        <v>28</v>
      </c>
      <c r="O1198" s="10">
        <f t="shared" si="94"/>
        <v>22.025833333376795</v>
      </c>
    </row>
    <row r="1199" spans="1:15">
      <c r="A1199" s="1" t="s">
        <v>1304</v>
      </c>
      <c r="B1199" s="23">
        <v>45047.043055555558</v>
      </c>
      <c r="C1199" s="1" t="s">
        <v>11</v>
      </c>
      <c r="D1199" s="1" t="s">
        <v>12</v>
      </c>
      <c r="E1199" s="1" t="s">
        <v>13</v>
      </c>
      <c r="F1199" s="1" t="s">
        <v>29</v>
      </c>
      <c r="G1199" s="1">
        <v>39</v>
      </c>
      <c r="H1199" s="23">
        <v>45047.350474537037</v>
      </c>
      <c r="I1199" s="1" t="b">
        <v>0</v>
      </c>
      <c r="J1199" s="1">
        <v>5</v>
      </c>
      <c r="K1199" s="10">
        <f t="shared" si="92"/>
        <v>7.3780555555131286</v>
      </c>
      <c r="L1199" s="1" t="str">
        <f t="shared" si="93"/>
        <v>OK</v>
      </c>
      <c r="M1199" s="1">
        <f t="shared" si="90"/>
        <v>1</v>
      </c>
      <c r="N1199" s="1">
        <f t="shared" si="91"/>
        <v>39</v>
      </c>
      <c r="O1199" s="10">
        <f t="shared" si="94"/>
        <v>7.3780555555131286</v>
      </c>
    </row>
    <row r="1200" spans="1:15">
      <c r="A1200" s="1" t="s">
        <v>1305</v>
      </c>
      <c r="B1200" s="23">
        <v>45047.053472222222</v>
      </c>
      <c r="C1200" s="1" t="s">
        <v>16</v>
      </c>
      <c r="D1200" s="1" t="s">
        <v>12</v>
      </c>
      <c r="E1200" s="1" t="s">
        <v>18</v>
      </c>
      <c r="F1200" s="1" t="s">
        <v>72</v>
      </c>
      <c r="G1200" s="1">
        <v>61</v>
      </c>
      <c r="H1200" s="23">
        <v>45047.202719907407</v>
      </c>
      <c r="I1200" s="1" t="b">
        <v>0</v>
      </c>
      <c r="J1200" s="1">
        <v>5</v>
      </c>
      <c r="K1200" s="10">
        <f t="shared" si="92"/>
        <v>3.5819444444496185</v>
      </c>
      <c r="L1200" s="1" t="str">
        <f t="shared" si="93"/>
        <v>OK</v>
      </c>
      <c r="M1200" s="1">
        <f t="shared" si="90"/>
        <v>1</v>
      </c>
      <c r="N1200" s="1">
        <f t="shared" si="91"/>
        <v>61</v>
      </c>
      <c r="O1200" s="10">
        <f t="shared" si="94"/>
        <v>3.5819444444496185</v>
      </c>
    </row>
    <row r="1201" spans="1:15">
      <c r="A1201" s="1" t="s">
        <v>1306</v>
      </c>
      <c r="B1201" s="23">
        <v>45047.293055555558</v>
      </c>
      <c r="C1201" s="1" t="s">
        <v>16</v>
      </c>
      <c r="D1201" s="1" t="s">
        <v>21</v>
      </c>
      <c r="E1201" s="1" t="s">
        <v>18</v>
      </c>
      <c r="F1201" s="1" t="s">
        <v>120</v>
      </c>
      <c r="G1201" s="1">
        <v>178</v>
      </c>
      <c r="H1201" s="23">
        <v>45047.460810185185</v>
      </c>
      <c r="I1201" s="1" t="b">
        <v>0</v>
      </c>
      <c r="K1201" s="10">
        <f t="shared" si="92"/>
        <v>4.0261111110448837</v>
      </c>
      <c r="L1201" s="1" t="str">
        <f t="shared" si="93"/>
        <v>OK</v>
      </c>
      <c r="M1201" s="1">
        <f t="shared" si="90"/>
        <v>1</v>
      </c>
      <c r="N1201" s="1">
        <f t="shared" si="91"/>
        <v>178</v>
      </c>
      <c r="O1201" s="10">
        <f t="shared" si="94"/>
        <v>4.0261111110448837</v>
      </c>
    </row>
    <row r="1202" spans="1:15">
      <c r="A1202" s="1" t="s">
        <v>1307</v>
      </c>
      <c r="B1202" s="23">
        <v>45047.30972222222</v>
      </c>
      <c r="C1202" s="1" t="s">
        <v>16</v>
      </c>
      <c r="D1202" s="1" t="s">
        <v>12</v>
      </c>
      <c r="E1202" s="1" t="s">
        <v>33</v>
      </c>
      <c r="F1202" s="1" t="s">
        <v>23</v>
      </c>
      <c r="G1202" s="1">
        <v>136</v>
      </c>
      <c r="H1202" s="23">
        <v>45057.602569444447</v>
      </c>
      <c r="I1202" s="1" t="b">
        <v>1</v>
      </c>
      <c r="J1202" s="1">
        <v>5</v>
      </c>
      <c r="K1202" s="10">
        <f t="shared" si="92"/>
        <v>247.02833333343733</v>
      </c>
      <c r="L1202" s="1" t="str">
        <f t="shared" si="93"/>
        <v>OK</v>
      </c>
      <c r="M1202" s="1">
        <f t="shared" si="90"/>
        <v>1</v>
      </c>
      <c r="N1202" s="1">
        <f t="shared" si="91"/>
        <v>136</v>
      </c>
      <c r="O1202" s="10">
        <f t="shared" si="94"/>
        <v>247.02833333343733</v>
      </c>
    </row>
    <row r="1203" spans="1:15">
      <c r="A1203" s="1" t="s">
        <v>1308</v>
      </c>
      <c r="B1203" s="23">
        <v>45047.507638888892</v>
      </c>
      <c r="C1203" s="1" t="s">
        <v>16</v>
      </c>
      <c r="D1203" s="1" t="s">
        <v>26</v>
      </c>
      <c r="E1203" s="1" t="s">
        <v>33</v>
      </c>
      <c r="F1203" s="1" t="s">
        <v>80</v>
      </c>
      <c r="G1203" s="1">
        <v>30</v>
      </c>
      <c r="H1203" s="23">
        <v>45067.983356481483</v>
      </c>
      <c r="I1203" s="1" t="b">
        <v>0</v>
      </c>
      <c r="J1203" s="1">
        <v>3</v>
      </c>
      <c r="K1203" s="10">
        <f t="shared" si="92"/>
        <v>491.41722222219687</v>
      </c>
      <c r="L1203" s="1" t="str">
        <f t="shared" si="93"/>
        <v>OK</v>
      </c>
      <c r="M1203" s="1">
        <f t="shared" si="90"/>
        <v>1</v>
      </c>
      <c r="N1203" s="1">
        <f t="shared" si="91"/>
        <v>30</v>
      </c>
      <c r="O1203" s="10">
        <f t="shared" si="94"/>
        <v>491.41722222219687</v>
      </c>
    </row>
    <row r="1204" spans="1:15">
      <c r="A1204" s="1" t="s">
        <v>1309</v>
      </c>
      <c r="B1204" s="23">
        <v>45047.540972222225</v>
      </c>
      <c r="C1204" s="1" t="s">
        <v>25</v>
      </c>
      <c r="D1204" s="1" t="s">
        <v>26</v>
      </c>
      <c r="E1204" s="1" t="s">
        <v>18</v>
      </c>
      <c r="F1204" s="1" t="s">
        <v>345</v>
      </c>
      <c r="G1204" s="1">
        <v>88</v>
      </c>
      <c r="H1204" s="23">
        <v>45051.361678240741</v>
      </c>
      <c r="I1204" s="1" t="b">
        <v>0</v>
      </c>
      <c r="J1204" s="1">
        <v>1</v>
      </c>
      <c r="K1204" s="10">
        <f t="shared" si="92"/>
        <v>91.696944444382098</v>
      </c>
      <c r="L1204" s="1" t="str">
        <f t="shared" si="93"/>
        <v>OK</v>
      </c>
      <c r="M1204" s="1">
        <f t="shared" si="90"/>
        <v>1</v>
      </c>
      <c r="N1204" s="1">
        <f t="shared" si="91"/>
        <v>88</v>
      </c>
      <c r="O1204" s="10">
        <f t="shared" si="94"/>
        <v>91.696944444382098</v>
      </c>
    </row>
    <row r="1205" spans="1:15">
      <c r="A1205" s="1" t="s">
        <v>1310</v>
      </c>
      <c r="B1205" s="23">
        <v>45047.543055555558</v>
      </c>
      <c r="C1205" s="1" t="s">
        <v>25</v>
      </c>
      <c r="D1205" s="1" t="s">
        <v>17</v>
      </c>
      <c r="E1205" s="1" t="s">
        <v>18</v>
      </c>
      <c r="F1205" s="1" t="s">
        <v>159</v>
      </c>
      <c r="G1205" s="1">
        <v>33</v>
      </c>
      <c r="H1205" s="23">
        <v>45048.2</v>
      </c>
      <c r="I1205" s="1" t="b">
        <v>0</v>
      </c>
      <c r="K1205" s="10">
        <f t="shared" si="92"/>
        <v>15.766666666546371</v>
      </c>
      <c r="L1205" s="1" t="str">
        <f t="shared" si="93"/>
        <v>OK</v>
      </c>
      <c r="M1205" s="1">
        <f t="shared" si="90"/>
        <v>1</v>
      </c>
      <c r="N1205" s="1">
        <f t="shared" si="91"/>
        <v>33</v>
      </c>
      <c r="O1205" s="10">
        <f t="shared" si="94"/>
        <v>15.766666666546371</v>
      </c>
    </row>
    <row r="1206" spans="1:15">
      <c r="A1206" s="1" t="s">
        <v>1311</v>
      </c>
      <c r="B1206" s="23">
        <v>45047.786111111112</v>
      </c>
      <c r="C1206" s="1" t="s">
        <v>25</v>
      </c>
      <c r="D1206" s="1" t="s">
        <v>26</v>
      </c>
      <c r="E1206" s="1" t="s">
        <v>33</v>
      </c>
      <c r="F1206" s="1" t="s">
        <v>256</v>
      </c>
      <c r="G1206" s="1">
        <v>533</v>
      </c>
      <c r="H1206" s="23">
        <v>45047.849745370368</v>
      </c>
      <c r="I1206" s="1" t="b">
        <v>0</v>
      </c>
      <c r="K1206" s="10">
        <f t="shared" si="92"/>
        <v>1.5272222221246921</v>
      </c>
      <c r="L1206" s="1" t="str">
        <f t="shared" si="93"/>
        <v>Review</v>
      </c>
      <c r="M1206" s="1">
        <f t="shared" si="90"/>
        <v>1</v>
      </c>
      <c r="N1206" s="1" t="str">
        <f t="shared" si="91"/>
        <v/>
      </c>
      <c r="O1206" s="10" t="str">
        <f t="shared" si="94"/>
        <v/>
      </c>
    </row>
    <row r="1207" spans="1:15">
      <c r="A1207" s="1" t="s">
        <v>1312</v>
      </c>
      <c r="B1207" s="23">
        <v>45047.881944444445</v>
      </c>
      <c r="C1207" s="1" t="s">
        <v>16</v>
      </c>
      <c r="D1207" s="1" t="s">
        <v>17</v>
      </c>
      <c r="E1207" s="1" t="s">
        <v>18</v>
      </c>
      <c r="F1207" s="1" t="s">
        <v>128</v>
      </c>
      <c r="G1207" s="1">
        <v>190</v>
      </c>
      <c r="H1207" s="23">
        <v>45049.153680555559</v>
      </c>
      <c r="I1207" s="1" t="b">
        <v>0</v>
      </c>
      <c r="K1207" s="10">
        <f t="shared" si="92"/>
        <v>30.52166666672565</v>
      </c>
      <c r="L1207" s="1" t="str">
        <f t="shared" si="93"/>
        <v>OK</v>
      </c>
      <c r="M1207" s="1">
        <f t="shared" si="90"/>
        <v>1</v>
      </c>
      <c r="N1207" s="1">
        <f t="shared" si="91"/>
        <v>190</v>
      </c>
      <c r="O1207" s="10">
        <f t="shared" si="94"/>
        <v>30.52166666672565</v>
      </c>
    </row>
    <row r="1208" spans="1:15">
      <c r="A1208" s="1" t="s">
        <v>1313</v>
      </c>
      <c r="B1208" s="23">
        <v>45048.147916666669</v>
      </c>
      <c r="C1208" s="1" t="s">
        <v>25</v>
      </c>
      <c r="D1208" s="1" t="s">
        <v>26</v>
      </c>
      <c r="E1208" s="1" t="s">
        <v>18</v>
      </c>
      <c r="F1208" s="1" t="s">
        <v>74</v>
      </c>
      <c r="G1208" s="1">
        <v>29</v>
      </c>
      <c r="H1208" s="23">
        <v>45065.544895833336</v>
      </c>
      <c r="I1208" s="1" t="b">
        <v>0</v>
      </c>
      <c r="K1208" s="10">
        <f t="shared" si="92"/>
        <v>417.52750000002561</v>
      </c>
      <c r="L1208" s="1" t="str">
        <f t="shared" si="93"/>
        <v>OK</v>
      </c>
      <c r="M1208" s="1">
        <f t="shared" si="90"/>
        <v>1</v>
      </c>
      <c r="N1208" s="1">
        <f t="shared" si="91"/>
        <v>29</v>
      </c>
      <c r="O1208" s="10">
        <f t="shared" si="94"/>
        <v>417.52750000002561</v>
      </c>
    </row>
    <row r="1209" spans="1:15">
      <c r="A1209" s="1" t="s">
        <v>1314</v>
      </c>
      <c r="B1209" s="23">
        <v>45048.247916666667</v>
      </c>
      <c r="C1209" s="1" t="s">
        <v>16</v>
      </c>
      <c r="D1209" s="1" t="s">
        <v>12</v>
      </c>
      <c r="E1209" s="1" t="s">
        <v>13</v>
      </c>
      <c r="F1209" s="1" t="s">
        <v>128</v>
      </c>
      <c r="G1209" s="1">
        <v>26</v>
      </c>
      <c r="H1209" s="23">
        <v>45048.333749999998</v>
      </c>
      <c r="I1209" s="1" t="b">
        <v>0</v>
      </c>
      <c r="K1209" s="10">
        <f t="shared" si="92"/>
        <v>2.059999999939464</v>
      </c>
      <c r="L1209" s="1" t="str">
        <f t="shared" si="93"/>
        <v>OK</v>
      </c>
      <c r="M1209" s="1">
        <f t="shared" si="90"/>
        <v>1</v>
      </c>
      <c r="N1209" s="1">
        <f t="shared" si="91"/>
        <v>26</v>
      </c>
      <c r="O1209" s="10">
        <f t="shared" si="94"/>
        <v>2.059999999939464</v>
      </c>
    </row>
    <row r="1210" spans="1:15">
      <c r="A1210" s="1" t="s">
        <v>1315</v>
      </c>
      <c r="B1210" s="23">
        <v>45048.248611111114</v>
      </c>
      <c r="C1210" s="1" t="s">
        <v>25</v>
      </c>
      <c r="D1210" s="1" t="s">
        <v>59</v>
      </c>
      <c r="E1210" s="1" t="s">
        <v>13</v>
      </c>
      <c r="F1210" s="1" t="s">
        <v>50</v>
      </c>
      <c r="G1210" s="1">
        <v>55</v>
      </c>
      <c r="I1210" s="1" t="b">
        <v>0</v>
      </c>
      <c r="K1210" s="10" t="str">
        <f t="shared" si="92"/>
        <v/>
      </c>
      <c r="L1210" s="1" t="str">
        <f t="shared" si="93"/>
        <v>Cannot check</v>
      </c>
      <c r="M1210" s="1">
        <f t="shared" si="90"/>
        <v>1</v>
      </c>
      <c r="N1210" s="1">
        <f t="shared" si="91"/>
        <v>55</v>
      </c>
      <c r="O1210" s="10" t="str">
        <f t="shared" si="94"/>
        <v/>
      </c>
    </row>
    <row r="1211" spans="1:15">
      <c r="A1211" s="1" t="s">
        <v>1316</v>
      </c>
      <c r="B1211" s="23">
        <v>45048.271527777775</v>
      </c>
      <c r="C1211" s="1" t="s">
        <v>25</v>
      </c>
      <c r="D1211" s="1" t="s">
        <v>17</v>
      </c>
      <c r="E1211" s="1" t="s">
        <v>18</v>
      </c>
      <c r="F1211" s="1" t="s">
        <v>96</v>
      </c>
      <c r="G1211" s="1">
        <v>121</v>
      </c>
      <c r="H1211" s="23">
        <v>45048.499594907407</v>
      </c>
      <c r="I1211" s="1" t="b">
        <v>0</v>
      </c>
      <c r="K1211" s="10">
        <f t="shared" si="92"/>
        <v>5.4736111111706123</v>
      </c>
      <c r="L1211" s="1" t="str">
        <f t="shared" si="93"/>
        <v>OK</v>
      </c>
      <c r="M1211" s="1">
        <f t="shared" si="90"/>
        <v>1</v>
      </c>
      <c r="N1211" s="1">
        <f t="shared" si="91"/>
        <v>121</v>
      </c>
      <c r="O1211" s="10">
        <f t="shared" si="94"/>
        <v>5.4736111111706123</v>
      </c>
    </row>
    <row r="1212" spans="1:15">
      <c r="A1212" s="1" t="s">
        <v>1317</v>
      </c>
      <c r="B1212" s="23">
        <v>45048.317361111112</v>
      </c>
      <c r="C1212" s="1" t="s">
        <v>16</v>
      </c>
      <c r="D1212" s="1" t="s">
        <v>26</v>
      </c>
      <c r="E1212" s="1" t="s">
        <v>18</v>
      </c>
      <c r="F1212" s="1" t="s">
        <v>39</v>
      </c>
      <c r="H1212" s="23">
        <v>45056.498738425929</v>
      </c>
      <c r="I1212" s="1" t="b">
        <v>0</v>
      </c>
      <c r="K1212" s="10">
        <f t="shared" si="92"/>
        <v>196.35305555560626</v>
      </c>
      <c r="L1212" s="1" t="str">
        <f t="shared" si="93"/>
        <v>Cannot check</v>
      </c>
      <c r="M1212" s="1">
        <f t="shared" si="90"/>
        <v>1</v>
      </c>
      <c r="N1212" s="1" t="str">
        <f t="shared" si="91"/>
        <v/>
      </c>
      <c r="O1212" s="10">
        <f t="shared" si="94"/>
        <v>196.35305555560626</v>
      </c>
    </row>
    <row r="1213" spans="1:15">
      <c r="A1213" s="1" t="s">
        <v>1318</v>
      </c>
      <c r="B1213" s="23">
        <v>45048.340277777781</v>
      </c>
      <c r="C1213" s="1" t="s">
        <v>25</v>
      </c>
      <c r="D1213" s="1" t="s">
        <v>26</v>
      </c>
      <c r="E1213" s="1" t="s">
        <v>13</v>
      </c>
      <c r="F1213" s="1" t="s">
        <v>90</v>
      </c>
      <c r="G1213" s="1">
        <v>64</v>
      </c>
      <c r="H1213" s="23">
        <v>45052.077557870369</v>
      </c>
      <c r="I1213" s="1" t="b">
        <v>0</v>
      </c>
      <c r="J1213" s="1">
        <v>5</v>
      </c>
      <c r="K1213" s="10">
        <f t="shared" si="92"/>
        <v>89.694722222106066</v>
      </c>
      <c r="L1213" s="1" t="str">
        <f t="shared" si="93"/>
        <v>OK</v>
      </c>
      <c r="M1213" s="1">
        <f t="shared" si="90"/>
        <v>1</v>
      </c>
      <c r="N1213" s="1">
        <f t="shared" si="91"/>
        <v>64</v>
      </c>
      <c r="O1213" s="10">
        <f t="shared" si="94"/>
        <v>89.694722222106066</v>
      </c>
    </row>
    <row r="1214" spans="1:15">
      <c r="A1214" s="1" t="s">
        <v>1319</v>
      </c>
      <c r="B1214" s="23">
        <v>45048.45</v>
      </c>
      <c r="C1214" s="1" t="s">
        <v>16</v>
      </c>
      <c r="D1214" s="1" t="s">
        <v>59</v>
      </c>
      <c r="E1214" s="1" t="s">
        <v>13</v>
      </c>
      <c r="F1214" s="1" t="s">
        <v>345</v>
      </c>
      <c r="G1214" s="1">
        <v>40</v>
      </c>
      <c r="H1214" s="23">
        <v>45048.603750000002</v>
      </c>
      <c r="I1214" s="1" t="b">
        <v>0</v>
      </c>
      <c r="J1214" s="1">
        <v>4</v>
      </c>
      <c r="K1214" s="10">
        <f t="shared" si="92"/>
        <v>3.6900000001187436</v>
      </c>
      <c r="L1214" s="1" t="str">
        <f t="shared" si="93"/>
        <v>OK</v>
      </c>
      <c r="M1214" s="1">
        <f t="shared" si="90"/>
        <v>1</v>
      </c>
      <c r="N1214" s="1">
        <f t="shared" si="91"/>
        <v>40</v>
      </c>
      <c r="O1214" s="10">
        <f t="shared" si="94"/>
        <v>3.6900000001187436</v>
      </c>
    </row>
    <row r="1215" spans="1:15">
      <c r="A1215" s="1" t="s">
        <v>1320</v>
      </c>
      <c r="B1215" s="23">
        <v>45048.469444444447</v>
      </c>
      <c r="C1215" s="1" t="s">
        <v>43</v>
      </c>
      <c r="D1215" s="1" t="s">
        <v>21</v>
      </c>
      <c r="E1215" s="1" t="s">
        <v>22</v>
      </c>
      <c r="F1215" s="1" t="s">
        <v>178</v>
      </c>
      <c r="G1215" s="1">
        <v>16</v>
      </c>
      <c r="H1215" s="23">
        <v>45048.829907407409</v>
      </c>
      <c r="I1215" s="1" t="b">
        <v>0</v>
      </c>
      <c r="K1215" s="10">
        <f t="shared" si="92"/>
        <v>8.6511111111030914</v>
      </c>
      <c r="L1215" s="1" t="str">
        <f t="shared" si="93"/>
        <v>OK</v>
      </c>
      <c r="M1215" s="1">
        <f t="shared" si="90"/>
        <v>1</v>
      </c>
      <c r="N1215" s="1">
        <f t="shared" si="91"/>
        <v>16</v>
      </c>
      <c r="O1215" s="10">
        <f t="shared" si="94"/>
        <v>8.6511111111030914</v>
      </c>
    </row>
    <row r="1216" spans="1:15">
      <c r="A1216" s="1" t="s">
        <v>1321</v>
      </c>
      <c r="B1216" s="23">
        <v>45048.495138888888</v>
      </c>
      <c r="C1216" s="1" t="s">
        <v>43</v>
      </c>
      <c r="D1216" s="1" t="s">
        <v>17</v>
      </c>
      <c r="E1216" s="1" t="s">
        <v>18</v>
      </c>
      <c r="F1216" s="1" t="s">
        <v>68</v>
      </c>
      <c r="G1216" s="1">
        <v>137</v>
      </c>
      <c r="H1216" s="23">
        <v>45056.052685185183</v>
      </c>
      <c r="I1216" s="1" t="b">
        <v>0</v>
      </c>
      <c r="K1216" s="10">
        <f t="shared" si="92"/>
        <v>181.38111111108446</v>
      </c>
      <c r="L1216" s="1" t="str">
        <f t="shared" si="93"/>
        <v>OK</v>
      </c>
      <c r="M1216" s="1">
        <f t="shared" si="90"/>
        <v>1</v>
      </c>
      <c r="N1216" s="1">
        <f t="shared" si="91"/>
        <v>137</v>
      </c>
      <c r="O1216" s="10">
        <f t="shared" si="94"/>
        <v>181.38111111108446</v>
      </c>
    </row>
    <row r="1217" spans="1:15">
      <c r="A1217" s="1" t="s">
        <v>1322</v>
      </c>
      <c r="B1217" s="23">
        <v>45048.495833333334</v>
      </c>
      <c r="C1217" s="1" t="s">
        <v>16</v>
      </c>
      <c r="D1217" s="1" t="s">
        <v>17</v>
      </c>
      <c r="E1217" s="1" t="s">
        <v>33</v>
      </c>
      <c r="F1217" s="1" t="s">
        <v>66</v>
      </c>
      <c r="G1217" s="1">
        <v>773</v>
      </c>
      <c r="H1217" s="23">
        <v>45048.820601851854</v>
      </c>
      <c r="I1217" s="1" t="b">
        <v>0</v>
      </c>
      <c r="K1217" s="10">
        <f t="shared" si="92"/>
        <v>7.7944444444729015</v>
      </c>
      <c r="L1217" s="1" t="str">
        <f t="shared" si="93"/>
        <v>Review</v>
      </c>
      <c r="M1217" s="1">
        <f t="shared" si="90"/>
        <v>1</v>
      </c>
      <c r="N1217" s="1" t="str">
        <f t="shared" si="91"/>
        <v/>
      </c>
      <c r="O1217" s="10" t="str">
        <f t="shared" si="94"/>
        <v/>
      </c>
    </row>
    <row r="1218" spans="1:15">
      <c r="A1218" s="1" t="s">
        <v>1323</v>
      </c>
      <c r="B1218" s="23">
        <v>45048.645833333336</v>
      </c>
      <c r="C1218" s="1" t="s">
        <v>11</v>
      </c>
      <c r="D1218" s="1" t="s">
        <v>26</v>
      </c>
      <c r="E1218" s="1" t="s">
        <v>18</v>
      </c>
      <c r="F1218" s="1" t="s">
        <v>84</v>
      </c>
      <c r="G1218" s="1">
        <v>53</v>
      </c>
      <c r="H1218" s="23">
        <v>45050.700949074075</v>
      </c>
      <c r="I1218" s="1" t="b">
        <v>0</v>
      </c>
      <c r="K1218" s="10">
        <f t="shared" si="92"/>
        <v>49.32277777773561</v>
      </c>
      <c r="L1218" s="1" t="str">
        <f t="shared" si="93"/>
        <v>OK</v>
      </c>
      <c r="M1218" s="1">
        <f t="shared" ref="M1218:M1281" si="95">COUNTIF($A$2:$A$4001,A1218)</f>
        <v>1</v>
      </c>
      <c r="N1218" s="1">
        <f t="shared" ref="N1218:N1281" si="96">IF(OR(L1218="Review",G1218=""),"",G1218)</f>
        <v>53</v>
      </c>
      <c r="O1218" s="10">
        <f t="shared" si="94"/>
        <v>49.32277777773561</v>
      </c>
    </row>
    <row r="1219" spans="1:15">
      <c r="A1219" s="1" t="s">
        <v>1324</v>
      </c>
      <c r="B1219" s="23">
        <v>45048.71597222222</v>
      </c>
      <c r="C1219" s="1" t="s">
        <v>43</v>
      </c>
      <c r="D1219" s="1" t="s">
        <v>26</v>
      </c>
      <c r="E1219" s="1" t="s">
        <v>13</v>
      </c>
      <c r="F1219" s="1" t="s">
        <v>112</v>
      </c>
      <c r="G1219" s="1">
        <v>241</v>
      </c>
      <c r="H1219" s="23">
        <v>45053.093773148146</v>
      </c>
      <c r="I1219" s="1" t="b">
        <v>0</v>
      </c>
      <c r="J1219" s="1">
        <v>4</v>
      </c>
      <c r="K1219" s="10">
        <f t="shared" ref="K1219:K1282" si="97">IF(H1219="","",(H1219-B1219)*24)</f>
        <v>105.06722222222015</v>
      </c>
      <c r="L1219" s="1" t="str">
        <f t="shared" ref="L1219:L1282" si="98">IF(OR(G1219="",K1219=""),"Cannot check",IF(G1219&gt;K1219*60,"Review","OK"))</f>
        <v>OK</v>
      </c>
      <c r="M1219" s="1">
        <f t="shared" si="95"/>
        <v>1</v>
      </c>
      <c r="N1219" s="1">
        <f t="shared" si="96"/>
        <v>241</v>
      </c>
      <c r="O1219" s="10">
        <f t="shared" ref="O1219:O1282" si="99">IF(OR(L1219="Review",K1219=""),"",K1219)</f>
        <v>105.06722222222015</v>
      </c>
    </row>
    <row r="1220" spans="1:15">
      <c r="A1220" s="1" t="s">
        <v>1325</v>
      </c>
      <c r="B1220" s="23">
        <v>45049.122916666667</v>
      </c>
      <c r="C1220" s="1" t="s">
        <v>16</v>
      </c>
      <c r="D1220" s="1" t="s">
        <v>26</v>
      </c>
      <c r="E1220" s="1" t="s">
        <v>18</v>
      </c>
      <c r="F1220" s="1" t="s">
        <v>108</v>
      </c>
      <c r="G1220" s="1">
        <v>157</v>
      </c>
      <c r="H1220" s="23">
        <v>45050.199456018519</v>
      </c>
      <c r="I1220" s="1" t="b">
        <v>0</v>
      </c>
      <c r="K1220" s="10">
        <f t="shared" si="97"/>
        <v>25.836944444454275</v>
      </c>
      <c r="L1220" s="1" t="str">
        <f t="shared" si="98"/>
        <v>OK</v>
      </c>
      <c r="M1220" s="1">
        <f t="shared" si="95"/>
        <v>1</v>
      </c>
      <c r="N1220" s="1">
        <f t="shared" si="96"/>
        <v>157</v>
      </c>
      <c r="O1220" s="10">
        <f t="shared" si="99"/>
        <v>25.836944444454275</v>
      </c>
    </row>
    <row r="1221" spans="1:15">
      <c r="A1221" s="1" t="s">
        <v>1326</v>
      </c>
      <c r="B1221" s="23">
        <v>45049.228472222225</v>
      </c>
      <c r="C1221" s="1" t="s">
        <v>25</v>
      </c>
      <c r="D1221" s="1" t="s">
        <v>59</v>
      </c>
      <c r="E1221" s="1" t="s">
        <v>18</v>
      </c>
      <c r="F1221" s="1" t="s">
        <v>114</v>
      </c>
      <c r="G1221" s="1">
        <v>20</v>
      </c>
      <c r="H1221" s="23">
        <v>45049.622858796298</v>
      </c>
      <c r="I1221" s="1" t="b">
        <v>0</v>
      </c>
      <c r="K1221" s="10">
        <f t="shared" si="97"/>
        <v>9.4652777777519077</v>
      </c>
      <c r="L1221" s="1" t="str">
        <f t="shared" si="98"/>
        <v>OK</v>
      </c>
      <c r="M1221" s="1">
        <f t="shared" si="95"/>
        <v>1</v>
      </c>
      <c r="N1221" s="1">
        <f t="shared" si="96"/>
        <v>20</v>
      </c>
      <c r="O1221" s="10">
        <f t="shared" si="99"/>
        <v>9.4652777777519077</v>
      </c>
    </row>
    <row r="1222" spans="1:15">
      <c r="A1222" s="1" t="s">
        <v>1327</v>
      </c>
      <c r="B1222" s="23">
        <v>45049.267361111109</v>
      </c>
      <c r="C1222" s="1" t="s">
        <v>43</v>
      </c>
      <c r="D1222" s="1" t="s">
        <v>17</v>
      </c>
      <c r="E1222" s="1" t="s">
        <v>18</v>
      </c>
      <c r="F1222" s="1" t="s">
        <v>35</v>
      </c>
      <c r="G1222" s="1">
        <v>101</v>
      </c>
      <c r="H1222" s="23">
        <v>45051.417557870373</v>
      </c>
      <c r="I1222" s="1" t="b">
        <v>0</v>
      </c>
      <c r="J1222" s="1">
        <v>5</v>
      </c>
      <c r="K1222" s="10">
        <f t="shared" si="97"/>
        <v>51.604722222313285</v>
      </c>
      <c r="L1222" s="1" t="str">
        <f t="shared" si="98"/>
        <v>OK</v>
      </c>
      <c r="M1222" s="1">
        <f t="shared" si="95"/>
        <v>1</v>
      </c>
      <c r="N1222" s="1">
        <f t="shared" si="96"/>
        <v>101</v>
      </c>
      <c r="O1222" s="10">
        <f t="shared" si="99"/>
        <v>51.604722222313285</v>
      </c>
    </row>
    <row r="1223" spans="1:15">
      <c r="A1223" s="1" t="s">
        <v>1328</v>
      </c>
      <c r="B1223" s="23">
        <v>45049.274305555555</v>
      </c>
      <c r="C1223" s="1" t="s">
        <v>25</v>
      </c>
      <c r="D1223" s="1" t="s">
        <v>17</v>
      </c>
      <c r="E1223" s="1" t="s">
        <v>18</v>
      </c>
      <c r="F1223" s="1" t="s">
        <v>80</v>
      </c>
      <c r="G1223" s="1">
        <v>142</v>
      </c>
      <c r="H1223" s="23">
        <v>45052.725393518522</v>
      </c>
      <c r="I1223" s="1" t="b">
        <v>0</v>
      </c>
      <c r="J1223" s="1">
        <v>1</v>
      </c>
      <c r="K1223" s="10">
        <f t="shared" si="97"/>
        <v>82.826111111207865</v>
      </c>
      <c r="L1223" s="1" t="str">
        <f t="shared" si="98"/>
        <v>OK</v>
      </c>
      <c r="M1223" s="1">
        <f t="shared" si="95"/>
        <v>1</v>
      </c>
      <c r="N1223" s="1">
        <f t="shared" si="96"/>
        <v>142</v>
      </c>
      <c r="O1223" s="10">
        <f t="shared" si="99"/>
        <v>82.826111111207865</v>
      </c>
    </row>
    <row r="1224" spans="1:15">
      <c r="A1224" s="1" t="s">
        <v>1329</v>
      </c>
      <c r="B1224" s="23">
        <v>45049.309027777781</v>
      </c>
      <c r="C1224" s="1" t="s">
        <v>25</v>
      </c>
      <c r="D1224" s="1" t="s">
        <v>26</v>
      </c>
      <c r="E1224" s="1" t="s">
        <v>33</v>
      </c>
      <c r="F1224" s="1" t="s">
        <v>90</v>
      </c>
      <c r="G1224" s="1">
        <v>423</v>
      </c>
      <c r="H1224" s="23">
        <v>45049.637881944444</v>
      </c>
      <c r="I1224" s="1" t="b">
        <v>0</v>
      </c>
      <c r="K1224" s="10">
        <f t="shared" si="97"/>
        <v>7.8924999998998828</v>
      </c>
      <c r="L1224" s="1" t="str">
        <f t="shared" si="98"/>
        <v>OK</v>
      </c>
      <c r="M1224" s="1">
        <f t="shared" si="95"/>
        <v>1</v>
      </c>
      <c r="N1224" s="1">
        <f t="shared" si="96"/>
        <v>423</v>
      </c>
      <c r="O1224" s="10">
        <f t="shared" si="99"/>
        <v>7.8924999998998828</v>
      </c>
    </row>
    <row r="1225" spans="1:15">
      <c r="A1225" s="1" t="s">
        <v>1330</v>
      </c>
      <c r="B1225" s="23">
        <v>45049.326388888891</v>
      </c>
      <c r="C1225" s="1" t="s">
        <v>43</v>
      </c>
      <c r="D1225" s="1" t="s">
        <v>59</v>
      </c>
      <c r="E1225" s="1" t="s">
        <v>18</v>
      </c>
      <c r="F1225" s="1" t="s">
        <v>80</v>
      </c>
      <c r="G1225" s="1">
        <v>192</v>
      </c>
      <c r="H1225" s="23">
        <v>45050.564687500002</v>
      </c>
      <c r="I1225" s="1" t="b">
        <v>0</v>
      </c>
      <c r="K1225" s="10">
        <f t="shared" si="97"/>
        <v>29.719166666676756</v>
      </c>
      <c r="L1225" s="1" t="str">
        <f t="shared" si="98"/>
        <v>OK</v>
      </c>
      <c r="M1225" s="1">
        <f t="shared" si="95"/>
        <v>1</v>
      </c>
      <c r="N1225" s="1">
        <f t="shared" si="96"/>
        <v>192</v>
      </c>
      <c r="O1225" s="10">
        <f t="shared" si="99"/>
        <v>29.719166666676756</v>
      </c>
    </row>
    <row r="1226" spans="1:15">
      <c r="A1226" s="1" t="s">
        <v>1331</v>
      </c>
      <c r="B1226" s="23">
        <v>45049.340277777781</v>
      </c>
      <c r="C1226" s="1" t="s">
        <v>16</v>
      </c>
      <c r="D1226" s="1" t="s">
        <v>17</v>
      </c>
      <c r="E1226" s="1" t="s">
        <v>18</v>
      </c>
      <c r="F1226" s="1" t="s">
        <v>76</v>
      </c>
      <c r="G1226" s="1">
        <v>122</v>
      </c>
      <c r="H1226" s="23">
        <v>45050.373749999999</v>
      </c>
      <c r="I1226" s="1" t="b">
        <v>0</v>
      </c>
      <c r="K1226" s="10">
        <f t="shared" si="97"/>
        <v>24.803333333227783</v>
      </c>
      <c r="L1226" s="1" t="str">
        <f t="shared" si="98"/>
        <v>OK</v>
      </c>
      <c r="M1226" s="1">
        <f t="shared" si="95"/>
        <v>1</v>
      </c>
      <c r="N1226" s="1">
        <f t="shared" si="96"/>
        <v>122</v>
      </c>
      <c r="O1226" s="10">
        <f t="shared" si="99"/>
        <v>24.803333333227783</v>
      </c>
    </row>
    <row r="1227" spans="1:15">
      <c r="A1227" s="1" t="s">
        <v>1332</v>
      </c>
      <c r="B1227" s="23">
        <v>45049.488194444442</v>
      </c>
      <c r="C1227" s="1" t="s">
        <v>11</v>
      </c>
      <c r="D1227" s="1" t="s">
        <v>17</v>
      </c>
      <c r="E1227" s="1" t="s">
        <v>13</v>
      </c>
      <c r="F1227" s="1" t="s">
        <v>92</v>
      </c>
      <c r="G1227" s="1">
        <v>51</v>
      </c>
      <c r="H1227" s="23">
        <v>45049.88957175926</v>
      </c>
      <c r="I1227" s="1" t="b">
        <v>0</v>
      </c>
      <c r="J1227" s="1">
        <v>5</v>
      </c>
      <c r="K1227" s="10">
        <f t="shared" si="97"/>
        <v>9.6330555556342006</v>
      </c>
      <c r="L1227" s="1" t="str">
        <f t="shared" si="98"/>
        <v>OK</v>
      </c>
      <c r="M1227" s="1">
        <f t="shared" si="95"/>
        <v>1</v>
      </c>
      <c r="N1227" s="1">
        <f t="shared" si="96"/>
        <v>51</v>
      </c>
      <c r="O1227" s="10">
        <f t="shared" si="99"/>
        <v>9.6330555556342006</v>
      </c>
    </row>
    <row r="1228" spans="1:15">
      <c r="A1228" s="1" t="s">
        <v>1333</v>
      </c>
      <c r="B1228" s="23">
        <v>45049.78402777778</v>
      </c>
      <c r="C1228" s="1" t="s">
        <v>16</v>
      </c>
      <c r="D1228" s="1" t="s">
        <v>26</v>
      </c>
      <c r="E1228" s="1" t="s">
        <v>13</v>
      </c>
      <c r="F1228" s="1" t="s">
        <v>118</v>
      </c>
      <c r="G1228" s="1">
        <v>19</v>
      </c>
      <c r="H1228" s="23">
        <v>45051.032858796294</v>
      </c>
      <c r="I1228" s="1" t="b">
        <v>0</v>
      </c>
      <c r="K1228" s="10">
        <f t="shared" si="97"/>
        <v>29.971944444347173</v>
      </c>
      <c r="L1228" s="1" t="str">
        <f t="shared" si="98"/>
        <v>OK</v>
      </c>
      <c r="M1228" s="1">
        <f t="shared" si="95"/>
        <v>1</v>
      </c>
      <c r="N1228" s="1">
        <f t="shared" si="96"/>
        <v>19</v>
      </c>
      <c r="O1228" s="10">
        <f t="shared" si="99"/>
        <v>29.971944444347173</v>
      </c>
    </row>
    <row r="1229" spans="1:15">
      <c r="A1229" s="1" t="s">
        <v>1334</v>
      </c>
      <c r="B1229" s="23">
        <v>45049.84375</v>
      </c>
      <c r="C1229" s="1" t="s">
        <v>11</v>
      </c>
      <c r="D1229" s="1" t="s">
        <v>17</v>
      </c>
      <c r="E1229" s="1" t="s">
        <v>33</v>
      </c>
      <c r="F1229" s="1" t="s">
        <v>709</v>
      </c>
      <c r="G1229" s="1">
        <v>723</v>
      </c>
      <c r="H1229" s="23">
        <v>45138.61377314815</v>
      </c>
      <c r="I1229" s="1" t="b">
        <v>0</v>
      </c>
      <c r="J1229" s="1">
        <v>3</v>
      </c>
      <c r="K1229" s="10">
        <f t="shared" si="97"/>
        <v>2130.4805555556086</v>
      </c>
      <c r="L1229" s="1" t="str">
        <f t="shared" si="98"/>
        <v>OK</v>
      </c>
      <c r="M1229" s="1">
        <f t="shared" si="95"/>
        <v>1</v>
      </c>
      <c r="N1229" s="1">
        <f t="shared" si="96"/>
        <v>723</v>
      </c>
      <c r="O1229" s="10">
        <f t="shared" si="99"/>
        <v>2130.4805555556086</v>
      </c>
    </row>
    <row r="1230" spans="1:15">
      <c r="A1230" s="1" t="s">
        <v>1335</v>
      </c>
      <c r="B1230" s="23">
        <v>45049.918749999997</v>
      </c>
      <c r="C1230" s="1" t="s">
        <v>16</v>
      </c>
      <c r="D1230" s="1" t="s">
        <v>59</v>
      </c>
      <c r="E1230" s="1" t="s">
        <v>18</v>
      </c>
      <c r="F1230" s="1" t="s">
        <v>345</v>
      </c>
      <c r="G1230" s="1">
        <v>266</v>
      </c>
      <c r="H1230" s="23">
        <v>45050.693819444445</v>
      </c>
      <c r="I1230" s="1" t="b">
        <v>0</v>
      </c>
      <c r="J1230" s="1">
        <v>5</v>
      </c>
      <c r="K1230" s="10">
        <f t="shared" si="97"/>
        <v>18.601666666741949</v>
      </c>
      <c r="L1230" s="1" t="str">
        <f t="shared" si="98"/>
        <v>OK</v>
      </c>
      <c r="M1230" s="1">
        <f t="shared" si="95"/>
        <v>1</v>
      </c>
      <c r="N1230" s="1">
        <f t="shared" si="96"/>
        <v>266</v>
      </c>
      <c r="O1230" s="10">
        <f t="shared" si="99"/>
        <v>18.601666666741949</v>
      </c>
    </row>
    <row r="1231" spans="1:15">
      <c r="A1231" s="1" t="s">
        <v>1336</v>
      </c>
      <c r="B1231" s="23">
        <v>45049.981944444444</v>
      </c>
      <c r="C1231" s="1" t="s">
        <v>43</v>
      </c>
      <c r="D1231" s="1" t="s">
        <v>17</v>
      </c>
      <c r="E1231" s="1" t="s">
        <v>18</v>
      </c>
      <c r="F1231" s="1" t="s">
        <v>239</v>
      </c>
      <c r="G1231" s="1">
        <v>141</v>
      </c>
      <c r="H1231" s="23">
        <v>45050.466909722221</v>
      </c>
      <c r="I1231" s="1" t="b">
        <v>0</v>
      </c>
      <c r="K1231" s="10">
        <f t="shared" si="97"/>
        <v>11.639166666660458</v>
      </c>
      <c r="L1231" s="1" t="str">
        <f t="shared" si="98"/>
        <v>OK</v>
      </c>
      <c r="M1231" s="1">
        <f t="shared" si="95"/>
        <v>1</v>
      </c>
      <c r="N1231" s="1">
        <f t="shared" si="96"/>
        <v>141</v>
      </c>
      <c r="O1231" s="10">
        <f t="shared" si="99"/>
        <v>11.639166666660458</v>
      </c>
    </row>
    <row r="1232" spans="1:15">
      <c r="A1232" s="1" t="s">
        <v>1337</v>
      </c>
      <c r="B1232" s="23">
        <v>45050.189583333333</v>
      </c>
      <c r="C1232" s="1" t="s">
        <v>16</v>
      </c>
      <c r="D1232" s="1" t="s">
        <v>12</v>
      </c>
      <c r="E1232" s="1" t="s">
        <v>13</v>
      </c>
      <c r="F1232" s="1" t="s">
        <v>259</v>
      </c>
      <c r="G1232" s="1">
        <v>48</v>
      </c>
      <c r="H1232" s="23">
        <v>45050.338356481479</v>
      </c>
      <c r="I1232" s="1" t="b">
        <v>0</v>
      </c>
      <c r="K1232" s="10">
        <f t="shared" si="97"/>
        <v>3.5705555555177853</v>
      </c>
      <c r="L1232" s="1" t="str">
        <f t="shared" si="98"/>
        <v>OK</v>
      </c>
      <c r="M1232" s="1">
        <f t="shared" si="95"/>
        <v>1</v>
      </c>
      <c r="N1232" s="1">
        <f t="shared" si="96"/>
        <v>48</v>
      </c>
      <c r="O1232" s="10">
        <f t="shared" si="99"/>
        <v>3.5705555555177853</v>
      </c>
    </row>
    <row r="1233" spans="1:15">
      <c r="A1233" s="1" t="s">
        <v>1338</v>
      </c>
      <c r="B1233" s="23">
        <v>45050.191666666666</v>
      </c>
      <c r="C1233" s="1" t="s">
        <v>16</v>
      </c>
      <c r="D1233" s="1" t="s">
        <v>59</v>
      </c>
      <c r="E1233" s="1" t="s">
        <v>33</v>
      </c>
      <c r="F1233" s="1" t="s">
        <v>102</v>
      </c>
      <c r="G1233" s="1">
        <v>154</v>
      </c>
      <c r="H1233" s="23">
        <v>45053.958113425928</v>
      </c>
      <c r="I1233" s="1" t="b">
        <v>0</v>
      </c>
      <c r="K1233" s="10">
        <f t="shared" si="97"/>
        <v>90.39472222229233</v>
      </c>
      <c r="L1233" s="1" t="str">
        <f t="shared" si="98"/>
        <v>OK</v>
      </c>
      <c r="M1233" s="1">
        <f t="shared" si="95"/>
        <v>1</v>
      </c>
      <c r="N1233" s="1">
        <f t="shared" si="96"/>
        <v>154</v>
      </c>
      <c r="O1233" s="10">
        <f t="shared" si="99"/>
        <v>90.39472222229233</v>
      </c>
    </row>
    <row r="1234" spans="1:15">
      <c r="A1234" s="1" t="s">
        <v>1339</v>
      </c>
      <c r="B1234" s="23">
        <v>45050.236805555556</v>
      </c>
      <c r="C1234" s="1" t="s">
        <v>16</v>
      </c>
      <c r="D1234" s="1" t="s">
        <v>12</v>
      </c>
      <c r="E1234" s="1" t="s">
        <v>18</v>
      </c>
      <c r="F1234" s="1" t="s">
        <v>39</v>
      </c>
      <c r="G1234" s="1">
        <v>141</v>
      </c>
      <c r="H1234" s="23">
        <v>45051.509699074071</v>
      </c>
      <c r="I1234" s="1" t="b">
        <v>1</v>
      </c>
      <c r="J1234" s="1">
        <v>1</v>
      </c>
      <c r="K1234" s="10">
        <f t="shared" si="97"/>
        <v>30.549444444361143</v>
      </c>
      <c r="L1234" s="1" t="str">
        <f t="shared" si="98"/>
        <v>OK</v>
      </c>
      <c r="M1234" s="1">
        <f t="shared" si="95"/>
        <v>1</v>
      </c>
      <c r="N1234" s="1">
        <f t="shared" si="96"/>
        <v>141</v>
      </c>
      <c r="O1234" s="10">
        <f t="shared" si="99"/>
        <v>30.549444444361143</v>
      </c>
    </row>
    <row r="1235" spans="1:15">
      <c r="A1235" s="1" t="s">
        <v>1340</v>
      </c>
      <c r="B1235" s="23">
        <v>45050.249305555553</v>
      </c>
      <c r="C1235" s="1" t="s">
        <v>43</v>
      </c>
      <c r="D1235" s="1" t="s">
        <v>17</v>
      </c>
      <c r="E1235" s="1" t="s">
        <v>33</v>
      </c>
      <c r="F1235" s="1" t="s">
        <v>52</v>
      </c>
      <c r="G1235" s="1">
        <v>233</v>
      </c>
      <c r="H1235" s="23">
        <v>45052.622824074075</v>
      </c>
      <c r="I1235" s="1" t="b">
        <v>0</v>
      </c>
      <c r="K1235" s="10">
        <f t="shared" si="97"/>
        <v>56.964444444514811</v>
      </c>
      <c r="L1235" s="1" t="str">
        <f t="shared" si="98"/>
        <v>OK</v>
      </c>
      <c r="M1235" s="1">
        <f t="shared" si="95"/>
        <v>1</v>
      </c>
      <c r="N1235" s="1">
        <f t="shared" si="96"/>
        <v>233</v>
      </c>
      <c r="O1235" s="10">
        <f t="shared" si="99"/>
        <v>56.964444444514811</v>
      </c>
    </row>
    <row r="1236" spans="1:15">
      <c r="A1236" s="1" t="s">
        <v>1341</v>
      </c>
      <c r="B1236" s="23">
        <v>45050.397916666669</v>
      </c>
      <c r="C1236" s="1" t="s">
        <v>16</v>
      </c>
      <c r="D1236" s="1" t="s">
        <v>21</v>
      </c>
      <c r="E1236" s="1" t="s">
        <v>13</v>
      </c>
      <c r="F1236" s="1" t="s">
        <v>178</v>
      </c>
      <c r="G1236" s="1">
        <v>39</v>
      </c>
      <c r="H1236" s="23">
        <v>45052.221365740741</v>
      </c>
      <c r="I1236" s="1" t="b">
        <v>0</v>
      </c>
      <c r="J1236" s="1">
        <v>1</v>
      </c>
      <c r="K1236" s="10">
        <f t="shared" si="97"/>
        <v>43.762777777737938</v>
      </c>
      <c r="L1236" s="1" t="str">
        <f t="shared" si="98"/>
        <v>OK</v>
      </c>
      <c r="M1236" s="1">
        <f t="shared" si="95"/>
        <v>1</v>
      </c>
      <c r="N1236" s="1">
        <f t="shared" si="96"/>
        <v>39</v>
      </c>
      <c r="O1236" s="10">
        <f t="shared" si="99"/>
        <v>43.762777777737938</v>
      </c>
    </row>
    <row r="1237" spans="1:15">
      <c r="A1237" s="1" t="s">
        <v>1342</v>
      </c>
      <c r="B1237" s="23">
        <v>45050.400694444441</v>
      </c>
      <c r="C1237" s="1" t="s">
        <v>11</v>
      </c>
      <c r="D1237" s="1" t="s">
        <v>21</v>
      </c>
      <c r="E1237" s="1" t="s">
        <v>18</v>
      </c>
      <c r="F1237" s="1" t="s">
        <v>226</v>
      </c>
      <c r="H1237" s="23">
        <v>45051.877083333333</v>
      </c>
      <c r="I1237" s="1" t="b">
        <v>0</v>
      </c>
      <c r="J1237" s="1">
        <v>5</v>
      </c>
      <c r="K1237" s="10">
        <f t="shared" si="97"/>
        <v>35.433333333407063</v>
      </c>
      <c r="L1237" s="1" t="str">
        <f t="shared" si="98"/>
        <v>Cannot check</v>
      </c>
      <c r="M1237" s="1">
        <f t="shared" si="95"/>
        <v>1</v>
      </c>
      <c r="N1237" s="1" t="str">
        <f t="shared" si="96"/>
        <v/>
      </c>
      <c r="O1237" s="10">
        <f t="shared" si="99"/>
        <v>35.433333333407063</v>
      </c>
    </row>
    <row r="1238" spans="1:15">
      <c r="A1238" s="1" t="s">
        <v>1343</v>
      </c>
      <c r="B1238" s="23">
        <v>45050.469444444447</v>
      </c>
      <c r="C1238" s="1" t="s">
        <v>16</v>
      </c>
      <c r="D1238" s="1" t="s">
        <v>59</v>
      </c>
      <c r="E1238" s="1" t="s">
        <v>18</v>
      </c>
      <c r="F1238" s="1" t="s">
        <v>90</v>
      </c>
      <c r="G1238" s="1">
        <v>43</v>
      </c>
      <c r="I1238" s="1" t="b">
        <v>0</v>
      </c>
      <c r="K1238" s="10" t="str">
        <f t="shared" si="97"/>
        <v/>
      </c>
      <c r="L1238" s="1" t="str">
        <f t="shared" si="98"/>
        <v>Cannot check</v>
      </c>
      <c r="M1238" s="1">
        <f t="shared" si="95"/>
        <v>1</v>
      </c>
      <c r="N1238" s="1">
        <f t="shared" si="96"/>
        <v>43</v>
      </c>
      <c r="O1238" s="10" t="str">
        <f t="shared" si="99"/>
        <v/>
      </c>
    </row>
    <row r="1239" spans="1:15">
      <c r="A1239" s="1" t="s">
        <v>1344</v>
      </c>
      <c r="B1239" s="23">
        <v>45050.584027777775</v>
      </c>
      <c r="C1239" s="1" t="s">
        <v>25</v>
      </c>
      <c r="D1239" s="1" t="s">
        <v>59</v>
      </c>
      <c r="E1239" s="1" t="s">
        <v>18</v>
      </c>
      <c r="F1239" s="1" t="s">
        <v>80</v>
      </c>
      <c r="G1239" s="1">
        <v>62</v>
      </c>
      <c r="H1239" s="23">
        <v>45052.305312500001</v>
      </c>
      <c r="I1239" s="1" t="b">
        <v>0</v>
      </c>
      <c r="K1239" s="10">
        <f t="shared" si="97"/>
        <v>41.310833333409391</v>
      </c>
      <c r="L1239" s="1" t="str">
        <f t="shared" si="98"/>
        <v>OK</v>
      </c>
      <c r="M1239" s="1">
        <f t="shared" si="95"/>
        <v>1</v>
      </c>
      <c r="N1239" s="1">
        <f t="shared" si="96"/>
        <v>62</v>
      </c>
      <c r="O1239" s="10">
        <f t="shared" si="99"/>
        <v>41.310833333409391</v>
      </c>
    </row>
    <row r="1240" spans="1:15">
      <c r="A1240" s="1" t="s">
        <v>1345</v>
      </c>
      <c r="B1240" s="23">
        <v>45050.668055555558</v>
      </c>
      <c r="C1240" s="1" t="s">
        <v>16</v>
      </c>
      <c r="D1240" s="1" t="s">
        <v>26</v>
      </c>
      <c r="E1240" s="1" t="s">
        <v>18</v>
      </c>
      <c r="F1240" s="1" t="s">
        <v>96</v>
      </c>
      <c r="G1240" s="1">
        <v>476</v>
      </c>
      <c r="H1240" s="23">
        <v>45054.039490740739</v>
      </c>
      <c r="I1240" s="1" t="b">
        <v>0</v>
      </c>
      <c r="J1240" s="1">
        <v>4</v>
      </c>
      <c r="K1240" s="10">
        <f t="shared" si="97"/>
        <v>80.91444444435183</v>
      </c>
      <c r="L1240" s="1" t="str">
        <f t="shared" si="98"/>
        <v>OK</v>
      </c>
      <c r="M1240" s="1">
        <f t="shared" si="95"/>
        <v>1</v>
      </c>
      <c r="N1240" s="1">
        <f t="shared" si="96"/>
        <v>476</v>
      </c>
      <c r="O1240" s="10">
        <f t="shared" si="99"/>
        <v>80.91444444435183</v>
      </c>
    </row>
    <row r="1241" spans="1:15">
      <c r="A1241" s="1" t="s">
        <v>1346</v>
      </c>
      <c r="B1241" s="23">
        <v>45050.855555555558</v>
      </c>
      <c r="C1241" s="1" t="s">
        <v>43</v>
      </c>
      <c r="D1241" s="1" t="s">
        <v>59</v>
      </c>
      <c r="E1241" s="1" t="s">
        <v>18</v>
      </c>
      <c r="F1241" s="1" t="s">
        <v>27</v>
      </c>
      <c r="G1241" s="1">
        <v>26</v>
      </c>
      <c r="H1241" s="23">
        <v>45051.157743055555</v>
      </c>
      <c r="I1241" s="1" t="b">
        <v>0</v>
      </c>
      <c r="J1241" s="1">
        <v>4</v>
      </c>
      <c r="K1241" s="10">
        <f t="shared" si="97"/>
        <v>7.2524999999441206</v>
      </c>
      <c r="L1241" s="1" t="str">
        <f t="shared" si="98"/>
        <v>OK</v>
      </c>
      <c r="M1241" s="1">
        <f t="shared" si="95"/>
        <v>1</v>
      </c>
      <c r="N1241" s="1">
        <f t="shared" si="96"/>
        <v>26</v>
      </c>
      <c r="O1241" s="10">
        <f t="shared" si="99"/>
        <v>7.2524999999441206</v>
      </c>
    </row>
    <row r="1242" spans="1:15">
      <c r="A1242" s="1" t="s">
        <v>1347</v>
      </c>
      <c r="B1242" s="23">
        <v>45050.947916666664</v>
      </c>
      <c r="C1242" s="1" t="s">
        <v>43</v>
      </c>
      <c r="D1242" s="1" t="s">
        <v>17</v>
      </c>
      <c r="E1242" s="1" t="s">
        <v>18</v>
      </c>
      <c r="F1242" s="1" t="s">
        <v>215</v>
      </c>
      <c r="G1242" s="1">
        <v>300</v>
      </c>
      <c r="H1242" s="23">
        <v>45060.133750000001</v>
      </c>
      <c r="I1242" s="1" t="b">
        <v>0</v>
      </c>
      <c r="K1242" s="10">
        <f t="shared" si="97"/>
        <v>220.46000000007916</v>
      </c>
      <c r="L1242" s="1" t="str">
        <f t="shared" si="98"/>
        <v>OK</v>
      </c>
      <c r="M1242" s="1">
        <f t="shared" si="95"/>
        <v>1</v>
      </c>
      <c r="N1242" s="1">
        <f t="shared" si="96"/>
        <v>300</v>
      </c>
      <c r="O1242" s="10">
        <f t="shared" si="99"/>
        <v>220.46000000007916</v>
      </c>
    </row>
    <row r="1243" spans="1:15">
      <c r="A1243" s="1" t="s">
        <v>1348</v>
      </c>
      <c r="B1243" s="23">
        <v>45050.977083333331</v>
      </c>
      <c r="C1243" s="1" t="s">
        <v>11</v>
      </c>
      <c r="D1243" s="1" t="s">
        <v>59</v>
      </c>
      <c r="E1243" s="1" t="s">
        <v>18</v>
      </c>
      <c r="F1243" s="1" t="s">
        <v>302</v>
      </c>
      <c r="G1243" s="1">
        <v>129</v>
      </c>
      <c r="H1243" s="23">
        <v>45052.079201388886</v>
      </c>
      <c r="I1243" s="1" t="b">
        <v>0</v>
      </c>
      <c r="J1243" s="1">
        <v>4</v>
      </c>
      <c r="K1243" s="10">
        <f t="shared" si="97"/>
        <v>26.450833333306946</v>
      </c>
      <c r="L1243" s="1" t="str">
        <f t="shared" si="98"/>
        <v>OK</v>
      </c>
      <c r="M1243" s="1">
        <f t="shared" si="95"/>
        <v>1</v>
      </c>
      <c r="N1243" s="1">
        <f t="shared" si="96"/>
        <v>129</v>
      </c>
      <c r="O1243" s="10">
        <f t="shared" si="99"/>
        <v>26.450833333306946</v>
      </c>
    </row>
    <row r="1244" spans="1:15">
      <c r="A1244" s="1" t="s">
        <v>1349</v>
      </c>
      <c r="B1244" s="23">
        <v>45051.224999999999</v>
      </c>
      <c r="C1244" s="1" t="s">
        <v>16</v>
      </c>
      <c r="D1244" s="1" t="s">
        <v>59</v>
      </c>
      <c r="E1244" s="1" t="s">
        <v>13</v>
      </c>
      <c r="F1244" s="1" t="s">
        <v>709</v>
      </c>
      <c r="G1244" s="1">
        <v>100</v>
      </c>
      <c r="H1244" s="23">
        <v>45051.4059837963</v>
      </c>
      <c r="I1244" s="1" t="b">
        <v>0</v>
      </c>
      <c r="K1244" s="10">
        <f t="shared" si="97"/>
        <v>4.3436111112241633</v>
      </c>
      <c r="L1244" s="1" t="str">
        <f t="shared" si="98"/>
        <v>OK</v>
      </c>
      <c r="M1244" s="1">
        <f t="shared" si="95"/>
        <v>1</v>
      </c>
      <c r="N1244" s="1">
        <f t="shared" si="96"/>
        <v>100</v>
      </c>
      <c r="O1244" s="10">
        <f t="shared" si="99"/>
        <v>4.3436111112241633</v>
      </c>
    </row>
    <row r="1245" spans="1:15">
      <c r="A1245" s="1" t="s">
        <v>1350</v>
      </c>
      <c r="B1245" s="23">
        <v>45051.414583333331</v>
      </c>
      <c r="C1245" s="1" t="s">
        <v>25</v>
      </c>
      <c r="D1245" s="1" t="s">
        <v>17</v>
      </c>
      <c r="E1245" s="1" t="s">
        <v>18</v>
      </c>
      <c r="F1245" s="1" t="s">
        <v>114</v>
      </c>
      <c r="G1245" s="1">
        <v>61</v>
      </c>
      <c r="H1245" s="23">
        <v>45053.525127314817</v>
      </c>
      <c r="I1245" s="1" t="b">
        <v>0</v>
      </c>
      <c r="K1245" s="10">
        <f t="shared" si="97"/>
        <v>50.653055555652827</v>
      </c>
      <c r="L1245" s="1" t="str">
        <f t="shared" si="98"/>
        <v>OK</v>
      </c>
      <c r="M1245" s="1">
        <f t="shared" si="95"/>
        <v>1</v>
      </c>
      <c r="N1245" s="1">
        <f t="shared" si="96"/>
        <v>61</v>
      </c>
      <c r="O1245" s="10">
        <f t="shared" si="99"/>
        <v>50.653055555652827</v>
      </c>
    </row>
    <row r="1246" spans="1:15">
      <c r="A1246" s="1" t="s">
        <v>1351</v>
      </c>
      <c r="B1246" s="23">
        <v>45051.445833333331</v>
      </c>
      <c r="C1246" s="1" t="s">
        <v>16</v>
      </c>
      <c r="D1246" s="1" t="s">
        <v>17</v>
      </c>
      <c r="E1246" s="1" t="s">
        <v>18</v>
      </c>
      <c r="F1246" s="1" t="s">
        <v>367</v>
      </c>
      <c r="G1246" s="1">
        <v>63</v>
      </c>
      <c r="H1246" s="23">
        <v>45052.138726851852</v>
      </c>
      <c r="I1246" s="1" t="b">
        <v>0</v>
      </c>
      <c r="J1246" s="1">
        <v>5</v>
      </c>
      <c r="K1246" s="10">
        <f t="shared" si="97"/>
        <v>16.629444444493856</v>
      </c>
      <c r="L1246" s="1" t="str">
        <f t="shared" si="98"/>
        <v>OK</v>
      </c>
      <c r="M1246" s="1">
        <f t="shared" si="95"/>
        <v>1</v>
      </c>
      <c r="N1246" s="1">
        <f t="shared" si="96"/>
        <v>63</v>
      </c>
      <c r="O1246" s="10">
        <f t="shared" si="99"/>
        <v>16.629444444493856</v>
      </c>
    </row>
    <row r="1247" spans="1:15">
      <c r="A1247" s="1" t="s">
        <v>1352</v>
      </c>
      <c r="B1247" s="23">
        <v>45051.519444444442</v>
      </c>
      <c r="C1247" s="1" t="s">
        <v>16</v>
      </c>
      <c r="D1247" s="1" t="s">
        <v>59</v>
      </c>
      <c r="E1247" s="1" t="s">
        <v>33</v>
      </c>
      <c r="F1247" s="1" t="s">
        <v>57</v>
      </c>
      <c r="G1247" s="1">
        <v>469</v>
      </c>
      <c r="H1247" s="23">
        <v>45053.019652777781</v>
      </c>
      <c r="I1247" s="1" t="b">
        <v>1</v>
      </c>
      <c r="K1247" s="10">
        <f t="shared" si="97"/>
        <v>36.005000000121072</v>
      </c>
      <c r="L1247" s="1" t="str">
        <f t="shared" si="98"/>
        <v>OK</v>
      </c>
      <c r="M1247" s="1">
        <f t="shared" si="95"/>
        <v>1</v>
      </c>
      <c r="N1247" s="1">
        <f t="shared" si="96"/>
        <v>469</v>
      </c>
      <c r="O1247" s="10">
        <f t="shared" si="99"/>
        <v>36.005000000121072</v>
      </c>
    </row>
    <row r="1248" spans="1:15">
      <c r="A1248" s="1" t="s">
        <v>1353</v>
      </c>
      <c r="B1248" s="23">
        <v>45051.827777777777</v>
      </c>
      <c r="C1248" s="1" t="s">
        <v>16</v>
      </c>
      <c r="D1248" s="1" t="s">
        <v>26</v>
      </c>
      <c r="E1248" s="1" t="s">
        <v>13</v>
      </c>
      <c r="F1248" s="1" t="s">
        <v>48</v>
      </c>
      <c r="G1248" s="1">
        <v>50</v>
      </c>
      <c r="H1248" s="23">
        <v>45058.105115740742</v>
      </c>
      <c r="I1248" s="1" t="b">
        <v>0</v>
      </c>
      <c r="K1248" s="10">
        <f t="shared" si="97"/>
        <v>150.65611111116596</v>
      </c>
      <c r="L1248" s="1" t="str">
        <f t="shared" si="98"/>
        <v>OK</v>
      </c>
      <c r="M1248" s="1">
        <f t="shared" si="95"/>
        <v>1</v>
      </c>
      <c r="N1248" s="1">
        <f t="shared" si="96"/>
        <v>50</v>
      </c>
      <c r="O1248" s="10">
        <f t="shared" si="99"/>
        <v>150.65611111116596</v>
      </c>
    </row>
    <row r="1249" spans="1:15">
      <c r="A1249" s="1" t="s">
        <v>1354</v>
      </c>
      <c r="B1249" s="23">
        <v>45051.847916666666</v>
      </c>
      <c r="C1249" s="1" t="s">
        <v>16</v>
      </c>
      <c r="D1249" s="1" t="s">
        <v>59</v>
      </c>
      <c r="E1249" s="1" t="s">
        <v>18</v>
      </c>
      <c r="F1249" s="1" t="s">
        <v>64</v>
      </c>
      <c r="G1249" s="1">
        <v>152</v>
      </c>
      <c r="H1249" s="23">
        <v>45052.784097222226</v>
      </c>
      <c r="I1249" s="1" t="b">
        <v>1</v>
      </c>
      <c r="K1249" s="10">
        <f t="shared" si="97"/>
        <v>22.468333333439659</v>
      </c>
      <c r="L1249" s="1" t="str">
        <f t="shared" si="98"/>
        <v>OK</v>
      </c>
      <c r="M1249" s="1">
        <f t="shared" si="95"/>
        <v>1</v>
      </c>
      <c r="N1249" s="1">
        <f t="shared" si="96"/>
        <v>152</v>
      </c>
      <c r="O1249" s="10">
        <f t="shared" si="99"/>
        <v>22.468333333439659</v>
      </c>
    </row>
    <row r="1250" spans="1:15">
      <c r="A1250" s="1" t="s">
        <v>1355</v>
      </c>
      <c r="B1250" s="23">
        <v>45051.884722222225</v>
      </c>
      <c r="C1250" s="1" t="s">
        <v>25</v>
      </c>
      <c r="D1250" s="1" t="s">
        <v>21</v>
      </c>
      <c r="E1250" s="1" t="s">
        <v>18</v>
      </c>
      <c r="F1250" s="1" t="s">
        <v>256</v>
      </c>
      <c r="G1250" s="1">
        <v>282</v>
      </c>
      <c r="H1250" s="23">
        <v>45055.080439814818</v>
      </c>
      <c r="I1250" s="1" t="b">
        <v>0</v>
      </c>
      <c r="K1250" s="10">
        <f t="shared" si="97"/>
        <v>76.697222222224809</v>
      </c>
      <c r="L1250" s="1" t="str">
        <f t="shared" si="98"/>
        <v>OK</v>
      </c>
      <c r="M1250" s="1">
        <f t="shared" si="95"/>
        <v>1</v>
      </c>
      <c r="N1250" s="1">
        <f t="shared" si="96"/>
        <v>282</v>
      </c>
      <c r="O1250" s="10">
        <f t="shared" si="99"/>
        <v>76.697222222224809</v>
      </c>
    </row>
    <row r="1251" spans="1:15">
      <c r="A1251" s="1" t="s">
        <v>1356</v>
      </c>
      <c r="B1251" s="23">
        <v>45052.104861111111</v>
      </c>
      <c r="C1251" s="1" t="s">
        <v>16</v>
      </c>
      <c r="D1251" s="1" t="s">
        <v>26</v>
      </c>
      <c r="E1251" s="1" t="s">
        <v>18</v>
      </c>
      <c r="F1251" s="1" t="s">
        <v>256</v>
      </c>
      <c r="G1251" s="1">
        <v>31</v>
      </c>
      <c r="H1251" s="23">
        <v>45062.063692129632</v>
      </c>
      <c r="I1251" s="1" t="b">
        <v>0</v>
      </c>
      <c r="K1251" s="10">
        <f t="shared" si="97"/>
        <v>239.01194444450084</v>
      </c>
      <c r="L1251" s="1" t="str">
        <f t="shared" si="98"/>
        <v>OK</v>
      </c>
      <c r="M1251" s="1">
        <f t="shared" si="95"/>
        <v>1</v>
      </c>
      <c r="N1251" s="1">
        <f t="shared" si="96"/>
        <v>31</v>
      </c>
      <c r="O1251" s="10">
        <f t="shared" si="99"/>
        <v>239.01194444450084</v>
      </c>
    </row>
    <row r="1252" spans="1:15">
      <c r="A1252" s="1" t="s">
        <v>1357</v>
      </c>
      <c r="B1252" s="23">
        <v>45052.344444444447</v>
      </c>
      <c r="C1252" s="1" t="s">
        <v>25</v>
      </c>
      <c r="D1252" s="1" t="s">
        <v>21</v>
      </c>
      <c r="E1252" s="1" t="s">
        <v>13</v>
      </c>
      <c r="F1252" s="1" t="s">
        <v>76</v>
      </c>
      <c r="G1252" s="1">
        <v>146</v>
      </c>
      <c r="H1252" s="23">
        <v>45053.041041666664</v>
      </c>
      <c r="I1252" s="1" t="b">
        <v>0</v>
      </c>
      <c r="K1252" s="10">
        <f t="shared" si="97"/>
        <v>16.718333333206829</v>
      </c>
      <c r="L1252" s="1" t="str">
        <f t="shared" si="98"/>
        <v>OK</v>
      </c>
      <c r="M1252" s="1">
        <f t="shared" si="95"/>
        <v>1</v>
      </c>
      <c r="N1252" s="1">
        <f t="shared" si="96"/>
        <v>146</v>
      </c>
      <c r="O1252" s="10">
        <f t="shared" si="99"/>
        <v>16.718333333206829</v>
      </c>
    </row>
    <row r="1253" spans="1:15">
      <c r="A1253" s="1" t="s">
        <v>1358</v>
      </c>
      <c r="B1253" s="23">
        <v>45052.363194444442</v>
      </c>
      <c r="C1253" s="1" t="s">
        <v>16</v>
      </c>
      <c r="D1253" s="1" t="s">
        <v>12</v>
      </c>
      <c r="E1253" s="1" t="s">
        <v>33</v>
      </c>
      <c r="F1253" s="1" t="s">
        <v>80</v>
      </c>
      <c r="G1253" s="1">
        <v>347</v>
      </c>
      <c r="H1253" s="23">
        <v>45053.040636574071</v>
      </c>
      <c r="I1253" s="1" t="b">
        <v>0</v>
      </c>
      <c r="K1253" s="10">
        <f t="shared" si="97"/>
        <v>16.258611111086793</v>
      </c>
      <c r="L1253" s="1" t="str">
        <f t="shared" si="98"/>
        <v>OK</v>
      </c>
      <c r="M1253" s="1">
        <f t="shared" si="95"/>
        <v>1</v>
      </c>
      <c r="N1253" s="1">
        <f t="shared" si="96"/>
        <v>347</v>
      </c>
      <c r="O1253" s="10">
        <f t="shared" si="99"/>
        <v>16.258611111086793</v>
      </c>
    </row>
    <row r="1254" spans="1:15">
      <c r="A1254" s="1" t="s">
        <v>1359</v>
      </c>
      <c r="B1254" s="23">
        <v>45052.371527777781</v>
      </c>
      <c r="C1254" s="1" t="s">
        <v>43</v>
      </c>
      <c r="D1254" s="1" t="s">
        <v>17</v>
      </c>
      <c r="E1254" s="1" t="s">
        <v>33</v>
      </c>
      <c r="F1254" s="1" t="s">
        <v>110</v>
      </c>
      <c r="G1254" s="1">
        <v>70</v>
      </c>
      <c r="H1254" s="23">
        <v>45058.219918981478</v>
      </c>
      <c r="I1254" s="1" t="b">
        <v>0</v>
      </c>
      <c r="K1254" s="10">
        <f t="shared" si="97"/>
        <v>140.36138888873393</v>
      </c>
      <c r="L1254" s="1" t="str">
        <f t="shared" si="98"/>
        <v>OK</v>
      </c>
      <c r="M1254" s="1">
        <f t="shared" si="95"/>
        <v>1</v>
      </c>
      <c r="N1254" s="1">
        <f t="shared" si="96"/>
        <v>70</v>
      </c>
      <c r="O1254" s="10">
        <f t="shared" si="99"/>
        <v>140.36138888873393</v>
      </c>
    </row>
    <row r="1255" spans="1:15">
      <c r="A1255" s="1" t="s">
        <v>1360</v>
      </c>
      <c r="B1255" s="23">
        <v>45052.518055555556</v>
      </c>
      <c r="C1255" s="1" t="s">
        <v>16</v>
      </c>
      <c r="D1255" s="1" t="s">
        <v>26</v>
      </c>
      <c r="E1255" s="1" t="s">
        <v>13</v>
      </c>
      <c r="F1255" s="1" t="s">
        <v>68</v>
      </c>
      <c r="G1255" s="1">
        <v>39</v>
      </c>
      <c r="H1255" s="23">
        <v>45052.611539351848</v>
      </c>
      <c r="I1255" s="1" t="b">
        <v>0</v>
      </c>
      <c r="K1255" s="10">
        <f t="shared" si="97"/>
        <v>2.2436111110146157</v>
      </c>
      <c r="L1255" s="1" t="str">
        <f t="shared" si="98"/>
        <v>OK</v>
      </c>
      <c r="M1255" s="1">
        <f t="shared" si="95"/>
        <v>1</v>
      </c>
      <c r="N1255" s="1">
        <f t="shared" si="96"/>
        <v>39</v>
      </c>
      <c r="O1255" s="10">
        <f t="shared" si="99"/>
        <v>2.2436111110146157</v>
      </c>
    </row>
    <row r="1256" spans="1:15">
      <c r="A1256" s="1" t="s">
        <v>1361</v>
      </c>
      <c r="B1256" s="23">
        <v>45052.527777777781</v>
      </c>
      <c r="C1256" s="1" t="s">
        <v>16</v>
      </c>
      <c r="D1256" s="1" t="s">
        <v>21</v>
      </c>
      <c r="E1256" s="1" t="s">
        <v>18</v>
      </c>
      <c r="F1256" s="1" t="s">
        <v>112</v>
      </c>
      <c r="G1256" s="1">
        <v>35</v>
      </c>
      <c r="H1256" s="23">
        <v>45055.195462962962</v>
      </c>
      <c r="I1256" s="1" t="b">
        <v>0</v>
      </c>
      <c r="K1256" s="10">
        <f t="shared" si="97"/>
        <v>64.02444444433786</v>
      </c>
      <c r="L1256" s="1" t="str">
        <f t="shared" si="98"/>
        <v>OK</v>
      </c>
      <c r="M1256" s="1">
        <f t="shared" si="95"/>
        <v>1</v>
      </c>
      <c r="N1256" s="1">
        <f t="shared" si="96"/>
        <v>35</v>
      </c>
      <c r="O1256" s="10">
        <f t="shared" si="99"/>
        <v>64.02444444433786</v>
      </c>
    </row>
    <row r="1257" spans="1:15">
      <c r="A1257" s="1" t="s">
        <v>1362</v>
      </c>
      <c r="B1257" s="23">
        <v>45052.651388888888</v>
      </c>
      <c r="C1257" s="1" t="s">
        <v>25</v>
      </c>
      <c r="D1257" s="1" t="s">
        <v>21</v>
      </c>
      <c r="E1257" s="1" t="s">
        <v>18</v>
      </c>
      <c r="F1257" s="1" t="s">
        <v>23</v>
      </c>
      <c r="G1257" s="1">
        <v>86</v>
      </c>
      <c r="H1257" s="23">
        <v>45053.12091435185</v>
      </c>
      <c r="I1257" s="1" t="b">
        <v>0</v>
      </c>
      <c r="K1257" s="10">
        <f t="shared" si="97"/>
        <v>11.268611111096106</v>
      </c>
      <c r="L1257" s="1" t="str">
        <f t="shared" si="98"/>
        <v>OK</v>
      </c>
      <c r="M1257" s="1">
        <f t="shared" si="95"/>
        <v>1</v>
      </c>
      <c r="N1257" s="1">
        <f t="shared" si="96"/>
        <v>86</v>
      </c>
      <c r="O1257" s="10">
        <f t="shared" si="99"/>
        <v>11.268611111096106</v>
      </c>
    </row>
    <row r="1258" spans="1:15">
      <c r="A1258" s="1" t="s">
        <v>1363</v>
      </c>
      <c r="B1258" s="23">
        <v>45052.731249999997</v>
      </c>
      <c r="C1258" s="1" t="s">
        <v>11</v>
      </c>
      <c r="D1258" s="1" t="s">
        <v>17</v>
      </c>
      <c r="E1258" s="1" t="s">
        <v>18</v>
      </c>
      <c r="F1258" s="1" t="s">
        <v>245</v>
      </c>
      <c r="G1258" s="1">
        <v>30</v>
      </c>
      <c r="H1258" s="23">
        <v>45054.796793981484</v>
      </c>
      <c r="I1258" s="1" t="b">
        <v>0</v>
      </c>
      <c r="K1258" s="10">
        <f t="shared" si="97"/>
        <v>49.573055555694737</v>
      </c>
      <c r="L1258" s="1" t="str">
        <f t="shared" si="98"/>
        <v>OK</v>
      </c>
      <c r="M1258" s="1">
        <f t="shared" si="95"/>
        <v>1</v>
      </c>
      <c r="N1258" s="1">
        <f t="shared" si="96"/>
        <v>30</v>
      </c>
      <c r="O1258" s="10">
        <f t="shared" si="99"/>
        <v>49.573055555694737</v>
      </c>
    </row>
    <row r="1259" spans="1:15">
      <c r="A1259" s="1" t="s">
        <v>1364</v>
      </c>
      <c r="B1259" s="23">
        <v>45052.784722222219</v>
      </c>
      <c r="C1259" s="1" t="s">
        <v>11</v>
      </c>
      <c r="D1259" s="1" t="s">
        <v>21</v>
      </c>
      <c r="E1259" s="1" t="s">
        <v>13</v>
      </c>
      <c r="F1259" s="1" t="s">
        <v>14</v>
      </c>
      <c r="G1259" s="1">
        <v>30</v>
      </c>
      <c r="H1259" s="23">
        <v>45053.154062499998</v>
      </c>
      <c r="I1259" s="1" t="b">
        <v>0</v>
      </c>
      <c r="K1259" s="10">
        <f t="shared" si="97"/>
        <v>8.8641666666953824</v>
      </c>
      <c r="L1259" s="1" t="str">
        <f t="shared" si="98"/>
        <v>OK</v>
      </c>
      <c r="M1259" s="1">
        <f t="shared" si="95"/>
        <v>1</v>
      </c>
      <c r="N1259" s="1">
        <f t="shared" si="96"/>
        <v>30</v>
      </c>
      <c r="O1259" s="10">
        <f t="shared" si="99"/>
        <v>8.8641666666953824</v>
      </c>
    </row>
    <row r="1260" spans="1:15">
      <c r="A1260" s="1" t="s">
        <v>1365</v>
      </c>
      <c r="B1260" s="23">
        <v>45052.811111111114</v>
      </c>
      <c r="C1260" s="1" t="s">
        <v>25</v>
      </c>
      <c r="D1260" s="1" t="s">
        <v>17</v>
      </c>
      <c r="E1260" s="1" t="s">
        <v>18</v>
      </c>
      <c r="F1260" s="1" t="s">
        <v>317</v>
      </c>
      <c r="G1260" s="1">
        <v>542</v>
      </c>
      <c r="H1260" s="23">
        <v>45053.934166666666</v>
      </c>
      <c r="I1260" s="1" t="b">
        <v>0</v>
      </c>
      <c r="K1260" s="10">
        <f t="shared" si="97"/>
        <v>26.953333333251067</v>
      </c>
      <c r="L1260" s="1" t="str">
        <f t="shared" si="98"/>
        <v>OK</v>
      </c>
      <c r="M1260" s="1">
        <f t="shared" si="95"/>
        <v>1</v>
      </c>
      <c r="N1260" s="1">
        <f t="shared" si="96"/>
        <v>542</v>
      </c>
      <c r="O1260" s="10">
        <f t="shared" si="99"/>
        <v>26.953333333251067</v>
      </c>
    </row>
    <row r="1261" spans="1:15">
      <c r="A1261" s="1" t="s">
        <v>1366</v>
      </c>
      <c r="B1261" s="23">
        <v>45052.847916666666</v>
      </c>
      <c r="C1261" s="1" t="s">
        <v>43</v>
      </c>
      <c r="D1261" s="1" t="s">
        <v>12</v>
      </c>
      <c r="E1261" s="1" t="s">
        <v>33</v>
      </c>
      <c r="F1261" s="1" t="s">
        <v>274</v>
      </c>
      <c r="G1261" s="1">
        <v>1313</v>
      </c>
      <c r="H1261" s="23">
        <v>45053.827337962961</v>
      </c>
      <c r="I1261" s="1" t="b">
        <v>1</v>
      </c>
      <c r="K1261" s="10">
        <f t="shared" si="97"/>
        <v>23.506111111084465</v>
      </c>
      <c r="L1261" s="1" t="str">
        <f t="shared" si="98"/>
        <v>OK</v>
      </c>
      <c r="M1261" s="1">
        <f t="shared" si="95"/>
        <v>1</v>
      </c>
      <c r="N1261" s="1">
        <f t="shared" si="96"/>
        <v>1313</v>
      </c>
      <c r="O1261" s="10">
        <f t="shared" si="99"/>
        <v>23.506111111084465</v>
      </c>
    </row>
    <row r="1262" spans="1:15">
      <c r="A1262" s="1" t="s">
        <v>1367</v>
      </c>
      <c r="B1262" s="23">
        <v>45052.959722222222</v>
      </c>
      <c r="C1262" s="1" t="s">
        <v>11</v>
      </c>
      <c r="D1262" s="1" t="s">
        <v>17</v>
      </c>
      <c r="E1262" s="1" t="s">
        <v>18</v>
      </c>
      <c r="F1262" s="1" t="s">
        <v>110</v>
      </c>
      <c r="G1262" s="1">
        <v>41</v>
      </c>
      <c r="H1262" s="23">
        <v>45056.843587962961</v>
      </c>
      <c r="I1262" s="1" t="b">
        <v>0</v>
      </c>
      <c r="J1262" s="1">
        <v>4</v>
      </c>
      <c r="K1262" s="10">
        <f t="shared" si="97"/>
        <v>93.212777777749579</v>
      </c>
      <c r="L1262" s="1" t="str">
        <f t="shared" si="98"/>
        <v>OK</v>
      </c>
      <c r="M1262" s="1">
        <f t="shared" si="95"/>
        <v>1</v>
      </c>
      <c r="N1262" s="1">
        <f t="shared" si="96"/>
        <v>41</v>
      </c>
      <c r="O1262" s="10">
        <f t="shared" si="99"/>
        <v>93.212777777749579</v>
      </c>
    </row>
    <row r="1263" spans="1:15">
      <c r="A1263" s="1" t="s">
        <v>1368</v>
      </c>
      <c r="B1263" s="23">
        <v>45053.279166666667</v>
      </c>
      <c r="C1263" s="1" t="s">
        <v>16</v>
      </c>
      <c r="D1263" s="1" t="s">
        <v>17</v>
      </c>
      <c r="E1263" s="1" t="s">
        <v>18</v>
      </c>
      <c r="F1263" s="1" t="s">
        <v>226</v>
      </c>
      <c r="G1263" s="1">
        <v>146</v>
      </c>
      <c r="H1263" s="23">
        <v>45054.291689814818</v>
      </c>
      <c r="I1263" s="1" t="b">
        <v>0</v>
      </c>
      <c r="J1263" s="1">
        <v>5</v>
      </c>
      <c r="K1263" s="10">
        <f t="shared" si="97"/>
        <v>24.300555555615574</v>
      </c>
      <c r="L1263" s="1" t="str">
        <f t="shared" si="98"/>
        <v>OK</v>
      </c>
      <c r="M1263" s="1">
        <f t="shared" si="95"/>
        <v>1</v>
      </c>
      <c r="N1263" s="1">
        <f t="shared" si="96"/>
        <v>146</v>
      </c>
      <c r="O1263" s="10">
        <f t="shared" si="99"/>
        <v>24.300555555615574</v>
      </c>
    </row>
    <row r="1264" spans="1:15">
      <c r="A1264" s="1" t="s">
        <v>1369</v>
      </c>
      <c r="B1264" s="23">
        <v>45053.402083333334</v>
      </c>
      <c r="C1264" s="1" t="s">
        <v>11</v>
      </c>
      <c r="D1264" s="1" t="s">
        <v>17</v>
      </c>
      <c r="E1264" s="1" t="s">
        <v>18</v>
      </c>
      <c r="F1264" s="1" t="s">
        <v>54</v>
      </c>
      <c r="G1264" s="1">
        <v>84</v>
      </c>
      <c r="H1264" s="23">
        <v>45064.33148148148</v>
      </c>
      <c r="I1264" s="1" t="b">
        <v>0</v>
      </c>
      <c r="K1264" s="10">
        <f t="shared" si="97"/>
        <v>262.30555555550382</v>
      </c>
      <c r="L1264" s="1" t="str">
        <f t="shared" si="98"/>
        <v>OK</v>
      </c>
      <c r="M1264" s="1">
        <f t="shared" si="95"/>
        <v>1</v>
      </c>
      <c r="N1264" s="1">
        <f t="shared" si="96"/>
        <v>84</v>
      </c>
      <c r="O1264" s="10">
        <f t="shared" si="99"/>
        <v>262.30555555550382</v>
      </c>
    </row>
    <row r="1265" spans="1:15">
      <c r="A1265" s="1" t="s">
        <v>1370</v>
      </c>
      <c r="B1265" s="23">
        <v>45053.475694444445</v>
      </c>
      <c r="C1265" s="1" t="s">
        <v>11</v>
      </c>
      <c r="D1265" s="1" t="s">
        <v>17</v>
      </c>
      <c r="E1265" s="1" t="s">
        <v>18</v>
      </c>
      <c r="F1265" s="1" t="s">
        <v>206</v>
      </c>
      <c r="G1265" s="1">
        <v>92</v>
      </c>
      <c r="H1265" s="23">
        <v>45053.9919212963</v>
      </c>
      <c r="I1265" s="1" t="b">
        <v>0</v>
      </c>
      <c r="K1265" s="10">
        <f t="shared" si="97"/>
        <v>12.38944444450317</v>
      </c>
      <c r="L1265" s="1" t="str">
        <f t="shared" si="98"/>
        <v>OK</v>
      </c>
      <c r="M1265" s="1">
        <f t="shared" si="95"/>
        <v>1</v>
      </c>
      <c r="N1265" s="1">
        <f t="shared" si="96"/>
        <v>92</v>
      </c>
      <c r="O1265" s="10">
        <f t="shared" si="99"/>
        <v>12.38944444450317</v>
      </c>
    </row>
    <row r="1266" spans="1:15">
      <c r="A1266" s="1" t="s">
        <v>1371</v>
      </c>
      <c r="B1266" s="23">
        <v>45053.619444444441</v>
      </c>
      <c r="C1266" s="1" t="s">
        <v>25</v>
      </c>
      <c r="D1266" s="1" t="s">
        <v>21</v>
      </c>
      <c r="E1266" s="1" t="s">
        <v>33</v>
      </c>
      <c r="F1266" s="1" t="s">
        <v>78</v>
      </c>
      <c r="G1266" s="1">
        <v>1693</v>
      </c>
      <c r="H1266" s="23">
        <v>45054.979201388887</v>
      </c>
      <c r="I1266" s="1" t="b">
        <v>0</v>
      </c>
      <c r="K1266" s="10">
        <f t="shared" si="97"/>
        <v>32.634166666714009</v>
      </c>
      <c r="L1266" s="1" t="str">
        <f t="shared" si="98"/>
        <v>OK</v>
      </c>
      <c r="M1266" s="1">
        <f t="shared" si="95"/>
        <v>1</v>
      </c>
      <c r="N1266" s="1">
        <f t="shared" si="96"/>
        <v>1693</v>
      </c>
      <c r="O1266" s="10">
        <f t="shared" si="99"/>
        <v>32.634166666714009</v>
      </c>
    </row>
    <row r="1267" spans="1:15">
      <c r="A1267" s="1" t="s">
        <v>1372</v>
      </c>
      <c r="B1267" s="23">
        <v>45053.655555555553</v>
      </c>
      <c r="C1267" s="1" t="s">
        <v>25</v>
      </c>
      <c r="D1267" s="1" t="s">
        <v>21</v>
      </c>
      <c r="E1267" s="1" t="s">
        <v>13</v>
      </c>
      <c r="F1267" s="1" t="s">
        <v>84</v>
      </c>
      <c r="G1267" s="1">
        <v>4</v>
      </c>
      <c r="H1267" s="23">
        <v>45054.501574074071</v>
      </c>
      <c r="I1267" s="1" t="b">
        <v>0</v>
      </c>
      <c r="J1267" s="1">
        <v>3</v>
      </c>
      <c r="K1267" s="10">
        <f t="shared" si="97"/>
        <v>20.304444444424007</v>
      </c>
      <c r="L1267" s="1" t="str">
        <f t="shared" si="98"/>
        <v>OK</v>
      </c>
      <c r="M1267" s="1">
        <f t="shared" si="95"/>
        <v>1</v>
      </c>
      <c r="N1267" s="1">
        <f t="shared" si="96"/>
        <v>4</v>
      </c>
      <c r="O1267" s="10">
        <f t="shared" si="99"/>
        <v>20.304444444424007</v>
      </c>
    </row>
    <row r="1268" spans="1:15">
      <c r="A1268" s="1" t="s">
        <v>1373</v>
      </c>
      <c r="B1268" s="23">
        <v>45053.697916666664</v>
      </c>
      <c r="C1268" s="1" t="s">
        <v>43</v>
      </c>
      <c r="D1268" s="1" t="s">
        <v>17</v>
      </c>
      <c r="E1268" s="1" t="s">
        <v>13</v>
      </c>
      <c r="F1268" s="1" t="s">
        <v>14</v>
      </c>
      <c r="G1268" s="1">
        <v>24</v>
      </c>
      <c r="H1268" s="23">
        <v>45053.967997685184</v>
      </c>
      <c r="I1268" s="1" t="b">
        <v>0</v>
      </c>
      <c r="J1268" s="1">
        <v>4</v>
      </c>
      <c r="K1268" s="10">
        <f t="shared" si="97"/>
        <v>6.4819444444729015</v>
      </c>
      <c r="L1268" s="1" t="str">
        <f t="shared" si="98"/>
        <v>OK</v>
      </c>
      <c r="M1268" s="1">
        <f t="shared" si="95"/>
        <v>1</v>
      </c>
      <c r="N1268" s="1">
        <f t="shared" si="96"/>
        <v>24</v>
      </c>
      <c r="O1268" s="10">
        <f t="shared" si="99"/>
        <v>6.4819444444729015</v>
      </c>
    </row>
    <row r="1269" spans="1:15">
      <c r="A1269" s="1" t="s">
        <v>1374</v>
      </c>
      <c r="B1269" s="23">
        <v>45053.775694444441</v>
      </c>
      <c r="C1269" s="1" t="s">
        <v>16</v>
      </c>
      <c r="D1269" s="1" t="s">
        <v>59</v>
      </c>
      <c r="E1269" s="1" t="s">
        <v>18</v>
      </c>
      <c r="F1269" s="1" t="s">
        <v>44</v>
      </c>
      <c r="G1269" s="1">
        <v>81</v>
      </c>
      <c r="H1269" s="23">
        <v>45055.036956018521</v>
      </c>
      <c r="I1269" s="1" t="b">
        <v>0</v>
      </c>
      <c r="K1269" s="10">
        <f t="shared" si="97"/>
        <v>30.270277777919546</v>
      </c>
      <c r="L1269" s="1" t="str">
        <f t="shared" si="98"/>
        <v>OK</v>
      </c>
      <c r="M1269" s="1">
        <f t="shared" si="95"/>
        <v>1</v>
      </c>
      <c r="N1269" s="1">
        <f t="shared" si="96"/>
        <v>81</v>
      </c>
      <c r="O1269" s="10">
        <f t="shared" si="99"/>
        <v>30.270277777919546</v>
      </c>
    </row>
    <row r="1270" spans="1:15">
      <c r="A1270" s="1" t="s">
        <v>1375</v>
      </c>
      <c r="B1270" s="23">
        <v>45053.784722222219</v>
      </c>
      <c r="C1270" s="1" t="s">
        <v>16</v>
      </c>
      <c r="D1270" s="1" t="s">
        <v>17</v>
      </c>
      <c r="E1270" s="1" t="s">
        <v>18</v>
      </c>
      <c r="F1270" s="1" t="s">
        <v>23</v>
      </c>
      <c r="G1270" s="1">
        <v>186</v>
      </c>
      <c r="H1270" s="23">
        <v>45053.954768518517</v>
      </c>
      <c r="I1270" s="1" t="b">
        <v>0</v>
      </c>
      <c r="K1270" s="10">
        <f t="shared" si="97"/>
        <v>4.0811111111543141</v>
      </c>
      <c r="L1270" s="1" t="str">
        <f t="shared" si="98"/>
        <v>OK</v>
      </c>
      <c r="M1270" s="1">
        <f t="shared" si="95"/>
        <v>1</v>
      </c>
      <c r="N1270" s="1">
        <f t="shared" si="96"/>
        <v>186</v>
      </c>
      <c r="O1270" s="10">
        <f t="shared" si="99"/>
        <v>4.0811111111543141</v>
      </c>
    </row>
    <row r="1271" spans="1:15">
      <c r="A1271" s="1" t="s">
        <v>1376</v>
      </c>
      <c r="B1271" s="23">
        <v>45053.838194444441</v>
      </c>
      <c r="C1271" s="1" t="s">
        <v>16</v>
      </c>
      <c r="D1271" s="1" t="s">
        <v>21</v>
      </c>
      <c r="E1271" s="1" t="s">
        <v>18</v>
      </c>
      <c r="F1271" s="1" t="s">
        <v>108</v>
      </c>
      <c r="H1271" s="23">
        <v>45054.139351851853</v>
      </c>
      <c r="I1271" s="1" t="b">
        <v>0</v>
      </c>
      <c r="K1271" s="10">
        <f t="shared" si="97"/>
        <v>7.2277777778799646</v>
      </c>
      <c r="L1271" s="1" t="str">
        <f t="shared" si="98"/>
        <v>Cannot check</v>
      </c>
      <c r="M1271" s="1">
        <f t="shared" si="95"/>
        <v>1</v>
      </c>
      <c r="N1271" s="1" t="str">
        <f t="shared" si="96"/>
        <v/>
      </c>
      <c r="O1271" s="10">
        <f t="shared" si="99"/>
        <v>7.2277777778799646</v>
      </c>
    </row>
    <row r="1272" spans="1:15">
      <c r="A1272" s="1" t="s">
        <v>1377</v>
      </c>
      <c r="B1272" s="23">
        <v>45053.842361111114</v>
      </c>
      <c r="C1272" s="1" t="s">
        <v>25</v>
      </c>
      <c r="D1272" s="1" t="s">
        <v>26</v>
      </c>
      <c r="E1272" s="1" t="s">
        <v>13</v>
      </c>
      <c r="F1272" s="1" t="s">
        <v>84</v>
      </c>
      <c r="G1272" s="1">
        <v>456</v>
      </c>
      <c r="H1272" s="23">
        <v>45054.409143518518</v>
      </c>
      <c r="I1272" s="1" t="b">
        <v>1</v>
      </c>
      <c r="K1272" s="10">
        <f t="shared" si="97"/>
        <v>13.602777777705342</v>
      </c>
      <c r="L1272" s="1" t="str">
        <f t="shared" si="98"/>
        <v>OK</v>
      </c>
      <c r="M1272" s="1">
        <f t="shared" si="95"/>
        <v>1</v>
      </c>
      <c r="N1272" s="1">
        <f t="shared" si="96"/>
        <v>456</v>
      </c>
      <c r="O1272" s="10">
        <f t="shared" si="99"/>
        <v>13.602777777705342</v>
      </c>
    </row>
    <row r="1273" spans="1:15">
      <c r="A1273" s="1" t="s">
        <v>1378</v>
      </c>
      <c r="B1273" s="23">
        <v>45053.888194444444</v>
      </c>
      <c r="C1273" s="1" t="s">
        <v>16</v>
      </c>
      <c r="D1273" s="1" t="s">
        <v>21</v>
      </c>
      <c r="E1273" s="1" t="s">
        <v>33</v>
      </c>
      <c r="F1273" s="1" t="s">
        <v>57</v>
      </c>
      <c r="G1273" s="1">
        <v>225</v>
      </c>
      <c r="H1273" s="23">
        <v>45055.991168981483</v>
      </c>
      <c r="I1273" s="1" t="b">
        <v>0</v>
      </c>
      <c r="K1273" s="10">
        <f t="shared" si="97"/>
        <v>50.471388888952788</v>
      </c>
      <c r="L1273" s="1" t="str">
        <f t="shared" si="98"/>
        <v>OK</v>
      </c>
      <c r="M1273" s="1">
        <f t="shared" si="95"/>
        <v>1</v>
      </c>
      <c r="N1273" s="1">
        <f t="shared" si="96"/>
        <v>225</v>
      </c>
      <c r="O1273" s="10">
        <f t="shared" si="99"/>
        <v>50.471388888952788</v>
      </c>
    </row>
    <row r="1274" spans="1:15">
      <c r="A1274" s="1" t="s">
        <v>1379</v>
      </c>
      <c r="B1274" s="23">
        <v>45054.04583333333</v>
      </c>
      <c r="C1274" s="1" t="s">
        <v>11</v>
      </c>
      <c r="D1274" s="1" t="s">
        <v>21</v>
      </c>
      <c r="E1274" s="1" t="s">
        <v>18</v>
      </c>
      <c r="F1274" s="1" t="s">
        <v>102</v>
      </c>
      <c r="G1274" s="1">
        <v>139</v>
      </c>
      <c r="H1274" s="23">
        <v>45054.316805555558</v>
      </c>
      <c r="I1274" s="1" t="b">
        <v>0</v>
      </c>
      <c r="K1274" s="10">
        <f t="shared" si="97"/>
        <v>6.5033333334722556</v>
      </c>
      <c r="L1274" s="1" t="str">
        <f t="shared" si="98"/>
        <v>OK</v>
      </c>
      <c r="M1274" s="1">
        <f t="shared" si="95"/>
        <v>1</v>
      </c>
      <c r="N1274" s="1">
        <f t="shared" si="96"/>
        <v>139</v>
      </c>
      <c r="O1274" s="10">
        <f t="shared" si="99"/>
        <v>6.5033333334722556</v>
      </c>
    </row>
    <row r="1275" spans="1:15">
      <c r="A1275" s="1" t="s">
        <v>1380</v>
      </c>
      <c r="B1275" s="23">
        <v>45054.051388888889</v>
      </c>
      <c r="C1275" s="1" t="s">
        <v>11</v>
      </c>
      <c r="D1275" s="1" t="s">
        <v>17</v>
      </c>
      <c r="E1275" s="1" t="s">
        <v>18</v>
      </c>
      <c r="F1275" s="1" t="s">
        <v>98</v>
      </c>
      <c r="G1275" s="1">
        <v>211</v>
      </c>
      <c r="I1275" s="1" t="b">
        <v>0</v>
      </c>
      <c r="K1275" s="10" t="str">
        <f t="shared" si="97"/>
        <v/>
      </c>
      <c r="L1275" s="1" t="str">
        <f t="shared" si="98"/>
        <v>Cannot check</v>
      </c>
      <c r="M1275" s="1">
        <f t="shared" si="95"/>
        <v>1</v>
      </c>
      <c r="N1275" s="1">
        <f t="shared" si="96"/>
        <v>211</v>
      </c>
      <c r="O1275" s="10" t="str">
        <f t="shared" si="99"/>
        <v/>
      </c>
    </row>
    <row r="1276" spans="1:15">
      <c r="A1276" s="1" t="s">
        <v>1381</v>
      </c>
      <c r="B1276" s="23">
        <v>45054.078472222223</v>
      </c>
      <c r="C1276" s="1" t="s">
        <v>16</v>
      </c>
      <c r="D1276" s="1" t="s">
        <v>17</v>
      </c>
      <c r="E1276" s="1" t="s">
        <v>22</v>
      </c>
      <c r="F1276" s="1" t="s">
        <v>118</v>
      </c>
      <c r="G1276" s="1">
        <v>13</v>
      </c>
      <c r="H1276" s="23">
        <v>45058.355023148149</v>
      </c>
      <c r="I1276" s="1" t="b">
        <v>0</v>
      </c>
      <c r="K1276" s="10">
        <f t="shared" si="97"/>
        <v>102.63722222222714</v>
      </c>
      <c r="L1276" s="1" t="str">
        <f t="shared" si="98"/>
        <v>OK</v>
      </c>
      <c r="M1276" s="1">
        <f t="shared" si="95"/>
        <v>1</v>
      </c>
      <c r="N1276" s="1">
        <f t="shared" si="96"/>
        <v>13</v>
      </c>
      <c r="O1276" s="10">
        <f t="shared" si="99"/>
        <v>102.63722222222714</v>
      </c>
    </row>
    <row r="1277" spans="1:15">
      <c r="A1277" s="1" t="s">
        <v>1382</v>
      </c>
      <c r="B1277" s="23">
        <v>45054.179861111108</v>
      </c>
      <c r="C1277" s="1" t="s">
        <v>25</v>
      </c>
      <c r="D1277" s="1" t="s">
        <v>21</v>
      </c>
      <c r="E1277" s="1" t="s">
        <v>13</v>
      </c>
      <c r="F1277" s="1" t="s">
        <v>86</v>
      </c>
      <c r="G1277" s="1">
        <v>110</v>
      </c>
      <c r="H1277" s="23">
        <v>45054.415000000001</v>
      </c>
      <c r="I1277" s="1" t="b">
        <v>0</v>
      </c>
      <c r="J1277" s="1">
        <v>4</v>
      </c>
      <c r="K1277" s="10">
        <f t="shared" si="97"/>
        <v>5.6433333334280178</v>
      </c>
      <c r="L1277" s="1" t="str">
        <f t="shared" si="98"/>
        <v>OK</v>
      </c>
      <c r="M1277" s="1">
        <f t="shared" si="95"/>
        <v>1</v>
      </c>
      <c r="N1277" s="1">
        <f t="shared" si="96"/>
        <v>110</v>
      </c>
      <c r="O1277" s="10">
        <f t="shared" si="99"/>
        <v>5.6433333334280178</v>
      </c>
    </row>
    <row r="1278" spans="1:15">
      <c r="A1278" s="1" t="s">
        <v>1383</v>
      </c>
      <c r="B1278" s="23">
        <v>45054.408333333333</v>
      </c>
      <c r="C1278" s="1" t="s">
        <v>11</v>
      </c>
      <c r="D1278" s="1" t="s">
        <v>17</v>
      </c>
      <c r="E1278" s="1" t="s">
        <v>22</v>
      </c>
      <c r="F1278" s="1" t="s">
        <v>302</v>
      </c>
      <c r="G1278" s="1">
        <v>64</v>
      </c>
      <c r="I1278" s="1" t="b">
        <v>0</v>
      </c>
      <c r="K1278" s="10" t="str">
        <f t="shared" si="97"/>
        <v/>
      </c>
      <c r="L1278" s="1" t="str">
        <f t="shared" si="98"/>
        <v>Cannot check</v>
      </c>
      <c r="M1278" s="1">
        <f t="shared" si="95"/>
        <v>1</v>
      </c>
      <c r="N1278" s="1">
        <f t="shared" si="96"/>
        <v>64</v>
      </c>
      <c r="O1278" s="10" t="str">
        <f t="shared" si="99"/>
        <v/>
      </c>
    </row>
    <row r="1279" spans="1:15">
      <c r="A1279" s="1" t="s">
        <v>1384</v>
      </c>
      <c r="B1279" s="23">
        <v>45054.531944444447</v>
      </c>
      <c r="C1279" s="1" t="s">
        <v>25</v>
      </c>
      <c r="D1279" s="1" t="s">
        <v>21</v>
      </c>
      <c r="E1279" s="1" t="s">
        <v>22</v>
      </c>
      <c r="F1279" s="1" t="s">
        <v>54</v>
      </c>
      <c r="G1279" s="1">
        <v>19</v>
      </c>
      <c r="H1279" s="23">
        <v>45054.795370370368</v>
      </c>
      <c r="I1279" s="1" t="b">
        <v>0</v>
      </c>
      <c r="J1279" s="1">
        <v>5</v>
      </c>
      <c r="K1279" s="10">
        <f t="shared" si="97"/>
        <v>6.3222222221083939</v>
      </c>
      <c r="L1279" s="1" t="str">
        <f t="shared" si="98"/>
        <v>OK</v>
      </c>
      <c r="M1279" s="1">
        <f t="shared" si="95"/>
        <v>1</v>
      </c>
      <c r="N1279" s="1">
        <f t="shared" si="96"/>
        <v>19</v>
      </c>
      <c r="O1279" s="10">
        <f t="shared" si="99"/>
        <v>6.3222222221083939</v>
      </c>
    </row>
    <row r="1280" spans="1:15">
      <c r="A1280" s="1" t="s">
        <v>1385</v>
      </c>
      <c r="B1280" s="23">
        <v>45054.533333333333</v>
      </c>
      <c r="C1280" s="1" t="s">
        <v>16</v>
      </c>
      <c r="D1280" s="1" t="s">
        <v>17</v>
      </c>
      <c r="E1280" s="1" t="s">
        <v>22</v>
      </c>
      <c r="F1280" s="1" t="s">
        <v>96</v>
      </c>
      <c r="G1280" s="1">
        <v>6</v>
      </c>
      <c r="H1280" s="23">
        <v>45054.787905092591</v>
      </c>
      <c r="I1280" s="1" t="b">
        <v>0</v>
      </c>
      <c r="K1280" s="10">
        <f t="shared" si="97"/>
        <v>6.1097222222015262</v>
      </c>
      <c r="L1280" s="1" t="str">
        <f t="shared" si="98"/>
        <v>OK</v>
      </c>
      <c r="M1280" s="1">
        <f t="shared" si="95"/>
        <v>1</v>
      </c>
      <c r="N1280" s="1">
        <f t="shared" si="96"/>
        <v>6</v>
      </c>
      <c r="O1280" s="10">
        <f t="shared" si="99"/>
        <v>6.1097222222015262</v>
      </c>
    </row>
    <row r="1281" spans="1:15">
      <c r="A1281" s="1" t="s">
        <v>1386</v>
      </c>
      <c r="B1281" s="23">
        <v>45054.543749999997</v>
      </c>
      <c r="C1281" s="1" t="s">
        <v>25</v>
      </c>
      <c r="D1281" s="1" t="s">
        <v>12</v>
      </c>
      <c r="E1281" s="1" t="s">
        <v>18</v>
      </c>
      <c r="F1281" s="1" t="s">
        <v>88</v>
      </c>
      <c r="G1281" s="1">
        <v>39</v>
      </c>
      <c r="H1281" s="23">
        <v>45055.0000462963</v>
      </c>
      <c r="I1281" s="1" t="b">
        <v>0</v>
      </c>
      <c r="K1281" s="10">
        <f t="shared" si="97"/>
        <v>10.951111111266073</v>
      </c>
      <c r="L1281" s="1" t="str">
        <f t="shared" si="98"/>
        <v>OK</v>
      </c>
      <c r="M1281" s="1">
        <f t="shared" si="95"/>
        <v>1</v>
      </c>
      <c r="N1281" s="1">
        <f t="shared" si="96"/>
        <v>39</v>
      </c>
      <c r="O1281" s="10">
        <f t="shared" si="99"/>
        <v>10.951111111266073</v>
      </c>
    </row>
    <row r="1282" spans="1:15">
      <c r="A1282" s="1" t="s">
        <v>1387</v>
      </c>
      <c r="B1282" s="23">
        <v>45054.804166666669</v>
      </c>
      <c r="C1282" s="1" t="s">
        <v>11</v>
      </c>
      <c r="D1282" s="1" t="s">
        <v>17</v>
      </c>
      <c r="E1282" s="1" t="s">
        <v>33</v>
      </c>
      <c r="F1282" s="1" t="s">
        <v>66</v>
      </c>
      <c r="G1282" s="1">
        <v>194</v>
      </c>
      <c r="H1282" s="23">
        <v>45070.172303240739</v>
      </c>
      <c r="I1282" s="1" t="b">
        <v>0</v>
      </c>
      <c r="J1282" s="1">
        <v>5</v>
      </c>
      <c r="K1282" s="10">
        <f t="shared" si="97"/>
        <v>368.83527777768904</v>
      </c>
      <c r="L1282" s="1" t="str">
        <f t="shared" si="98"/>
        <v>OK</v>
      </c>
      <c r="M1282" s="1">
        <f t="shared" ref="M1282:M1345" si="100">COUNTIF($A$2:$A$4001,A1282)</f>
        <v>1</v>
      </c>
      <c r="N1282" s="1">
        <f t="shared" ref="N1282:N1345" si="101">IF(OR(L1282="Review",G1282=""),"",G1282)</f>
        <v>194</v>
      </c>
      <c r="O1282" s="10">
        <f t="shared" si="99"/>
        <v>368.83527777768904</v>
      </c>
    </row>
    <row r="1283" spans="1:15">
      <c r="A1283" s="1" t="s">
        <v>1388</v>
      </c>
      <c r="B1283" s="23">
        <v>45054.804861111108</v>
      </c>
      <c r="C1283" s="1" t="s">
        <v>11</v>
      </c>
      <c r="D1283" s="1" t="s">
        <v>17</v>
      </c>
      <c r="E1283" s="1" t="s">
        <v>33</v>
      </c>
      <c r="F1283" s="1" t="s">
        <v>201</v>
      </c>
      <c r="G1283" s="1">
        <v>143</v>
      </c>
      <c r="H1283" s="23">
        <v>45056.757256944446</v>
      </c>
      <c r="I1283" s="1" t="b">
        <v>0</v>
      </c>
      <c r="K1283" s="10">
        <f t="shared" ref="K1283:K1346" si="102">IF(H1283="","",(H1283-B1283)*24)</f>
        <v>46.857500000100117</v>
      </c>
      <c r="L1283" s="1" t="str">
        <f t="shared" ref="L1283:L1346" si="103">IF(OR(G1283="",K1283=""),"Cannot check",IF(G1283&gt;K1283*60,"Review","OK"))</f>
        <v>OK</v>
      </c>
      <c r="M1283" s="1">
        <f t="shared" si="100"/>
        <v>1</v>
      </c>
      <c r="N1283" s="1">
        <f t="shared" si="101"/>
        <v>143</v>
      </c>
      <c r="O1283" s="10">
        <f t="shared" ref="O1283:O1346" si="104">IF(OR(L1283="Review",K1283=""),"",K1283)</f>
        <v>46.857500000100117</v>
      </c>
    </row>
    <row r="1284" spans="1:15">
      <c r="A1284" s="1" t="s">
        <v>1389</v>
      </c>
      <c r="B1284" s="23">
        <v>45054.86041666667</v>
      </c>
      <c r="C1284" s="1" t="s">
        <v>16</v>
      </c>
      <c r="D1284" s="1" t="s">
        <v>21</v>
      </c>
      <c r="E1284" s="1" t="s">
        <v>18</v>
      </c>
      <c r="F1284" s="1" t="s">
        <v>254</v>
      </c>
      <c r="G1284" s="1">
        <v>290</v>
      </c>
      <c r="H1284" s="23">
        <v>45056.702199074076</v>
      </c>
      <c r="I1284" s="1" t="b">
        <v>1</v>
      </c>
      <c r="K1284" s="10">
        <f t="shared" si="102"/>
        <v>44.202777777740266</v>
      </c>
      <c r="L1284" s="1" t="str">
        <f t="shared" si="103"/>
        <v>OK</v>
      </c>
      <c r="M1284" s="1">
        <f t="shared" si="100"/>
        <v>1</v>
      </c>
      <c r="N1284" s="1">
        <f t="shared" si="101"/>
        <v>290</v>
      </c>
      <c r="O1284" s="10">
        <f t="shared" si="104"/>
        <v>44.202777777740266</v>
      </c>
    </row>
    <row r="1285" spans="1:15">
      <c r="A1285" s="1" t="s">
        <v>1390</v>
      </c>
      <c r="B1285" s="23">
        <v>45054.907638888886</v>
      </c>
      <c r="C1285" s="1" t="s">
        <v>16</v>
      </c>
      <c r="D1285" s="1" t="s">
        <v>17</v>
      </c>
      <c r="E1285" s="1" t="s">
        <v>13</v>
      </c>
      <c r="F1285" s="1" t="s">
        <v>159</v>
      </c>
      <c r="G1285" s="1">
        <v>37</v>
      </c>
      <c r="I1285" s="1" t="b">
        <v>0</v>
      </c>
      <c r="K1285" s="10" t="str">
        <f t="shared" si="102"/>
        <v/>
      </c>
      <c r="L1285" s="1" t="str">
        <f t="shared" si="103"/>
        <v>Cannot check</v>
      </c>
      <c r="M1285" s="1">
        <f t="shared" si="100"/>
        <v>1</v>
      </c>
      <c r="N1285" s="1">
        <f t="shared" si="101"/>
        <v>37</v>
      </c>
      <c r="O1285" s="10" t="str">
        <f t="shared" si="104"/>
        <v/>
      </c>
    </row>
    <row r="1286" spans="1:15">
      <c r="A1286" s="1" t="s">
        <v>1391</v>
      </c>
      <c r="B1286" s="23">
        <v>45055.310416666667</v>
      </c>
      <c r="C1286" s="1" t="s">
        <v>16</v>
      </c>
      <c r="D1286" s="1" t="s">
        <v>21</v>
      </c>
      <c r="E1286" s="1" t="s">
        <v>13</v>
      </c>
      <c r="F1286" s="1" t="s">
        <v>175</v>
      </c>
      <c r="G1286" s="1">
        <v>27</v>
      </c>
      <c r="H1286" s="23">
        <v>45055.73574074074</v>
      </c>
      <c r="I1286" s="1" t="b">
        <v>0</v>
      </c>
      <c r="K1286" s="10">
        <f t="shared" si="102"/>
        <v>10.207777777744923</v>
      </c>
      <c r="L1286" s="1" t="str">
        <f t="shared" si="103"/>
        <v>OK</v>
      </c>
      <c r="M1286" s="1">
        <f t="shared" si="100"/>
        <v>1</v>
      </c>
      <c r="N1286" s="1">
        <f t="shared" si="101"/>
        <v>27</v>
      </c>
      <c r="O1286" s="10">
        <f t="shared" si="104"/>
        <v>10.207777777744923</v>
      </c>
    </row>
    <row r="1287" spans="1:15">
      <c r="A1287" s="1" t="s">
        <v>1392</v>
      </c>
      <c r="B1287" s="23">
        <v>45055.362500000003</v>
      </c>
      <c r="C1287" s="1" t="s">
        <v>43</v>
      </c>
      <c r="D1287" s="1" t="s">
        <v>59</v>
      </c>
      <c r="E1287" s="1" t="s">
        <v>18</v>
      </c>
      <c r="F1287" s="1" t="s">
        <v>367</v>
      </c>
      <c r="G1287" s="1">
        <v>548</v>
      </c>
      <c r="H1287" s="23">
        <v>45057.826053240744</v>
      </c>
      <c r="I1287" s="1" t="b">
        <v>0</v>
      </c>
      <c r="K1287" s="10">
        <f t="shared" si="102"/>
        <v>59.125277777784504</v>
      </c>
      <c r="L1287" s="1" t="str">
        <f t="shared" si="103"/>
        <v>OK</v>
      </c>
      <c r="M1287" s="1">
        <f t="shared" si="100"/>
        <v>1</v>
      </c>
      <c r="N1287" s="1">
        <f t="shared" si="101"/>
        <v>548</v>
      </c>
      <c r="O1287" s="10">
        <f t="shared" si="104"/>
        <v>59.125277777784504</v>
      </c>
    </row>
    <row r="1288" spans="1:15">
      <c r="A1288" s="1" t="s">
        <v>1393</v>
      </c>
      <c r="B1288" s="23">
        <v>45055.368750000001</v>
      </c>
      <c r="C1288" s="1" t="s">
        <v>43</v>
      </c>
      <c r="D1288" s="1" t="s">
        <v>12</v>
      </c>
      <c r="E1288" s="1" t="s">
        <v>13</v>
      </c>
      <c r="F1288" s="1" t="s">
        <v>148</v>
      </c>
      <c r="H1288" s="23">
        <v>45055.785879629628</v>
      </c>
      <c r="I1288" s="1" t="b">
        <v>0</v>
      </c>
      <c r="K1288" s="10">
        <f t="shared" si="102"/>
        <v>10.011111111030914</v>
      </c>
      <c r="L1288" s="1" t="str">
        <f t="shared" si="103"/>
        <v>Cannot check</v>
      </c>
      <c r="M1288" s="1">
        <f t="shared" si="100"/>
        <v>1</v>
      </c>
      <c r="N1288" s="1" t="str">
        <f t="shared" si="101"/>
        <v/>
      </c>
      <c r="O1288" s="10">
        <f t="shared" si="104"/>
        <v>10.011111111030914</v>
      </c>
    </row>
    <row r="1289" spans="1:15">
      <c r="A1289" s="1" t="s">
        <v>1394</v>
      </c>
      <c r="B1289" s="23">
        <v>45055.463888888888</v>
      </c>
      <c r="C1289" s="1" t="s">
        <v>16</v>
      </c>
      <c r="D1289" s="1" t="s">
        <v>21</v>
      </c>
      <c r="E1289" s="1" t="s">
        <v>18</v>
      </c>
      <c r="F1289" s="1" t="s">
        <v>44</v>
      </c>
      <c r="G1289" s="1">
        <v>70</v>
      </c>
      <c r="H1289" s="23">
        <v>45056.434548611112</v>
      </c>
      <c r="I1289" s="1" t="b">
        <v>0</v>
      </c>
      <c r="K1289" s="10">
        <f t="shared" si="102"/>
        <v>23.295833333395422</v>
      </c>
      <c r="L1289" s="1" t="str">
        <f t="shared" si="103"/>
        <v>OK</v>
      </c>
      <c r="M1289" s="1">
        <f t="shared" si="100"/>
        <v>1</v>
      </c>
      <c r="N1289" s="1">
        <f t="shared" si="101"/>
        <v>70</v>
      </c>
      <c r="O1289" s="10">
        <f t="shared" si="104"/>
        <v>23.295833333395422</v>
      </c>
    </row>
    <row r="1290" spans="1:15">
      <c r="A1290" s="1" t="s">
        <v>1395</v>
      </c>
      <c r="B1290" s="23">
        <v>45055.517361111109</v>
      </c>
      <c r="C1290" s="1" t="s">
        <v>43</v>
      </c>
      <c r="D1290" s="1" t="s">
        <v>59</v>
      </c>
      <c r="E1290" s="1" t="s">
        <v>33</v>
      </c>
      <c r="F1290" s="1" t="s">
        <v>86</v>
      </c>
      <c r="G1290" s="1">
        <v>176</v>
      </c>
      <c r="H1290" s="23">
        <v>45056.338391203702</v>
      </c>
      <c r="I1290" s="1" t="b">
        <v>0</v>
      </c>
      <c r="K1290" s="10">
        <f t="shared" si="102"/>
        <v>19.704722222231794</v>
      </c>
      <c r="L1290" s="1" t="str">
        <f t="shared" si="103"/>
        <v>OK</v>
      </c>
      <c r="M1290" s="1">
        <f t="shared" si="100"/>
        <v>1</v>
      </c>
      <c r="N1290" s="1">
        <f t="shared" si="101"/>
        <v>176</v>
      </c>
      <c r="O1290" s="10">
        <f t="shared" si="104"/>
        <v>19.704722222231794</v>
      </c>
    </row>
    <row r="1291" spans="1:15">
      <c r="A1291" s="1" t="s">
        <v>1396</v>
      </c>
      <c r="B1291" s="23">
        <v>45055.611111111109</v>
      </c>
      <c r="C1291" s="1" t="s">
        <v>16</v>
      </c>
      <c r="D1291" s="1" t="s">
        <v>17</v>
      </c>
      <c r="E1291" s="1" t="s">
        <v>18</v>
      </c>
      <c r="F1291" s="1" t="s">
        <v>120</v>
      </c>
      <c r="H1291" s="23">
        <v>45061.951990740738</v>
      </c>
      <c r="I1291" s="1" t="b">
        <v>0</v>
      </c>
      <c r="K1291" s="10">
        <f t="shared" si="102"/>
        <v>152.18111111107282</v>
      </c>
      <c r="L1291" s="1" t="str">
        <f t="shared" si="103"/>
        <v>Cannot check</v>
      </c>
      <c r="M1291" s="1">
        <f t="shared" si="100"/>
        <v>1</v>
      </c>
      <c r="N1291" s="1" t="str">
        <f t="shared" si="101"/>
        <v/>
      </c>
      <c r="O1291" s="10">
        <f t="shared" si="104"/>
        <v>152.18111111107282</v>
      </c>
    </row>
    <row r="1292" spans="1:15">
      <c r="A1292" s="1" t="s">
        <v>1397</v>
      </c>
      <c r="B1292" s="23">
        <v>45055.674305555556</v>
      </c>
      <c r="C1292" s="1" t="s">
        <v>11</v>
      </c>
      <c r="D1292" s="1" t="s">
        <v>21</v>
      </c>
      <c r="E1292" s="1" t="s">
        <v>33</v>
      </c>
      <c r="F1292" s="1" t="s">
        <v>134</v>
      </c>
      <c r="G1292" s="1">
        <v>36</v>
      </c>
      <c r="I1292" s="1" t="b">
        <v>0</v>
      </c>
      <c r="K1292" s="10" t="str">
        <f t="shared" si="102"/>
        <v/>
      </c>
      <c r="L1292" s="1" t="str">
        <f t="shared" si="103"/>
        <v>Cannot check</v>
      </c>
      <c r="M1292" s="1">
        <f t="shared" si="100"/>
        <v>1</v>
      </c>
      <c r="N1292" s="1">
        <f t="shared" si="101"/>
        <v>36</v>
      </c>
      <c r="O1292" s="10" t="str">
        <f t="shared" si="104"/>
        <v/>
      </c>
    </row>
    <row r="1293" spans="1:15">
      <c r="A1293" s="1" t="s">
        <v>1398</v>
      </c>
      <c r="B1293" s="23">
        <v>45055.7</v>
      </c>
      <c r="C1293" s="1" t="s">
        <v>16</v>
      </c>
      <c r="D1293" s="1" t="s">
        <v>17</v>
      </c>
      <c r="E1293" s="1" t="s">
        <v>18</v>
      </c>
      <c r="F1293" s="1" t="s">
        <v>486</v>
      </c>
      <c r="G1293" s="1">
        <v>89</v>
      </c>
      <c r="H1293" s="23">
        <v>45058.270590277774</v>
      </c>
      <c r="I1293" s="1" t="b">
        <v>0</v>
      </c>
      <c r="K1293" s="10">
        <f t="shared" si="102"/>
        <v>61.694166666653473</v>
      </c>
      <c r="L1293" s="1" t="str">
        <f t="shared" si="103"/>
        <v>OK</v>
      </c>
      <c r="M1293" s="1">
        <f t="shared" si="100"/>
        <v>1</v>
      </c>
      <c r="N1293" s="1">
        <f t="shared" si="101"/>
        <v>89</v>
      </c>
      <c r="O1293" s="10">
        <f t="shared" si="104"/>
        <v>61.694166666653473</v>
      </c>
    </row>
    <row r="1294" spans="1:15">
      <c r="A1294" s="1" t="s">
        <v>1399</v>
      </c>
      <c r="B1294" s="23">
        <v>45055.756944444445</v>
      </c>
      <c r="C1294" s="1" t="s">
        <v>16</v>
      </c>
      <c r="D1294" s="1" t="s">
        <v>26</v>
      </c>
      <c r="E1294" s="1" t="s">
        <v>18</v>
      </c>
      <c r="F1294" s="1" t="s">
        <v>54</v>
      </c>
      <c r="G1294" s="1">
        <v>96</v>
      </c>
      <c r="H1294" s="23">
        <v>45057.011736111112</v>
      </c>
      <c r="I1294" s="1" t="b">
        <v>0</v>
      </c>
      <c r="K1294" s="10">
        <f t="shared" si="102"/>
        <v>30.114999999990687</v>
      </c>
      <c r="L1294" s="1" t="str">
        <f t="shared" si="103"/>
        <v>OK</v>
      </c>
      <c r="M1294" s="1">
        <f t="shared" si="100"/>
        <v>1</v>
      </c>
      <c r="N1294" s="1">
        <f t="shared" si="101"/>
        <v>96</v>
      </c>
      <c r="O1294" s="10">
        <f t="shared" si="104"/>
        <v>30.114999999990687</v>
      </c>
    </row>
    <row r="1295" spans="1:15">
      <c r="A1295" s="1" t="s">
        <v>1400</v>
      </c>
      <c r="B1295" s="23">
        <v>45055.875694444447</v>
      </c>
      <c r="C1295" s="1" t="s">
        <v>11</v>
      </c>
      <c r="D1295" s="1" t="s">
        <v>59</v>
      </c>
      <c r="E1295" s="1" t="s">
        <v>13</v>
      </c>
      <c r="F1295" s="1" t="s">
        <v>14</v>
      </c>
      <c r="G1295" s="1">
        <v>56</v>
      </c>
      <c r="H1295" s="23">
        <v>45056.527199074073</v>
      </c>
      <c r="I1295" s="1" t="b">
        <v>0</v>
      </c>
      <c r="J1295" s="1">
        <v>5</v>
      </c>
      <c r="K1295" s="10">
        <f t="shared" si="102"/>
        <v>15.636111111030914</v>
      </c>
      <c r="L1295" s="1" t="str">
        <f t="shared" si="103"/>
        <v>OK</v>
      </c>
      <c r="M1295" s="1">
        <f t="shared" si="100"/>
        <v>1</v>
      </c>
      <c r="N1295" s="1">
        <f t="shared" si="101"/>
        <v>56</v>
      </c>
      <c r="O1295" s="10">
        <f t="shared" si="104"/>
        <v>15.636111111030914</v>
      </c>
    </row>
    <row r="1296" spans="1:15">
      <c r="A1296" s="1" t="s">
        <v>1401</v>
      </c>
      <c r="B1296" s="23">
        <v>45055.979861111111</v>
      </c>
      <c r="C1296" s="1" t="s">
        <v>25</v>
      </c>
      <c r="D1296" s="1" t="s">
        <v>26</v>
      </c>
      <c r="E1296" s="1" t="s">
        <v>33</v>
      </c>
      <c r="F1296" s="1" t="s">
        <v>245</v>
      </c>
      <c r="G1296" s="1">
        <v>54</v>
      </c>
      <c r="H1296" s="23">
        <v>45077.89434027778</v>
      </c>
      <c r="I1296" s="1" t="b">
        <v>0</v>
      </c>
      <c r="K1296" s="10">
        <f t="shared" si="102"/>
        <v>525.94750000006752</v>
      </c>
      <c r="L1296" s="1" t="str">
        <f t="shared" si="103"/>
        <v>OK</v>
      </c>
      <c r="M1296" s="1">
        <f t="shared" si="100"/>
        <v>1</v>
      </c>
      <c r="N1296" s="1">
        <f t="shared" si="101"/>
        <v>54</v>
      </c>
      <c r="O1296" s="10">
        <f t="shared" si="104"/>
        <v>525.94750000006752</v>
      </c>
    </row>
    <row r="1297" spans="1:15">
      <c r="A1297" s="1" t="s">
        <v>1402</v>
      </c>
      <c r="B1297" s="23">
        <v>45056.118055555555</v>
      </c>
      <c r="C1297" s="1" t="s">
        <v>43</v>
      </c>
      <c r="D1297" s="1" t="s">
        <v>59</v>
      </c>
      <c r="E1297" s="1" t="s">
        <v>33</v>
      </c>
      <c r="F1297" s="1" t="s">
        <v>102</v>
      </c>
      <c r="G1297" s="1">
        <v>534</v>
      </c>
      <c r="H1297" s="23">
        <v>45057.537743055553</v>
      </c>
      <c r="I1297" s="1" t="b">
        <v>0</v>
      </c>
      <c r="K1297" s="10">
        <f t="shared" si="102"/>
        <v>34.072499999951106</v>
      </c>
      <c r="L1297" s="1" t="str">
        <f t="shared" si="103"/>
        <v>OK</v>
      </c>
      <c r="M1297" s="1">
        <f t="shared" si="100"/>
        <v>1</v>
      </c>
      <c r="N1297" s="1">
        <f t="shared" si="101"/>
        <v>534</v>
      </c>
      <c r="O1297" s="10">
        <f t="shared" si="104"/>
        <v>34.072499999951106</v>
      </c>
    </row>
    <row r="1298" spans="1:15">
      <c r="A1298" s="1" t="s">
        <v>1403</v>
      </c>
      <c r="B1298" s="23">
        <v>45056.124305555553</v>
      </c>
      <c r="C1298" s="1" t="s">
        <v>25</v>
      </c>
      <c r="D1298" s="1" t="s">
        <v>12</v>
      </c>
      <c r="E1298" s="1" t="s">
        <v>13</v>
      </c>
      <c r="F1298" s="1" t="s">
        <v>104</v>
      </c>
      <c r="G1298" s="1">
        <v>37</v>
      </c>
      <c r="H1298" s="23">
        <v>45056.403287037036</v>
      </c>
      <c r="I1298" s="1" t="b">
        <v>0</v>
      </c>
      <c r="K1298" s="10">
        <f t="shared" si="102"/>
        <v>6.6955555555759929</v>
      </c>
      <c r="L1298" s="1" t="str">
        <f t="shared" si="103"/>
        <v>OK</v>
      </c>
      <c r="M1298" s="1">
        <f t="shared" si="100"/>
        <v>1</v>
      </c>
      <c r="N1298" s="1">
        <f t="shared" si="101"/>
        <v>37</v>
      </c>
      <c r="O1298" s="10">
        <f t="shared" si="104"/>
        <v>6.6955555555759929</v>
      </c>
    </row>
    <row r="1299" spans="1:15">
      <c r="A1299" s="1" t="s">
        <v>1404</v>
      </c>
      <c r="B1299" s="23">
        <v>45056.15347222222</v>
      </c>
      <c r="C1299" s="1" t="s">
        <v>43</v>
      </c>
      <c r="D1299" s="1" t="s">
        <v>17</v>
      </c>
      <c r="E1299" s="1" t="s">
        <v>18</v>
      </c>
      <c r="F1299" s="1" t="s">
        <v>76</v>
      </c>
      <c r="G1299" s="1">
        <v>131</v>
      </c>
      <c r="H1299" s="23">
        <v>45056.932673611111</v>
      </c>
      <c r="I1299" s="1" t="b">
        <v>0</v>
      </c>
      <c r="J1299" s="1">
        <v>5</v>
      </c>
      <c r="K1299" s="10">
        <f t="shared" si="102"/>
        <v>18.700833333365154</v>
      </c>
      <c r="L1299" s="1" t="str">
        <f t="shared" si="103"/>
        <v>OK</v>
      </c>
      <c r="M1299" s="1">
        <f t="shared" si="100"/>
        <v>1</v>
      </c>
      <c r="N1299" s="1">
        <f t="shared" si="101"/>
        <v>131</v>
      </c>
      <c r="O1299" s="10">
        <f t="shared" si="104"/>
        <v>18.700833333365154</v>
      </c>
    </row>
    <row r="1300" spans="1:15">
      <c r="A1300" s="1" t="s">
        <v>1405</v>
      </c>
      <c r="B1300" s="23">
        <v>45056.192361111112</v>
      </c>
      <c r="C1300" s="1" t="s">
        <v>43</v>
      </c>
      <c r="D1300" s="1" t="s">
        <v>59</v>
      </c>
      <c r="E1300" s="1" t="s">
        <v>33</v>
      </c>
      <c r="F1300" s="1" t="s">
        <v>14</v>
      </c>
      <c r="G1300" s="1">
        <v>24</v>
      </c>
      <c r="H1300" s="23">
        <v>45056.984513888892</v>
      </c>
      <c r="I1300" s="1" t="b">
        <v>0</v>
      </c>
      <c r="J1300" s="1">
        <v>5</v>
      </c>
      <c r="K1300" s="10">
        <f t="shared" si="102"/>
        <v>19.011666666716337</v>
      </c>
      <c r="L1300" s="1" t="str">
        <f t="shared" si="103"/>
        <v>OK</v>
      </c>
      <c r="M1300" s="1">
        <f t="shared" si="100"/>
        <v>1</v>
      </c>
      <c r="N1300" s="1">
        <f t="shared" si="101"/>
        <v>24</v>
      </c>
      <c r="O1300" s="10">
        <f t="shared" si="104"/>
        <v>19.011666666716337</v>
      </c>
    </row>
    <row r="1301" spans="1:15">
      <c r="A1301" s="1" t="s">
        <v>1406</v>
      </c>
      <c r="B1301" s="23">
        <v>45056.386111111111</v>
      </c>
      <c r="C1301" s="1" t="s">
        <v>25</v>
      </c>
      <c r="D1301" s="1" t="s">
        <v>26</v>
      </c>
      <c r="E1301" s="1" t="s">
        <v>13</v>
      </c>
      <c r="F1301" s="1" t="s">
        <v>74</v>
      </c>
      <c r="G1301" s="1">
        <v>138</v>
      </c>
      <c r="H1301" s="23">
        <v>45057.180046296293</v>
      </c>
      <c r="I1301" s="1" t="b">
        <v>0</v>
      </c>
      <c r="J1301" s="1">
        <v>4</v>
      </c>
      <c r="K1301" s="10">
        <f t="shared" si="102"/>
        <v>19.054444444365799</v>
      </c>
      <c r="L1301" s="1" t="str">
        <f t="shared" si="103"/>
        <v>OK</v>
      </c>
      <c r="M1301" s="1">
        <f t="shared" si="100"/>
        <v>1</v>
      </c>
      <c r="N1301" s="1">
        <f t="shared" si="101"/>
        <v>138</v>
      </c>
      <c r="O1301" s="10">
        <f t="shared" si="104"/>
        <v>19.054444444365799</v>
      </c>
    </row>
    <row r="1302" spans="1:15">
      <c r="A1302" s="1" t="s">
        <v>1407</v>
      </c>
      <c r="B1302" s="23">
        <v>45056.398611111108</v>
      </c>
      <c r="C1302" s="1" t="s">
        <v>25</v>
      </c>
      <c r="D1302" s="1" t="s">
        <v>21</v>
      </c>
      <c r="E1302" s="1" t="s">
        <v>18</v>
      </c>
      <c r="F1302" s="1" t="s">
        <v>78</v>
      </c>
      <c r="G1302" s="1">
        <v>80</v>
      </c>
      <c r="H1302" s="23">
        <v>45056.667175925926</v>
      </c>
      <c r="I1302" s="1" t="b">
        <v>1</v>
      </c>
      <c r="K1302" s="10">
        <f t="shared" si="102"/>
        <v>6.4455555556342006</v>
      </c>
      <c r="L1302" s="1" t="str">
        <f t="shared" si="103"/>
        <v>OK</v>
      </c>
      <c r="M1302" s="1">
        <f t="shared" si="100"/>
        <v>1</v>
      </c>
      <c r="N1302" s="1">
        <f t="shared" si="101"/>
        <v>80</v>
      </c>
      <c r="O1302" s="10">
        <f t="shared" si="104"/>
        <v>6.4455555556342006</v>
      </c>
    </row>
    <row r="1303" spans="1:15">
      <c r="A1303" s="1" t="s">
        <v>1408</v>
      </c>
      <c r="B1303" s="23">
        <v>45056.438888888886</v>
      </c>
      <c r="C1303" s="1" t="s">
        <v>16</v>
      </c>
      <c r="D1303" s="1" t="s">
        <v>21</v>
      </c>
      <c r="E1303" s="1" t="s">
        <v>18</v>
      </c>
      <c r="F1303" s="1" t="s">
        <v>88</v>
      </c>
      <c r="G1303" s="1">
        <v>36</v>
      </c>
      <c r="H1303" s="23">
        <v>45057.472928240742</v>
      </c>
      <c r="I1303" s="1" t="b">
        <v>0</v>
      </c>
      <c r="K1303" s="10">
        <f t="shared" si="102"/>
        <v>24.816944444552064</v>
      </c>
      <c r="L1303" s="1" t="str">
        <f t="shared" si="103"/>
        <v>OK</v>
      </c>
      <c r="M1303" s="1">
        <f t="shared" si="100"/>
        <v>1</v>
      </c>
      <c r="N1303" s="1">
        <f t="shared" si="101"/>
        <v>36</v>
      </c>
      <c r="O1303" s="10">
        <f t="shared" si="104"/>
        <v>24.816944444552064</v>
      </c>
    </row>
    <row r="1304" spans="1:15">
      <c r="A1304" s="1" t="s">
        <v>1409</v>
      </c>
      <c r="B1304" s="23">
        <v>45056.504861111112</v>
      </c>
      <c r="C1304" s="1" t="s">
        <v>16</v>
      </c>
      <c r="D1304" s="1" t="s">
        <v>21</v>
      </c>
      <c r="E1304" s="1" t="s">
        <v>22</v>
      </c>
      <c r="F1304" s="1" t="s">
        <v>112</v>
      </c>
      <c r="G1304" s="1">
        <v>4</v>
      </c>
      <c r="H1304" s="23">
        <v>45056.551805555559</v>
      </c>
      <c r="I1304" s="1" t="b">
        <v>0</v>
      </c>
      <c r="K1304" s="10">
        <f t="shared" si="102"/>
        <v>1.126666666707024</v>
      </c>
      <c r="L1304" s="1" t="str">
        <f t="shared" si="103"/>
        <v>OK</v>
      </c>
      <c r="M1304" s="1">
        <f t="shared" si="100"/>
        <v>1</v>
      </c>
      <c r="N1304" s="1">
        <f t="shared" si="101"/>
        <v>4</v>
      </c>
      <c r="O1304" s="10">
        <f t="shared" si="104"/>
        <v>1.126666666707024</v>
      </c>
    </row>
    <row r="1305" spans="1:15">
      <c r="A1305" s="1" t="s">
        <v>1410</v>
      </c>
      <c r="B1305" s="23">
        <v>45056.611111111109</v>
      </c>
      <c r="C1305" s="1" t="s">
        <v>16</v>
      </c>
      <c r="D1305" s="1" t="s">
        <v>17</v>
      </c>
      <c r="E1305" s="1" t="s">
        <v>22</v>
      </c>
      <c r="F1305" s="1" t="s">
        <v>62</v>
      </c>
      <c r="G1305" s="1">
        <v>1</v>
      </c>
      <c r="I1305" s="1" t="b">
        <v>0</v>
      </c>
      <c r="K1305" s="10" t="str">
        <f t="shared" si="102"/>
        <v/>
      </c>
      <c r="L1305" s="1" t="str">
        <f t="shared" si="103"/>
        <v>Cannot check</v>
      </c>
      <c r="M1305" s="1">
        <f t="shared" si="100"/>
        <v>1</v>
      </c>
      <c r="N1305" s="1">
        <f t="shared" si="101"/>
        <v>1</v>
      </c>
      <c r="O1305" s="10" t="str">
        <f t="shared" si="104"/>
        <v/>
      </c>
    </row>
    <row r="1306" spans="1:15">
      <c r="A1306" s="1" t="s">
        <v>1411</v>
      </c>
      <c r="B1306" s="23">
        <v>45056.611111111109</v>
      </c>
      <c r="C1306" s="1" t="s">
        <v>25</v>
      </c>
      <c r="D1306" s="1" t="s">
        <v>59</v>
      </c>
      <c r="E1306" s="1" t="s">
        <v>13</v>
      </c>
      <c r="F1306" s="1" t="s">
        <v>29</v>
      </c>
      <c r="G1306" s="1">
        <v>22</v>
      </c>
      <c r="H1306" s="23">
        <v>45056.678460648145</v>
      </c>
      <c r="I1306" s="1" t="b">
        <v>0</v>
      </c>
      <c r="J1306" s="1">
        <v>4</v>
      </c>
      <c r="K1306" s="10">
        <f t="shared" si="102"/>
        <v>1.6163888888549991</v>
      </c>
      <c r="L1306" s="1" t="str">
        <f t="shared" si="103"/>
        <v>OK</v>
      </c>
      <c r="M1306" s="1">
        <f t="shared" si="100"/>
        <v>1</v>
      </c>
      <c r="N1306" s="1">
        <f t="shared" si="101"/>
        <v>22</v>
      </c>
      <c r="O1306" s="10">
        <f t="shared" si="104"/>
        <v>1.6163888888549991</v>
      </c>
    </row>
    <row r="1307" spans="1:15">
      <c r="A1307" s="1" t="s">
        <v>1412</v>
      </c>
      <c r="B1307" s="23">
        <v>45056.92291666667</v>
      </c>
      <c r="C1307" s="1" t="s">
        <v>25</v>
      </c>
      <c r="D1307" s="1" t="s">
        <v>17</v>
      </c>
      <c r="E1307" s="1" t="s">
        <v>13</v>
      </c>
      <c r="F1307" s="1" t="s">
        <v>254</v>
      </c>
      <c r="G1307" s="1">
        <v>21</v>
      </c>
      <c r="H1307" s="23">
        <v>45059.149699074071</v>
      </c>
      <c r="I1307" s="1" t="b">
        <v>0</v>
      </c>
      <c r="K1307" s="10">
        <f t="shared" si="102"/>
        <v>53.442777777614538</v>
      </c>
      <c r="L1307" s="1" t="str">
        <f t="shared" si="103"/>
        <v>OK</v>
      </c>
      <c r="M1307" s="1">
        <f t="shared" si="100"/>
        <v>1</v>
      </c>
      <c r="N1307" s="1">
        <f t="shared" si="101"/>
        <v>21</v>
      </c>
      <c r="O1307" s="10">
        <f t="shared" si="104"/>
        <v>53.442777777614538</v>
      </c>
    </row>
    <row r="1308" spans="1:15">
      <c r="A1308" s="1" t="s">
        <v>1413</v>
      </c>
      <c r="B1308" s="23">
        <v>45057.04791666667</v>
      </c>
      <c r="C1308" s="1" t="s">
        <v>43</v>
      </c>
      <c r="D1308" s="1" t="s">
        <v>26</v>
      </c>
      <c r="E1308" s="1" t="s">
        <v>18</v>
      </c>
      <c r="F1308" s="1" t="s">
        <v>54</v>
      </c>
      <c r="G1308" s="1">
        <v>150</v>
      </c>
      <c r="I1308" s="1" t="b">
        <v>0</v>
      </c>
      <c r="K1308" s="10" t="str">
        <f t="shared" si="102"/>
        <v/>
      </c>
      <c r="L1308" s="1" t="str">
        <f t="shared" si="103"/>
        <v>Cannot check</v>
      </c>
      <c r="M1308" s="1">
        <f t="shared" si="100"/>
        <v>1</v>
      </c>
      <c r="N1308" s="1">
        <f t="shared" si="101"/>
        <v>150</v>
      </c>
      <c r="O1308" s="10" t="str">
        <f t="shared" si="104"/>
        <v/>
      </c>
    </row>
    <row r="1309" spans="1:15">
      <c r="A1309" s="1" t="s">
        <v>1414</v>
      </c>
      <c r="B1309" s="23">
        <v>45057.103472222225</v>
      </c>
      <c r="C1309" s="1" t="s">
        <v>16</v>
      </c>
      <c r="D1309" s="1" t="s">
        <v>17</v>
      </c>
      <c r="E1309" s="1" t="s">
        <v>33</v>
      </c>
      <c r="F1309" s="1" t="s">
        <v>88</v>
      </c>
      <c r="G1309" s="1">
        <v>305</v>
      </c>
      <c r="H1309" s="23">
        <v>45057.915717592594</v>
      </c>
      <c r="I1309" s="1" t="b">
        <v>0</v>
      </c>
      <c r="K1309" s="10">
        <f t="shared" si="102"/>
        <v>19.493888888857327</v>
      </c>
      <c r="L1309" s="1" t="str">
        <f t="shared" si="103"/>
        <v>OK</v>
      </c>
      <c r="M1309" s="1">
        <f t="shared" si="100"/>
        <v>1</v>
      </c>
      <c r="N1309" s="1">
        <f t="shared" si="101"/>
        <v>305</v>
      </c>
      <c r="O1309" s="10">
        <f t="shared" si="104"/>
        <v>19.493888888857327</v>
      </c>
    </row>
    <row r="1310" spans="1:15">
      <c r="A1310" s="1" t="s">
        <v>1415</v>
      </c>
      <c r="B1310" s="23">
        <v>45057.165972222225</v>
      </c>
      <c r="C1310" s="1" t="s">
        <v>43</v>
      </c>
      <c r="D1310" s="1" t="s">
        <v>12</v>
      </c>
      <c r="E1310" s="1" t="s">
        <v>22</v>
      </c>
      <c r="F1310" s="1" t="s">
        <v>31</v>
      </c>
      <c r="G1310" s="1">
        <v>4</v>
      </c>
      <c r="H1310" s="23">
        <v>45057.439837962964</v>
      </c>
      <c r="I1310" s="1" t="b">
        <v>0</v>
      </c>
      <c r="J1310" s="1">
        <v>1</v>
      </c>
      <c r="K1310" s="10">
        <f t="shared" si="102"/>
        <v>6.5727777777356096</v>
      </c>
      <c r="L1310" s="1" t="str">
        <f t="shared" si="103"/>
        <v>OK</v>
      </c>
      <c r="M1310" s="1">
        <f t="shared" si="100"/>
        <v>1</v>
      </c>
      <c r="N1310" s="1">
        <f t="shared" si="101"/>
        <v>4</v>
      </c>
      <c r="O1310" s="10">
        <f t="shared" si="104"/>
        <v>6.5727777777356096</v>
      </c>
    </row>
    <row r="1311" spans="1:15">
      <c r="A1311" s="1" t="s">
        <v>1416</v>
      </c>
      <c r="B1311" s="23">
        <v>45057.356249999997</v>
      </c>
      <c r="C1311" s="1" t="s">
        <v>16</v>
      </c>
      <c r="D1311" s="1" t="s">
        <v>21</v>
      </c>
      <c r="E1311" s="1" t="s">
        <v>33</v>
      </c>
      <c r="F1311" s="1" t="s">
        <v>130</v>
      </c>
      <c r="H1311" s="23">
        <v>45061.73164351852</v>
      </c>
      <c r="I1311" s="1" t="b">
        <v>1</v>
      </c>
      <c r="J1311" s="1">
        <v>4</v>
      </c>
      <c r="K1311" s="10">
        <f t="shared" si="102"/>
        <v>105.00944444455672</v>
      </c>
      <c r="L1311" s="1" t="str">
        <f t="shared" si="103"/>
        <v>Cannot check</v>
      </c>
      <c r="M1311" s="1">
        <f t="shared" si="100"/>
        <v>1</v>
      </c>
      <c r="N1311" s="1" t="str">
        <f t="shared" si="101"/>
        <v/>
      </c>
      <c r="O1311" s="10">
        <f t="shared" si="104"/>
        <v>105.00944444455672</v>
      </c>
    </row>
    <row r="1312" spans="1:15">
      <c r="A1312" s="1" t="s">
        <v>1417</v>
      </c>
      <c r="B1312" s="23">
        <v>45057.366666666669</v>
      </c>
      <c r="C1312" s="1" t="s">
        <v>16</v>
      </c>
      <c r="D1312" s="1" t="s">
        <v>26</v>
      </c>
      <c r="E1312" s="1" t="s">
        <v>18</v>
      </c>
      <c r="F1312" s="1" t="s">
        <v>128</v>
      </c>
      <c r="G1312" s="1">
        <v>171</v>
      </c>
      <c r="H1312" s="23">
        <v>45059.040231481478</v>
      </c>
      <c r="I1312" s="1" t="b">
        <v>0</v>
      </c>
      <c r="J1312" s="1">
        <v>4</v>
      </c>
      <c r="K1312" s="10">
        <f t="shared" si="102"/>
        <v>40.165555555431638</v>
      </c>
      <c r="L1312" s="1" t="str">
        <f t="shared" si="103"/>
        <v>OK</v>
      </c>
      <c r="M1312" s="1">
        <f t="shared" si="100"/>
        <v>1</v>
      </c>
      <c r="N1312" s="1">
        <f t="shared" si="101"/>
        <v>171</v>
      </c>
      <c r="O1312" s="10">
        <f t="shared" si="104"/>
        <v>40.165555555431638</v>
      </c>
    </row>
    <row r="1313" spans="1:15">
      <c r="A1313" s="1" t="s">
        <v>1418</v>
      </c>
      <c r="B1313" s="23">
        <v>45057.532638888886</v>
      </c>
      <c r="C1313" s="1" t="s">
        <v>25</v>
      </c>
      <c r="D1313" s="1" t="s">
        <v>12</v>
      </c>
      <c r="E1313" s="1" t="s">
        <v>13</v>
      </c>
      <c r="F1313" s="1" t="s">
        <v>245</v>
      </c>
      <c r="G1313" s="1">
        <v>58</v>
      </c>
      <c r="H1313" s="23">
        <v>45058.560277777775</v>
      </c>
      <c r="I1313" s="1" t="b">
        <v>0</v>
      </c>
      <c r="J1313" s="1">
        <v>4</v>
      </c>
      <c r="K1313" s="10">
        <f t="shared" si="102"/>
        <v>24.663333333330229</v>
      </c>
      <c r="L1313" s="1" t="str">
        <f t="shared" si="103"/>
        <v>OK</v>
      </c>
      <c r="M1313" s="1">
        <f t="shared" si="100"/>
        <v>1</v>
      </c>
      <c r="N1313" s="1">
        <f t="shared" si="101"/>
        <v>58</v>
      </c>
      <c r="O1313" s="10">
        <f t="shared" si="104"/>
        <v>24.663333333330229</v>
      </c>
    </row>
    <row r="1314" spans="1:15">
      <c r="A1314" s="1" t="s">
        <v>1419</v>
      </c>
      <c r="B1314" s="23">
        <v>45057.566666666666</v>
      </c>
      <c r="C1314" s="1" t="s">
        <v>25</v>
      </c>
      <c r="D1314" s="1" t="s">
        <v>17</v>
      </c>
      <c r="E1314" s="1" t="s">
        <v>22</v>
      </c>
      <c r="F1314" s="1" t="s">
        <v>50</v>
      </c>
      <c r="G1314" s="1">
        <v>8</v>
      </c>
      <c r="H1314" s="23">
        <v>45058.522407407407</v>
      </c>
      <c r="I1314" s="1" t="b">
        <v>0</v>
      </c>
      <c r="K1314" s="10">
        <f t="shared" si="102"/>
        <v>22.937777777784504</v>
      </c>
      <c r="L1314" s="1" t="str">
        <f t="shared" si="103"/>
        <v>OK</v>
      </c>
      <c r="M1314" s="1">
        <f t="shared" si="100"/>
        <v>1</v>
      </c>
      <c r="N1314" s="1">
        <f t="shared" si="101"/>
        <v>8</v>
      </c>
      <c r="O1314" s="10">
        <f t="shared" si="104"/>
        <v>22.937777777784504</v>
      </c>
    </row>
    <row r="1315" spans="1:15">
      <c r="A1315" s="1" t="s">
        <v>1420</v>
      </c>
      <c r="B1315" s="23">
        <v>45057.625</v>
      </c>
      <c r="C1315" s="1" t="s">
        <v>25</v>
      </c>
      <c r="D1315" s="1" t="s">
        <v>59</v>
      </c>
      <c r="E1315" s="1" t="s">
        <v>22</v>
      </c>
      <c r="F1315" s="1" t="s">
        <v>76</v>
      </c>
      <c r="G1315" s="1">
        <v>27</v>
      </c>
      <c r="H1315" s="23">
        <v>45057.995300925926</v>
      </c>
      <c r="I1315" s="1" t="b">
        <v>0</v>
      </c>
      <c r="K1315" s="10">
        <f t="shared" si="102"/>
        <v>8.8872222222271375</v>
      </c>
      <c r="L1315" s="1" t="str">
        <f t="shared" si="103"/>
        <v>OK</v>
      </c>
      <c r="M1315" s="1">
        <f t="shared" si="100"/>
        <v>1</v>
      </c>
      <c r="N1315" s="1">
        <f t="shared" si="101"/>
        <v>27</v>
      </c>
      <c r="O1315" s="10">
        <f t="shared" si="104"/>
        <v>8.8872222222271375</v>
      </c>
    </row>
    <row r="1316" spans="1:15">
      <c r="A1316" s="1" t="s">
        <v>1421</v>
      </c>
      <c r="B1316" s="23">
        <v>45057.713194444441</v>
      </c>
      <c r="C1316" s="1" t="s">
        <v>43</v>
      </c>
      <c r="D1316" s="1" t="s">
        <v>17</v>
      </c>
      <c r="E1316" s="1" t="s">
        <v>18</v>
      </c>
      <c r="F1316" s="1" t="s">
        <v>70</v>
      </c>
      <c r="G1316" s="1">
        <v>357</v>
      </c>
      <c r="H1316" s="23">
        <v>45064.32372685185</v>
      </c>
      <c r="I1316" s="1" t="b">
        <v>0</v>
      </c>
      <c r="K1316" s="10">
        <f t="shared" si="102"/>
        <v>158.65277777781012</v>
      </c>
      <c r="L1316" s="1" t="str">
        <f t="shared" si="103"/>
        <v>OK</v>
      </c>
      <c r="M1316" s="1">
        <f t="shared" si="100"/>
        <v>1</v>
      </c>
      <c r="N1316" s="1">
        <f t="shared" si="101"/>
        <v>357</v>
      </c>
      <c r="O1316" s="10">
        <f t="shared" si="104"/>
        <v>158.65277777781012</v>
      </c>
    </row>
    <row r="1317" spans="1:15">
      <c r="A1317" s="1" t="s">
        <v>1422</v>
      </c>
      <c r="B1317" s="23">
        <v>45057.728472222225</v>
      </c>
      <c r="C1317" s="1" t="s">
        <v>11</v>
      </c>
      <c r="D1317" s="1" t="s">
        <v>59</v>
      </c>
      <c r="E1317" s="1" t="s">
        <v>22</v>
      </c>
      <c r="F1317" s="1" t="s">
        <v>19</v>
      </c>
      <c r="H1317" s="23">
        <v>45058.094097222223</v>
      </c>
      <c r="I1317" s="1" t="b">
        <v>0</v>
      </c>
      <c r="K1317" s="10">
        <f t="shared" si="102"/>
        <v>8.7749999999650754</v>
      </c>
      <c r="L1317" s="1" t="str">
        <f t="shared" si="103"/>
        <v>Cannot check</v>
      </c>
      <c r="M1317" s="1">
        <f t="shared" si="100"/>
        <v>1</v>
      </c>
      <c r="N1317" s="1" t="str">
        <f t="shared" si="101"/>
        <v/>
      </c>
      <c r="O1317" s="10">
        <f t="shared" si="104"/>
        <v>8.7749999999650754</v>
      </c>
    </row>
    <row r="1318" spans="1:15">
      <c r="A1318" s="1" t="s">
        <v>1423</v>
      </c>
      <c r="B1318" s="23">
        <v>45058.004861111112</v>
      </c>
      <c r="C1318" s="1" t="s">
        <v>16</v>
      </c>
      <c r="D1318" s="1" t="s">
        <v>21</v>
      </c>
      <c r="E1318" s="1" t="s">
        <v>13</v>
      </c>
      <c r="F1318" s="1" t="s">
        <v>128</v>
      </c>
      <c r="G1318" s="1">
        <v>81</v>
      </c>
      <c r="H1318" s="23">
        <v>45059.399074074077</v>
      </c>
      <c r="I1318" s="1" t="b">
        <v>1</v>
      </c>
      <c r="J1318" s="1">
        <v>4</v>
      </c>
      <c r="K1318" s="10">
        <f t="shared" si="102"/>
        <v>33.461111111158971</v>
      </c>
      <c r="L1318" s="1" t="str">
        <f t="shared" si="103"/>
        <v>OK</v>
      </c>
      <c r="M1318" s="1">
        <f t="shared" si="100"/>
        <v>1</v>
      </c>
      <c r="N1318" s="1">
        <f t="shared" si="101"/>
        <v>81</v>
      </c>
      <c r="O1318" s="10">
        <f t="shared" si="104"/>
        <v>33.461111111158971</v>
      </c>
    </row>
    <row r="1319" spans="1:15">
      <c r="A1319" s="1" t="s">
        <v>1424</v>
      </c>
      <c r="B1319" s="23">
        <v>45058.038888888892</v>
      </c>
      <c r="C1319" s="1" t="s">
        <v>11</v>
      </c>
      <c r="D1319" s="1" t="s">
        <v>17</v>
      </c>
      <c r="E1319" s="1" t="s">
        <v>18</v>
      </c>
      <c r="F1319" s="1" t="s">
        <v>175</v>
      </c>
      <c r="G1319" s="1">
        <v>190</v>
      </c>
      <c r="I1319" s="1" t="b">
        <v>0</v>
      </c>
      <c r="K1319" s="10" t="str">
        <f t="shared" si="102"/>
        <v/>
      </c>
      <c r="L1319" s="1" t="str">
        <f t="shared" si="103"/>
        <v>Cannot check</v>
      </c>
      <c r="M1319" s="1">
        <f t="shared" si="100"/>
        <v>1</v>
      </c>
      <c r="N1319" s="1">
        <f t="shared" si="101"/>
        <v>190</v>
      </c>
      <c r="O1319" s="10" t="str">
        <f t="shared" si="104"/>
        <v/>
      </c>
    </row>
    <row r="1320" spans="1:15">
      <c r="A1320" s="1" t="s">
        <v>1425</v>
      </c>
      <c r="B1320" s="23">
        <v>45058.043749999997</v>
      </c>
      <c r="C1320" s="1" t="s">
        <v>25</v>
      </c>
      <c r="D1320" s="1" t="s">
        <v>17</v>
      </c>
      <c r="E1320" s="1" t="s">
        <v>18</v>
      </c>
      <c r="F1320" s="1" t="s">
        <v>226</v>
      </c>
      <c r="G1320" s="1">
        <v>27</v>
      </c>
      <c r="H1320" s="23">
        <v>45061.058946759258</v>
      </c>
      <c r="I1320" s="1" t="b">
        <v>0</v>
      </c>
      <c r="K1320" s="10">
        <f t="shared" si="102"/>
        <v>72.36472222226439</v>
      </c>
      <c r="L1320" s="1" t="str">
        <f t="shared" si="103"/>
        <v>OK</v>
      </c>
      <c r="M1320" s="1">
        <f t="shared" si="100"/>
        <v>1</v>
      </c>
      <c r="N1320" s="1">
        <f t="shared" si="101"/>
        <v>27</v>
      </c>
      <c r="O1320" s="10">
        <f t="shared" si="104"/>
        <v>72.36472222226439</v>
      </c>
    </row>
    <row r="1321" spans="1:15">
      <c r="A1321" s="1" t="s">
        <v>1426</v>
      </c>
      <c r="B1321" s="23">
        <v>45058.0625</v>
      </c>
      <c r="C1321" s="1" t="s">
        <v>16</v>
      </c>
      <c r="D1321" s="1" t="s">
        <v>17</v>
      </c>
      <c r="E1321" s="1" t="s">
        <v>13</v>
      </c>
      <c r="F1321" s="1" t="s">
        <v>392</v>
      </c>
      <c r="G1321" s="1">
        <v>405</v>
      </c>
      <c r="H1321" s="23">
        <v>45058.683194444442</v>
      </c>
      <c r="I1321" s="1" t="b">
        <v>0</v>
      </c>
      <c r="K1321" s="10">
        <f t="shared" si="102"/>
        <v>14.896666666609235</v>
      </c>
      <c r="L1321" s="1" t="str">
        <f t="shared" si="103"/>
        <v>OK</v>
      </c>
      <c r="M1321" s="1">
        <f t="shared" si="100"/>
        <v>1</v>
      </c>
      <c r="N1321" s="1">
        <f t="shared" si="101"/>
        <v>405</v>
      </c>
      <c r="O1321" s="10">
        <f t="shared" si="104"/>
        <v>14.896666666609235</v>
      </c>
    </row>
    <row r="1322" spans="1:15">
      <c r="A1322" s="1" t="s">
        <v>1427</v>
      </c>
      <c r="B1322" s="23">
        <v>45058.071527777778</v>
      </c>
      <c r="C1322" s="1" t="s">
        <v>25</v>
      </c>
      <c r="D1322" s="1" t="s">
        <v>59</v>
      </c>
      <c r="E1322" s="1" t="s">
        <v>18</v>
      </c>
      <c r="F1322" s="1" t="s">
        <v>486</v>
      </c>
      <c r="G1322" s="1">
        <v>13</v>
      </c>
      <c r="H1322" s="23">
        <v>45060.690138888887</v>
      </c>
      <c r="I1322" s="1" t="b">
        <v>0</v>
      </c>
      <c r="K1322" s="10">
        <f t="shared" si="102"/>
        <v>62.846666666620877</v>
      </c>
      <c r="L1322" s="1" t="str">
        <f t="shared" si="103"/>
        <v>OK</v>
      </c>
      <c r="M1322" s="1">
        <f t="shared" si="100"/>
        <v>1</v>
      </c>
      <c r="N1322" s="1">
        <f t="shared" si="101"/>
        <v>13</v>
      </c>
      <c r="O1322" s="10">
        <f t="shared" si="104"/>
        <v>62.846666666620877</v>
      </c>
    </row>
    <row r="1323" spans="1:15">
      <c r="A1323" s="1" t="s">
        <v>1428</v>
      </c>
      <c r="B1323" s="23">
        <v>45058.090277777781</v>
      </c>
      <c r="C1323" s="1" t="s">
        <v>25</v>
      </c>
      <c r="D1323" s="1" t="s">
        <v>21</v>
      </c>
      <c r="E1323" s="1" t="s">
        <v>18</v>
      </c>
      <c r="F1323" s="1" t="s">
        <v>367</v>
      </c>
      <c r="G1323" s="1">
        <v>66</v>
      </c>
      <c r="H1323" s="23">
        <v>45063.643067129633</v>
      </c>
      <c r="I1323" s="1" t="b">
        <v>0</v>
      </c>
      <c r="K1323" s="10">
        <f t="shared" si="102"/>
        <v>133.26694444444729</v>
      </c>
      <c r="L1323" s="1" t="str">
        <f t="shared" si="103"/>
        <v>OK</v>
      </c>
      <c r="M1323" s="1">
        <f t="shared" si="100"/>
        <v>1</v>
      </c>
      <c r="N1323" s="1">
        <f t="shared" si="101"/>
        <v>66</v>
      </c>
      <c r="O1323" s="10">
        <f t="shared" si="104"/>
        <v>133.26694444444729</v>
      </c>
    </row>
    <row r="1324" spans="1:15">
      <c r="A1324" s="1" t="s">
        <v>1429</v>
      </c>
      <c r="B1324" s="23">
        <v>45058.102777777778</v>
      </c>
      <c r="C1324" s="1" t="s">
        <v>43</v>
      </c>
      <c r="D1324" s="1" t="s">
        <v>21</v>
      </c>
      <c r="E1324" s="1" t="s">
        <v>22</v>
      </c>
      <c r="F1324" s="1" t="s">
        <v>19</v>
      </c>
      <c r="G1324" s="1">
        <v>7</v>
      </c>
      <c r="H1324" s="23">
        <v>45058.378136574072</v>
      </c>
      <c r="I1324" s="1" t="b">
        <v>1</v>
      </c>
      <c r="J1324" s="1">
        <v>1</v>
      </c>
      <c r="K1324" s="10">
        <f t="shared" si="102"/>
        <v>6.6086111110635102</v>
      </c>
      <c r="L1324" s="1" t="str">
        <f t="shared" si="103"/>
        <v>OK</v>
      </c>
      <c r="M1324" s="1">
        <f t="shared" si="100"/>
        <v>1</v>
      </c>
      <c r="N1324" s="1">
        <f t="shared" si="101"/>
        <v>7</v>
      </c>
      <c r="O1324" s="10">
        <f t="shared" si="104"/>
        <v>6.6086111110635102</v>
      </c>
    </row>
    <row r="1325" spans="1:15">
      <c r="A1325" s="1" t="s">
        <v>1430</v>
      </c>
      <c r="B1325" s="23">
        <v>45058.286111111112</v>
      </c>
      <c r="C1325" s="1" t="s">
        <v>16</v>
      </c>
      <c r="D1325" s="1" t="s">
        <v>59</v>
      </c>
      <c r="E1325" s="1" t="s">
        <v>18</v>
      </c>
      <c r="F1325" s="1" t="s">
        <v>14</v>
      </c>
      <c r="G1325" s="1">
        <v>89</v>
      </c>
      <c r="H1325" s="23">
        <v>45059.982685185183</v>
      </c>
      <c r="I1325" s="1" t="b">
        <v>0</v>
      </c>
      <c r="J1325" s="1">
        <v>1</v>
      </c>
      <c r="K1325" s="10">
        <f t="shared" si="102"/>
        <v>40.717777777696028</v>
      </c>
      <c r="L1325" s="1" t="str">
        <f t="shared" si="103"/>
        <v>OK</v>
      </c>
      <c r="M1325" s="1">
        <f t="shared" si="100"/>
        <v>1</v>
      </c>
      <c r="N1325" s="1">
        <f t="shared" si="101"/>
        <v>89</v>
      </c>
      <c r="O1325" s="10">
        <f t="shared" si="104"/>
        <v>40.717777777696028</v>
      </c>
    </row>
    <row r="1326" spans="1:15">
      <c r="A1326" s="1" t="s">
        <v>1431</v>
      </c>
      <c r="B1326" s="23">
        <v>45058.373611111114</v>
      </c>
      <c r="C1326" s="1" t="s">
        <v>16</v>
      </c>
      <c r="D1326" s="1" t="s">
        <v>17</v>
      </c>
      <c r="E1326" s="1" t="s">
        <v>18</v>
      </c>
      <c r="F1326" s="1" t="s">
        <v>46</v>
      </c>
      <c r="G1326" s="1">
        <v>23</v>
      </c>
      <c r="H1326" s="23">
        <v>45071.554201388892</v>
      </c>
      <c r="I1326" s="1" t="b">
        <v>0</v>
      </c>
      <c r="K1326" s="10">
        <f t="shared" si="102"/>
        <v>316.33416666666744</v>
      </c>
      <c r="L1326" s="1" t="str">
        <f t="shared" si="103"/>
        <v>OK</v>
      </c>
      <c r="M1326" s="1">
        <f t="shared" si="100"/>
        <v>1</v>
      </c>
      <c r="N1326" s="1">
        <f t="shared" si="101"/>
        <v>23</v>
      </c>
      <c r="O1326" s="10">
        <f t="shared" si="104"/>
        <v>316.33416666666744</v>
      </c>
    </row>
    <row r="1327" spans="1:15">
      <c r="A1327" s="1" t="s">
        <v>1432</v>
      </c>
      <c r="B1327" s="23">
        <v>45058.455555555556</v>
      </c>
      <c r="C1327" s="1" t="s">
        <v>43</v>
      </c>
      <c r="D1327" s="1" t="s">
        <v>17</v>
      </c>
      <c r="E1327" s="1" t="s">
        <v>33</v>
      </c>
      <c r="F1327" s="1" t="s">
        <v>134</v>
      </c>
      <c r="G1327" s="1">
        <v>152</v>
      </c>
      <c r="H1327" s="23">
        <v>45064.913877314815</v>
      </c>
      <c r="I1327" s="1" t="b">
        <v>0</v>
      </c>
      <c r="K1327" s="10">
        <f t="shared" si="102"/>
        <v>154.9997222222155</v>
      </c>
      <c r="L1327" s="1" t="str">
        <f t="shared" si="103"/>
        <v>OK</v>
      </c>
      <c r="M1327" s="1">
        <f t="shared" si="100"/>
        <v>1</v>
      </c>
      <c r="N1327" s="1">
        <f t="shared" si="101"/>
        <v>152</v>
      </c>
      <c r="O1327" s="10">
        <f t="shared" si="104"/>
        <v>154.9997222222155</v>
      </c>
    </row>
    <row r="1328" spans="1:15">
      <c r="A1328" s="1" t="s">
        <v>1433</v>
      </c>
      <c r="B1328" s="23">
        <v>45058.474999999999</v>
      </c>
      <c r="C1328" s="1" t="s">
        <v>11</v>
      </c>
      <c r="D1328" s="1" t="s">
        <v>17</v>
      </c>
      <c r="E1328" s="1" t="s">
        <v>13</v>
      </c>
      <c r="F1328" s="1" t="s">
        <v>234</v>
      </c>
      <c r="G1328" s="1">
        <v>77</v>
      </c>
      <c r="H1328" s="23">
        <v>45058.906701388885</v>
      </c>
      <c r="I1328" s="1" t="b">
        <v>0</v>
      </c>
      <c r="J1328" s="1">
        <v>5</v>
      </c>
      <c r="K1328" s="10">
        <f t="shared" si="102"/>
        <v>10.360833333281334</v>
      </c>
      <c r="L1328" s="1" t="str">
        <f t="shared" si="103"/>
        <v>OK</v>
      </c>
      <c r="M1328" s="1">
        <f t="shared" si="100"/>
        <v>1</v>
      </c>
      <c r="N1328" s="1">
        <f t="shared" si="101"/>
        <v>77</v>
      </c>
      <c r="O1328" s="10">
        <f t="shared" si="104"/>
        <v>10.360833333281334</v>
      </c>
    </row>
    <row r="1329" spans="1:15">
      <c r="A1329" s="1" t="s">
        <v>1434</v>
      </c>
      <c r="B1329" s="23">
        <v>45058.740277777775</v>
      </c>
      <c r="C1329" s="1" t="s">
        <v>43</v>
      </c>
      <c r="D1329" s="1" t="s">
        <v>17</v>
      </c>
      <c r="E1329" s="1" t="s">
        <v>22</v>
      </c>
      <c r="F1329" s="1" t="s">
        <v>92</v>
      </c>
      <c r="G1329" s="1">
        <v>46</v>
      </c>
      <c r="H1329" s="23">
        <v>45059.304872685185</v>
      </c>
      <c r="I1329" s="1" t="b">
        <v>0</v>
      </c>
      <c r="K1329" s="10">
        <f t="shared" si="102"/>
        <v>13.55027777783107</v>
      </c>
      <c r="L1329" s="1" t="str">
        <f t="shared" si="103"/>
        <v>OK</v>
      </c>
      <c r="M1329" s="1">
        <f t="shared" si="100"/>
        <v>1</v>
      </c>
      <c r="N1329" s="1">
        <f t="shared" si="101"/>
        <v>46</v>
      </c>
      <c r="O1329" s="10">
        <f t="shared" si="104"/>
        <v>13.55027777783107</v>
      </c>
    </row>
    <row r="1330" spans="1:15">
      <c r="A1330" s="1" t="s">
        <v>1435</v>
      </c>
      <c r="B1330" s="23">
        <v>45058.750694444447</v>
      </c>
      <c r="C1330" s="1" t="s">
        <v>25</v>
      </c>
      <c r="D1330" s="1" t="s">
        <v>59</v>
      </c>
      <c r="E1330" s="1" t="s">
        <v>33</v>
      </c>
      <c r="F1330" s="1" t="s">
        <v>259</v>
      </c>
      <c r="G1330" s="1">
        <v>171</v>
      </c>
      <c r="H1330" s="23">
        <v>45063.814965277779</v>
      </c>
      <c r="I1330" s="1" t="b">
        <v>0</v>
      </c>
      <c r="K1330" s="10">
        <f t="shared" si="102"/>
        <v>121.54249999998137</v>
      </c>
      <c r="L1330" s="1" t="str">
        <f t="shared" si="103"/>
        <v>OK</v>
      </c>
      <c r="M1330" s="1">
        <f t="shared" si="100"/>
        <v>1</v>
      </c>
      <c r="N1330" s="1">
        <f t="shared" si="101"/>
        <v>171</v>
      </c>
      <c r="O1330" s="10">
        <f t="shared" si="104"/>
        <v>121.54249999998137</v>
      </c>
    </row>
    <row r="1331" spans="1:15">
      <c r="A1331" s="1" t="s">
        <v>1436</v>
      </c>
      <c r="B1331" s="23">
        <v>45058.763888888891</v>
      </c>
      <c r="C1331" s="1" t="s">
        <v>11</v>
      </c>
      <c r="D1331" s="1" t="s">
        <v>21</v>
      </c>
      <c r="E1331" s="1" t="s">
        <v>33</v>
      </c>
      <c r="F1331" s="1" t="s">
        <v>178</v>
      </c>
      <c r="G1331" s="1">
        <v>91</v>
      </c>
      <c r="H1331" s="23">
        <v>45059.737592592595</v>
      </c>
      <c r="I1331" s="1" t="b">
        <v>0</v>
      </c>
      <c r="K1331" s="10">
        <f t="shared" si="102"/>
        <v>23.368888888915535</v>
      </c>
      <c r="L1331" s="1" t="str">
        <f t="shared" si="103"/>
        <v>OK</v>
      </c>
      <c r="M1331" s="1">
        <f t="shared" si="100"/>
        <v>1</v>
      </c>
      <c r="N1331" s="1">
        <f t="shared" si="101"/>
        <v>91</v>
      </c>
      <c r="O1331" s="10">
        <f t="shared" si="104"/>
        <v>23.368888888915535</v>
      </c>
    </row>
    <row r="1332" spans="1:15">
      <c r="A1332" s="1" t="s">
        <v>1437</v>
      </c>
      <c r="B1332" s="23">
        <v>45058.809027777781</v>
      </c>
      <c r="C1332" s="1" t="s">
        <v>16</v>
      </c>
      <c r="D1332" s="1" t="s">
        <v>59</v>
      </c>
      <c r="E1332" s="1" t="s">
        <v>18</v>
      </c>
      <c r="F1332" s="1" t="s">
        <v>19</v>
      </c>
      <c r="G1332" s="1">
        <v>13</v>
      </c>
      <c r="H1332" s="23">
        <v>45059.714999999997</v>
      </c>
      <c r="I1332" s="1" t="b">
        <v>0</v>
      </c>
      <c r="K1332" s="10">
        <f t="shared" si="102"/>
        <v>21.743333333171904</v>
      </c>
      <c r="L1332" s="1" t="str">
        <f t="shared" si="103"/>
        <v>OK</v>
      </c>
      <c r="M1332" s="1">
        <f t="shared" si="100"/>
        <v>1</v>
      </c>
      <c r="N1332" s="1">
        <f t="shared" si="101"/>
        <v>13</v>
      </c>
      <c r="O1332" s="10">
        <f t="shared" si="104"/>
        <v>21.743333333171904</v>
      </c>
    </row>
    <row r="1333" spans="1:15">
      <c r="A1333" s="1" t="s">
        <v>1438</v>
      </c>
      <c r="B1333" s="23">
        <v>45058.854861111111</v>
      </c>
      <c r="C1333" s="1" t="s">
        <v>16</v>
      </c>
      <c r="D1333" s="1" t="s">
        <v>59</v>
      </c>
      <c r="E1333" s="1" t="s">
        <v>13</v>
      </c>
      <c r="F1333" s="1" t="s">
        <v>302</v>
      </c>
      <c r="G1333" s="1">
        <v>6</v>
      </c>
      <c r="H1333" s="23">
        <v>45059.065497685187</v>
      </c>
      <c r="I1333" s="1" t="b">
        <v>0</v>
      </c>
      <c r="K1333" s="10">
        <f t="shared" si="102"/>
        <v>5.0552777778357267</v>
      </c>
      <c r="L1333" s="1" t="str">
        <f t="shared" si="103"/>
        <v>OK</v>
      </c>
      <c r="M1333" s="1">
        <f t="shared" si="100"/>
        <v>1</v>
      </c>
      <c r="N1333" s="1">
        <f t="shared" si="101"/>
        <v>6</v>
      </c>
      <c r="O1333" s="10">
        <f t="shared" si="104"/>
        <v>5.0552777778357267</v>
      </c>
    </row>
    <row r="1334" spans="1:15">
      <c r="A1334" s="1" t="s">
        <v>1439</v>
      </c>
      <c r="B1334" s="23">
        <v>45058.902777777781</v>
      </c>
      <c r="C1334" s="1" t="s">
        <v>16</v>
      </c>
      <c r="D1334" s="1" t="s">
        <v>17</v>
      </c>
      <c r="E1334" s="1" t="s">
        <v>33</v>
      </c>
      <c r="F1334" s="1" t="s">
        <v>60</v>
      </c>
      <c r="G1334" s="1">
        <v>180</v>
      </c>
      <c r="H1334" s="23">
        <v>45059.417164351849</v>
      </c>
      <c r="I1334" s="1" t="b">
        <v>0</v>
      </c>
      <c r="K1334" s="10">
        <f t="shared" si="102"/>
        <v>12.345277777640149</v>
      </c>
      <c r="L1334" s="1" t="str">
        <f t="shared" si="103"/>
        <v>OK</v>
      </c>
      <c r="M1334" s="1">
        <f t="shared" si="100"/>
        <v>1</v>
      </c>
      <c r="N1334" s="1">
        <f t="shared" si="101"/>
        <v>180</v>
      </c>
      <c r="O1334" s="10">
        <f t="shared" si="104"/>
        <v>12.345277777640149</v>
      </c>
    </row>
    <row r="1335" spans="1:15">
      <c r="A1335" s="1" t="s">
        <v>1440</v>
      </c>
      <c r="B1335" s="23">
        <v>45058.931944444441</v>
      </c>
      <c r="C1335" s="1" t="s">
        <v>11</v>
      </c>
      <c r="D1335" s="1" t="s">
        <v>21</v>
      </c>
      <c r="E1335" s="1" t="s">
        <v>18</v>
      </c>
      <c r="F1335" s="1" t="s">
        <v>226</v>
      </c>
      <c r="H1335" s="23">
        <v>45059.247696759259</v>
      </c>
      <c r="I1335" s="1" t="b">
        <v>1</v>
      </c>
      <c r="J1335" s="1">
        <v>3</v>
      </c>
      <c r="K1335" s="10">
        <f t="shared" si="102"/>
        <v>7.5780555556411855</v>
      </c>
      <c r="L1335" s="1" t="str">
        <f t="shared" si="103"/>
        <v>Cannot check</v>
      </c>
      <c r="M1335" s="1">
        <f t="shared" si="100"/>
        <v>1</v>
      </c>
      <c r="N1335" s="1" t="str">
        <f t="shared" si="101"/>
        <v/>
      </c>
      <c r="O1335" s="10">
        <f t="shared" si="104"/>
        <v>7.5780555556411855</v>
      </c>
    </row>
    <row r="1336" spans="1:15">
      <c r="A1336" s="1" t="s">
        <v>1441</v>
      </c>
      <c r="B1336" s="23">
        <v>45058.966666666667</v>
      </c>
      <c r="C1336" s="1" t="s">
        <v>25</v>
      </c>
      <c r="D1336" s="1" t="s">
        <v>59</v>
      </c>
      <c r="E1336" s="1" t="s">
        <v>33</v>
      </c>
      <c r="F1336" s="1" t="s">
        <v>102</v>
      </c>
      <c r="G1336" s="1">
        <v>144</v>
      </c>
      <c r="H1336" s="23">
        <v>45060.783599537041</v>
      </c>
      <c r="I1336" s="1" t="b">
        <v>0</v>
      </c>
      <c r="K1336" s="10">
        <f t="shared" si="102"/>
        <v>43.606388888962101</v>
      </c>
      <c r="L1336" s="1" t="str">
        <f t="shared" si="103"/>
        <v>OK</v>
      </c>
      <c r="M1336" s="1">
        <f t="shared" si="100"/>
        <v>1</v>
      </c>
      <c r="N1336" s="1">
        <f t="shared" si="101"/>
        <v>144</v>
      </c>
      <c r="O1336" s="10">
        <f t="shared" si="104"/>
        <v>43.606388888962101</v>
      </c>
    </row>
    <row r="1337" spans="1:15">
      <c r="A1337" s="1" t="s">
        <v>1442</v>
      </c>
      <c r="B1337" s="23">
        <v>45059.000694444447</v>
      </c>
      <c r="C1337" s="1" t="s">
        <v>16</v>
      </c>
      <c r="D1337" s="1" t="s">
        <v>21</v>
      </c>
      <c r="E1337" s="1" t="s">
        <v>13</v>
      </c>
      <c r="F1337" s="1" t="s">
        <v>41</v>
      </c>
      <c r="G1337" s="1">
        <v>18</v>
      </c>
      <c r="H1337" s="23">
        <v>45059.555324074077</v>
      </c>
      <c r="I1337" s="1" t="b">
        <v>1</v>
      </c>
      <c r="K1337" s="10">
        <f t="shared" si="102"/>
        <v>13.311111111135688</v>
      </c>
      <c r="L1337" s="1" t="str">
        <f t="shared" si="103"/>
        <v>OK</v>
      </c>
      <c r="M1337" s="1">
        <f t="shared" si="100"/>
        <v>1</v>
      </c>
      <c r="N1337" s="1">
        <f t="shared" si="101"/>
        <v>18</v>
      </c>
      <c r="O1337" s="10">
        <f t="shared" si="104"/>
        <v>13.311111111135688</v>
      </c>
    </row>
    <row r="1338" spans="1:15">
      <c r="A1338" s="1" t="s">
        <v>1443</v>
      </c>
      <c r="B1338" s="23">
        <v>45059.252083333333</v>
      </c>
      <c r="C1338" s="1" t="s">
        <v>11</v>
      </c>
      <c r="D1338" s="1" t="s">
        <v>21</v>
      </c>
      <c r="E1338" s="1" t="s">
        <v>18</v>
      </c>
      <c r="F1338" s="1" t="s">
        <v>274</v>
      </c>
      <c r="G1338" s="1">
        <v>862</v>
      </c>
      <c r="H1338" s="23">
        <v>45060.31890046296</v>
      </c>
      <c r="I1338" s="1" t="b">
        <v>0</v>
      </c>
      <c r="K1338" s="10">
        <f t="shared" si="102"/>
        <v>25.603611111058854</v>
      </c>
      <c r="L1338" s="1" t="str">
        <f t="shared" si="103"/>
        <v>OK</v>
      </c>
      <c r="M1338" s="1">
        <f t="shared" si="100"/>
        <v>1</v>
      </c>
      <c r="N1338" s="1">
        <f t="shared" si="101"/>
        <v>862</v>
      </c>
      <c r="O1338" s="10">
        <f t="shared" si="104"/>
        <v>25.603611111058854</v>
      </c>
    </row>
    <row r="1339" spans="1:15">
      <c r="A1339" s="1" t="s">
        <v>1444</v>
      </c>
      <c r="B1339" s="23">
        <v>45059.260416666664</v>
      </c>
      <c r="C1339" s="1" t="s">
        <v>11</v>
      </c>
      <c r="D1339" s="1" t="s">
        <v>21</v>
      </c>
      <c r="E1339" s="1" t="s">
        <v>18</v>
      </c>
      <c r="F1339" s="1" t="s">
        <v>84</v>
      </c>
      <c r="G1339" s="1">
        <v>121</v>
      </c>
      <c r="H1339" s="23">
        <v>45059.543715277781</v>
      </c>
      <c r="I1339" s="1" t="b">
        <v>0</v>
      </c>
      <c r="K1339" s="10">
        <f t="shared" si="102"/>
        <v>6.7991666668094695</v>
      </c>
      <c r="L1339" s="1" t="str">
        <f t="shared" si="103"/>
        <v>OK</v>
      </c>
      <c r="M1339" s="1">
        <f t="shared" si="100"/>
        <v>1</v>
      </c>
      <c r="N1339" s="1">
        <f t="shared" si="101"/>
        <v>121</v>
      </c>
      <c r="O1339" s="10">
        <f t="shared" si="104"/>
        <v>6.7991666668094695</v>
      </c>
    </row>
    <row r="1340" spans="1:15">
      <c r="A1340" s="1" t="s">
        <v>1445</v>
      </c>
      <c r="B1340" s="23">
        <v>45059.368055555555</v>
      </c>
      <c r="C1340" s="1" t="s">
        <v>25</v>
      </c>
      <c r="D1340" s="1" t="s">
        <v>17</v>
      </c>
      <c r="E1340" s="1" t="s">
        <v>18</v>
      </c>
      <c r="F1340" s="1" t="s">
        <v>110</v>
      </c>
      <c r="G1340" s="1">
        <v>86</v>
      </c>
      <c r="H1340" s="23">
        <v>45059.942523148151</v>
      </c>
      <c r="I1340" s="1" t="b">
        <v>0</v>
      </c>
      <c r="K1340" s="10">
        <f t="shared" si="102"/>
        <v>13.787222222308628</v>
      </c>
      <c r="L1340" s="1" t="str">
        <f t="shared" si="103"/>
        <v>OK</v>
      </c>
      <c r="M1340" s="1">
        <f t="shared" si="100"/>
        <v>1</v>
      </c>
      <c r="N1340" s="1">
        <f t="shared" si="101"/>
        <v>86</v>
      </c>
      <c r="O1340" s="10">
        <f t="shared" si="104"/>
        <v>13.787222222308628</v>
      </c>
    </row>
    <row r="1341" spans="1:15">
      <c r="A1341" s="1" t="s">
        <v>1446</v>
      </c>
      <c r="B1341" s="23">
        <v>45059.556250000001</v>
      </c>
      <c r="C1341" s="1" t="s">
        <v>11</v>
      </c>
      <c r="D1341" s="1" t="s">
        <v>12</v>
      </c>
      <c r="E1341" s="1" t="s">
        <v>18</v>
      </c>
      <c r="F1341" s="1" t="s">
        <v>118</v>
      </c>
      <c r="G1341" s="1">
        <v>30</v>
      </c>
      <c r="H1341" s="23">
        <v>45059.899085648147</v>
      </c>
      <c r="I1341" s="1" t="b">
        <v>0</v>
      </c>
      <c r="K1341" s="10">
        <f t="shared" si="102"/>
        <v>8.2280555554898456</v>
      </c>
      <c r="L1341" s="1" t="str">
        <f t="shared" si="103"/>
        <v>OK</v>
      </c>
      <c r="M1341" s="1">
        <f t="shared" si="100"/>
        <v>1</v>
      </c>
      <c r="N1341" s="1">
        <f t="shared" si="101"/>
        <v>30</v>
      </c>
      <c r="O1341" s="10">
        <f t="shared" si="104"/>
        <v>8.2280555554898456</v>
      </c>
    </row>
    <row r="1342" spans="1:15">
      <c r="A1342" s="1" t="s">
        <v>1447</v>
      </c>
      <c r="B1342" s="23">
        <v>45059.859722222223</v>
      </c>
      <c r="C1342" s="1" t="s">
        <v>16</v>
      </c>
      <c r="D1342" s="1" t="s">
        <v>26</v>
      </c>
      <c r="E1342" s="1" t="s">
        <v>18</v>
      </c>
      <c r="F1342" s="1" t="s">
        <v>27</v>
      </c>
      <c r="G1342" s="1">
        <v>251</v>
      </c>
      <c r="H1342" s="23">
        <v>45068.652754629627</v>
      </c>
      <c r="I1342" s="1" t="b">
        <v>0</v>
      </c>
      <c r="K1342" s="10">
        <f t="shared" si="102"/>
        <v>211.03277777769836</v>
      </c>
      <c r="L1342" s="1" t="str">
        <f t="shared" si="103"/>
        <v>OK</v>
      </c>
      <c r="M1342" s="1">
        <f t="shared" si="100"/>
        <v>1</v>
      </c>
      <c r="N1342" s="1">
        <f t="shared" si="101"/>
        <v>251</v>
      </c>
      <c r="O1342" s="10">
        <f t="shared" si="104"/>
        <v>211.03277777769836</v>
      </c>
    </row>
    <row r="1343" spans="1:15">
      <c r="A1343" s="1" t="s">
        <v>1448</v>
      </c>
      <c r="B1343" s="23">
        <v>45059.872916666667</v>
      </c>
      <c r="C1343" s="1" t="s">
        <v>25</v>
      </c>
      <c r="D1343" s="1" t="s">
        <v>17</v>
      </c>
      <c r="E1343" s="1" t="s">
        <v>18</v>
      </c>
      <c r="F1343" s="1" t="s">
        <v>19</v>
      </c>
      <c r="G1343" s="1">
        <v>531</v>
      </c>
      <c r="H1343" s="23">
        <v>45061.794120370374</v>
      </c>
      <c r="I1343" s="1" t="b">
        <v>0</v>
      </c>
      <c r="K1343" s="10">
        <f t="shared" si="102"/>
        <v>46.108888888964429</v>
      </c>
      <c r="L1343" s="1" t="str">
        <f t="shared" si="103"/>
        <v>OK</v>
      </c>
      <c r="M1343" s="1">
        <f t="shared" si="100"/>
        <v>1</v>
      </c>
      <c r="N1343" s="1">
        <f t="shared" si="101"/>
        <v>531</v>
      </c>
      <c r="O1343" s="10">
        <f t="shared" si="104"/>
        <v>46.108888888964429</v>
      </c>
    </row>
    <row r="1344" spans="1:15">
      <c r="A1344" s="1" t="s">
        <v>1449</v>
      </c>
      <c r="B1344" s="23">
        <v>45059.873611111114</v>
      </c>
      <c r="C1344" s="1" t="s">
        <v>11</v>
      </c>
      <c r="D1344" s="1" t="s">
        <v>12</v>
      </c>
      <c r="E1344" s="1" t="s">
        <v>18</v>
      </c>
      <c r="F1344" s="1" t="s">
        <v>23</v>
      </c>
      <c r="G1344" s="1">
        <v>57</v>
      </c>
      <c r="H1344" s="23">
        <v>45060.562662037039</v>
      </c>
      <c r="I1344" s="1" t="b">
        <v>0</v>
      </c>
      <c r="K1344" s="10">
        <f t="shared" si="102"/>
        <v>16.537222222192213</v>
      </c>
      <c r="L1344" s="1" t="str">
        <f t="shared" si="103"/>
        <v>OK</v>
      </c>
      <c r="M1344" s="1">
        <f t="shared" si="100"/>
        <v>1</v>
      </c>
      <c r="N1344" s="1">
        <f t="shared" si="101"/>
        <v>57</v>
      </c>
      <c r="O1344" s="10">
        <f t="shared" si="104"/>
        <v>16.537222222192213</v>
      </c>
    </row>
    <row r="1345" spans="1:15">
      <c r="A1345" s="1" t="s">
        <v>1450</v>
      </c>
      <c r="B1345" s="23">
        <v>45059.913194444445</v>
      </c>
      <c r="C1345" s="1" t="s">
        <v>16</v>
      </c>
      <c r="D1345" s="1" t="s">
        <v>21</v>
      </c>
      <c r="E1345" s="1" t="s">
        <v>33</v>
      </c>
      <c r="F1345" s="1" t="s">
        <v>98</v>
      </c>
      <c r="G1345" s="1">
        <v>301</v>
      </c>
      <c r="H1345" s="23">
        <v>45060.571620370371</v>
      </c>
      <c r="I1345" s="1" t="b">
        <v>0</v>
      </c>
      <c r="J1345" s="1">
        <v>5</v>
      </c>
      <c r="K1345" s="10">
        <f t="shared" si="102"/>
        <v>15.802222222206183</v>
      </c>
      <c r="L1345" s="1" t="str">
        <f t="shared" si="103"/>
        <v>OK</v>
      </c>
      <c r="M1345" s="1">
        <f t="shared" si="100"/>
        <v>1</v>
      </c>
      <c r="N1345" s="1">
        <f t="shared" si="101"/>
        <v>301</v>
      </c>
      <c r="O1345" s="10">
        <f t="shared" si="104"/>
        <v>15.802222222206183</v>
      </c>
    </row>
    <row r="1346" spans="1:15">
      <c r="A1346" s="1" t="s">
        <v>1451</v>
      </c>
      <c r="B1346" s="23">
        <v>45060.20416666667</v>
      </c>
      <c r="C1346" s="1" t="s">
        <v>16</v>
      </c>
      <c r="D1346" s="1" t="s">
        <v>21</v>
      </c>
      <c r="E1346" s="1" t="s">
        <v>22</v>
      </c>
      <c r="F1346" s="1" t="s">
        <v>44</v>
      </c>
      <c r="G1346" s="1">
        <v>29</v>
      </c>
      <c r="H1346" s="23">
        <v>45060.215081018519</v>
      </c>
      <c r="I1346" s="1" t="b">
        <v>0</v>
      </c>
      <c r="K1346" s="10">
        <f t="shared" si="102"/>
        <v>0.26194444438442588</v>
      </c>
      <c r="L1346" s="1" t="str">
        <f t="shared" si="103"/>
        <v>Review</v>
      </c>
      <c r="M1346" s="1">
        <f t="shared" ref="M1346:M1409" si="105">COUNTIF($A$2:$A$4001,A1346)</f>
        <v>1</v>
      </c>
      <c r="N1346" s="1" t="str">
        <f t="shared" ref="N1346:N1409" si="106">IF(OR(L1346="Review",G1346=""),"",G1346)</f>
        <v/>
      </c>
      <c r="O1346" s="10" t="str">
        <f t="shared" si="104"/>
        <v/>
      </c>
    </row>
    <row r="1347" spans="1:15">
      <c r="A1347" s="1" t="s">
        <v>1452</v>
      </c>
      <c r="B1347" s="23">
        <v>45060.279166666667</v>
      </c>
      <c r="C1347" s="1" t="s">
        <v>43</v>
      </c>
      <c r="D1347" s="1" t="s">
        <v>26</v>
      </c>
      <c r="E1347" s="1" t="s">
        <v>18</v>
      </c>
      <c r="F1347" s="1" t="s">
        <v>62</v>
      </c>
      <c r="G1347" s="1">
        <v>227</v>
      </c>
      <c r="H1347" s="23">
        <v>45062.889363425929</v>
      </c>
      <c r="I1347" s="1" t="b">
        <v>1</v>
      </c>
      <c r="J1347" s="1">
        <v>4</v>
      </c>
      <c r="K1347" s="10">
        <f t="shared" ref="K1347:K1410" si="107">IF(H1347="","",(H1347-B1347)*24)</f>
        <v>62.64472222229233</v>
      </c>
      <c r="L1347" s="1" t="str">
        <f t="shared" ref="L1347:L1410" si="108">IF(OR(G1347="",K1347=""),"Cannot check",IF(G1347&gt;K1347*60,"Review","OK"))</f>
        <v>OK</v>
      </c>
      <c r="M1347" s="1">
        <f t="shared" si="105"/>
        <v>1</v>
      </c>
      <c r="N1347" s="1">
        <f t="shared" si="106"/>
        <v>227</v>
      </c>
      <c r="O1347" s="10">
        <f t="shared" ref="O1347:O1410" si="109">IF(OR(L1347="Review",K1347=""),"",K1347)</f>
        <v>62.64472222229233</v>
      </c>
    </row>
    <row r="1348" spans="1:15">
      <c r="A1348" s="1" t="s">
        <v>1453</v>
      </c>
      <c r="B1348" s="23">
        <v>45060.313194444447</v>
      </c>
      <c r="C1348" s="1" t="s">
        <v>25</v>
      </c>
      <c r="D1348" s="1" t="s">
        <v>26</v>
      </c>
      <c r="E1348" s="1" t="s">
        <v>18</v>
      </c>
      <c r="F1348" s="1" t="s">
        <v>90</v>
      </c>
      <c r="G1348" s="1">
        <v>484</v>
      </c>
      <c r="H1348" s="23">
        <v>45061.64267361111</v>
      </c>
      <c r="I1348" s="1" t="b">
        <v>0</v>
      </c>
      <c r="K1348" s="10">
        <f t="shared" si="107"/>
        <v>31.907499999913853</v>
      </c>
      <c r="L1348" s="1" t="str">
        <f t="shared" si="108"/>
        <v>OK</v>
      </c>
      <c r="M1348" s="1">
        <f t="shared" si="105"/>
        <v>1</v>
      </c>
      <c r="N1348" s="1">
        <f t="shared" si="106"/>
        <v>484</v>
      </c>
      <c r="O1348" s="10">
        <f t="shared" si="109"/>
        <v>31.907499999913853</v>
      </c>
    </row>
    <row r="1349" spans="1:15">
      <c r="A1349" s="1" t="s">
        <v>1454</v>
      </c>
      <c r="B1349" s="23">
        <v>45060.372916666667</v>
      </c>
      <c r="C1349" s="1" t="s">
        <v>16</v>
      </c>
      <c r="D1349" s="1" t="s">
        <v>17</v>
      </c>
      <c r="E1349" s="1" t="s">
        <v>18</v>
      </c>
      <c r="F1349" s="1" t="s">
        <v>110</v>
      </c>
      <c r="G1349" s="1">
        <v>195</v>
      </c>
      <c r="H1349" s="23">
        <v>45062.063310185185</v>
      </c>
      <c r="I1349" s="1" t="b">
        <v>0</v>
      </c>
      <c r="K1349" s="10">
        <f t="shared" si="107"/>
        <v>40.569444444437977</v>
      </c>
      <c r="L1349" s="1" t="str">
        <f t="shared" si="108"/>
        <v>OK</v>
      </c>
      <c r="M1349" s="1">
        <f t="shared" si="105"/>
        <v>1</v>
      </c>
      <c r="N1349" s="1">
        <f t="shared" si="106"/>
        <v>195</v>
      </c>
      <c r="O1349" s="10">
        <f t="shared" si="109"/>
        <v>40.569444444437977</v>
      </c>
    </row>
    <row r="1350" spans="1:15">
      <c r="A1350" s="1" t="s">
        <v>1455</v>
      </c>
      <c r="B1350" s="23">
        <v>45060.479166666664</v>
      </c>
      <c r="C1350" s="1" t="s">
        <v>25</v>
      </c>
      <c r="D1350" s="1" t="s">
        <v>59</v>
      </c>
      <c r="E1350" s="1" t="s">
        <v>18</v>
      </c>
      <c r="F1350" s="1" t="s">
        <v>80</v>
      </c>
      <c r="G1350" s="1">
        <v>275</v>
      </c>
      <c r="H1350" s="23">
        <v>45065.779976851853</v>
      </c>
      <c r="I1350" s="1" t="b">
        <v>0</v>
      </c>
      <c r="K1350" s="10">
        <f t="shared" si="107"/>
        <v>127.21944444451947</v>
      </c>
      <c r="L1350" s="1" t="str">
        <f t="shared" si="108"/>
        <v>OK</v>
      </c>
      <c r="M1350" s="1">
        <f t="shared" si="105"/>
        <v>1</v>
      </c>
      <c r="N1350" s="1">
        <f t="shared" si="106"/>
        <v>275</v>
      </c>
      <c r="O1350" s="10">
        <f t="shared" si="109"/>
        <v>127.21944444451947</v>
      </c>
    </row>
    <row r="1351" spans="1:15">
      <c r="A1351" s="1" t="s">
        <v>1456</v>
      </c>
      <c r="B1351" s="23">
        <v>45060.542361111111</v>
      </c>
      <c r="C1351" s="1" t="s">
        <v>25</v>
      </c>
      <c r="D1351" s="1" t="s">
        <v>21</v>
      </c>
      <c r="E1351" s="1" t="s">
        <v>33</v>
      </c>
      <c r="F1351" s="1" t="s">
        <v>148</v>
      </c>
      <c r="G1351" s="1">
        <v>101</v>
      </c>
      <c r="H1351" s="23">
        <v>45065.495335648149</v>
      </c>
      <c r="I1351" s="1" t="b">
        <v>0</v>
      </c>
      <c r="K1351" s="10">
        <f t="shared" si="107"/>
        <v>118.87138888891786</v>
      </c>
      <c r="L1351" s="1" t="str">
        <f t="shared" si="108"/>
        <v>OK</v>
      </c>
      <c r="M1351" s="1">
        <f t="shared" si="105"/>
        <v>1</v>
      </c>
      <c r="N1351" s="1">
        <f t="shared" si="106"/>
        <v>101</v>
      </c>
      <c r="O1351" s="10">
        <f t="shared" si="109"/>
        <v>118.87138888891786</v>
      </c>
    </row>
    <row r="1352" spans="1:15">
      <c r="A1352" s="1" t="s">
        <v>1457</v>
      </c>
      <c r="B1352" s="23">
        <v>45060.554861111108</v>
      </c>
      <c r="C1352" s="1" t="s">
        <v>25</v>
      </c>
      <c r="D1352" s="1" t="s">
        <v>21</v>
      </c>
      <c r="E1352" s="1" t="s">
        <v>18</v>
      </c>
      <c r="F1352" s="1" t="s">
        <v>116</v>
      </c>
      <c r="G1352" s="1">
        <v>7</v>
      </c>
      <c r="H1352" s="23">
        <v>45062.657048611109</v>
      </c>
      <c r="I1352" s="1" t="b">
        <v>0</v>
      </c>
      <c r="K1352" s="10">
        <f t="shared" si="107"/>
        <v>50.45250000001397</v>
      </c>
      <c r="L1352" s="1" t="str">
        <f t="shared" si="108"/>
        <v>OK</v>
      </c>
      <c r="M1352" s="1">
        <f t="shared" si="105"/>
        <v>1</v>
      </c>
      <c r="N1352" s="1">
        <f t="shared" si="106"/>
        <v>7</v>
      </c>
      <c r="O1352" s="10">
        <f t="shared" si="109"/>
        <v>50.45250000001397</v>
      </c>
    </row>
    <row r="1353" spans="1:15">
      <c r="A1353" s="1" t="s">
        <v>1458</v>
      </c>
      <c r="B1353" s="23">
        <v>45060.734722222223</v>
      </c>
      <c r="C1353" s="1" t="s">
        <v>43</v>
      </c>
      <c r="D1353" s="1" t="s">
        <v>21</v>
      </c>
      <c r="E1353" s="1" t="s">
        <v>18</v>
      </c>
      <c r="F1353" s="1" t="s">
        <v>148</v>
      </c>
      <c r="G1353" s="1">
        <v>261</v>
      </c>
      <c r="H1353" s="23">
        <v>45061.957685185182</v>
      </c>
      <c r="I1353" s="1" t="b">
        <v>0</v>
      </c>
      <c r="K1353" s="10">
        <f t="shared" si="107"/>
        <v>29.351111110998318</v>
      </c>
      <c r="L1353" s="1" t="str">
        <f t="shared" si="108"/>
        <v>OK</v>
      </c>
      <c r="M1353" s="1">
        <f t="shared" si="105"/>
        <v>1</v>
      </c>
      <c r="N1353" s="1">
        <f t="shared" si="106"/>
        <v>261</v>
      </c>
      <c r="O1353" s="10">
        <f t="shared" si="109"/>
        <v>29.351111110998318</v>
      </c>
    </row>
    <row r="1354" spans="1:15">
      <c r="A1354" s="1" t="s">
        <v>1459</v>
      </c>
      <c r="B1354" s="23">
        <v>45060.829861111109</v>
      </c>
      <c r="C1354" s="1" t="s">
        <v>11</v>
      </c>
      <c r="D1354" s="1" t="s">
        <v>26</v>
      </c>
      <c r="E1354" s="1" t="s">
        <v>18</v>
      </c>
      <c r="F1354" s="1" t="s">
        <v>50</v>
      </c>
      <c r="G1354" s="1">
        <v>221</v>
      </c>
      <c r="H1354" s="23">
        <v>45064.260648148149</v>
      </c>
      <c r="I1354" s="1" t="b">
        <v>0</v>
      </c>
      <c r="K1354" s="10">
        <f t="shared" si="107"/>
        <v>82.338888888945803</v>
      </c>
      <c r="L1354" s="1" t="str">
        <f t="shared" si="108"/>
        <v>OK</v>
      </c>
      <c r="M1354" s="1">
        <f t="shared" si="105"/>
        <v>1</v>
      </c>
      <c r="N1354" s="1">
        <f t="shared" si="106"/>
        <v>221</v>
      </c>
      <c r="O1354" s="10">
        <f t="shared" si="109"/>
        <v>82.338888888945803</v>
      </c>
    </row>
    <row r="1355" spans="1:15">
      <c r="A1355" s="1" t="s">
        <v>1460</v>
      </c>
      <c r="B1355" s="23">
        <v>45060.863888888889</v>
      </c>
      <c r="C1355" s="1" t="s">
        <v>11</v>
      </c>
      <c r="D1355" s="1" t="s">
        <v>12</v>
      </c>
      <c r="E1355" s="1" t="s">
        <v>13</v>
      </c>
      <c r="F1355" s="1" t="s">
        <v>234</v>
      </c>
      <c r="H1355" s="23">
        <v>45062.06177083333</v>
      </c>
      <c r="I1355" s="1" t="b">
        <v>0</v>
      </c>
      <c r="K1355" s="10">
        <f t="shared" si="107"/>
        <v>28.74916666658828</v>
      </c>
      <c r="L1355" s="1" t="str">
        <f t="shared" si="108"/>
        <v>Cannot check</v>
      </c>
      <c r="M1355" s="1">
        <f t="shared" si="105"/>
        <v>1</v>
      </c>
      <c r="N1355" s="1" t="str">
        <f t="shared" si="106"/>
        <v/>
      </c>
      <c r="O1355" s="10">
        <f t="shared" si="109"/>
        <v>28.74916666658828</v>
      </c>
    </row>
    <row r="1356" spans="1:15">
      <c r="A1356" s="1" t="s">
        <v>1461</v>
      </c>
      <c r="B1356" s="23">
        <v>45060.976388888892</v>
      </c>
      <c r="C1356" s="1" t="s">
        <v>11</v>
      </c>
      <c r="D1356" s="1" t="s">
        <v>12</v>
      </c>
      <c r="E1356" s="1" t="s">
        <v>33</v>
      </c>
      <c r="F1356" s="1" t="s">
        <v>57</v>
      </c>
      <c r="G1356" s="1">
        <v>83</v>
      </c>
      <c r="H1356" s="23">
        <v>45062.363761574074</v>
      </c>
      <c r="I1356" s="1" t="b">
        <v>0</v>
      </c>
      <c r="K1356" s="10">
        <f t="shared" si="107"/>
        <v>33.296944444358815</v>
      </c>
      <c r="L1356" s="1" t="str">
        <f t="shared" si="108"/>
        <v>OK</v>
      </c>
      <c r="M1356" s="1">
        <f t="shared" si="105"/>
        <v>1</v>
      </c>
      <c r="N1356" s="1">
        <f t="shared" si="106"/>
        <v>83</v>
      </c>
      <c r="O1356" s="10">
        <f t="shared" si="109"/>
        <v>33.296944444358815</v>
      </c>
    </row>
    <row r="1357" spans="1:15">
      <c r="A1357" s="1" t="s">
        <v>1462</v>
      </c>
      <c r="B1357" s="23">
        <v>45060.982638888891</v>
      </c>
      <c r="C1357" s="1" t="s">
        <v>43</v>
      </c>
      <c r="D1357" s="1" t="s">
        <v>21</v>
      </c>
      <c r="E1357" s="1" t="s">
        <v>18</v>
      </c>
      <c r="F1357" s="1" t="s">
        <v>198</v>
      </c>
      <c r="G1357" s="1">
        <v>115</v>
      </c>
      <c r="H1357" s="23">
        <v>45061.97084490741</v>
      </c>
      <c r="I1357" s="1" t="b">
        <v>0</v>
      </c>
      <c r="K1357" s="10">
        <f t="shared" si="107"/>
        <v>23.716944444458932</v>
      </c>
      <c r="L1357" s="1" t="str">
        <f t="shared" si="108"/>
        <v>OK</v>
      </c>
      <c r="M1357" s="1">
        <f t="shared" si="105"/>
        <v>1</v>
      </c>
      <c r="N1357" s="1">
        <f t="shared" si="106"/>
        <v>115</v>
      </c>
      <c r="O1357" s="10">
        <f t="shared" si="109"/>
        <v>23.716944444458932</v>
      </c>
    </row>
    <row r="1358" spans="1:15">
      <c r="A1358" s="1" t="s">
        <v>1463</v>
      </c>
      <c r="B1358" s="23">
        <v>45061.022222222222</v>
      </c>
      <c r="C1358" s="1" t="s">
        <v>25</v>
      </c>
      <c r="D1358" s="1" t="s">
        <v>17</v>
      </c>
      <c r="E1358" s="1" t="s">
        <v>33</v>
      </c>
      <c r="F1358" s="1" t="s">
        <v>48</v>
      </c>
      <c r="G1358" s="1">
        <v>419</v>
      </c>
      <c r="H1358" s="23">
        <v>45061.806712962964</v>
      </c>
      <c r="I1358" s="1" t="b">
        <v>0</v>
      </c>
      <c r="J1358" s="1">
        <v>2</v>
      </c>
      <c r="K1358" s="10">
        <f t="shared" si="107"/>
        <v>18.827777777798474</v>
      </c>
      <c r="L1358" s="1" t="str">
        <f t="shared" si="108"/>
        <v>OK</v>
      </c>
      <c r="M1358" s="1">
        <f t="shared" si="105"/>
        <v>1</v>
      </c>
      <c r="N1358" s="1">
        <f t="shared" si="106"/>
        <v>419</v>
      </c>
      <c r="O1358" s="10">
        <f t="shared" si="109"/>
        <v>18.827777777798474</v>
      </c>
    </row>
    <row r="1359" spans="1:15">
      <c r="A1359" s="1" t="s">
        <v>1464</v>
      </c>
      <c r="B1359" s="23">
        <v>45061.116666666669</v>
      </c>
      <c r="C1359" s="1" t="s">
        <v>11</v>
      </c>
      <c r="D1359" s="1" t="s">
        <v>21</v>
      </c>
      <c r="E1359" s="1" t="s">
        <v>13</v>
      </c>
      <c r="F1359" s="1" t="s">
        <v>100</v>
      </c>
      <c r="G1359" s="1">
        <v>89</v>
      </c>
      <c r="H1359" s="23">
        <v>45061.931354166663</v>
      </c>
      <c r="I1359" s="1" t="b">
        <v>0</v>
      </c>
      <c r="K1359" s="10">
        <f t="shared" si="107"/>
        <v>19.552499999874271</v>
      </c>
      <c r="L1359" s="1" t="str">
        <f t="shared" si="108"/>
        <v>OK</v>
      </c>
      <c r="M1359" s="1">
        <f t="shared" si="105"/>
        <v>1</v>
      </c>
      <c r="N1359" s="1">
        <f t="shared" si="106"/>
        <v>89</v>
      </c>
      <c r="O1359" s="10">
        <f t="shared" si="109"/>
        <v>19.552499999874271</v>
      </c>
    </row>
    <row r="1360" spans="1:15">
      <c r="A1360" s="1" t="s">
        <v>1465</v>
      </c>
      <c r="B1360" s="23">
        <v>45061.122916666667</v>
      </c>
      <c r="C1360" s="1" t="s">
        <v>11</v>
      </c>
      <c r="D1360" s="1" t="s">
        <v>59</v>
      </c>
      <c r="E1360" s="1" t="s">
        <v>18</v>
      </c>
      <c r="F1360" s="1" t="s">
        <v>228</v>
      </c>
      <c r="G1360" s="1">
        <v>38</v>
      </c>
      <c r="H1360" s="23">
        <v>45062.69976851852</v>
      </c>
      <c r="I1360" s="1" t="b">
        <v>0</v>
      </c>
      <c r="J1360" s="1">
        <v>5</v>
      </c>
      <c r="K1360" s="10">
        <f t="shared" si="107"/>
        <v>37.84444444446126</v>
      </c>
      <c r="L1360" s="1" t="str">
        <f t="shared" si="108"/>
        <v>OK</v>
      </c>
      <c r="M1360" s="1">
        <f t="shared" si="105"/>
        <v>1</v>
      </c>
      <c r="N1360" s="1">
        <f t="shared" si="106"/>
        <v>38</v>
      </c>
      <c r="O1360" s="10">
        <f t="shared" si="109"/>
        <v>37.84444444446126</v>
      </c>
    </row>
    <row r="1361" spans="1:15">
      <c r="A1361" s="1" t="s">
        <v>1466</v>
      </c>
      <c r="B1361" s="23">
        <v>45061.15902777778</v>
      </c>
      <c r="C1361" s="1" t="s">
        <v>16</v>
      </c>
      <c r="D1361" s="1" t="s">
        <v>26</v>
      </c>
      <c r="E1361" s="1" t="s">
        <v>18</v>
      </c>
      <c r="F1361" s="1" t="s">
        <v>35</v>
      </c>
      <c r="G1361" s="1">
        <v>474</v>
      </c>
      <c r="H1361" s="23">
        <v>45061.203020833331</v>
      </c>
      <c r="I1361" s="1" t="b">
        <v>0</v>
      </c>
      <c r="K1361" s="10">
        <f t="shared" si="107"/>
        <v>1.0558333332301117</v>
      </c>
      <c r="L1361" s="1" t="str">
        <f t="shared" si="108"/>
        <v>Review</v>
      </c>
      <c r="M1361" s="1">
        <f t="shared" si="105"/>
        <v>1</v>
      </c>
      <c r="N1361" s="1" t="str">
        <f t="shared" si="106"/>
        <v/>
      </c>
      <c r="O1361" s="10" t="str">
        <f t="shared" si="109"/>
        <v/>
      </c>
    </row>
    <row r="1362" spans="1:15">
      <c r="A1362" s="1" t="s">
        <v>1467</v>
      </c>
      <c r="B1362" s="23">
        <v>45061.23541666667</v>
      </c>
      <c r="C1362" s="1" t="s">
        <v>16</v>
      </c>
      <c r="D1362" s="1" t="s">
        <v>17</v>
      </c>
      <c r="E1362" s="1" t="s">
        <v>33</v>
      </c>
      <c r="F1362" s="1" t="s">
        <v>228</v>
      </c>
      <c r="G1362" s="1">
        <v>751</v>
      </c>
      <c r="H1362" s="23">
        <v>45067.593831018516</v>
      </c>
      <c r="I1362" s="1" t="b">
        <v>1</v>
      </c>
      <c r="K1362" s="10">
        <f t="shared" si="107"/>
        <v>152.60194444429362</v>
      </c>
      <c r="L1362" s="1" t="str">
        <f t="shared" si="108"/>
        <v>OK</v>
      </c>
      <c r="M1362" s="1">
        <f t="shared" si="105"/>
        <v>1</v>
      </c>
      <c r="N1362" s="1">
        <f t="shared" si="106"/>
        <v>751</v>
      </c>
      <c r="O1362" s="10">
        <f t="shared" si="109"/>
        <v>152.60194444429362</v>
      </c>
    </row>
    <row r="1363" spans="1:15">
      <c r="A1363" s="1" t="s">
        <v>1468</v>
      </c>
      <c r="B1363" s="23">
        <v>45061.745138888888</v>
      </c>
      <c r="C1363" s="1" t="s">
        <v>11</v>
      </c>
      <c r="D1363" s="1" t="s">
        <v>12</v>
      </c>
      <c r="E1363" s="1" t="s">
        <v>22</v>
      </c>
      <c r="F1363" s="1" t="s">
        <v>68</v>
      </c>
      <c r="G1363" s="1">
        <v>19</v>
      </c>
      <c r="H1363" s="23">
        <v>45061.812719907408</v>
      </c>
      <c r="I1363" s="1" t="b">
        <v>0</v>
      </c>
      <c r="K1363" s="10">
        <f t="shared" si="107"/>
        <v>1.6219444444868714</v>
      </c>
      <c r="L1363" s="1" t="str">
        <f t="shared" si="108"/>
        <v>OK</v>
      </c>
      <c r="M1363" s="1">
        <f t="shared" si="105"/>
        <v>1</v>
      </c>
      <c r="N1363" s="1">
        <f t="shared" si="106"/>
        <v>19</v>
      </c>
      <c r="O1363" s="10">
        <f t="shared" si="109"/>
        <v>1.6219444444868714</v>
      </c>
    </row>
    <row r="1364" spans="1:15">
      <c r="A1364" s="1" t="s">
        <v>1469</v>
      </c>
      <c r="B1364" s="23">
        <v>45061.856944444444</v>
      </c>
      <c r="C1364" s="1" t="s">
        <v>43</v>
      </c>
      <c r="D1364" s="1" t="s">
        <v>21</v>
      </c>
      <c r="E1364" s="1" t="s">
        <v>33</v>
      </c>
      <c r="F1364" s="1" t="s">
        <v>198</v>
      </c>
      <c r="G1364" s="1">
        <v>34</v>
      </c>
      <c r="H1364" s="23">
        <v>45063.189571759256</v>
      </c>
      <c r="I1364" s="1" t="b">
        <v>0</v>
      </c>
      <c r="K1364" s="10">
        <f t="shared" si="107"/>
        <v>31.983055555494502</v>
      </c>
      <c r="L1364" s="1" t="str">
        <f t="shared" si="108"/>
        <v>OK</v>
      </c>
      <c r="M1364" s="1">
        <f t="shared" si="105"/>
        <v>1</v>
      </c>
      <c r="N1364" s="1">
        <f t="shared" si="106"/>
        <v>34</v>
      </c>
      <c r="O1364" s="10">
        <f t="shared" si="109"/>
        <v>31.983055555494502</v>
      </c>
    </row>
    <row r="1365" spans="1:15">
      <c r="A1365" s="1" t="s">
        <v>1470</v>
      </c>
      <c r="B1365" s="23">
        <v>45062.150694444441</v>
      </c>
      <c r="C1365" s="1" t="s">
        <v>25</v>
      </c>
      <c r="D1365" s="1" t="s">
        <v>12</v>
      </c>
      <c r="E1365" s="1" t="s">
        <v>13</v>
      </c>
      <c r="F1365" s="1" t="s">
        <v>46</v>
      </c>
      <c r="G1365" s="1">
        <v>162</v>
      </c>
      <c r="H1365" s="23">
        <v>45062.313159722224</v>
      </c>
      <c r="I1365" s="1" t="b">
        <v>1</v>
      </c>
      <c r="K1365" s="10">
        <f t="shared" si="107"/>
        <v>3.8991666667861864</v>
      </c>
      <c r="L1365" s="1" t="str">
        <f t="shared" si="108"/>
        <v>OK</v>
      </c>
      <c r="M1365" s="1">
        <f t="shared" si="105"/>
        <v>1</v>
      </c>
      <c r="N1365" s="1">
        <f t="shared" si="106"/>
        <v>162</v>
      </c>
      <c r="O1365" s="10">
        <f t="shared" si="109"/>
        <v>3.8991666667861864</v>
      </c>
    </row>
    <row r="1366" spans="1:15">
      <c r="A1366" s="1" t="s">
        <v>1471</v>
      </c>
      <c r="B1366" s="23">
        <v>45062.207638888889</v>
      </c>
      <c r="C1366" s="1" t="s">
        <v>11</v>
      </c>
      <c r="D1366" s="1" t="s">
        <v>17</v>
      </c>
      <c r="E1366" s="1" t="s">
        <v>18</v>
      </c>
      <c r="F1366" s="1" t="s">
        <v>118</v>
      </c>
      <c r="G1366" s="1">
        <v>74</v>
      </c>
      <c r="H1366" s="23">
        <v>45063.177430555559</v>
      </c>
      <c r="I1366" s="1" t="b">
        <v>0</v>
      </c>
      <c r="K1366" s="10">
        <f t="shared" si="107"/>
        <v>23.275000000081491</v>
      </c>
      <c r="L1366" s="1" t="str">
        <f t="shared" si="108"/>
        <v>OK</v>
      </c>
      <c r="M1366" s="1">
        <f t="shared" si="105"/>
        <v>1</v>
      </c>
      <c r="N1366" s="1">
        <f t="shared" si="106"/>
        <v>74</v>
      </c>
      <c r="O1366" s="10">
        <f t="shared" si="109"/>
        <v>23.275000000081491</v>
      </c>
    </row>
    <row r="1367" spans="1:15">
      <c r="A1367" s="1" t="s">
        <v>1472</v>
      </c>
      <c r="B1367" s="23">
        <v>45062.280555555553</v>
      </c>
      <c r="C1367" s="1" t="s">
        <v>11</v>
      </c>
      <c r="D1367" s="1" t="s">
        <v>59</v>
      </c>
      <c r="E1367" s="1" t="s">
        <v>18</v>
      </c>
      <c r="F1367" s="1" t="s">
        <v>367</v>
      </c>
      <c r="G1367" s="1">
        <v>141</v>
      </c>
      <c r="I1367" s="1" t="b">
        <v>0</v>
      </c>
      <c r="K1367" s="10" t="str">
        <f t="shared" si="107"/>
        <v/>
      </c>
      <c r="L1367" s="1" t="str">
        <f t="shared" si="108"/>
        <v>Cannot check</v>
      </c>
      <c r="M1367" s="1">
        <f t="shared" si="105"/>
        <v>1</v>
      </c>
      <c r="N1367" s="1">
        <f t="shared" si="106"/>
        <v>141</v>
      </c>
      <c r="O1367" s="10" t="str">
        <f t="shared" si="109"/>
        <v/>
      </c>
    </row>
    <row r="1368" spans="1:15">
      <c r="A1368" s="1" t="s">
        <v>1473</v>
      </c>
      <c r="B1368" s="23">
        <v>45062.504166666666</v>
      </c>
      <c r="C1368" s="1" t="s">
        <v>16</v>
      </c>
      <c r="D1368" s="1" t="s">
        <v>17</v>
      </c>
      <c r="E1368" s="1" t="s">
        <v>13</v>
      </c>
      <c r="F1368" s="1" t="s">
        <v>108</v>
      </c>
      <c r="G1368" s="1">
        <v>127</v>
      </c>
      <c r="H1368" s="23">
        <v>45064.688344907408</v>
      </c>
      <c r="I1368" s="1" t="b">
        <v>0</v>
      </c>
      <c r="K1368" s="10">
        <f t="shared" si="107"/>
        <v>52.420277777826414</v>
      </c>
      <c r="L1368" s="1" t="str">
        <f t="shared" si="108"/>
        <v>OK</v>
      </c>
      <c r="M1368" s="1">
        <f t="shared" si="105"/>
        <v>1</v>
      </c>
      <c r="N1368" s="1">
        <f t="shared" si="106"/>
        <v>127</v>
      </c>
      <c r="O1368" s="10">
        <f t="shared" si="109"/>
        <v>52.420277777826414</v>
      </c>
    </row>
    <row r="1369" spans="1:15">
      <c r="A1369" s="1" t="s">
        <v>1474</v>
      </c>
      <c r="B1369" s="23">
        <v>45062.553472222222</v>
      </c>
      <c r="C1369" s="1" t="s">
        <v>11</v>
      </c>
      <c r="D1369" s="1" t="s">
        <v>59</v>
      </c>
      <c r="E1369" s="1" t="s">
        <v>18</v>
      </c>
      <c r="F1369" s="1" t="s">
        <v>62</v>
      </c>
      <c r="G1369" s="1">
        <v>184</v>
      </c>
      <c r="H1369" s="23">
        <v>45066.931655092594</v>
      </c>
      <c r="I1369" s="1" t="b">
        <v>0</v>
      </c>
      <c r="J1369" s="1">
        <v>5</v>
      </c>
      <c r="K1369" s="10">
        <f t="shared" si="107"/>
        <v>105.07638888893416</v>
      </c>
      <c r="L1369" s="1" t="str">
        <f t="shared" si="108"/>
        <v>OK</v>
      </c>
      <c r="M1369" s="1">
        <f t="shared" si="105"/>
        <v>1</v>
      </c>
      <c r="N1369" s="1">
        <f t="shared" si="106"/>
        <v>184</v>
      </c>
      <c r="O1369" s="10">
        <f t="shared" si="109"/>
        <v>105.07638888893416</v>
      </c>
    </row>
    <row r="1370" spans="1:15">
      <c r="A1370" s="1" t="s">
        <v>1475</v>
      </c>
      <c r="B1370" s="23">
        <v>45062.677083333336</v>
      </c>
      <c r="C1370" s="1" t="s">
        <v>25</v>
      </c>
      <c r="D1370" s="1" t="s">
        <v>26</v>
      </c>
      <c r="E1370" s="1" t="s">
        <v>18</v>
      </c>
      <c r="F1370" s="1" t="s">
        <v>76</v>
      </c>
      <c r="G1370" s="1">
        <v>278</v>
      </c>
      <c r="H1370" s="23">
        <v>45065.946770833332</v>
      </c>
      <c r="I1370" s="1" t="b">
        <v>0</v>
      </c>
      <c r="K1370" s="10">
        <f t="shared" si="107"/>
        <v>78.472499999916181</v>
      </c>
      <c r="L1370" s="1" t="str">
        <f t="shared" si="108"/>
        <v>OK</v>
      </c>
      <c r="M1370" s="1">
        <f t="shared" si="105"/>
        <v>1</v>
      </c>
      <c r="N1370" s="1">
        <f t="shared" si="106"/>
        <v>278</v>
      </c>
      <c r="O1370" s="10">
        <f t="shared" si="109"/>
        <v>78.472499999916181</v>
      </c>
    </row>
    <row r="1371" spans="1:15">
      <c r="A1371" s="1" t="s">
        <v>1476</v>
      </c>
      <c r="B1371" s="23">
        <v>45062.761111111111</v>
      </c>
      <c r="C1371" s="1" t="s">
        <v>25</v>
      </c>
      <c r="D1371" s="1" t="s">
        <v>21</v>
      </c>
      <c r="E1371" s="1" t="s">
        <v>18</v>
      </c>
      <c r="F1371" s="1" t="s">
        <v>50</v>
      </c>
      <c r="G1371" s="1">
        <v>106</v>
      </c>
      <c r="H1371" s="23">
        <v>45065.758159722223</v>
      </c>
      <c r="I1371" s="1" t="b">
        <v>0</v>
      </c>
      <c r="K1371" s="10">
        <f t="shared" si="107"/>
        <v>71.929166666697711</v>
      </c>
      <c r="L1371" s="1" t="str">
        <f t="shared" si="108"/>
        <v>OK</v>
      </c>
      <c r="M1371" s="1">
        <f t="shared" si="105"/>
        <v>1</v>
      </c>
      <c r="N1371" s="1">
        <f t="shared" si="106"/>
        <v>106</v>
      </c>
      <c r="O1371" s="10">
        <f t="shared" si="109"/>
        <v>71.929166666697711</v>
      </c>
    </row>
    <row r="1372" spans="1:15">
      <c r="A1372" s="1" t="s">
        <v>1477</v>
      </c>
      <c r="B1372" s="23">
        <v>45062.915277777778</v>
      </c>
      <c r="C1372" s="1" t="s">
        <v>25</v>
      </c>
      <c r="D1372" s="1" t="s">
        <v>21</v>
      </c>
      <c r="E1372" s="1" t="s">
        <v>18</v>
      </c>
      <c r="F1372" s="1" t="s">
        <v>345</v>
      </c>
      <c r="G1372" s="1">
        <v>38</v>
      </c>
      <c r="H1372" s="23">
        <v>45063.090613425928</v>
      </c>
      <c r="I1372" s="1" t="b">
        <v>0</v>
      </c>
      <c r="K1372" s="10">
        <f t="shared" si="107"/>
        <v>4.2080555555876344</v>
      </c>
      <c r="L1372" s="1" t="str">
        <f t="shared" si="108"/>
        <v>OK</v>
      </c>
      <c r="M1372" s="1">
        <f t="shared" si="105"/>
        <v>1</v>
      </c>
      <c r="N1372" s="1">
        <f t="shared" si="106"/>
        <v>38</v>
      </c>
      <c r="O1372" s="10">
        <f t="shared" si="109"/>
        <v>4.2080555555876344</v>
      </c>
    </row>
    <row r="1373" spans="1:15">
      <c r="A1373" s="1" t="s">
        <v>1478</v>
      </c>
      <c r="B1373" s="23">
        <v>45063.193749999999</v>
      </c>
      <c r="C1373" s="1" t="s">
        <v>11</v>
      </c>
      <c r="D1373" s="1" t="s">
        <v>17</v>
      </c>
      <c r="E1373" s="1" t="s">
        <v>33</v>
      </c>
      <c r="F1373" s="1" t="s">
        <v>256</v>
      </c>
      <c r="G1373" s="1">
        <v>989</v>
      </c>
      <c r="H1373" s="23">
        <v>45074.538912037038</v>
      </c>
      <c r="I1373" s="1" t="b">
        <v>0</v>
      </c>
      <c r="K1373" s="10">
        <f t="shared" si="107"/>
        <v>272.28388888895279</v>
      </c>
      <c r="L1373" s="1" t="str">
        <f t="shared" si="108"/>
        <v>OK</v>
      </c>
      <c r="M1373" s="1">
        <f t="shared" si="105"/>
        <v>1</v>
      </c>
      <c r="N1373" s="1">
        <f t="shared" si="106"/>
        <v>989</v>
      </c>
      <c r="O1373" s="10">
        <f t="shared" si="109"/>
        <v>272.28388888895279</v>
      </c>
    </row>
    <row r="1374" spans="1:15">
      <c r="A1374" s="1" t="s">
        <v>1479</v>
      </c>
      <c r="B1374" s="23">
        <v>45063.22152777778</v>
      </c>
      <c r="C1374" s="1" t="s">
        <v>25</v>
      </c>
      <c r="D1374" s="1" t="s">
        <v>59</v>
      </c>
      <c r="E1374" s="1" t="s">
        <v>13</v>
      </c>
      <c r="F1374" s="1" t="s">
        <v>234</v>
      </c>
      <c r="G1374" s="1">
        <v>15</v>
      </c>
      <c r="H1374" s="23">
        <v>45063.37096064815</v>
      </c>
      <c r="I1374" s="1" t="b">
        <v>0</v>
      </c>
      <c r="K1374" s="10">
        <f t="shared" si="107"/>
        <v>3.5863888888852671</v>
      </c>
      <c r="L1374" s="1" t="str">
        <f t="shared" si="108"/>
        <v>OK</v>
      </c>
      <c r="M1374" s="1">
        <f t="shared" si="105"/>
        <v>1</v>
      </c>
      <c r="N1374" s="1">
        <f t="shared" si="106"/>
        <v>15</v>
      </c>
      <c r="O1374" s="10">
        <f t="shared" si="109"/>
        <v>3.5863888888852671</v>
      </c>
    </row>
    <row r="1375" spans="1:15">
      <c r="A1375" s="1" t="s">
        <v>1480</v>
      </c>
      <c r="B1375" s="23">
        <v>45063.277083333334</v>
      </c>
      <c r="C1375" s="1" t="s">
        <v>16</v>
      </c>
      <c r="D1375" s="1" t="s">
        <v>17</v>
      </c>
      <c r="E1375" s="1" t="s">
        <v>13</v>
      </c>
      <c r="F1375" s="1" t="s">
        <v>114</v>
      </c>
      <c r="G1375" s="1">
        <v>79</v>
      </c>
      <c r="I1375" s="1" t="b">
        <v>0</v>
      </c>
      <c r="K1375" s="10" t="str">
        <f t="shared" si="107"/>
        <v/>
      </c>
      <c r="L1375" s="1" t="str">
        <f t="shared" si="108"/>
        <v>Cannot check</v>
      </c>
      <c r="M1375" s="1">
        <f t="shared" si="105"/>
        <v>1</v>
      </c>
      <c r="N1375" s="1">
        <f t="shared" si="106"/>
        <v>79</v>
      </c>
      <c r="O1375" s="10" t="str">
        <f t="shared" si="109"/>
        <v/>
      </c>
    </row>
    <row r="1376" spans="1:15">
      <c r="A1376" s="1" t="s">
        <v>1481</v>
      </c>
      <c r="B1376" s="23">
        <v>45063.34652777778</v>
      </c>
      <c r="C1376" s="1" t="s">
        <v>11</v>
      </c>
      <c r="D1376" s="1" t="s">
        <v>21</v>
      </c>
      <c r="E1376" s="1" t="s">
        <v>22</v>
      </c>
      <c r="F1376" s="1" t="s">
        <v>120</v>
      </c>
      <c r="G1376" s="1">
        <v>12</v>
      </c>
      <c r="H1376" s="23">
        <v>45063.717094907406</v>
      </c>
      <c r="I1376" s="1" t="b">
        <v>0</v>
      </c>
      <c r="K1376" s="10">
        <f t="shared" si="107"/>
        <v>8.8936111110378988</v>
      </c>
      <c r="L1376" s="1" t="str">
        <f t="shared" si="108"/>
        <v>OK</v>
      </c>
      <c r="M1376" s="1">
        <f t="shared" si="105"/>
        <v>1</v>
      </c>
      <c r="N1376" s="1">
        <f t="shared" si="106"/>
        <v>12</v>
      </c>
      <c r="O1376" s="10">
        <f t="shared" si="109"/>
        <v>8.8936111110378988</v>
      </c>
    </row>
    <row r="1377" spans="1:15">
      <c r="A1377" s="1" t="s">
        <v>1482</v>
      </c>
      <c r="B1377" s="23">
        <v>45063.462500000001</v>
      </c>
      <c r="C1377" s="1" t="s">
        <v>16</v>
      </c>
      <c r="D1377" s="1" t="s">
        <v>17</v>
      </c>
      <c r="E1377" s="1" t="s">
        <v>18</v>
      </c>
      <c r="F1377" s="1" t="s">
        <v>116</v>
      </c>
      <c r="G1377" s="1">
        <v>39</v>
      </c>
      <c r="H1377" s="23">
        <v>45064.287511574075</v>
      </c>
      <c r="I1377" s="1" t="b">
        <v>0</v>
      </c>
      <c r="K1377" s="10">
        <f t="shared" si="107"/>
        <v>19.800277777772862</v>
      </c>
      <c r="L1377" s="1" t="str">
        <f t="shared" si="108"/>
        <v>OK</v>
      </c>
      <c r="M1377" s="1">
        <f t="shared" si="105"/>
        <v>1</v>
      </c>
      <c r="N1377" s="1">
        <f t="shared" si="106"/>
        <v>39</v>
      </c>
      <c r="O1377" s="10">
        <f t="shared" si="109"/>
        <v>19.800277777772862</v>
      </c>
    </row>
    <row r="1378" spans="1:15">
      <c r="A1378" s="1" t="s">
        <v>1483</v>
      </c>
      <c r="B1378" s="23">
        <v>45063.625</v>
      </c>
      <c r="C1378" s="1" t="s">
        <v>16</v>
      </c>
      <c r="D1378" s="1" t="s">
        <v>59</v>
      </c>
      <c r="E1378" s="1" t="s">
        <v>13</v>
      </c>
      <c r="F1378" s="1" t="s">
        <v>14</v>
      </c>
      <c r="G1378" s="1">
        <v>150</v>
      </c>
      <c r="H1378" s="23">
        <v>45064.095578703702</v>
      </c>
      <c r="I1378" s="1" t="b">
        <v>0</v>
      </c>
      <c r="K1378" s="10">
        <f t="shared" si="107"/>
        <v>11.293888888845686</v>
      </c>
      <c r="L1378" s="1" t="str">
        <f t="shared" si="108"/>
        <v>OK</v>
      </c>
      <c r="M1378" s="1">
        <f t="shared" si="105"/>
        <v>1</v>
      </c>
      <c r="N1378" s="1">
        <f t="shared" si="106"/>
        <v>150</v>
      </c>
      <c r="O1378" s="10">
        <f t="shared" si="109"/>
        <v>11.293888888845686</v>
      </c>
    </row>
    <row r="1379" spans="1:15">
      <c r="A1379" s="1" t="s">
        <v>1484</v>
      </c>
      <c r="B1379" s="23">
        <v>45063.646527777775</v>
      </c>
      <c r="C1379" s="1" t="s">
        <v>16</v>
      </c>
      <c r="D1379" s="1" t="s">
        <v>59</v>
      </c>
      <c r="E1379" s="1" t="s">
        <v>13</v>
      </c>
      <c r="F1379" s="1" t="s">
        <v>326</v>
      </c>
      <c r="G1379" s="1">
        <v>105</v>
      </c>
      <c r="H1379" s="23">
        <v>45063.662754629629</v>
      </c>
      <c r="I1379" s="1" t="b">
        <v>0</v>
      </c>
      <c r="K1379" s="10">
        <f t="shared" si="107"/>
        <v>0.38944444450316951</v>
      </c>
      <c r="L1379" s="1" t="str">
        <f t="shared" si="108"/>
        <v>Review</v>
      </c>
      <c r="M1379" s="1">
        <f t="shared" si="105"/>
        <v>1</v>
      </c>
      <c r="N1379" s="1" t="str">
        <f t="shared" si="106"/>
        <v/>
      </c>
      <c r="O1379" s="10" t="str">
        <f t="shared" si="109"/>
        <v/>
      </c>
    </row>
    <row r="1380" spans="1:15">
      <c r="A1380" s="1" t="s">
        <v>1485</v>
      </c>
      <c r="B1380" s="23">
        <v>45063.65</v>
      </c>
      <c r="C1380" s="1" t="s">
        <v>25</v>
      </c>
      <c r="D1380" s="1" t="s">
        <v>21</v>
      </c>
      <c r="E1380" s="1" t="s">
        <v>18</v>
      </c>
      <c r="F1380" s="1" t="s">
        <v>110</v>
      </c>
      <c r="G1380" s="1">
        <v>36</v>
      </c>
      <c r="H1380" s="23">
        <v>45063.873090277775</v>
      </c>
      <c r="I1380" s="1" t="b">
        <v>0</v>
      </c>
      <c r="J1380" s="1">
        <v>4</v>
      </c>
      <c r="K1380" s="10">
        <f t="shared" si="107"/>
        <v>5.3541666665696539</v>
      </c>
      <c r="L1380" s="1" t="str">
        <f t="shared" si="108"/>
        <v>OK</v>
      </c>
      <c r="M1380" s="1">
        <f t="shared" si="105"/>
        <v>1</v>
      </c>
      <c r="N1380" s="1">
        <f t="shared" si="106"/>
        <v>36</v>
      </c>
      <c r="O1380" s="10">
        <f t="shared" si="109"/>
        <v>5.3541666665696539</v>
      </c>
    </row>
    <row r="1381" spans="1:15">
      <c r="A1381" s="1" t="s">
        <v>1486</v>
      </c>
      <c r="B1381" s="23">
        <v>45063.673611111109</v>
      </c>
      <c r="C1381" s="1" t="s">
        <v>11</v>
      </c>
      <c r="D1381" s="1" t="s">
        <v>12</v>
      </c>
      <c r="E1381" s="1" t="s">
        <v>22</v>
      </c>
      <c r="F1381" s="1" t="s">
        <v>226</v>
      </c>
      <c r="G1381" s="1">
        <v>4</v>
      </c>
      <c r="H1381" s="23">
        <v>45063.714386574073</v>
      </c>
      <c r="I1381" s="1" t="b">
        <v>1</v>
      </c>
      <c r="J1381" s="1">
        <v>3</v>
      </c>
      <c r="K1381" s="10">
        <f t="shared" si="107"/>
        <v>0.97861111111706123</v>
      </c>
      <c r="L1381" s="1" t="str">
        <f t="shared" si="108"/>
        <v>OK</v>
      </c>
      <c r="M1381" s="1">
        <f t="shared" si="105"/>
        <v>1</v>
      </c>
      <c r="N1381" s="1">
        <f t="shared" si="106"/>
        <v>4</v>
      </c>
      <c r="O1381" s="10">
        <f t="shared" si="109"/>
        <v>0.97861111111706123</v>
      </c>
    </row>
    <row r="1382" spans="1:15">
      <c r="A1382" s="1" t="s">
        <v>1487</v>
      </c>
      <c r="B1382" s="23">
        <v>45063.695138888892</v>
      </c>
      <c r="C1382" s="1" t="s">
        <v>16</v>
      </c>
      <c r="D1382" s="1" t="s">
        <v>12</v>
      </c>
      <c r="E1382" s="1" t="s">
        <v>33</v>
      </c>
      <c r="F1382" s="1" t="s">
        <v>245</v>
      </c>
      <c r="G1382" s="1">
        <v>397</v>
      </c>
      <c r="H1382" s="23">
        <v>45064.912118055552</v>
      </c>
      <c r="I1382" s="1" t="b">
        <v>0</v>
      </c>
      <c r="J1382" s="1">
        <v>3</v>
      </c>
      <c r="K1382" s="10">
        <f t="shared" si="107"/>
        <v>29.207499999844003</v>
      </c>
      <c r="L1382" s="1" t="str">
        <f t="shared" si="108"/>
        <v>OK</v>
      </c>
      <c r="M1382" s="1">
        <f t="shared" si="105"/>
        <v>1</v>
      </c>
      <c r="N1382" s="1">
        <f t="shared" si="106"/>
        <v>397</v>
      </c>
      <c r="O1382" s="10">
        <f t="shared" si="109"/>
        <v>29.207499999844003</v>
      </c>
    </row>
    <row r="1383" spans="1:15">
      <c r="A1383" s="1" t="s">
        <v>1488</v>
      </c>
      <c r="B1383" s="23">
        <v>45063.695833333331</v>
      </c>
      <c r="C1383" s="1" t="s">
        <v>25</v>
      </c>
      <c r="D1383" s="1" t="s">
        <v>21</v>
      </c>
      <c r="E1383" s="1" t="s">
        <v>18</v>
      </c>
      <c r="F1383" s="1" t="s">
        <v>128</v>
      </c>
      <c r="G1383" s="1">
        <v>129</v>
      </c>
      <c r="H1383" s="23">
        <v>45063.907719907409</v>
      </c>
      <c r="I1383" s="1" t="b">
        <v>0</v>
      </c>
      <c r="K1383" s="10">
        <f t="shared" si="107"/>
        <v>5.0852777778636664</v>
      </c>
      <c r="L1383" s="1" t="str">
        <f t="shared" si="108"/>
        <v>OK</v>
      </c>
      <c r="M1383" s="1">
        <f t="shared" si="105"/>
        <v>1</v>
      </c>
      <c r="N1383" s="1">
        <f t="shared" si="106"/>
        <v>129</v>
      </c>
      <c r="O1383" s="10">
        <f t="shared" si="109"/>
        <v>5.0852777778636664</v>
      </c>
    </row>
    <row r="1384" spans="1:15">
      <c r="A1384" s="1" t="s">
        <v>1489</v>
      </c>
      <c r="B1384" s="23">
        <v>45063.732638888891</v>
      </c>
      <c r="C1384" s="1" t="s">
        <v>16</v>
      </c>
      <c r="D1384" s="1" t="s">
        <v>26</v>
      </c>
      <c r="E1384" s="1" t="s">
        <v>33</v>
      </c>
      <c r="F1384" s="1" t="s">
        <v>120</v>
      </c>
      <c r="G1384" s="1">
        <v>222</v>
      </c>
      <c r="H1384" s="23">
        <v>45077.245532407411</v>
      </c>
      <c r="I1384" s="1" t="b">
        <v>0</v>
      </c>
      <c r="J1384" s="1">
        <v>3</v>
      </c>
      <c r="K1384" s="10">
        <f t="shared" si="107"/>
        <v>324.30944444448687</v>
      </c>
      <c r="L1384" s="1" t="str">
        <f t="shared" si="108"/>
        <v>OK</v>
      </c>
      <c r="M1384" s="1">
        <f t="shared" si="105"/>
        <v>1</v>
      </c>
      <c r="N1384" s="1">
        <f t="shared" si="106"/>
        <v>222</v>
      </c>
      <c r="O1384" s="10">
        <f t="shared" si="109"/>
        <v>324.30944444448687</v>
      </c>
    </row>
    <row r="1385" spans="1:15">
      <c r="A1385" s="1" t="s">
        <v>1490</v>
      </c>
      <c r="B1385" s="23">
        <v>45063.781944444447</v>
      </c>
      <c r="C1385" s="1" t="s">
        <v>11</v>
      </c>
      <c r="D1385" s="1" t="s">
        <v>21</v>
      </c>
      <c r="E1385" s="1" t="s">
        <v>18</v>
      </c>
      <c r="F1385" s="1" t="s">
        <v>134</v>
      </c>
      <c r="G1385" s="1">
        <v>15</v>
      </c>
      <c r="H1385" s="23">
        <v>45064.686192129629</v>
      </c>
      <c r="I1385" s="1" t="b">
        <v>0</v>
      </c>
      <c r="K1385" s="10">
        <f t="shared" si="107"/>
        <v>21.701944444386754</v>
      </c>
      <c r="L1385" s="1" t="str">
        <f t="shared" si="108"/>
        <v>OK</v>
      </c>
      <c r="M1385" s="1">
        <f t="shared" si="105"/>
        <v>1</v>
      </c>
      <c r="N1385" s="1">
        <f t="shared" si="106"/>
        <v>15</v>
      </c>
      <c r="O1385" s="10">
        <f t="shared" si="109"/>
        <v>21.701944444386754</v>
      </c>
    </row>
    <row r="1386" spans="1:15">
      <c r="A1386" s="1" t="s">
        <v>1491</v>
      </c>
      <c r="B1386" s="23">
        <v>45063.882638888892</v>
      </c>
      <c r="C1386" s="1" t="s">
        <v>16</v>
      </c>
      <c r="D1386" s="1" t="s">
        <v>26</v>
      </c>
      <c r="E1386" s="1" t="s">
        <v>22</v>
      </c>
      <c r="F1386" s="1" t="s">
        <v>317</v>
      </c>
      <c r="G1386" s="1">
        <v>9</v>
      </c>
      <c r="H1386" s="23">
        <v>45064.437164351853</v>
      </c>
      <c r="I1386" s="1" t="b">
        <v>0</v>
      </c>
      <c r="K1386" s="10">
        <f t="shared" si="107"/>
        <v>13.308611111075152</v>
      </c>
      <c r="L1386" s="1" t="str">
        <f t="shared" si="108"/>
        <v>OK</v>
      </c>
      <c r="M1386" s="1">
        <f t="shared" si="105"/>
        <v>1</v>
      </c>
      <c r="N1386" s="1">
        <f t="shared" si="106"/>
        <v>9</v>
      </c>
      <c r="O1386" s="10">
        <f t="shared" si="109"/>
        <v>13.308611111075152</v>
      </c>
    </row>
    <row r="1387" spans="1:15">
      <c r="A1387" s="1" t="s">
        <v>1492</v>
      </c>
      <c r="B1387" s="23">
        <v>45063.921527777777</v>
      </c>
      <c r="C1387" s="1" t="s">
        <v>11</v>
      </c>
      <c r="D1387" s="1" t="s">
        <v>26</v>
      </c>
      <c r="E1387" s="1" t="s">
        <v>13</v>
      </c>
      <c r="F1387" s="1" t="s">
        <v>80</v>
      </c>
      <c r="G1387" s="1">
        <v>16</v>
      </c>
      <c r="H1387" s="23">
        <v>45064.98128472222</v>
      </c>
      <c r="I1387" s="1" t="b">
        <v>0</v>
      </c>
      <c r="K1387" s="10">
        <f t="shared" si="107"/>
        <v>25.43416666664416</v>
      </c>
      <c r="L1387" s="1" t="str">
        <f t="shared" si="108"/>
        <v>OK</v>
      </c>
      <c r="M1387" s="1">
        <f t="shared" si="105"/>
        <v>1</v>
      </c>
      <c r="N1387" s="1">
        <f t="shared" si="106"/>
        <v>16</v>
      </c>
      <c r="O1387" s="10">
        <f t="shared" si="109"/>
        <v>25.43416666664416</v>
      </c>
    </row>
    <row r="1388" spans="1:15">
      <c r="A1388" s="1" t="s">
        <v>1493</v>
      </c>
      <c r="B1388" s="23">
        <v>45063.988888888889</v>
      </c>
      <c r="C1388" s="1" t="s">
        <v>25</v>
      </c>
      <c r="D1388" s="1" t="s">
        <v>21</v>
      </c>
      <c r="E1388" s="1" t="s">
        <v>33</v>
      </c>
      <c r="F1388" s="1" t="s">
        <v>48</v>
      </c>
      <c r="G1388" s="1">
        <v>54</v>
      </c>
      <c r="H1388" s="23">
        <v>45065.756377314814</v>
      </c>
      <c r="I1388" s="1" t="b">
        <v>1</v>
      </c>
      <c r="J1388" s="1">
        <v>5</v>
      </c>
      <c r="K1388" s="10">
        <f t="shared" si="107"/>
        <v>42.419722222199198</v>
      </c>
      <c r="L1388" s="1" t="str">
        <f t="shared" si="108"/>
        <v>OK</v>
      </c>
      <c r="M1388" s="1">
        <f t="shared" si="105"/>
        <v>1</v>
      </c>
      <c r="N1388" s="1">
        <f t="shared" si="106"/>
        <v>54</v>
      </c>
      <c r="O1388" s="10">
        <f t="shared" si="109"/>
        <v>42.419722222199198</v>
      </c>
    </row>
    <row r="1389" spans="1:15">
      <c r="A1389" s="1" t="s">
        <v>1494</v>
      </c>
      <c r="B1389" s="23">
        <v>45064.034722222219</v>
      </c>
      <c r="C1389" s="1" t="s">
        <v>25</v>
      </c>
      <c r="D1389" s="1" t="s">
        <v>26</v>
      </c>
      <c r="E1389" s="1" t="s">
        <v>18</v>
      </c>
      <c r="F1389" s="1" t="s">
        <v>92</v>
      </c>
      <c r="G1389" s="1">
        <v>196</v>
      </c>
      <c r="H1389" s="23">
        <v>45065.137939814813</v>
      </c>
      <c r="I1389" s="1" t="b">
        <v>0</v>
      </c>
      <c r="K1389" s="10">
        <f t="shared" si="107"/>
        <v>26.477222222252749</v>
      </c>
      <c r="L1389" s="1" t="str">
        <f t="shared" si="108"/>
        <v>OK</v>
      </c>
      <c r="M1389" s="1">
        <f t="shared" si="105"/>
        <v>1</v>
      </c>
      <c r="N1389" s="1">
        <f t="shared" si="106"/>
        <v>196</v>
      </c>
      <c r="O1389" s="10">
        <f t="shared" si="109"/>
        <v>26.477222222252749</v>
      </c>
    </row>
    <row r="1390" spans="1:15">
      <c r="A1390" s="1" t="s">
        <v>1495</v>
      </c>
      <c r="B1390" s="23">
        <v>45064.203472222223</v>
      </c>
      <c r="C1390" s="1" t="s">
        <v>25</v>
      </c>
      <c r="D1390" s="1" t="s">
        <v>26</v>
      </c>
      <c r="E1390" s="1" t="s">
        <v>18</v>
      </c>
      <c r="F1390" s="1" t="s">
        <v>39</v>
      </c>
      <c r="G1390" s="1">
        <v>287</v>
      </c>
      <c r="H1390" s="23">
        <v>45074.534131944441</v>
      </c>
      <c r="I1390" s="1" t="b">
        <v>0</v>
      </c>
      <c r="K1390" s="10">
        <f t="shared" si="107"/>
        <v>247.93583333323477</v>
      </c>
      <c r="L1390" s="1" t="str">
        <f t="shared" si="108"/>
        <v>OK</v>
      </c>
      <c r="M1390" s="1">
        <f t="shared" si="105"/>
        <v>1</v>
      </c>
      <c r="N1390" s="1">
        <f t="shared" si="106"/>
        <v>287</v>
      </c>
      <c r="O1390" s="10">
        <f t="shared" si="109"/>
        <v>247.93583333323477</v>
      </c>
    </row>
    <row r="1391" spans="1:15">
      <c r="A1391" s="1" t="s">
        <v>1496</v>
      </c>
      <c r="B1391" s="23">
        <v>45064.306944444441</v>
      </c>
      <c r="C1391" s="1" t="s">
        <v>11</v>
      </c>
      <c r="D1391" s="1" t="s">
        <v>12</v>
      </c>
      <c r="E1391" s="1" t="s">
        <v>18</v>
      </c>
      <c r="F1391" s="1" t="s">
        <v>50</v>
      </c>
      <c r="G1391" s="1">
        <v>13</v>
      </c>
      <c r="H1391" s="23">
        <v>45068.69326388889</v>
      </c>
      <c r="I1391" s="1" t="b">
        <v>0</v>
      </c>
      <c r="K1391" s="10">
        <f t="shared" si="107"/>
        <v>105.27166666678386</v>
      </c>
      <c r="L1391" s="1" t="str">
        <f t="shared" si="108"/>
        <v>OK</v>
      </c>
      <c r="M1391" s="1">
        <f t="shared" si="105"/>
        <v>1</v>
      </c>
      <c r="N1391" s="1">
        <f t="shared" si="106"/>
        <v>13</v>
      </c>
      <c r="O1391" s="10">
        <f t="shared" si="109"/>
        <v>105.27166666678386</v>
      </c>
    </row>
    <row r="1392" spans="1:15">
      <c r="A1392" s="1" t="s">
        <v>1497</v>
      </c>
      <c r="B1392" s="23">
        <v>45064.436111111114</v>
      </c>
      <c r="C1392" s="1" t="s">
        <v>16</v>
      </c>
      <c r="D1392" s="1" t="s">
        <v>17</v>
      </c>
      <c r="E1392" s="1" t="s">
        <v>33</v>
      </c>
      <c r="F1392" s="1" t="s">
        <v>345</v>
      </c>
      <c r="G1392" s="1">
        <v>368</v>
      </c>
      <c r="H1392" s="23">
        <v>45066.918449074074</v>
      </c>
      <c r="I1392" s="1" t="b">
        <v>0</v>
      </c>
      <c r="K1392" s="10">
        <f t="shared" si="107"/>
        <v>59.576111111033242</v>
      </c>
      <c r="L1392" s="1" t="str">
        <f t="shared" si="108"/>
        <v>OK</v>
      </c>
      <c r="M1392" s="1">
        <f t="shared" si="105"/>
        <v>1</v>
      </c>
      <c r="N1392" s="1">
        <f t="shared" si="106"/>
        <v>368</v>
      </c>
      <c r="O1392" s="10">
        <f t="shared" si="109"/>
        <v>59.576111111033242</v>
      </c>
    </row>
    <row r="1393" spans="1:15">
      <c r="A1393" s="1" t="s">
        <v>1498</v>
      </c>
      <c r="B1393" s="23">
        <v>45064.570138888892</v>
      </c>
      <c r="C1393" s="1" t="s">
        <v>16</v>
      </c>
      <c r="D1393" s="1" t="s">
        <v>17</v>
      </c>
      <c r="E1393" s="1" t="s">
        <v>18</v>
      </c>
      <c r="F1393" s="1" t="s">
        <v>178</v>
      </c>
      <c r="G1393" s="1">
        <v>35</v>
      </c>
      <c r="H1393" s="23">
        <v>45068.266817129632</v>
      </c>
      <c r="I1393" s="1" t="b">
        <v>0</v>
      </c>
      <c r="K1393" s="10">
        <f t="shared" si="107"/>
        <v>88.720277777756564</v>
      </c>
      <c r="L1393" s="1" t="str">
        <f t="shared" si="108"/>
        <v>OK</v>
      </c>
      <c r="M1393" s="1">
        <f t="shared" si="105"/>
        <v>1</v>
      </c>
      <c r="N1393" s="1">
        <f t="shared" si="106"/>
        <v>35</v>
      </c>
      <c r="O1393" s="10">
        <f t="shared" si="109"/>
        <v>88.720277777756564</v>
      </c>
    </row>
    <row r="1394" spans="1:15">
      <c r="A1394" s="1" t="s">
        <v>1499</v>
      </c>
      <c r="B1394" s="23">
        <v>45064.598611111112</v>
      </c>
      <c r="C1394" s="1" t="s">
        <v>16</v>
      </c>
      <c r="D1394" s="1" t="s">
        <v>21</v>
      </c>
      <c r="E1394" s="1" t="s">
        <v>22</v>
      </c>
      <c r="F1394" s="1" t="s">
        <v>70</v>
      </c>
      <c r="G1394" s="1">
        <v>7</v>
      </c>
      <c r="H1394" s="23">
        <v>45064.664490740739</v>
      </c>
      <c r="I1394" s="1" t="b">
        <v>1</v>
      </c>
      <c r="K1394" s="10">
        <f t="shared" si="107"/>
        <v>1.5811111110378988</v>
      </c>
      <c r="L1394" s="1" t="str">
        <f t="shared" si="108"/>
        <v>OK</v>
      </c>
      <c r="M1394" s="1">
        <f t="shared" si="105"/>
        <v>1</v>
      </c>
      <c r="N1394" s="1">
        <f t="shared" si="106"/>
        <v>7</v>
      </c>
      <c r="O1394" s="10">
        <f t="shared" si="109"/>
        <v>1.5811111110378988</v>
      </c>
    </row>
    <row r="1395" spans="1:15">
      <c r="A1395" s="1" t="s">
        <v>1500</v>
      </c>
      <c r="B1395" s="23">
        <v>45064.738888888889</v>
      </c>
      <c r="C1395" s="1" t="s">
        <v>16</v>
      </c>
      <c r="D1395" s="1" t="s">
        <v>17</v>
      </c>
      <c r="E1395" s="1" t="s">
        <v>18</v>
      </c>
      <c r="F1395" s="1" t="s">
        <v>31</v>
      </c>
      <c r="G1395" s="1">
        <v>133</v>
      </c>
      <c r="H1395" s="23">
        <v>45067.305104166669</v>
      </c>
      <c r="I1395" s="1" t="b">
        <v>0</v>
      </c>
      <c r="J1395" s="1">
        <v>5</v>
      </c>
      <c r="K1395" s="10">
        <f t="shared" si="107"/>
        <v>61.589166666730307</v>
      </c>
      <c r="L1395" s="1" t="str">
        <f t="shared" si="108"/>
        <v>OK</v>
      </c>
      <c r="M1395" s="1">
        <f t="shared" si="105"/>
        <v>1</v>
      </c>
      <c r="N1395" s="1">
        <f t="shared" si="106"/>
        <v>133</v>
      </c>
      <c r="O1395" s="10">
        <f t="shared" si="109"/>
        <v>61.589166666730307</v>
      </c>
    </row>
    <row r="1396" spans="1:15">
      <c r="A1396" s="1" t="s">
        <v>1501</v>
      </c>
      <c r="B1396" s="23">
        <v>45065.020833333336</v>
      </c>
      <c r="C1396" s="1" t="s">
        <v>16</v>
      </c>
      <c r="D1396" s="1" t="s">
        <v>17</v>
      </c>
      <c r="E1396" s="1" t="s">
        <v>18</v>
      </c>
      <c r="F1396" s="1" t="s">
        <v>31</v>
      </c>
      <c r="G1396" s="1">
        <v>14</v>
      </c>
      <c r="H1396" s="23">
        <v>45066.93241898148</v>
      </c>
      <c r="I1396" s="1" t="b">
        <v>0</v>
      </c>
      <c r="K1396" s="10">
        <f t="shared" si="107"/>
        <v>45.878055555454921</v>
      </c>
      <c r="L1396" s="1" t="str">
        <f t="shared" si="108"/>
        <v>OK</v>
      </c>
      <c r="M1396" s="1">
        <f t="shared" si="105"/>
        <v>1</v>
      </c>
      <c r="N1396" s="1">
        <f t="shared" si="106"/>
        <v>14</v>
      </c>
      <c r="O1396" s="10">
        <f t="shared" si="109"/>
        <v>45.878055555454921</v>
      </c>
    </row>
    <row r="1397" spans="1:15">
      <c r="A1397" s="1" t="s">
        <v>1502</v>
      </c>
      <c r="B1397" s="23">
        <v>45065.056944444441</v>
      </c>
      <c r="C1397" s="1" t="s">
        <v>25</v>
      </c>
      <c r="D1397" s="1" t="s">
        <v>17</v>
      </c>
      <c r="E1397" s="1" t="s">
        <v>18</v>
      </c>
      <c r="F1397" s="1" t="s">
        <v>70</v>
      </c>
      <c r="G1397" s="1">
        <v>14</v>
      </c>
      <c r="H1397" s="23">
        <v>45072.15116898148</v>
      </c>
      <c r="I1397" s="1" t="b">
        <v>0</v>
      </c>
      <c r="J1397" s="1">
        <v>5</v>
      </c>
      <c r="K1397" s="10">
        <f t="shared" si="107"/>
        <v>170.26138888893183</v>
      </c>
      <c r="L1397" s="1" t="str">
        <f t="shared" si="108"/>
        <v>OK</v>
      </c>
      <c r="M1397" s="1">
        <f t="shared" si="105"/>
        <v>1</v>
      </c>
      <c r="N1397" s="1">
        <f t="shared" si="106"/>
        <v>14</v>
      </c>
      <c r="O1397" s="10">
        <f t="shared" si="109"/>
        <v>170.26138888893183</v>
      </c>
    </row>
    <row r="1398" spans="1:15">
      <c r="A1398" s="1" t="s">
        <v>1503</v>
      </c>
      <c r="B1398" s="23">
        <v>45065.09375</v>
      </c>
      <c r="C1398" s="1" t="s">
        <v>16</v>
      </c>
      <c r="D1398" s="1" t="s">
        <v>17</v>
      </c>
      <c r="E1398" s="1" t="s">
        <v>18</v>
      </c>
      <c r="F1398" s="1" t="s">
        <v>317</v>
      </c>
      <c r="G1398" s="1">
        <v>29</v>
      </c>
      <c r="H1398" s="23">
        <v>45068.552604166667</v>
      </c>
      <c r="I1398" s="1" t="b">
        <v>0</v>
      </c>
      <c r="K1398" s="10">
        <f t="shared" si="107"/>
        <v>83.012500000011642</v>
      </c>
      <c r="L1398" s="1" t="str">
        <f t="shared" si="108"/>
        <v>OK</v>
      </c>
      <c r="M1398" s="1">
        <f t="shared" si="105"/>
        <v>1</v>
      </c>
      <c r="N1398" s="1">
        <f t="shared" si="106"/>
        <v>29</v>
      </c>
      <c r="O1398" s="10">
        <f t="shared" si="109"/>
        <v>83.012500000011642</v>
      </c>
    </row>
    <row r="1399" spans="1:15">
      <c r="A1399" s="1" t="s">
        <v>1504</v>
      </c>
      <c r="B1399" s="23">
        <v>45065.123611111114</v>
      </c>
      <c r="C1399" s="1" t="s">
        <v>16</v>
      </c>
      <c r="D1399" s="1" t="s">
        <v>21</v>
      </c>
      <c r="E1399" s="1" t="s">
        <v>18</v>
      </c>
      <c r="F1399" s="1" t="s">
        <v>92</v>
      </c>
      <c r="G1399" s="1">
        <v>204</v>
      </c>
      <c r="H1399" s="23">
        <v>45065.765243055554</v>
      </c>
      <c r="I1399" s="1" t="b">
        <v>0</v>
      </c>
      <c r="J1399" s="1">
        <v>3</v>
      </c>
      <c r="K1399" s="10">
        <f t="shared" si="107"/>
        <v>15.399166666553356</v>
      </c>
      <c r="L1399" s="1" t="str">
        <f t="shared" si="108"/>
        <v>OK</v>
      </c>
      <c r="M1399" s="1">
        <f t="shared" si="105"/>
        <v>1</v>
      </c>
      <c r="N1399" s="1">
        <f t="shared" si="106"/>
        <v>204</v>
      </c>
      <c r="O1399" s="10">
        <f t="shared" si="109"/>
        <v>15.399166666553356</v>
      </c>
    </row>
    <row r="1400" spans="1:15">
      <c r="A1400" s="1" t="s">
        <v>1505</v>
      </c>
      <c r="B1400" s="23">
        <v>45065.154166666667</v>
      </c>
      <c r="C1400" s="1" t="s">
        <v>25</v>
      </c>
      <c r="D1400" s="1" t="s">
        <v>59</v>
      </c>
      <c r="E1400" s="1" t="s">
        <v>18</v>
      </c>
      <c r="F1400" s="1" t="s">
        <v>102</v>
      </c>
      <c r="G1400" s="1">
        <v>18</v>
      </c>
      <c r="H1400" s="23">
        <v>45065.512233796297</v>
      </c>
      <c r="I1400" s="1" t="b">
        <v>0</v>
      </c>
      <c r="K1400" s="10">
        <f t="shared" si="107"/>
        <v>8.593611111107748</v>
      </c>
      <c r="L1400" s="1" t="str">
        <f t="shared" si="108"/>
        <v>OK</v>
      </c>
      <c r="M1400" s="1">
        <f t="shared" si="105"/>
        <v>1</v>
      </c>
      <c r="N1400" s="1">
        <f t="shared" si="106"/>
        <v>18</v>
      </c>
      <c r="O1400" s="10">
        <f t="shared" si="109"/>
        <v>8.593611111107748</v>
      </c>
    </row>
    <row r="1401" spans="1:15">
      <c r="A1401" s="1" t="s">
        <v>1506</v>
      </c>
      <c r="B1401" s="23">
        <v>45065.238888888889</v>
      </c>
      <c r="C1401" s="1" t="s">
        <v>25</v>
      </c>
      <c r="D1401" s="1" t="s">
        <v>26</v>
      </c>
      <c r="E1401" s="1" t="s">
        <v>13</v>
      </c>
      <c r="F1401" s="1" t="s">
        <v>153</v>
      </c>
      <c r="G1401" s="1">
        <v>52</v>
      </c>
      <c r="H1401" s="23">
        <v>45067.250509259262</v>
      </c>
      <c r="I1401" s="1" t="b">
        <v>0</v>
      </c>
      <c r="K1401" s="10">
        <f t="shared" si="107"/>
        <v>48.278888888948131</v>
      </c>
      <c r="L1401" s="1" t="str">
        <f t="shared" si="108"/>
        <v>OK</v>
      </c>
      <c r="M1401" s="1">
        <f t="shared" si="105"/>
        <v>1</v>
      </c>
      <c r="N1401" s="1">
        <f t="shared" si="106"/>
        <v>52</v>
      </c>
      <c r="O1401" s="10">
        <f t="shared" si="109"/>
        <v>48.278888888948131</v>
      </c>
    </row>
    <row r="1402" spans="1:15">
      <c r="A1402" s="1" t="s">
        <v>1507</v>
      </c>
      <c r="B1402" s="23">
        <v>45065.315972222219</v>
      </c>
      <c r="C1402" s="1" t="s">
        <v>16</v>
      </c>
      <c r="D1402" s="1" t="s">
        <v>21</v>
      </c>
      <c r="E1402" s="1" t="s">
        <v>18</v>
      </c>
      <c r="F1402" s="1" t="s">
        <v>66</v>
      </c>
      <c r="G1402" s="1">
        <v>30</v>
      </c>
      <c r="H1402" s="23">
        <v>45066.803194444445</v>
      </c>
      <c r="I1402" s="1" t="b">
        <v>0</v>
      </c>
      <c r="K1402" s="10">
        <f t="shared" si="107"/>
        <v>35.693333333416376</v>
      </c>
      <c r="L1402" s="1" t="str">
        <f t="shared" si="108"/>
        <v>OK</v>
      </c>
      <c r="M1402" s="1">
        <f t="shared" si="105"/>
        <v>1</v>
      </c>
      <c r="N1402" s="1">
        <f t="shared" si="106"/>
        <v>30</v>
      </c>
      <c r="O1402" s="10">
        <f t="shared" si="109"/>
        <v>35.693333333416376</v>
      </c>
    </row>
    <row r="1403" spans="1:15">
      <c r="A1403" s="1" t="s">
        <v>1508</v>
      </c>
      <c r="B1403" s="23">
        <v>45065.324305555558</v>
      </c>
      <c r="C1403" s="1" t="s">
        <v>43</v>
      </c>
      <c r="D1403" s="1" t="s">
        <v>21</v>
      </c>
      <c r="E1403" s="1" t="s">
        <v>33</v>
      </c>
      <c r="F1403" s="1" t="s">
        <v>52</v>
      </c>
      <c r="G1403" s="1">
        <v>89</v>
      </c>
      <c r="H1403" s="23">
        <v>45065.960335648146</v>
      </c>
      <c r="I1403" s="1" t="b">
        <v>0</v>
      </c>
      <c r="K1403" s="10">
        <f t="shared" si="107"/>
        <v>15.264722222113051</v>
      </c>
      <c r="L1403" s="1" t="str">
        <f t="shared" si="108"/>
        <v>OK</v>
      </c>
      <c r="M1403" s="1">
        <f t="shared" si="105"/>
        <v>1</v>
      </c>
      <c r="N1403" s="1">
        <f t="shared" si="106"/>
        <v>89</v>
      </c>
      <c r="O1403" s="10">
        <f t="shared" si="109"/>
        <v>15.264722222113051</v>
      </c>
    </row>
    <row r="1404" spans="1:15">
      <c r="A1404" s="1" t="s">
        <v>1509</v>
      </c>
      <c r="B1404" s="23">
        <v>45065.420138888891</v>
      </c>
      <c r="C1404" s="1" t="s">
        <v>25</v>
      </c>
      <c r="D1404" s="1" t="s">
        <v>12</v>
      </c>
      <c r="E1404" s="1" t="s">
        <v>13</v>
      </c>
      <c r="F1404" s="1" t="s">
        <v>74</v>
      </c>
      <c r="G1404" s="1">
        <v>25</v>
      </c>
      <c r="H1404" s="23">
        <v>45066.142777777779</v>
      </c>
      <c r="I1404" s="1" t="b">
        <v>0</v>
      </c>
      <c r="J1404" s="1">
        <v>5</v>
      </c>
      <c r="K1404" s="10">
        <f t="shared" si="107"/>
        <v>17.343333333323244</v>
      </c>
      <c r="L1404" s="1" t="str">
        <f t="shared" si="108"/>
        <v>OK</v>
      </c>
      <c r="M1404" s="1">
        <f t="shared" si="105"/>
        <v>1</v>
      </c>
      <c r="N1404" s="1">
        <f t="shared" si="106"/>
        <v>25</v>
      </c>
      <c r="O1404" s="10">
        <f t="shared" si="109"/>
        <v>17.343333333323244</v>
      </c>
    </row>
    <row r="1405" spans="1:15">
      <c r="A1405" s="1" t="s">
        <v>1510</v>
      </c>
      <c r="B1405" s="23">
        <v>45065.44027777778</v>
      </c>
      <c r="C1405" s="1" t="s">
        <v>16</v>
      </c>
      <c r="D1405" s="1" t="s">
        <v>17</v>
      </c>
      <c r="E1405" s="1" t="s">
        <v>13</v>
      </c>
      <c r="F1405" s="1" t="s">
        <v>234</v>
      </c>
      <c r="G1405" s="1">
        <v>79</v>
      </c>
      <c r="H1405" s="23">
        <v>45066.063449074078</v>
      </c>
      <c r="I1405" s="1" t="b">
        <v>0</v>
      </c>
      <c r="K1405" s="10">
        <f t="shared" si="107"/>
        <v>14.956111111154314</v>
      </c>
      <c r="L1405" s="1" t="str">
        <f t="shared" si="108"/>
        <v>OK</v>
      </c>
      <c r="M1405" s="1">
        <f t="shared" si="105"/>
        <v>1</v>
      </c>
      <c r="N1405" s="1">
        <f t="shared" si="106"/>
        <v>79</v>
      </c>
      <c r="O1405" s="10">
        <f t="shared" si="109"/>
        <v>14.956111111154314</v>
      </c>
    </row>
    <row r="1406" spans="1:15">
      <c r="A1406" s="1" t="s">
        <v>1511</v>
      </c>
      <c r="B1406" s="23">
        <v>45065.525694444441</v>
      </c>
      <c r="C1406" s="1" t="s">
        <v>16</v>
      </c>
      <c r="D1406" s="1" t="s">
        <v>21</v>
      </c>
      <c r="E1406" s="1" t="s">
        <v>18</v>
      </c>
      <c r="F1406" s="1" t="s">
        <v>345</v>
      </c>
      <c r="G1406" s="1">
        <v>227</v>
      </c>
      <c r="H1406" s="23">
        <v>45066.912615740737</v>
      </c>
      <c r="I1406" s="1" t="b">
        <v>0</v>
      </c>
      <c r="K1406" s="10">
        <f t="shared" si="107"/>
        <v>33.286111111112405</v>
      </c>
      <c r="L1406" s="1" t="str">
        <f t="shared" si="108"/>
        <v>OK</v>
      </c>
      <c r="M1406" s="1">
        <f t="shared" si="105"/>
        <v>1</v>
      </c>
      <c r="N1406" s="1">
        <f t="shared" si="106"/>
        <v>227</v>
      </c>
      <c r="O1406" s="10">
        <f t="shared" si="109"/>
        <v>33.286111111112405</v>
      </c>
    </row>
    <row r="1407" spans="1:15">
      <c r="A1407" s="1" t="s">
        <v>1512</v>
      </c>
      <c r="B1407" s="23">
        <v>45065.850694444445</v>
      </c>
      <c r="C1407" s="1" t="s">
        <v>16</v>
      </c>
      <c r="D1407" s="1" t="s">
        <v>59</v>
      </c>
      <c r="E1407" s="1" t="s">
        <v>18</v>
      </c>
      <c r="F1407" s="1" t="s">
        <v>29</v>
      </c>
      <c r="G1407" s="1">
        <v>64</v>
      </c>
      <c r="H1407" s="23">
        <v>45066.999583333331</v>
      </c>
      <c r="I1407" s="1" t="b">
        <v>0</v>
      </c>
      <c r="J1407" s="1">
        <v>2</v>
      </c>
      <c r="K1407" s="10">
        <f t="shared" si="107"/>
        <v>27.57333333324641</v>
      </c>
      <c r="L1407" s="1" t="str">
        <f t="shared" si="108"/>
        <v>OK</v>
      </c>
      <c r="M1407" s="1">
        <f t="shared" si="105"/>
        <v>1</v>
      </c>
      <c r="N1407" s="1">
        <f t="shared" si="106"/>
        <v>64</v>
      </c>
      <c r="O1407" s="10">
        <f t="shared" si="109"/>
        <v>27.57333333324641</v>
      </c>
    </row>
    <row r="1408" spans="1:15">
      <c r="A1408" s="1" t="s">
        <v>1513</v>
      </c>
      <c r="B1408" s="23">
        <v>45065.85833333333</v>
      </c>
      <c r="C1408" s="1" t="s">
        <v>43</v>
      </c>
      <c r="D1408" s="1" t="s">
        <v>12</v>
      </c>
      <c r="E1408" s="1" t="s">
        <v>18</v>
      </c>
      <c r="F1408" s="1" t="s">
        <v>27</v>
      </c>
      <c r="G1408" s="1">
        <v>251</v>
      </c>
      <c r="H1408" s="23">
        <v>45069.103009259263</v>
      </c>
      <c r="I1408" s="1" t="b">
        <v>0</v>
      </c>
      <c r="K1408" s="10">
        <f t="shared" si="107"/>
        <v>77.872222222387791</v>
      </c>
      <c r="L1408" s="1" t="str">
        <f t="shared" si="108"/>
        <v>OK</v>
      </c>
      <c r="M1408" s="1">
        <f t="shared" si="105"/>
        <v>1</v>
      </c>
      <c r="N1408" s="1">
        <f t="shared" si="106"/>
        <v>251</v>
      </c>
      <c r="O1408" s="10">
        <f t="shared" si="109"/>
        <v>77.872222222387791</v>
      </c>
    </row>
    <row r="1409" spans="1:15">
      <c r="A1409" s="1" t="s">
        <v>1514</v>
      </c>
      <c r="B1409" s="23">
        <v>45065.949305555558</v>
      </c>
      <c r="C1409" s="1" t="s">
        <v>16</v>
      </c>
      <c r="D1409" s="1" t="s">
        <v>26</v>
      </c>
      <c r="E1409" s="1" t="s">
        <v>22</v>
      </c>
      <c r="F1409" s="1" t="s">
        <v>72</v>
      </c>
      <c r="G1409" s="1">
        <v>41</v>
      </c>
      <c r="H1409" s="23">
        <v>45065.993495370371</v>
      </c>
      <c r="I1409" s="1" t="b">
        <v>1</v>
      </c>
      <c r="K1409" s="10">
        <f t="shared" si="107"/>
        <v>1.060555555508472</v>
      </c>
      <c r="L1409" s="1" t="str">
        <f t="shared" si="108"/>
        <v>OK</v>
      </c>
      <c r="M1409" s="1">
        <f t="shared" si="105"/>
        <v>1</v>
      </c>
      <c r="N1409" s="1">
        <f t="shared" si="106"/>
        <v>41</v>
      </c>
      <c r="O1409" s="10">
        <f t="shared" si="109"/>
        <v>1.060555555508472</v>
      </c>
    </row>
    <row r="1410" spans="1:15">
      <c r="A1410" s="1" t="s">
        <v>1515</v>
      </c>
      <c r="B1410" s="23">
        <v>45065.982638888891</v>
      </c>
      <c r="C1410" s="1" t="s">
        <v>16</v>
      </c>
      <c r="D1410" s="1" t="s">
        <v>17</v>
      </c>
      <c r="E1410" s="1" t="s">
        <v>18</v>
      </c>
      <c r="F1410" s="1" t="s">
        <v>128</v>
      </c>
      <c r="G1410" s="1">
        <v>78</v>
      </c>
      <c r="H1410" s="23">
        <v>45066.756851851853</v>
      </c>
      <c r="I1410" s="1" t="b">
        <v>1</v>
      </c>
      <c r="K1410" s="10">
        <f t="shared" si="107"/>
        <v>18.581111111096106</v>
      </c>
      <c r="L1410" s="1" t="str">
        <f t="shared" si="108"/>
        <v>OK</v>
      </c>
      <c r="M1410" s="1">
        <f t="shared" ref="M1410:M1473" si="110">COUNTIF($A$2:$A$4001,A1410)</f>
        <v>1</v>
      </c>
      <c r="N1410" s="1">
        <f t="shared" ref="N1410:N1473" si="111">IF(OR(L1410="Review",G1410=""),"",G1410)</f>
        <v>78</v>
      </c>
      <c r="O1410" s="10">
        <f t="shared" si="109"/>
        <v>18.581111111096106</v>
      </c>
    </row>
    <row r="1411" spans="1:15">
      <c r="A1411" s="1" t="s">
        <v>1516</v>
      </c>
      <c r="B1411" s="23">
        <v>45066.002083333333</v>
      </c>
      <c r="C1411" s="1" t="s">
        <v>16</v>
      </c>
      <c r="D1411" s="1" t="s">
        <v>21</v>
      </c>
      <c r="E1411" s="1" t="s">
        <v>18</v>
      </c>
      <c r="F1411" s="1" t="s">
        <v>23</v>
      </c>
      <c r="G1411" s="1">
        <v>11</v>
      </c>
      <c r="H1411" s="23">
        <v>45068.512048611112</v>
      </c>
      <c r="I1411" s="1" t="b">
        <v>0</v>
      </c>
      <c r="J1411" s="1">
        <v>5</v>
      </c>
      <c r="K1411" s="10">
        <f t="shared" ref="K1411:K1474" si="112">IF(H1411="","",(H1411-B1411)*24)</f>
        <v>60.239166666695382</v>
      </c>
      <c r="L1411" s="1" t="str">
        <f t="shared" ref="L1411:L1474" si="113">IF(OR(G1411="",K1411=""),"Cannot check",IF(G1411&gt;K1411*60,"Review","OK"))</f>
        <v>OK</v>
      </c>
      <c r="M1411" s="1">
        <f t="shared" si="110"/>
        <v>1</v>
      </c>
      <c r="N1411" s="1">
        <f t="shared" si="111"/>
        <v>11</v>
      </c>
      <c r="O1411" s="10">
        <f t="shared" ref="O1411:O1474" si="114">IF(OR(L1411="Review",K1411=""),"",K1411)</f>
        <v>60.239166666695382</v>
      </c>
    </row>
    <row r="1412" spans="1:15">
      <c r="A1412" s="1" t="s">
        <v>1517</v>
      </c>
      <c r="B1412" s="23">
        <v>45066.620833333334</v>
      </c>
      <c r="C1412" s="1" t="s">
        <v>11</v>
      </c>
      <c r="D1412" s="1" t="s">
        <v>21</v>
      </c>
      <c r="E1412" s="1" t="s">
        <v>33</v>
      </c>
      <c r="F1412" s="1" t="s">
        <v>90</v>
      </c>
      <c r="G1412" s="1">
        <v>705</v>
      </c>
      <c r="H1412" s="23">
        <v>45067.71197916667</v>
      </c>
      <c r="I1412" s="1" t="b">
        <v>0</v>
      </c>
      <c r="J1412" s="1">
        <v>2</v>
      </c>
      <c r="K1412" s="10">
        <f t="shared" si="112"/>
        <v>26.187500000058208</v>
      </c>
      <c r="L1412" s="1" t="str">
        <f t="shared" si="113"/>
        <v>OK</v>
      </c>
      <c r="M1412" s="1">
        <f t="shared" si="110"/>
        <v>1</v>
      </c>
      <c r="N1412" s="1">
        <f t="shared" si="111"/>
        <v>705</v>
      </c>
      <c r="O1412" s="10">
        <f t="shared" si="114"/>
        <v>26.187500000058208</v>
      </c>
    </row>
    <row r="1413" spans="1:15">
      <c r="A1413" s="1" t="s">
        <v>1518</v>
      </c>
      <c r="B1413" s="23">
        <v>45066.720833333333</v>
      </c>
      <c r="C1413" s="1" t="s">
        <v>11</v>
      </c>
      <c r="D1413" s="1" t="s">
        <v>26</v>
      </c>
      <c r="E1413" s="1" t="s">
        <v>18</v>
      </c>
      <c r="F1413" s="1" t="s">
        <v>145</v>
      </c>
      <c r="G1413" s="1">
        <v>146</v>
      </c>
      <c r="H1413" s="23">
        <v>45068.232777777775</v>
      </c>
      <c r="I1413" s="1" t="b">
        <v>0</v>
      </c>
      <c r="K1413" s="10">
        <f t="shared" si="112"/>
        <v>36.286666666623205</v>
      </c>
      <c r="L1413" s="1" t="str">
        <f t="shared" si="113"/>
        <v>OK</v>
      </c>
      <c r="M1413" s="1">
        <f t="shared" si="110"/>
        <v>1</v>
      </c>
      <c r="N1413" s="1">
        <f t="shared" si="111"/>
        <v>146</v>
      </c>
      <c r="O1413" s="10">
        <f t="shared" si="114"/>
        <v>36.286666666623205</v>
      </c>
    </row>
    <row r="1414" spans="1:15">
      <c r="A1414" s="1" t="s">
        <v>1519</v>
      </c>
      <c r="B1414" s="23">
        <v>45066.763194444444</v>
      </c>
      <c r="C1414" s="1" t="s">
        <v>25</v>
      </c>
      <c r="D1414" s="1" t="s">
        <v>17</v>
      </c>
      <c r="E1414" s="1" t="s">
        <v>22</v>
      </c>
      <c r="F1414" s="1" t="s">
        <v>175</v>
      </c>
      <c r="G1414" s="1">
        <v>41</v>
      </c>
      <c r="H1414" s="23">
        <v>45067.109050925923</v>
      </c>
      <c r="I1414" s="1" t="b">
        <v>0</v>
      </c>
      <c r="J1414" s="1">
        <v>4</v>
      </c>
      <c r="K1414" s="10">
        <f t="shared" si="112"/>
        <v>8.3005555554991588</v>
      </c>
      <c r="L1414" s="1" t="str">
        <f t="shared" si="113"/>
        <v>OK</v>
      </c>
      <c r="M1414" s="1">
        <f t="shared" si="110"/>
        <v>1</v>
      </c>
      <c r="N1414" s="1">
        <f t="shared" si="111"/>
        <v>41</v>
      </c>
      <c r="O1414" s="10">
        <f t="shared" si="114"/>
        <v>8.3005555554991588</v>
      </c>
    </row>
    <row r="1415" spans="1:15">
      <c r="A1415" s="1" t="s">
        <v>1520</v>
      </c>
      <c r="B1415" s="23">
        <v>45067.259027777778</v>
      </c>
      <c r="C1415" s="1" t="s">
        <v>25</v>
      </c>
      <c r="D1415" s="1" t="s">
        <v>17</v>
      </c>
      <c r="E1415" s="1" t="s">
        <v>33</v>
      </c>
      <c r="F1415" s="1" t="s">
        <v>102</v>
      </c>
      <c r="G1415" s="1">
        <v>114</v>
      </c>
      <c r="H1415" s="23">
        <v>45070.715150462966</v>
      </c>
      <c r="I1415" s="1" t="b">
        <v>0</v>
      </c>
      <c r="K1415" s="10">
        <f t="shared" si="112"/>
        <v>82.946944444498513</v>
      </c>
      <c r="L1415" s="1" t="str">
        <f t="shared" si="113"/>
        <v>OK</v>
      </c>
      <c r="M1415" s="1">
        <f t="shared" si="110"/>
        <v>1</v>
      </c>
      <c r="N1415" s="1">
        <f t="shared" si="111"/>
        <v>114</v>
      </c>
      <c r="O1415" s="10">
        <f t="shared" si="114"/>
        <v>82.946944444498513</v>
      </c>
    </row>
    <row r="1416" spans="1:15">
      <c r="A1416" s="1" t="s">
        <v>1521</v>
      </c>
      <c r="B1416" s="23">
        <v>45067.452777777777</v>
      </c>
      <c r="C1416" s="1" t="s">
        <v>16</v>
      </c>
      <c r="D1416" s="1" t="s">
        <v>59</v>
      </c>
      <c r="E1416" s="1" t="s">
        <v>33</v>
      </c>
      <c r="F1416" s="1" t="s">
        <v>31</v>
      </c>
      <c r="G1416" s="1">
        <v>157</v>
      </c>
      <c r="H1416" s="23">
        <v>45068.28398148148</v>
      </c>
      <c r="I1416" s="1" t="b">
        <v>0</v>
      </c>
      <c r="K1416" s="10">
        <f t="shared" si="112"/>
        <v>19.948888888873626</v>
      </c>
      <c r="L1416" s="1" t="str">
        <f t="shared" si="113"/>
        <v>OK</v>
      </c>
      <c r="M1416" s="1">
        <f t="shared" si="110"/>
        <v>1</v>
      </c>
      <c r="N1416" s="1">
        <f t="shared" si="111"/>
        <v>157</v>
      </c>
      <c r="O1416" s="10">
        <f t="shared" si="114"/>
        <v>19.948888888873626</v>
      </c>
    </row>
    <row r="1417" spans="1:15">
      <c r="A1417" s="1" t="s">
        <v>1522</v>
      </c>
      <c r="B1417" s="23">
        <v>45067.544444444444</v>
      </c>
      <c r="C1417" s="1" t="s">
        <v>11</v>
      </c>
      <c r="D1417" s="1" t="s">
        <v>26</v>
      </c>
      <c r="E1417" s="1" t="s">
        <v>18</v>
      </c>
      <c r="F1417" s="1" t="s">
        <v>234</v>
      </c>
      <c r="G1417" s="1">
        <v>355</v>
      </c>
      <c r="H1417" s="23">
        <v>45069.126006944447</v>
      </c>
      <c r="I1417" s="1" t="b">
        <v>0</v>
      </c>
      <c r="K1417" s="10">
        <f t="shared" si="112"/>
        <v>37.957500000076834</v>
      </c>
      <c r="L1417" s="1" t="str">
        <f t="shared" si="113"/>
        <v>OK</v>
      </c>
      <c r="M1417" s="1">
        <f t="shared" si="110"/>
        <v>1</v>
      </c>
      <c r="N1417" s="1">
        <f t="shared" si="111"/>
        <v>355</v>
      </c>
      <c r="O1417" s="10">
        <f t="shared" si="114"/>
        <v>37.957500000076834</v>
      </c>
    </row>
    <row r="1418" spans="1:15">
      <c r="A1418" s="1" t="s">
        <v>1523</v>
      </c>
      <c r="B1418" s="23">
        <v>45067.612500000003</v>
      </c>
      <c r="C1418" s="1" t="s">
        <v>16</v>
      </c>
      <c r="D1418" s="1" t="s">
        <v>59</v>
      </c>
      <c r="E1418" s="1" t="s">
        <v>13</v>
      </c>
      <c r="F1418" s="1" t="s">
        <v>345</v>
      </c>
      <c r="G1418" s="1">
        <v>130</v>
      </c>
      <c r="H1418" s="23">
        <v>45068.002372685187</v>
      </c>
      <c r="I1418" s="1" t="b">
        <v>0</v>
      </c>
      <c r="K1418" s="10">
        <f t="shared" si="112"/>
        <v>9.3569444444146939</v>
      </c>
      <c r="L1418" s="1" t="str">
        <f t="shared" si="113"/>
        <v>OK</v>
      </c>
      <c r="M1418" s="1">
        <f t="shared" si="110"/>
        <v>1</v>
      </c>
      <c r="N1418" s="1">
        <f t="shared" si="111"/>
        <v>130</v>
      </c>
      <c r="O1418" s="10">
        <f t="shared" si="114"/>
        <v>9.3569444444146939</v>
      </c>
    </row>
    <row r="1419" spans="1:15">
      <c r="A1419" s="1" t="s">
        <v>1524</v>
      </c>
      <c r="B1419" s="23">
        <v>45067.770833333336</v>
      </c>
      <c r="C1419" s="1" t="s">
        <v>16</v>
      </c>
      <c r="D1419" s="1" t="s">
        <v>17</v>
      </c>
      <c r="E1419" s="1" t="s">
        <v>18</v>
      </c>
      <c r="F1419" s="1" t="s">
        <v>274</v>
      </c>
      <c r="H1419" s="23">
        <v>45069.517523148148</v>
      </c>
      <c r="I1419" s="1" t="b">
        <v>0</v>
      </c>
      <c r="J1419" s="1">
        <v>5</v>
      </c>
      <c r="K1419" s="10">
        <f t="shared" si="112"/>
        <v>41.920555555494502</v>
      </c>
      <c r="L1419" s="1" t="str">
        <f t="shared" si="113"/>
        <v>Cannot check</v>
      </c>
      <c r="M1419" s="1">
        <f t="shared" si="110"/>
        <v>1</v>
      </c>
      <c r="N1419" s="1" t="str">
        <f t="shared" si="111"/>
        <v/>
      </c>
      <c r="O1419" s="10">
        <f t="shared" si="114"/>
        <v>41.920555555494502</v>
      </c>
    </row>
    <row r="1420" spans="1:15">
      <c r="A1420" s="1" t="s">
        <v>1525</v>
      </c>
      <c r="B1420" s="23">
        <v>45068.104861111111</v>
      </c>
      <c r="C1420" s="1" t="s">
        <v>25</v>
      </c>
      <c r="D1420" s="1" t="s">
        <v>26</v>
      </c>
      <c r="E1420" s="1" t="s">
        <v>18</v>
      </c>
      <c r="F1420" s="1" t="s">
        <v>134</v>
      </c>
      <c r="G1420" s="1">
        <v>657</v>
      </c>
      <c r="H1420" s="23">
        <v>45068.366898148146</v>
      </c>
      <c r="I1420" s="1" t="b">
        <v>0</v>
      </c>
      <c r="K1420" s="10">
        <f t="shared" si="112"/>
        <v>6.2888888888410293</v>
      </c>
      <c r="L1420" s="1" t="str">
        <f t="shared" si="113"/>
        <v>Review</v>
      </c>
      <c r="M1420" s="1">
        <f t="shared" si="110"/>
        <v>1</v>
      </c>
      <c r="N1420" s="1" t="str">
        <f t="shared" si="111"/>
        <v/>
      </c>
      <c r="O1420" s="10" t="str">
        <f t="shared" si="114"/>
        <v/>
      </c>
    </row>
    <row r="1421" spans="1:15">
      <c r="A1421" s="1" t="s">
        <v>1526</v>
      </c>
      <c r="B1421" s="23">
        <v>45068.140277777777</v>
      </c>
      <c r="C1421" s="1" t="s">
        <v>16</v>
      </c>
      <c r="D1421" s="1" t="s">
        <v>59</v>
      </c>
      <c r="E1421" s="1" t="s">
        <v>18</v>
      </c>
      <c r="F1421" s="1" t="s">
        <v>72</v>
      </c>
      <c r="G1421" s="1">
        <v>127</v>
      </c>
      <c r="H1421" s="23">
        <v>45068.291909722226</v>
      </c>
      <c r="I1421" s="1" t="b">
        <v>0</v>
      </c>
      <c r="J1421" s="1">
        <v>4</v>
      </c>
      <c r="K1421" s="10">
        <f t="shared" si="112"/>
        <v>3.6391666667768732</v>
      </c>
      <c r="L1421" s="1" t="str">
        <f t="shared" si="113"/>
        <v>OK</v>
      </c>
      <c r="M1421" s="1">
        <f t="shared" si="110"/>
        <v>1</v>
      </c>
      <c r="N1421" s="1">
        <f t="shared" si="111"/>
        <v>127</v>
      </c>
      <c r="O1421" s="10">
        <f t="shared" si="114"/>
        <v>3.6391666667768732</v>
      </c>
    </row>
    <row r="1422" spans="1:15">
      <c r="A1422" s="1" t="s">
        <v>1527</v>
      </c>
      <c r="B1422" s="23">
        <v>45068.260416666664</v>
      </c>
      <c r="C1422" s="1" t="s">
        <v>11</v>
      </c>
      <c r="D1422" s="1" t="s">
        <v>21</v>
      </c>
      <c r="E1422" s="1" t="s">
        <v>18</v>
      </c>
      <c r="F1422" s="1" t="s">
        <v>148</v>
      </c>
      <c r="G1422" s="1">
        <v>49</v>
      </c>
      <c r="H1422" s="23">
        <v>45069.179085648146</v>
      </c>
      <c r="I1422" s="1" t="b">
        <v>0</v>
      </c>
      <c r="K1422" s="10">
        <f t="shared" si="112"/>
        <v>22.048055555555038</v>
      </c>
      <c r="L1422" s="1" t="str">
        <f t="shared" si="113"/>
        <v>OK</v>
      </c>
      <c r="M1422" s="1">
        <f t="shared" si="110"/>
        <v>1</v>
      </c>
      <c r="N1422" s="1">
        <f t="shared" si="111"/>
        <v>49</v>
      </c>
      <c r="O1422" s="10">
        <f t="shared" si="114"/>
        <v>22.048055555555038</v>
      </c>
    </row>
    <row r="1423" spans="1:15">
      <c r="A1423" s="1" t="s">
        <v>1528</v>
      </c>
      <c r="B1423" s="23">
        <v>45068.409722222219</v>
      </c>
      <c r="C1423" s="1" t="s">
        <v>25</v>
      </c>
      <c r="D1423" s="1" t="s">
        <v>21</v>
      </c>
      <c r="E1423" s="1" t="s">
        <v>18</v>
      </c>
      <c r="F1423" s="1" t="s">
        <v>175</v>
      </c>
      <c r="G1423" s="1">
        <v>18</v>
      </c>
      <c r="H1423" s="23">
        <v>45071.168668981481</v>
      </c>
      <c r="I1423" s="1" t="b">
        <v>0</v>
      </c>
      <c r="K1423" s="10">
        <f t="shared" si="112"/>
        <v>66.214722222299315</v>
      </c>
      <c r="L1423" s="1" t="str">
        <f t="shared" si="113"/>
        <v>OK</v>
      </c>
      <c r="M1423" s="1">
        <f t="shared" si="110"/>
        <v>1</v>
      </c>
      <c r="N1423" s="1">
        <f t="shared" si="111"/>
        <v>18</v>
      </c>
      <c r="O1423" s="10">
        <f t="shared" si="114"/>
        <v>66.214722222299315</v>
      </c>
    </row>
    <row r="1424" spans="1:15">
      <c r="A1424" s="1" t="s">
        <v>1529</v>
      </c>
      <c r="B1424" s="23">
        <v>45068.477083333331</v>
      </c>
      <c r="C1424" s="1" t="s">
        <v>16</v>
      </c>
      <c r="D1424" s="1" t="s">
        <v>26</v>
      </c>
      <c r="E1424" s="1" t="s">
        <v>13</v>
      </c>
      <c r="F1424" s="1" t="s">
        <v>226</v>
      </c>
      <c r="G1424" s="1">
        <v>309</v>
      </c>
      <c r="H1424" s="23">
        <v>45074.742407407408</v>
      </c>
      <c r="I1424" s="1" t="b">
        <v>0</v>
      </c>
      <c r="K1424" s="10">
        <f t="shared" si="112"/>
        <v>150.36777777783573</v>
      </c>
      <c r="L1424" s="1" t="str">
        <f t="shared" si="113"/>
        <v>OK</v>
      </c>
      <c r="M1424" s="1">
        <f t="shared" si="110"/>
        <v>1</v>
      </c>
      <c r="N1424" s="1">
        <f t="shared" si="111"/>
        <v>309</v>
      </c>
      <c r="O1424" s="10">
        <f t="shared" si="114"/>
        <v>150.36777777783573</v>
      </c>
    </row>
    <row r="1425" spans="1:15">
      <c r="A1425" s="1" t="s">
        <v>1530</v>
      </c>
      <c r="B1425" s="23">
        <v>45068.634027777778</v>
      </c>
      <c r="C1425" s="1" t="s">
        <v>11</v>
      </c>
      <c r="D1425" s="1" t="s">
        <v>21</v>
      </c>
      <c r="E1425" s="1" t="s">
        <v>18</v>
      </c>
      <c r="F1425" s="1" t="s">
        <v>148</v>
      </c>
      <c r="G1425" s="1">
        <v>270</v>
      </c>
      <c r="H1425" s="23">
        <v>45068.899282407408</v>
      </c>
      <c r="I1425" s="1" t="b">
        <v>0</v>
      </c>
      <c r="K1425" s="10">
        <f t="shared" si="112"/>
        <v>6.3661111111287028</v>
      </c>
      <c r="L1425" s="1" t="str">
        <f t="shared" si="113"/>
        <v>OK</v>
      </c>
      <c r="M1425" s="1">
        <f t="shared" si="110"/>
        <v>1</v>
      </c>
      <c r="N1425" s="1">
        <f t="shared" si="111"/>
        <v>270</v>
      </c>
      <c r="O1425" s="10">
        <f t="shared" si="114"/>
        <v>6.3661111111287028</v>
      </c>
    </row>
    <row r="1426" spans="1:15">
      <c r="A1426" s="1" t="s">
        <v>1531</v>
      </c>
      <c r="B1426" s="23">
        <v>45068.652777777781</v>
      </c>
      <c r="C1426" s="1" t="s">
        <v>43</v>
      </c>
      <c r="D1426" s="1" t="s">
        <v>59</v>
      </c>
      <c r="E1426" s="1" t="s">
        <v>18</v>
      </c>
      <c r="F1426" s="1" t="s">
        <v>226</v>
      </c>
      <c r="G1426" s="1">
        <v>571</v>
      </c>
      <c r="H1426" s="23">
        <v>45069.683842592596</v>
      </c>
      <c r="I1426" s="1" t="b">
        <v>0</v>
      </c>
      <c r="K1426" s="10">
        <f t="shared" si="112"/>
        <v>24.745555555564351</v>
      </c>
      <c r="L1426" s="1" t="str">
        <f t="shared" si="113"/>
        <v>OK</v>
      </c>
      <c r="M1426" s="1">
        <f t="shared" si="110"/>
        <v>1</v>
      </c>
      <c r="N1426" s="1">
        <f t="shared" si="111"/>
        <v>571</v>
      </c>
      <c r="O1426" s="10">
        <f t="shared" si="114"/>
        <v>24.745555555564351</v>
      </c>
    </row>
    <row r="1427" spans="1:15">
      <c r="A1427" s="1" t="s">
        <v>1532</v>
      </c>
      <c r="B1427" s="23">
        <v>45068.879861111112</v>
      </c>
      <c r="C1427" s="1" t="s">
        <v>25</v>
      </c>
      <c r="D1427" s="1" t="s">
        <v>12</v>
      </c>
      <c r="E1427" s="1" t="s">
        <v>33</v>
      </c>
      <c r="F1427" s="1" t="s">
        <v>106</v>
      </c>
      <c r="G1427" s="1">
        <v>33</v>
      </c>
      <c r="H1427" s="23">
        <v>45070.678680555553</v>
      </c>
      <c r="I1427" s="1" t="b">
        <v>0</v>
      </c>
      <c r="K1427" s="10">
        <f t="shared" si="112"/>
        <v>43.171666666574311</v>
      </c>
      <c r="L1427" s="1" t="str">
        <f t="shared" si="113"/>
        <v>OK</v>
      </c>
      <c r="M1427" s="1">
        <f t="shared" si="110"/>
        <v>1</v>
      </c>
      <c r="N1427" s="1">
        <f t="shared" si="111"/>
        <v>33</v>
      </c>
      <c r="O1427" s="10">
        <f t="shared" si="114"/>
        <v>43.171666666574311</v>
      </c>
    </row>
    <row r="1428" spans="1:15">
      <c r="A1428" s="1" t="s">
        <v>1533</v>
      </c>
      <c r="B1428" s="23">
        <v>45068.905555555553</v>
      </c>
      <c r="C1428" s="1" t="s">
        <v>43</v>
      </c>
      <c r="D1428" s="1" t="s">
        <v>17</v>
      </c>
      <c r="E1428" s="1" t="s">
        <v>18</v>
      </c>
      <c r="F1428" s="1" t="s">
        <v>132</v>
      </c>
      <c r="G1428" s="1">
        <v>20</v>
      </c>
      <c r="H1428" s="23">
        <v>45076.267118055555</v>
      </c>
      <c r="I1428" s="1" t="b">
        <v>0</v>
      </c>
      <c r="J1428" s="1">
        <v>5</v>
      </c>
      <c r="K1428" s="10">
        <f t="shared" si="112"/>
        <v>176.67750000004889</v>
      </c>
      <c r="L1428" s="1" t="str">
        <f t="shared" si="113"/>
        <v>OK</v>
      </c>
      <c r="M1428" s="1">
        <f t="shared" si="110"/>
        <v>1</v>
      </c>
      <c r="N1428" s="1">
        <f t="shared" si="111"/>
        <v>20</v>
      </c>
      <c r="O1428" s="10">
        <f t="shared" si="114"/>
        <v>176.67750000004889</v>
      </c>
    </row>
    <row r="1429" spans="1:15">
      <c r="A1429" s="1" t="s">
        <v>1534</v>
      </c>
      <c r="B1429" s="23">
        <v>45068.915972222225</v>
      </c>
      <c r="C1429" s="1" t="s">
        <v>25</v>
      </c>
      <c r="D1429" s="1" t="s">
        <v>59</v>
      </c>
      <c r="E1429" s="1" t="s">
        <v>18</v>
      </c>
      <c r="F1429" s="1" t="s">
        <v>237</v>
      </c>
      <c r="G1429" s="1">
        <v>556</v>
      </c>
      <c r="H1429" s="23">
        <v>45069.286446759259</v>
      </c>
      <c r="I1429" s="1" t="b">
        <v>0</v>
      </c>
      <c r="J1429" s="1">
        <v>4</v>
      </c>
      <c r="K1429" s="10">
        <f t="shared" si="112"/>
        <v>8.8913888888200745</v>
      </c>
      <c r="L1429" s="1" t="str">
        <f t="shared" si="113"/>
        <v>Review</v>
      </c>
      <c r="M1429" s="1">
        <f t="shared" si="110"/>
        <v>1</v>
      </c>
      <c r="N1429" s="1" t="str">
        <f t="shared" si="111"/>
        <v/>
      </c>
      <c r="O1429" s="10" t="str">
        <f t="shared" si="114"/>
        <v/>
      </c>
    </row>
    <row r="1430" spans="1:15">
      <c r="A1430" s="1" t="s">
        <v>1535</v>
      </c>
      <c r="B1430" s="23">
        <v>45068.936805555553</v>
      </c>
      <c r="C1430" s="1" t="s">
        <v>16</v>
      </c>
      <c r="D1430" s="1" t="s">
        <v>59</v>
      </c>
      <c r="E1430" s="1" t="s">
        <v>33</v>
      </c>
      <c r="F1430" s="1" t="s">
        <v>54</v>
      </c>
      <c r="G1430" s="1">
        <v>158</v>
      </c>
      <c r="H1430" s="23">
        <v>45070.081400462965</v>
      </c>
      <c r="I1430" s="1" t="b">
        <v>0</v>
      </c>
      <c r="K1430" s="10">
        <f t="shared" si="112"/>
        <v>27.47027777787298</v>
      </c>
      <c r="L1430" s="1" t="str">
        <f t="shared" si="113"/>
        <v>OK</v>
      </c>
      <c r="M1430" s="1">
        <f t="shared" si="110"/>
        <v>1</v>
      </c>
      <c r="N1430" s="1">
        <f t="shared" si="111"/>
        <v>158</v>
      </c>
      <c r="O1430" s="10">
        <f t="shared" si="114"/>
        <v>27.47027777787298</v>
      </c>
    </row>
    <row r="1431" spans="1:15">
      <c r="A1431" s="1" t="s">
        <v>1536</v>
      </c>
      <c r="B1431" s="23">
        <v>45069.124305555553</v>
      </c>
      <c r="C1431" s="1" t="s">
        <v>16</v>
      </c>
      <c r="D1431" s="1" t="s">
        <v>17</v>
      </c>
      <c r="E1431" s="1" t="s">
        <v>13</v>
      </c>
      <c r="F1431" s="1" t="s">
        <v>132</v>
      </c>
      <c r="G1431" s="1">
        <v>7</v>
      </c>
      <c r="H1431" s="23">
        <v>45077.099039351851</v>
      </c>
      <c r="I1431" s="1" t="b">
        <v>0</v>
      </c>
      <c r="K1431" s="10">
        <f t="shared" si="112"/>
        <v>191.39361111115431</v>
      </c>
      <c r="L1431" s="1" t="str">
        <f t="shared" si="113"/>
        <v>OK</v>
      </c>
      <c r="M1431" s="1">
        <f t="shared" si="110"/>
        <v>1</v>
      </c>
      <c r="N1431" s="1">
        <f t="shared" si="111"/>
        <v>7</v>
      </c>
      <c r="O1431" s="10">
        <f t="shared" si="114"/>
        <v>191.39361111115431</v>
      </c>
    </row>
    <row r="1432" spans="1:15">
      <c r="A1432" s="1" t="s">
        <v>1537</v>
      </c>
      <c r="B1432" s="23">
        <v>45069.274305555555</v>
      </c>
      <c r="C1432" s="1" t="s">
        <v>16</v>
      </c>
      <c r="D1432" s="1" t="s">
        <v>21</v>
      </c>
      <c r="E1432" s="1" t="s">
        <v>13</v>
      </c>
      <c r="F1432" s="1" t="s">
        <v>35</v>
      </c>
      <c r="G1432" s="1">
        <v>11</v>
      </c>
      <c r="H1432" s="23">
        <v>45070.219467592593</v>
      </c>
      <c r="I1432" s="1" t="b">
        <v>0</v>
      </c>
      <c r="K1432" s="10">
        <f t="shared" si="112"/>
        <v>22.683888888917863</v>
      </c>
      <c r="L1432" s="1" t="str">
        <f t="shared" si="113"/>
        <v>OK</v>
      </c>
      <c r="M1432" s="1">
        <f t="shared" si="110"/>
        <v>1</v>
      </c>
      <c r="N1432" s="1">
        <f t="shared" si="111"/>
        <v>11</v>
      </c>
      <c r="O1432" s="10">
        <f t="shared" si="114"/>
        <v>22.683888888917863</v>
      </c>
    </row>
    <row r="1433" spans="1:15">
      <c r="A1433" s="1" t="s">
        <v>1538</v>
      </c>
      <c r="B1433" s="23">
        <v>45069.393055555556</v>
      </c>
      <c r="C1433" s="1" t="s">
        <v>25</v>
      </c>
      <c r="D1433" s="1" t="s">
        <v>21</v>
      </c>
      <c r="E1433" s="1" t="s">
        <v>18</v>
      </c>
      <c r="F1433" s="1" t="s">
        <v>228</v>
      </c>
      <c r="G1433" s="1">
        <v>112</v>
      </c>
      <c r="H1433" s="23">
        <v>45077.667500000003</v>
      </c>
      <c r="I1433" s="1" t="b">
        <v>0</v>
      </c>
      <c r="J1433" s="1">
        <v>4</v>
      </c>
      <c r="K1433" s="10">
        <f t="shared" si="112"/>
        <v>198.58666666672798</v>
      </c>
      <c r="L1433" s="1" t="str">
        <f t="shared" si="113"/>
        <v>OK</v>
      </c>
      <c r="M1433" s="1">
        <f t="shared" si="110"/>
        <v>1</v>
      </c>
      <c r="N1433" s="1">
        <f t="shared" si="111"/>
        <v>112</v>
      </c>
      <c r="O1433" s="10">
        <f t="shared" si="114"/>
        <v>198.58666666672798</v>
      </c>
    </row>
    <row r="1434" spans="1:15">
      <c r="A1434" s="1" t="s">
        <v>1539</v>
      </c>
      <c r="B1434" s="23">
        <v>45069.436111111114</v>
      </c>
      <c r="C1434" s="1" t="s">
        <v>43</v>
      </c>
      <c r="D1434" s="1" t="s">
        <v>17</v>
      </c>
      <c r="E1434" s="1" t="s">
        <v>22</v>
      </c>
      <c r="F1434" s="1" t="s">
        <v>62</v>
      </c>
      <c r="G1434" s="1">
        <v>20</v>
      </c>
      <c r="H1434" s="23">
        <v>45069.547662037039</v>
      </c>
      <c r="I1434" s="1" t="b">
        <v>0</v>
      </c>
      <c r="J1434" s="1">
        <v>3</v>
      </c>
      <c r="K1434" s="10">
        <f t="shared" si="112"/>
        <v>2.6772222222061828</v>
      </c>
      <c r="L1434" s="1" t="str">
        <f t="shared" si="113"/>
        <v>OK</v>
      </c>
      <c r="M1434" s="1">
        <f t="shared" si="110"/>
        <v>1</v>
      </c>
      <c r="N1434" s="1">
        <f t="shared" si="111"/>
        <v>20</v>
      </c>
      <c r="O1434" s="10">
        <f t="shared" si="114"/>
        <v>2.6772222222061828</v>
      </c>
    </row>
    <row r="1435" spans="1:15">
      <c r="A1435" s="1" t="s">
        <v>1540</v>
      </c>
      <c r="B1435" s="23">
        <v>45069.723611111112</v>
      </c>
      <c r="C1435" s="1" t="s">
        <v>16</v>
      </c>
      <c r="D1435" s="1" t="s">
        <v>12</v>
      </c>
      <c r="E1435" s="1" t="s">
        <v>13</v>
      </c>
      <c r="F1435" s="1" t="s">
        <v>175</v>
      </c>
      <c r="G1435" s="1">
        <v>126</v>
      </c>
      <c r="H1435" s="23">
        <v>45069.805104166669</v>
      </c>
      <c r="I1435" s="1" t="b">
        <v>0</v>
      </c>
      <c r="K1435" s="10">
        <f t="shared" si="112"/>
        <v>1.9558333333698101</v>
      </c>
      <c r="L1435" s="1" t="str">
        <f t="shared" si="113"/>
        <v>Review</v>
      </c>
      <c r="M1435" s="1">
        <f t="shared" si="110"/>
        <v>1</v>
      </c>
      <c r="N1435" s="1" t="str">
        <f t="shared" si="111"/>
        <v/>
      </c>
      <c r="O1435" s="10" t="str">
        <f t="shared" si="114"/>
        <v/>
      </c>
    </row>
    <row r="1436" spans="1:15">
      <c r="A1436" s="1" t="s">
        <v>1541</v>
      </c>
      <c r="B1436" s="23">
        <v>45069.741666666669</v>
      </c>
      <c r="C1436" s="1" t="s">
        <v>16</v>
      </c>
      <c r="D1436" s="1" t="s">
        <v>12</v>
      </c>
      <c r="E1436" s="1" t="s">
        <v>33</v>
      </c>
      <c r="F1436" s="1" t="s">
        <v>94</v>
      </c>
      <c r="G1436" s="1">
        <v>113</v>
      </c>
      <c r="H1436" s="23">
        <v>45069.844247685185</v>
      </c>
      <c r="I1436" s="1" t="b">
        <v>0</v>
      </c>
      <c r="K1436" s="10">
        <f t="shared" si="112"/>
        <v>2.4619444443960674</v>
      </c>
      <c r="L1436" s="1" t="str">
        <f t="shared" si="113"/>
        <v>OK</v>
      </c>
      <c r="M1436" s="1">
        <f t="shared" si="110"/>
        <v>1</v>
      </c>
      <c r="N1436" s="1">
        <f t="shared" si="111"/>
        <v>113</v>
      </c>
      <c r="O1436" s="10">
        <f t="shared" si="114"/>
        <v>2.4619444443960674</v>
      </c>
    </row>
    <row r="1437" spans="1:15">
      <c r="A1437" s="1" t="s">
        <v>1542</v>
      </c>
      <c r="B1437" s="23">
        <v>45069.75</v>
      </c>
      <c r="C1437" s="1" t="s">
        <v>16</v>
      </c>
      <c r="D1437" s="1" t="s">
        <v>26</v>
      </c>
      <c r="E1437" s="1" t="s">
        <v>13</v>
      </c>
      <c r="F1437" s="1" t="s">
        <v>302</v>
      </c>
      <c r="G1437" s="1">
        <v>31</v>
      </c>
      <c r="H1437" s="23">
        <v>45074.539606481485</v>
      </c>
      <c r="I1437" s="1" t="b">
        <v>0</v>
      </c>
      <c r="K1437" s="10">
        <f t="shared" si="112"/>
        <v>114.95055555563886</v>
      </c>
      <c r="L1437" s="1" t="str">
        <f t="shared" si="113"/>
        <v>OK</v>
      </c>
      <c r="M1437" s="1">
        <f t="shared" si="110"/>
        <v>1</v>
      </c>
      <c r="N1437" s="1">
        <f t="shared" si="111"/>
        <v>31</v>
      </c>
      <c r="O1437" s="10">
        <f t="shared" si="114"/>
        <v>114.95055555563886</v>
      </c>
    </row>
    <row r="1438" spans="1:15">
      <c r="A1438" s="1" t="s">
        <v>1543</v>
      </c>
      <c r="B1438" s="23">
        <v>45069.868750000001</v>
      </c>
      <c r="C1438" s="1" t="s">
        <v>16</v>
      </c>
      <c r="D1438" s="1" t="s">
        <v>26</v>
      </c>
      <c r="E1438" s="1" t="s">
        <v>18</v>
      </c>
      <c r="F1438" s="1" t="s">
        <v>62</v>
      </c>
      <c r="G1438" s="1">
        <v>382</v>
      </c>
      <c r="H1438" s="23">
        <v>45072.415034722224</v>
      </c>
      <c r="I1438" s="1" t="b">
        <v>0</v>
      </c>
      <c r="J1438" s="1">
        <v>5</v>
      </c>
      <c r="K1438" s="10">
        <f t="shared" si="112"/>
        <v>61.110833333339542</v>
      </c>
      <c r="L1438" s="1" t="str">
        <f t="shared" si="113"/>
        <v>OK</v>
      </c>
      <c r="M1438" s="1">
        <f t="shared" si="110"/>
        <v>1</v>
      </c>
      <c r="N1438" s="1">
        <f t="shared" si="111"/>
        <v>382</v>
      </c>
      <c r="O1438" s="10">
        <f t="shared" si="114"/>
        <v>61.110833333339542</v>
      </c>
    </row>
    <row r="1439" spans="1:15">
      <c r="A1439" s="1" t="s">
        <v>1544</v>
      </c>
      <c r="B1439" s="23">
        <v>45070.047222222223</v>
      </c>
      <c r="C1439" s="1" t="s">
        <v>11</v>
      </c>
      <c r="D1439" s="1" t="s">
        <v>17</v>
      </c>
      <c r="E1439" s="1" t="s">
        <v>18</v>
      </c>
      <c r="F1439" s="1" t="s">
        <v>78</v>
      </c>
      <c r="G1439" s="1">
        <v>30</v>
      </c>
      <c r="H1439" s="23">
        <v>45070.919710648152</v>
      </c>
      <c r="I1439" s="1" t="b">
        <v>0</v>
      </c>
      <c r="J1439" s="1">
        <v>5</v>
      </c>
      <c r="K1439" s="10">
        <f t="shared" si="112"/>
        <v>20.939722222276032</v>
      </c>
      <c r="L1439" s="1" t="str">
        <f t="shared" si="113"/>
        <v>OK</v>
      </c>
      <c r="M1439" s="1">
        <f t="shared" si="110"/>
        <v>1</v>
      </c>
      <c r="N1439" s="1">
        <f t="shared" si="111"/>
        <v>30</v>
      </c>
      <c r="O1439" s="10">
        <f t="shared" si="114"/>
        <v>20.939722222276032</v>
      </c>
    </row>
    <row r="1440" spans="1:15">
      <c r="A1440" s="1" t="s">
        <v>1545</v>
      </c>
      <c r="B1440" s="23">
        <v>45070.081944444442</v>
      </c>
      <c r="C1440" s="1" t="s">
        <v>11</v>
      </c>
      <c r="D1440" s="1" t="s">
        <v>17</v>
      </c>
      <c r="E1440" s="1" t="s">
        <v>33</v>
      </c>
      <c r="F1440" s="1" t="s">
        <v>74</v>
      </c>
      <c r="G1440" s="1">
        <v>183</v>
      </c>
      <c r="H1440" s="23">
        <v>45072.131435185183</v>
      </c>
      <c r="I1440" s="1" t="b">
        <v>0</v>
      </c>
      <c r="J1440" s="1">
        <v>3</v>
      </c>
      <c r="K1440" s="10">
        <f t="shared" si="112"/>
        <v>49.187777777784504</v>
      </c>
      <c r="L1440" s="1" t="str">
        <f t="shared" si="113"/>
        <v>OK</v>
      </c>
      <c r="M1440" s="1">
        <f t="shared" si="110"/>
        <v>1</v>
      </c>
      <c r="N1440" s="1">
        <f t="shared" si="111"/>
        <v>183</v>
      </c>
      <c r="O1440" s="10">
        <f t="shared" si="114"/>
        <v>49.187777777784504</v>
      </c>
    </row>
    <row r="1441" spans="1:15">
      <c r="A1441" s="1" t="s">
        <v>1546</v>
      </c>
      <c r="B1441" s="23">
        <v>45070.134027777778</v>
      </c>
      <c r="C1441" s="1" t="s">
        <v>16</v>
      </c>
      <c r="D1441" s="1" t="s">
        <v>17</v>
      </c>
      <c r="E1441" s="1" t="s">
        <v>13</v>
      </c>
      <c r="F1441" s="1" t="s">
        <v>74</v>
      </c>
      <c r="G1441" s="1">
        <v>215</v>
      </c>
      <c r="H1441" s="23">
        <v>45070.296400462961</v>
      </c>
      <c r="I1441" s="1" t="b">
        <v>0</v>
      </c>
      <c r="J1441" s="1">
        <v>2</v>
      </c>
      <c r="K1441" s="10">
        <f t="shared" si="112"/>
        <v>3.8969444443937391</v>
      </c>
      <c r="L1441" s="1" t="str">
        <f t="shared" si="113"/>
        <v>OK</v>
      </c>
      <c r="M1441" s="1">
        <f t="shared" si="110"/>
        <v>1</v>
      </c>
      <c r="N1441" s="1">
        <f t="shared" si="111"/>
        <v>215</v>
      </c>
      <c r="O1441" s="10">
        <f t="shared" si="114"/>
        <v>3.8969444443937391</v>
      </c>
    </row>
    <row r="1442" spans="1:15">
      <c r="A1442" s="1" t="s">
        <v>1547</v>
      </c>
      <c r="B1442" s="23">
        <v>45070.296527777777</v>
      </c>
      <c r="C1442" s="1" t="s">
        <v>11</v>
      </c>
      <c r="D1442" s="1" t="s">
        <v>17</v>
      </c>
      <c r="E1442" s="1" t="s">
        <v>18</v>
      </c>
      <c r="F1442" s="1" t="s">
        <v>52</v>
      </c>
      <c r="G1442" s="1">
        <v>124</v>
      </c>
      <c r="H1442" s="23">
        <v>45077.419027777774</v>
      </c>
      <c r="I1442" s="1" t="b">
        <v>0</v>
      </c>
      <c r="K1442" s="10">
        <f t="shared" si="112"/>
        <v>170.93999999994412</v>
      </c>
      <c r="L1442" s="1" t="str">
        <f t="shared" si="113"/>
        <v>OK</v>
      </c>
      <c r="M1442" s="1">
        <f t="shared" si="110"/>
        <v>1</v>
      </c>
      <c r="N1442" s="1">
        <f t="shared" si="111"/>
        <v>124</v>
      </c>
      <c r="O1442" s="10">
        <f t="shared" si="114"/>
        <v>170.93999999994412</v>
      </c>
    </row>
    <row r="1443" spans="1:15">
      <c r="A1443" s="1" t="s">
        <v>1548</v>
      </c>
      <c r="B1443" s="23">
        <v>45070.29791666667</v>
      </c>
      <c r="C1443" s="1" t="s">
        <v>16</v>
      </c>
      <c r="D1443" s="1" t="s">
        <v>21</v>
      </c>
      <c r="E1443" s="1" t="s">
        <v>18</v>
      </c>
      <c r="F1443" s="1" t="s">
        <v>201</v>
      </c>
      <c r="I1443" s="1" t="b">
        <v>0</v>
      </c>
      <c r="K1443" s="10" t="str">
        <f t="shared" si="112"/>
        <v/>
      </c>
      <c r="L1443" s="1" t="str">
        <f t="shared" si="113"/>
        <v>Cannot check</v>
      </c>
      <c r="M1443" s="1">
        <f t="shared" si="110"/>
        <v>1</v>
      </c>
      <c r="N1443" s="1" t="str">
        <f t="shared" si="111"/>
        <v/>
      </c>
      <c r="O1443" s="10" t="str">
        <f t="shared" si="114"/>
        <v/>
      </c>
    </row>
    <row r="1444" spans="1:15">
      <c r="A1444" s="1" t="s">
        <v>1549</v>
      </c>
      <c r="B1444" s="23">
        <v>45071.390972222223</v>
      </c>
      <c r="C1444" s="1" t="s">
        <v>16</v>
      </c>
      <c r="D1444" s="1" t="s">
        <v>17</v>
      </c>
      <c r="E1444" s="1" t="s">
        <v>13</v>
      </c>
      <c r="F1444" s="1" t="s">
        <v>128</v>
      </c>
      <c r="G1444" s="1">
        <v>474</v>
      </c>
      <c r="H1444" s="23">
        <v>45073.47556712963</v>
      </c>
      <c r="I1444" s="1" t="b">
        <v>0</v>
      </c>
      <c r="K1444" s="10">
        <f t="shared" si="112"/>
        <v>50.030277777754236</v>
      </c>
      <c r="L1444" s="1" t="str">
        <f t="shared" si="113"/>
        <v>OK</v>
      </c>
      <c r="M1444" s="1">
        <f t="shared" si="110"/>
        <v>1</v>
      </c>
      <c r="N1444" s="1">
        <f t="shared" si="111"/>
        <v>474</v>
      </c>
      <c r="O1444" s="10">
        <f t="shared" si="114"/>
        <v>50.030277777754236</v>
      </c>
    </row>
    <row r="1445" spans="1:15">
      <c r="A1445" s="1" t="s">
        <v>1550</v>
      </c>
      <c r="B1445" s="23">
        <v>45071.427083333336</v>
      </c>
      <c r="C1445" s="1" t="s">
        <v>11</v>
      </c>
      <c r="D1445" s="1" t="s">
        <v>17</v>
      </c>
      <c r="E1445" s="1" t="s">
        <v>33</v>
      </c>
      <c r="F1445" s="1" t="s">
        <v>118</v>
      </c>
      <c r="G1445" s="1">
        <v>65</v>
      </c>
      <c r="H1445" s="23">
        <v>45086.72797453704</v>
      </c>
      <c r="I1445" s="1" t="b">
        <v>0</v>
      </c>
      <c r="J1445" s="1">
        <v>5</v>
      </c>
      <c r="K1445" s="10">
        <f t="shared" si="112"/>
        <v>367.22138888889458</v>
      </c>
      <c r="L1445" s="1" t="str">
        <f t="shared" si="113"/>
        <v>OK</v>
      </c>
      <c r="M1445" s="1">
        <f t="shared" si="110"/>
        <v>1</v>
      </c>
      <c r="N1445" s="1">
        <f t="shared" si="111"/>
        <v>65</v>
      </c>
      <c r="O1445" s="10">
        <f t="shared" si="114"/>
        <v>367.22138888889458</v>
      </c>
    </row>
    <row r="1446" spans="1:15">
      <c r="A1446" s="1" t="s">
        <v>1551</v>
      </c>
      <c r="B1446" s="23">
        <v>45071.618055555555</v>
      </c>
      <c r="C1446" s="1" t="s">
        <v>11</v>
      </c>
      <c r="D1446" s="1" t="s">
        <v>12</v>
      </c>
      <c r="E1446" s="1" t="s">
        <v>22</v>
      </c>
      <c r="F1446" s="1" t="s">
        <v>128</v>
      </c>
      <c r="G1446" s="1">
        <v>136</v>
      </c>
      <c r="H1446" s="23">
        <v>45071.716435185182</v>
      </c>
      <c r="I1446" s="1" t="b">
        <v>0</v>
      </c>
      <c r="J1446" s="1">
        <v>4</v>
      </c>
      <c r="K1446" s="10">
        <f t="shared" si="112"/>
        <v>2.3611111110658385</v>
      </c>
      <c r="L1446" s="1" t="str">
        <f t="shared" si="113"/>
        <v>OK</v>
      </c>
      <c r="M1446" s="1">
        <f t="shared" si="110"/>
        <v>1</v>
      </c>
      <c r="N1446" s="1">
        <f t="shared" si="111"/>
        <v>136</v>
      </c>
      <c r="O1446" s="10">
        <f t="shared" si="114"/>
        <v>2.3611111110658385</v>
      </c>
    </row>
    <row r="1447" spans="1:15">
      <c r="A1447" s="1" t="s">
        <v>1552</v>
      </c>
      <c r="B1447" s="23">
        <v>45071.663194444445</v>
      </c>
      <c r="C1447" s="1" t="s">
        <v>25</v>
      </c>
      <c r="D1447" s="1" t="s">
        <v>26</v>
      </c>
      <c r="E1447" s="1" t="s">
        <v>33</v>
      </c>
      <c r="F1447" s="1" t="s">
        <v>44</v>
      </c>
      <c r="G1447" s="1">
        <v>76</v>
      </c>
      <c r="H1447" s="23">
        <v>45079.052442129629</v>
      </c>
      <c r="I1447" s="1" t="b">
        <v>0</v>
      </c>
      <c r="K1447" s="10">
        <f t="shared" si="112"/>
        <v>177.34194444440072</v>
      </c>
      <c r="L1447" s="1" t="str">
        <f t="shared" si="113"/>
        <v>OK</v>
      </c>
      <c r="M1447" s="1">
        <f t="shared" si="110"/>
        <v>1</v>
      </c>
      <c r="N1447" s="1">
        <f t="shared" si="111"/>
        <v>76</v>
      </c>
      <c r="O1447" s="10">
        <f t="shared" si="114"/>
        <v>177.34194444440072</v>
      </c>
    </row>
    <row r="1448" spans="1:15">
      <c r="A1448" s="1" t="s">
        <v>1553</v>
      </c>
      <c r="B1448" s="23">
        <v>45071.6875</v>
      </c>
      <c r="C1448" s="1" t="s">
        <v>11</v>
      </c>
      <c r="D1448" s="1" t="s">
        <v>26</v>
      </c>
      <c r="E1448" s="1" t="s">
        <v>13</v>
      </c>
      <c r="F1448" s="1" t="s">
        <v>175</v>
      </c>
      <c r="G1448" s="1">
        <v>129</v>
      </c>
      <c r="H1448" s="23">
        <v>45081.527581018519</v>
      </c>
      <c r="I1448" s="1" t="b">
        <v>0</v>
      </c>
      <c r="K1448" s="10">
        <f t="shared" si="112"/>
        <v>236.16194444446592</v>
      </c>
      <c r="L1448" s="1" t="str">
        <f t="shared" si="113"/>
        <v>OK</v>
      </c>
      <c r="M1448" s="1">
        <f t="shared" si="110"/>
        <v>1</v>
      </c>
      <c r="N1448" s="1">
        <f t="shared" si="111"/>
        <v>129</v>
      </c>
      <c r="O1448" s="10">
        <f t="shared" si="114"/>
        <v>236.16194444446592</v>
      </c>
    </row>
    <row r="1449" spans="1:15">
      <c r="A1449" s="1" t="s">
        <v>1554</v>
      </c>
      <c r="B1449" s="23">
        <v>45072.061805555553</v>
      </c>
      <c r="C1449" s="1" t="s">
        <v>43</v>
      </c>
      <c r="D1449" s="1" t="s">
        <v>17</v>
      </c>
      <c r="E1449" s="1" t="s">
        <v>18</v>
      </c>
      <c r="F1449" s="1" t="s">
        <v>52</v>
      </c>
      <c r="G1449" s="1">
        <v>124</v>
      </c>
      <c r="H1449" s="23">
        <v>45075.687372685185</v>
      </c>
      <c r="I1449" s="1" t="b">
        <v>0</v>
      </c>
      <c r="K1449" s="10">
        <f t="shared" si="112"/>
        <v>87.013611111149658</v>
      </c>
      <c r="L1449" s="1" t="str">
        <f t="shared" si="113"/>
        <v>OK</v>
      </c>
      <c r="M1449" s="1">
        <f t="shared" si="110"/>
        <v>1</v>
      </c>
      <c r="N1449" s="1">
        <f t="shared" si="111"/>
        <v>124</v>
      </c>
      <c r="O1449" s="10">
        <f t="shared" si="114"/>
        <v>87.013611111149658</v>
      </c>
    </row>
    <row r="1450" spans="1:15">
      <c r="A1450" s="1" t="s">
        <v>1555</v>
      </c>
      <c r="B1450" s="23">
        <v>45072.123611111114</v>
      </c>
      <c r="C1450" s="1" t="s">
        <v>11</v>
      </c>
      <c r="D1450" s="1" t="s">
        <v>21</v>
      </c>
      <c r="E1450" s="1" t="s">
        <v>33</v>
      </c>
      <c r="F1450" s="1" t="s">
        <v>116</v>
      </c>
      <c r="G1450" s="1">
        <v>432</v>
      </c>
      <c r="H1450" s="23">
        <v>45072.378217592595</v>
      </c>
      <c r="I1450" s="1" t="b">
        <v>0</v>
      </c>
      <c r="J1450" s="1">
        <v>3</v>
      </c>
      <c r="K1450" s="10">
        <f t="shared" si="112"/>
        <v>6.1105555555550382</v>
      </c>
      <c r="L1450" s="1" t="str">
        <f t="shared" si="113"/>
        <v>Review</v>
      </c>
      <c r="M1450" s="1">
        <f t="shared" si="110"/>
        <v>1</v>
      </c>
      <c r="N1450" s="1" t="str">
        <f t="shared" si="111"/>
        <v/>
      </c>
      <c r="O1450" s="10" t="str">
        <f t="shared" si="114"/>
        <v/>
      </c>
    </row>
    <row r="1451" spans="1:15">
      <c r="A1451" s="1" t="s">
        <v>1556</v>
      </c>
      <c r="B1451" s="23">
        <v>45072.177777777775</v>
      </c>
      <c r="C1451" s="1" t="s">
        <v>16</v>
      </c>
      <c r="D1451" s="1" t="s">
        <v>12</v>
      </c>
      <c r="E1451" s="1" t="s">
        <v>18</v>
      </c>
      <c r="F1451" s="1" t="s">
        <v>46</v>
      </c>
      <c r="G1451" s="1">
        <v>83</v>
      </c>
      <c r="H1451" s="23">
        <v>45072.880520833336</v>
      </c>
      <c r="I1451" s="1" t="b">
        <v>0</v>
      </c>
      <c r="K1451" s="10">
        <f t="shared" si="112"/>
        <v>16.865833333460614</v>
      </c>
      <c r="L1451" s="1" t="str">
        <f t="shared" si="113"/>
        <v>OK</v>
      </c>
      <c r="M1451" s="1">
        <f t="shared" si="110"/>
        <v>1</v>
      </c>
      <c r="N1451" s="1">
        <f t="shared" si="111"/>
        <v>83</v>
      </c>
      <c r="O1451" s="10">
        <f t="shared" si="114"/>
        <v>16.865833333460614</v>
      </c>
    </row>
    <row r="1452" spans="1:15">
      <c r="A1452" s="1" t="s">
        <v>1557</v>
      </c>
      <c r="B1452" s="23">
        <v>45072.419444444444</v>
      </c>
      <c r="C1452" s="1" t="s">
        <v>25</v>
      </c>
      <c r="D1452" s="1" t="s">
        <v>12</v>
      </c>
      <c r="E1452" s="1" t="s">
        <v>18</v>
      </c>
      <c r="F1452" s="1" t="s">
        <v>486</v>
      </c>
      <c r="G1452" s="1">
        <v>261</v>
      </c>
      <c r="H1452" s="23">
        <v>45073.625532407408</v>
      </c>
      <c r="I1452" s="1" t="b">
        <v>0</v>
      </c>
      <c r="K1452" s="10">
        <f t="shared" si="112"/>
        <v>28.946111111145001</v>
      </c>
      <c r="L1452" s="1" t="str">
        <f t="shared" si="113"/>
        <v>OK</v>
      </c>
      <c r="M1452" s="1">
        <f t="shared" si="110"/>
        <v>1</v>
      </c>
      <c r="N1452" s="1">
        <f t="shared" si="111"/>
        <v>261</v>
      </c>
      <c r="O1452" s="10">
        <f t="shared" si="114"/>
        <v>28.946111111145001</v>
      </c>
    </row>
    <row r="1453" spans="1:15">
      <c r="A1453" s="1" t="s">
        <v>1558</v>
      </c>
      <c r="B1453" s="23">
        <v>45072.592361111114</v>
      </c>
      <c r="C1453" s="1" t="s">
        <v>43</v>
      </c>
      <c r="D1453" s="1" t="s">
        <v>59</v>
      </c>
      <c r="E1453" s="1" t="s">
        <v>33</v>
      </c>
      <c r="F1453" s="1" t="s">
        <v>102</v>
      </c>
      <c r="G1453" s="1">
        <v>407</v>
      </c>
      <c r="H1453" s="23">
        <v>45074.604722222219</v>
      </c>
      <c r="I1453" s="1" t="b">
        <v>1</v>
      </c>
      <c r="J1453" s="1">
        <v>4</v>
      </c>
      <c r="K1453" s="10">
        <f t="shared" si="112"/>
        <v>48.296666666516103</v>
      </c>
      <c r="L1453" s="1" t="str">
        <f t="shared" si="113"/>
        <v>OK</v>
      </c>
      <c r="M1453" s="1">
        <f t="shared" si="110"/>
        <v>1</v>
      </c>
      <c r="N1453" s="1">
        <f t="shared" si="111"/>
        <v>407</v>
      </c>
      <c r="O1453" s="10">
        <f t="shared" si="114"/>
        <v>48.296666666516103</v>
      </c>
    </row>
    <row r="1454" spans="1:15">
      <c r="A1454" s="1" t="s">
        <v>1559</v>
      </c>
      <c r="B1454" s="23">
        <v>45072.710416666669</v>
      </c>
      <c r="C1454" s="1" t="s">
        <v>11</v>
      </c>
      <c r="D1454" s="1" t="s">
        <v>26</v>
      </c>
      <c r="E1454" s="1" t="s">
        <v>13</v>
      </c>
      <c r="F1454" s="1" t="s">
        <v>102</v>
      </c>
      <c r="G1454" s="1">
        <v>35</v>
      </c>
      <c r="H1454" s="23">
        <v>45072.970104166663</v>
      </c>
      <c r="I1454" s="1" t="b">
        <v>0</v>
      </c>
      <c r="J1454" s="1">
        <v>4</v>
      </c>
      <c r="K1454" s="10">
        <f t="shared" si="112"/>
        <v>6.2324999998672865</v>
      </c>
      <c r="L1454" s="1" t="str">
        <f t="shared" si="113"/>
        <v>OK</v>
      </c>
      <c r="M1454" s="1">
        <f t="shared" si="110"/>
        <v>1</v>
      </c>
      <c r="N1454" s="1">
        <f t="shared" si="111"/>
        <v>35</v>
      </c>
      <c r="O1454" s="10">
        <f t="shared" si="114"/>
        <v>6.2324999998672865</v>
      </c>
    </row>
    <row r="1455" spans="1:15">
      <c r="A1455" s="1" t="s">
        <v>1560</v>
      </c>
      <c r="B1455" s="23">
        <v>45072.803472222222</v>
      </c>
      <c r="C1455" s="1" t="s">
        <v>25</v>
      </c>
      <c r="D1455" s="1" t="s">
        <v>26</v>
      </c>
      <c r="E1455" s="1" t="s">
        <v>33</v>
      </c>
      <c r="F1455" s="1" t="s">
        <v>245</v>
      </c>
      <c r="G1455" s="1">
        <v>102</v>
      </c>
      <c r="H1455" s="23">
        <v>45077.563379629632</v>
      </c>
      <c r="I1455" s="1" t="b">
        <v>0</v>
      </c>
      <c r="J1455" s="1">
        <v>5</v>
      </c>
      <c r="K1455" s="10">
        <f t="shared" si="112"/>
        <v>114.23777777783107</v>
      </c>
      <c r="L1455" s="1" t="str">
        <f t="shared" si="113"/>
        <v>OK</v>
      </c>
      <c r="M1455" s="1">
        <f t="shared" si="110"/>
        <v>1</v>
      </c>
      <c r="N1455" s="1">
        <f t="shared" si="111"/>
        <v>102</v>
      </c>
      <c r="O1455" s="10">
        <f t="shared" si="114"/>
        <v>114.23777777783107</v>
      </c>
    </row>
    <row r="1456" spans="1:15">
      <c r="A1456" s="1" t="s">
        <v>1561</v>
      </c>
      <c r="B1456" s="23">
        <v>45072.852083333331</v>
      </c>
      <c r="C1456" s="1" t="s">
        <v>16</v>
      </c>
      <c r="D1456" s="1" t="s">
        <v>59</v>
      </c>
      <c r="E1456" s="1" t="s">
        <v>18</v>
      </c>
      <c r="F1456" s="1" t="s">
        <v>274</v>
      </c>
      <c r="G1456" s="1">
        <v>197</v>
      </c>
      <c r="H1456" s="23">
        <v>45073.980740740742</v>
      </c>
      <c r="I1456" s="1" t="b">
        <v>1</v>
      </c>
      <c r="J1456" s="1">
        <v>5</v>
      </c>
      <c r="K1456" s="10">
        <f t="shared" si="112"/>
        <v>27.087777777865995</v>
      </c>
      <c r="L1456" s="1" t="str">
        <f t="shared" si="113"/>
        <v>OK</v>
      </c>
      <c r="M1456" s="1">
        <f t="shared" si="110"/>
        <v>1</v>
      </c>
      <c r="N1456" s="1">
        <f t="shared" si="111"/>
        <v>197</v>
      </c>
      <c r="O1456" s="10">
        <f t="shared" si="114"/>
        <v>27.087777777865995</v>
      </c>
    </row>
    <row r="1457" spans="1:15">
      <c r="A1457" s="1" t="s">
        <v>1562</v>
      </c>
      <c r="B1457" s="23">
        <v>45072.939583333333</v>
      </c>
      <c r="C1457" s="1" t="s">
        <v>25</v>
      </c>
      <c r="D1457" s="1" t="s">
        <v>21</v>
      </c>
      <c r="E1457" s="1" t="s">
        <v>18</v>
      </c>
      <c r="F1457" s="1" t="s">
        <v>90</v>
      </c>
      <c r="G1457" s="1">
        <v>457</v>
      </c>
      <c r="H1457" s="23">
        <v>45073.092222222222</v>
      </c>
      <c r="I1457" s="1" t="b">
        <v>0</v>
      </c>
      <c r="K1457" s="10">
        <f t="shared" si="112"/>
        <v>3.6633333333302289</v>
      </c>
      <c r="L1457" s="1" t="str">
        <f t="shared" si="113"/>
        <v>Review</v>
      </c>
      <c r="M1457" s="1">
        <f t="shared" si="110"/>
        <v>1</v>
      </c>
      <c r="N1457" s="1" t="str">
        <f t="shared" si="111"/>
        <v/>
      </c>
      <c r="O1457" s="10" t="str">
        <f t="shared" si="114"/>
        <v/>
      </c>
    </row>
    <row r="1458" spans="1:15">
      <c r="A1458" s="1" t="s">
        <v>1563</v>
      </c>
      <c r="B1458" s="23">
        <v>45072.954861111109</v>
      </c>
      <c r="C1458" s="1" t="s">
        <v>16</v>
      </c>
      <c r="D1458" s="1" t="s">
        <v>26</v>
      </c>
      <c r="E1458" s="1" t="s">
        <v>22</v>
      </c>
      <c r="F1458" s="1" t="s">
        <v>234</v>
      </c>
      <c r="G1458" s="1">
        <v>48</v>
      </c>
      <c r="H1458" s="23">
        <v>45073.13417824074</v>
      </c>
      <c r="I1458" s="1" t="b">
        <v>0</v>
      </c>
      <c r="K1458" s="10">
        <f t="shared" si="112"/>
        <v>4.3036111111287028</v>
      </c>
      <c r="L1458" s="1" t="str">
        <f t="shared" si="113"/>
        <v>OK</v>
      </c>
      <c r="M1458" s="1">
        <f t="shared" si="110"/>
        <v>1</v>
      </c>
      <c r="N1458" s="1">
        <f t="shared" si="111"/>
        <v>48</v>
      </c>
      <c r="O1458" s="10">
        <f t="shared" si="114"/>
        <v>4.3036111111287028</v>
      </c>
    </row>
    <row r="1459" spans="1:15">
      <c r="A1459" s="1" t="s">
        <v>1564</v>
      </c>
      <c r="B1459" s="23">
        <v>45073.009027777778</v>
      </c>
      <c r="C1459" s="1" t="s">
        <v>11</v>
      </c>
      <c r="D1459" s="1" t="s">
        <v>59</v>
      </c>
      <c r="E1459" s="1" t="s">
        <v>18</v>
      </c>
      <c r="F1459" s="1" t="s">
        <v>64</v>
      </c>
      <c r="G1459" s="1">
        <v>50</v>
      </c>
      <c r="H1459" s="23">
        <v>45076.559629629628</v>
      </c>
      <c r="I1459" s="1" t="b">
        <v>0</v>
      </c>
      <c r="J1459" s="1">
        <v>2</v>
      </c>
      <c r="K1459" s="10">
        <f t="shared" si="112"/>
        <v>85.214444444398396</v>
      </c>
      <c r="L1459" s="1" t="str">
        <f t="shared" si="113"/>
        <v>OK</v>
      </c>
      <c r="M1459" s="1">
        <f t="shared" si="110"/>
        <v>1</v>
      </c>
      <c r="N1459" s="1">
        <f t="shared" si="111"/>
        <v>50</v>
      </c>
      <c r="O1459" s="10">
        <f t="shared" si="114"/>
        <v>85.214444444398396</v>
      </c>
    </row>
    <row r="1460" spans="1:15">
      <c r="A1460" s="1" t="s">
        <v>1565</v>
      </c>
      <c r="B1460" s="23">
        <v>45073.155555555553</v>
      </c>
      <c r="C1460" s="1" t="s">
        <v>16</v>
      </c>
      <c r="D1460" s="1" t="s">
        <v>12</v>
      </c>
      <c r="E1460" s="1" t="s">
        <v>13</v>
      </c>
      <c r="F1460" s="1" t="s">
        <v>201</v>
      </c>
      <c r="G1460" s="1">
        <v>13</v>
      </c>
      <c r="H1460" s="23">
        <v>45074.92355324074</v>
      </c>
      <c r="I1460" s="1" t="b">
        <v>0</v>
      </c>
      <c r="K1460" s="10">
        <f t="shared" si="112"/>
        <v>42.431944444484543</v>
      </c>
      <c r="L1460" s="1" t="str">
        <f t="shared" si="113"/>
        <v>OK</v>
      </c>
      <c r="M1460" s="1">
        <f t="shared" si="110"/>
        <v>1</v>
      </c>
      <c r="N1460" s="1">
        <f t="shared" si="111"/>
        <v>13</v>
      </c>
      <c r="O1460" s="10">
        <f t="shared" si="114"/>
        <v>42.431944444484543</v>
      </c>
    </row>
    <row r="1461" spans="1:15">
      <c r="A1461" s="1" t="s">
        <v>1566</v>
      </c>
      <c r="B1461" s="23">
        <v>45073.176388888889</v>
      </c>
      <c r="C1461" s="1" t="s">
        <v>16</v>
      </c>
      <c r="D1461" s="1" t="s">
        <v>12</v>
      </c>
      <c r="E1461" s="1" t="s">
        <v>22</v>
      </c>
      <c r="F1461" s="1" t="s">
        <v>159</v>
      </c>
      <c r="G1461" s="1">
        <v>13</v>
      </c>
      <c r="H1461" s="23">
        <v>45073.251736111109</v>
      </c>
      <c r="I1461" s="1" t="b">
        <v>0</v>
      </c>
      <c r="K1461" s="10">
        <f t="shared" si="112"/>
        <v>1.8083333332906477</v>
      </c>
      <c r="L1461" s="1" t="str">
        <f t="shared" si="113"/>
        <v>OK</v>
      </c>
      <c r="M1461" s="1">
        <f t="shared" si="110"/>
        <v>1</v>
      </c>
      <c r="N1461" s="1">
        <f t="shared" si="111"/>
        <v>13</v>
      </c>
      <c r="O1461" s="10">
        <f t="shared" si="114"/>
        <v>1.8083333332906477</v>
      </c>
    </row>
    <row r="1462" spans="1:15">
      <c r="A1462" s="1" t="s">
        <v>1567</v>
      </c>
      <c r="B1462" s="23">
        <v>45073.249305555553</v>
      </c>
      <c r="C1462" s="1" t="s">
        <v>25</v>
      </c>
      <c r="D1462" s="1" t="s">
        <v>17</v>
      </c>
      <c r="E1462" s="1" t="s">
        <v>18</v>
      </c>
      <c r="F1462" s="1" t="s">
        <v>27</v>
      </c>
      <c r="G1462" s="1">
        <v>21</v>
      </c>
      <c r="H1462" s="23">
        <v>45073.543090277781</v>
      </c>
      <c r="I1462" s="1" t="b">
        <v>0</v>
      </c>
      <c r="K1462" s="10">
        <f t="shared" si="112"/>
        <v>7.0508333334582858</v>
      </c>
      <c r="L1462" s="1" t="str">
        <f t="shared" si="113"/>
        <v>OK</v>
      </c>
      <c r="M1462" s="1">
        <f t="shared" si="110"/>
        <v>1</v>
      </c>
      <c r="N1462" s="1">
        <f t="shared" si="111"/>
        <v>21</v>
      </c>
      <c r="O1462" s="10">
        <f t="shared" si="114"/>
        <v>7.0508333334582858</v>
      </c>
    </row>
    <row r="1463" spans="1:15">
      <c r="A1463" s="1" t="s">
        <v>1568</v>
      </c>
      <c r="B1463" s="23">
        <v>45073.317361111112</v>
      </c>
      <c r="C1463" s="1" t="s">
        <v>25</v>
      </c>
      <c r="D1463" s="1" t="s">
        <v>17</v>
      </c>
      <c r="E1463" s="1" t="s">
        <v>13</v>
      </c>
      <c r="F1463" s="1" t="s">
        <v>112</v>
      </c>
      <c r="G1463" s="1">
        <v>27</v>
      </c>
      <c r="H1463" s="23">
        <v>45075.004814814813</v>
      </c>
      <c r="I1463" s="1" t="b">
        <v>0</v>
      </c>
      <c r="J1463" s="1">
        <v>2</v>
      </c>
      <c r="K1463" s="10">
        <f t="shared" si="112"/>
        <v>40.498888888803776</v>
      </c>
      <c r="L1463" s="1" t="str">
        <f t="shared" si="113"/>
        <v>OK</v>
      </c>
      <c r="M1463" s="1">
        <f t="shared" si="110"/>
        <v>1</v>
      </c>
      <c r="N1463" s="1">
        <f t="shared" si="111"/>
        <v>27</v>
      </c>
      <c r="O1463" s="10">
        <f t="shared" si="114"/>
        <v>40.498888888803776</v>
      </c>
    </row>
    <row r="1464" spans="1:15">
      <c r="A1464" s="1" t="s">
        <v>1569</v>
      </c>
      <c r="B1464" s="23">
        <v>45073.557638888888</v>
      </c>
      <c r="C1464" s="1" t="s">
        <v>43</v>
      </c>
      <c r="D1464" s="1" t="s">
        <v>12</v>
      </c>
      <c r="E1464" s="1" t="s">
        <v>18</v>
      </c>
      <c r="F1464" s="1" t="s">
        <v>239</v>
      </c>
      <c r="G1464" s="1">
        <v>110</v>
      </c>
      <c r="H1464" s="23">
        <v>45074.344085648147</v>
      </c>
      <c r="I1464" s="1" t="b">
        <v>0</v>
      </c>
      <c r="J1464" s="1">
        <v>5</v>
      </c>
      <c r="K1464" s="10">
        <f t="shared" si="112"/>
        <v>18.874722222215496</v>
      </c>
      <c r="L1464" s="1" t="str">
        <f t="shared" si="113"/>
        <v>OK</v>
      </c>
      <c r="M1464" s="1">
        <f t="shared" si="110"/>
        <v>1</v>
      </c>
      <c r="N1464" s="1">
        <f t="shared" si="111"/>
        <v>110</v>
      </c>
      <c r="O1464" s="10">
        <f t="shared" si="114"/>
        <v>18.874722222215496</v>
      </c>
    </row>
    <row r="1465" spans="1:15">
      <c r="A1465" s="1" t="s">
        <v>1570</v>
      </c>
      <c r="B1465" s="23">
        <v>45073.759722222225</v>
      </c>
      <c r="C1465" s="1" t="s">
        <v>25</v>
      </c>
      <c r="D1465" s="1" t="s">
        <v>17</v>
      </c>
      <c r="E1465" s="1" t="s">
        <v>18</v>
      </c>
      <c r="F1465" s="1" t="s">
        <v>153</v>
      </c>
      <c r="G1465" s="1">
        <v>93</v>
      </c>
      <c r="H1465" s="23">
        <v>45074.243680555555</v>
      </c>
      <c r="I1465" s="1" t="b">
        <v>0</v>
      </c>
      <c r="K1465" s="10">
        <f t="shared" si="112"/>
        <v>11.614999999932479</v>
      </c>
      <c r="L1465" s="1" t="str">
        <f t="shared" si="113"/>
        <v>OK</v>
      </c>
      <c r="M1465" s="1">
        <f t="shared" si="110"/>
        <v>1</v>
      </c>
      <c r="N1465" s="1">
        <f t="shared" si="111"/>
        <v>93</v>
      </c>
      <c r="O1465" s="10">
        <f t="shared" si="114"/>
        <v>11.614999999932479</v>
      </c>
    </row>
    <row r="1466" spans="1:15">
      <c r="A1466" s="1" t="s">
        <v>1571</v>
      </c>
      <c r="B1466" s="23">
        <v>45073.89166666667</v>
      </c>
      <c r="C1466" s="1" t="s">
        <v>11</v>
      </c>
      <c r="D1466" s="1" t="s">
        <v>26</v>
      </c>
      <c r="E1466" s="1" t="s">
        <v>13</v>
      </c>
      <c r="F1466" s="1" t="s">
        <v>162</v>
      </c>
      <c r="G1466" s="1">
        <v>54</v>
      </c>
      <c r="H1466" s="23">
        <v>45074.119305555556</v>
      </c>
      <c r="I1466" s="1" t="b">
        <v>0</v>
      </c>
      <c r="K1466" s="10">
        <f t="shared" si="112"/>
        <v>5.4633333332603797</v>
      </c>
      <c r="L1466" s="1" t="str">
        <f t="shared" si="113"/>
        <v>OK</v>
      </c>
      <c r="M1466" s="1">
        <f t="shared" si="110"/>
        <v>1</v>
      </c>
      <c r="N1466" s="1">
        <f t="shared" si="111"/>
        <v>54</v>
      </c>
      <c r="O1466" s="10">
        <f t="shared" si="114"/>
        <v>5.4633333332603797</v>
      </c>
    </row>
    <row r="1467" spans="1:15">
      <c r="A1467" s="1" t="s">
        <v>1572</v>
      </c>
      <c r="B1467" s="23">
        <v>45074.061111111114</v>
      </c>
      <c r="C1467" s="1" t="s">
        <v>25</v>
      </c>
      <c r="D1467" s="1" t="s">
        <v>26</v>
      </c>
      <c r="E1467" s="1" t="s">
        <v>18</v>
      </c>
      <c r="F1467" s="1" t="s">
        <v>206</v>
      </c>
      <c r="G1467" s="1">
        <v>59</v>
      </c>
      <c r="H1467" s="23">
        <v>45093.501516203702</v>
      </c>
      <c r="I1467" s="1" t="b">
        <v>0</v>
      </c>
      <c r="K1467" s="10">
        <f t="shared" si="112"/>
        <v>466.56972222210607</v>
      </c>
      <c r="L1467" s="1" t="str">
        <f t="shared" si="113"/>
        <v>OK</v>
      </c>
      <c r="M1467" s="1">
        <f t="shared" si="110"/>
        <v>1</v>
      </c>
      <c r="N1467" s="1">
        <f t="shared" si="111"/>
        <v>59</v>
      </c>
      <c r="O1467" s="10">
        <f t="shared" si="114"/>
        <v>466.56972222210607</v>
      </c>
    </row>
    <row r="1468" spans="1:15">
      <c r="A1468" s="1" t="s">
        <v>1573</v>
      </c>
      <c r="B1468" s="23">
        <v>45074.070833333331</v>
      </c>
      <c r="C1468" s="1" t="s">
        <v>25</v>
      </c>
      <c r="D1468" s="1" t="s">
        <v>17</v>
      </c>
      <c r="E1468" s="1" t="s">
        <v>18</v>
      </c>
      <c r="F1468" s="1" t="s">
        <v>60</v>
      </c>
      <c r="G1468" s="1">
        <v>28</v>
      </c>
      <c r="I1468" s="1" t="b">
        <v>0</v>
      </c>
      <c r="K1468" s="10" t="str">
        <f t="shared" si="112"/>
        <v/>
      </c>
      <c r="L1468" s="1" t="str">
        <f t="shared" si="113"/>
        <v>Cannot check</v>
      </c>
      <c r="M1468" s="1">
        <f t="shared" si="110"/>
        <v>1</v>
      </c>
      <c r="N1468" s="1">
        <f t="shared" si="111"/>
        <v>28</v>
      </c>
      <c r="O1468" s="10" t="str">
        <f t="shared" si="114"/>
        <v/>
      </c>
    </row>
    <row r="1469" spans="1:15">
      <c r="A1469" s="1" t="s">
        <v>1574</v>
      </c>
      <c r="B1469" s="23">
        <v>45074.088888888888</v>
      </c>
      <c r="C1469" s="1" t="s">
        <v>16</v>
      </c>
      <c r="D1469" s="1" t="s">
        <v>12</v>
      </c>
      <c r="E1469" s="1" t="s">
        <v>18</v>
      </c>
      <c r="F1469" s="1" t="s">
        <v>50</v>
      </c>
      <c r="G1469" s="1">
        <v>25</v>
      </c>
      <c r="H1469" s="23">
        <v>45074.417881944442</v>
      </c>
      <c r="I1469" s="1" t="b">
        <v>0</v>
      </c>
      <c r="J1469" s="1">
        <v>2</v>
      </c>
      <c r="K1469" s="10">
        <f t="shared" si="112"/>
        <v>7.8958333333139308</v>
      </c>
      <c r="L1469" s="1" t="str">
        <f t="shared" si="113"/>
        <v>OK</v>
      </c>
      <c r="M1469" s="1">
        <f t="shared" si="110"/>
        <v>1</v>
      </c>
      <c r="N1469" s="1">
        <f t="shared" si="111"/>
        <v>25</v>
      </c>
      <c r="O1469" s="10">
        <f t="shared" si="114"/>
        <v>7.8958333333139308</v>
      </c>
    </row>
    <row r="1470" spans="1:15">
      <c r="A1470" s="1" t="s">
        <v>1575</v>
      </c>
      <c r="B1470" s="23">
        <v>45074.270138888889</v>
      </c>
      <c r="C1470" s="1" t="s">
        <v>11</v>
      </c>
      <c r="D1470" s="1" t="s">
        <v>12</v>
      </c>
      <c r="E1470" s="1" t="s">
        <v>22</v>
      </c>
      <c r="F1470" s="1" t="s">
        <v>167</v>
      </c>
      <c r="G1470" s="1">
        <v>67</v>
      </c>
      <c r="H1470" s="23">
        <v>45074.312557870369</v>
      </c>
      <c r="I1470" s="1" t="b">
        <v>0</v>
      </c>
      <c r="K1470" s="10">
        <f t="shared" si="112"/>
        <v>1.0180555555270985</v>
      </c>
      <c r="L1470" s="1" t="str">
        <f t="shared" si="113"/>
        <v>Review</v>
      </c>
      <c r="M1470" s="1">
        <f t="shared" si="110"/>
        <v>1</v>
      </c>
      <c r="N1470" s="1" t="str">
        <f t="shared" si="111"/>
        <v/>
      </c>
      <c r="O1470" s="10" t="str">
        <f t="shared" si="114"/>
        <v/>
      </c>
    </row>
    <row r="1471" spans="1:15">
      <c r="A1471" s="1" t="s">
        <v>1576</v>
      </c>
      <c r="B1471" s="23">
        <v>45074.453472222223</v>
      </c>
      <c r="C1471" s="1" t="s">
        <v>11</v>
      </c>
      <c r="D1471" s="1" t="s">
        <v>17</v>
      </c>
      <c r="E1471" s="1" t="s">
        <v>33</v>
      </c>
      <c r="F1471" s="1" t="s">
        <v>52</v>
      </c>
      <c r="G1471" s="1">
        <v>244</v>
      </c>
      <c r="H1471" s="23">
        <v>45075.54409722222</v>
      </c>
      <c r="I1471" s="1" t="b">
        <v>0</v>
      </c>
      <c r="K1471" s="10">
        <f t="shared" si="112"/>
        <v>26.174999999930151</v>
      </c>
      <c r="L1471" s="1" t="str">
        <f t="shared" si="113"/>
        <v>OK</v>
      </c>
      <c r="M1471" s="1">
        <f t="shared" si="110"/>
        <v>1</v>
      </c>
      <c r="N1471" s="1">
        <f t="shared" si="111"/>
        <v>244</v>
      </c>
      <c r="O1471" s="10">
        <f t="shared" si="114"/>
        <v>26.174999999930151</v>
      </c>
    </row>
    <row r="1472" spans="1:15">
      <c r="A1472" s="1" t="s">
        <v>1577</v>
      </c>
      <c r="B1472" s="23">
        <v>45074.515277777777</v>
      </c>
      <c r="C1472" s="1" t="s">
        <v>11</v>
      </c>
      <c r="D1472" s="1" t="s">
        <v>12</v>
      </c>
      <c r="E1472" s="1" t="s">
        <v>33</v>
      </c>
      <c r="F1472" s="1" t="s">
        <v>80</v>
      </c>
      <c r="G1472" s="1">
        <v>337</v>
      </c>
      <c r="H1472" s="23">
        <v>45075.540405092594</v>
      </c>
      <c r="I1472" s="1" t="b">
        <v>0</v>
      </c>
      <c r="K1472" s="10">
        <f t="shared" si="112"/>
        <v>24.603055555606261</v>
      </c>
      <c r="L1472" s="1" t="str">
        <f t="shared" si="113"/>
        <v>OK</v>
      </c>
      <c r="M1472" s="1">
        <f t="shared" si="110"/>
        <v>1</v>
      </c>
      <c r="N1472" s="1">
        <f t="shared" si="111"/>
        <v>337</v>
      </c>
      <c r="O1472" s="10">
        <f t="shared" si="114"/>
        <v>24.603055555606261</v>
      </c>
    </row>
    <row r="1473" spans="1:15">
      <c r="A1473" s="1" t="s">
        <v>1578</v>
      </c>
      <c r="B1473" s="23">
        <v>45074.588888888888</v>
      </c>
      <c r="C1473" s="1" t="s">
        <v>16</v>
      </c>
      <c r="D1473" s="1" t="s">
        <v>26</v>
      </c>
      <c r="E1473" s="1" t="s">
        <v>13</v>
      </c>
      <c r="F1473" s="1" t="s">
        <v>274</v>
      </c>
      <c r="G1473" s="1">
        <v>11</v>
      </c>
      <c r="H1473" s="23">
        <v>45074.668530092589</v>
      </c>
      <c r="I1473" s="1" t="b">
        <v>0</v>
      </c>
      <c r="J1473" s="1">
        <v>4</v>
      </c>
      <c r="K1473" s="10">
        <f t="shared" si="112"/>
        <v>1.911388888838701</v>
      </c>
      <c r="L1473" s="1" t="str">
        <f t="shared" si="113"/>
        <v>OK</v>
      </c>
      <c r="M1473" s="1">
        <f t="shared" si="110"/>
        <v>1</v>
      </c>
      <c r="N1473" s="1">
        <f t="shared" si="111"/>
        <v>11</v>
      </c>
      <c r="O1473" s="10">
        <f t="shared" si="114"/>
        <v>1.911388888838701</v>
      </c>
    </row>
    <row r="1474" spans="1:15">
      <c r="A1474" s="1" t="s">
        <v>1579</v>
      </c>
      <c r="B1474" s="23">
        <v>45074.711805555555</v>
      </c>
      <c r="C1474" s="1" t="s">
        <v>16</v>
      </c>
      <c r="D1474" s="1" t="s">
        <v>21</v>
      </c>
      <c r="E1474" s="1" t="s">
        <v>18</v>
      </c>
      <c r="F1474" s="1" t="s">
        <v>46</v>
      </c>
      <c r="G1474" s="1">
        <v>34</v>
      </c>
      <c r="H1474" s="23">
        <v>45075.445752314816</v>
      </c>
      <c r="I1474" s="1" t="b">
        <v>0</v>
      </c>
      <c r="K1474" s="10">
        <f t="shared" si="112"/>
        <v>17.61472222226439</v>
      </c>
      <c r="L1474" s="1" t="str">
        <f t="shared" si="113"/>
        <v>OK</v>
      </c>
      <c r="M1474" s="1">
        <f t="shared" ref="M1474:M1537" si="115">COUNTIF($A$2:$A$4001,A1474)</f>
        <v>1</v>
      </c>
      <c r="N1474" s="1">
        <f t="shared" ref="N1474:N1537" si="116">IF(OR(L1474="Review",G1474=""),"",G1474)</f>
        <v>34</v>
      </c>
      <c r="O1474" s="10">
        <f t="shared" si="114"/>
        <v>17.61472222226439</v>
      </c>
    </row>
    <row r="1475" spans="1:15">
      <c r="A1475" s="1" t="s">
        <v>1580</v>
      </c>
      <c r="B1475" s="23">
        <v>45074.927777777775</v>
      </c>
      <c r="C1475" s="1" t="s">
        <v>25</v>
      </c>
      <c r="D1475" s="1" t="s">
        <v>26</v>
      </c>
      <c r="E1475" s="1" t="s">
        <v>33</v>
      </c>
      <c r="F1475" s="1" t="s">
        <v>96</v>
      </c>
      <c r="G1475" s="1">
        <v>19</v>
      </c>
      <c r="H1475" s="23">
        <v>45076.744305555556</v>
      </c>
      <c r="I1475" s="1" t="b">
        <v>0</v>
      </c>
      <c r="K1475" s="10">
        <f t="shared" ref="K1475:K1538" si="117">IF(H1475="","",(H1475-B1475)*24)</f>
        <v>43.596666666737292</v>
      </c>
      <c r="L1475" s="1" t="str">
        <f t="shared" ref="L1475:L1538" si="118">IF(OR(G1475="",K1475=""),"Cannot check",IF(G1475&gt;K1475*60,"Review","OK"))</f>
        <v>OK</v>
      </c>
      <c r="M1475" s="1">
        <f t="shared" si="115"/>
        <v>1</v>
      </c>
      <c r="N1475" s="1">
        <f t="shared" si="116"/>
        <v>19</v>
      </c>
      <c r="O1475" s="10">
        <f t="shared" ref="O1475:O1538" si="119">IF(OR(L1475="Review",K1475=""),"",K1475)</f>
        <v>43.596666666737292</v>
      </c>
    </row>
    <row r="1476" spans="1:15">
      <c r="A1476" s="1" t="s">
        <v>1581</v>
      </c>
      <c r="B1476" s="23">
        <v>45074.990972222222</v>
      </c>
      <c r="C1476" s="1" t="s">
        <v>16</v>
      </c>
      <c r="D1476" s="1" t="s">
        <v>59</v>
      </c>
      <c r="E1476" s="1" t="s">
        <v>13</v>
      </c>
      <c r="F1476" s="1" t="s">
        <v>128</v>
      </c>
      <c r="G1476" s="1">
        <v>7</v>
      </c>
      <c r="H1476" s="23">
        <v>45075.135682870372</v>
      </c>
      <c r="I1476" s="1" t="b">
        <v>0</v>
      </c>
      <c r="K1476" s="10">
        <f t="shared" si="117"/>
        <v>3.4730555556016043</v>
      </c>
      <c r="L1476" s="1" t="str">
        <f t="shared" si="118"/>
        <v>OK</v>
      </c>
      <c r="M1476" s="1">
        <f t="shared" si="115"/>
        <v>1</v>
      </c>
      <c r="N1476" s="1">
        <f t="shared" si="116"/>
        <v>7</v>
      </c>
      <c r="O1476" s="10">
        <f t="shared" si="119"/>
        <v>3.4730555556016043</v>
      </c>
    </row>
    <row r="1477" spans="1:15">
      <c r="A1477" s="1" t="s">
        <v>1582</v>
      </c>
      <c r="B1477" s="23">
        <v>45075.02847222222</v>
      </c>
      <c r="C1477" s="1" t="s">
        <v>43</v>
      </c>
      <c r="D1477" s="1" t="s">
        <v>17</v>
      </c>
      <c r="E1477" s="1" t="s">
        <v>18</v>
      </c>
      <c r="F1477" s="1" t="s">
        <v>237</v>
      </c>
      <c r="G1477" s="1">
        <v>529</v>
      </c>
      <c r="H1477" s="23">
        <v>45076.011956018519</v>
      </c>
      <c r="I1477" s="1" t="b">
        <v>0</v>
      </c>
      <c r="K1477" s="10">
        <f t="shared" si="117"/>
        <v>23.603611111175269</v>
      </c>
      <c r="L1477" s="1" t="str">
        <f t="shared" si="118"/>
        <v>OK</v>
      </c>
      <c r="M1477" s="1">
        <f t="shared" si="115"/>
        <v>1</v>
      </c>
      <c r="N1477" s="1">
        <f t="shared" si="116"/>
        <v>529</v>
      </c>
      <c r="O1477" s="10">
        <f t="shared" si="119"/>
        <v>23.603611111175269</v>
      </c>
    </row>
    <row r="1478" spans="1:15">
      <c r="A1478" s="1" t="s">
        <v>1583</v>
      </c>
      <c r="B1478" s="23">
        <v>45075.177083333336</v>
      </c>
      <c r="C1478" s="1" t="s">
        <v>25</v>
      </c>
      <c r="D1478" s="1" t="s">
        <v>21</v>
      </c>
      <c r="E1478" s="1" t="s">
        <v>13</v>
      </c>
      <c r="F1478" s="1" t="s">
        <v>274</v>
      </c>
      <c r="G1478" s="1">
        <v>51</v>
      </c>
      <c r="H1478" s="23">
        <v>45075.621990740743</v>
      </c>
      <c r="I1478" s="1" t="b">
        <v>0</v>
      </c>
      <c r="K1478" s="10">
        <f t="shared" si="117"/>
        <v>10.677777777775191</v>
      </c>
      <c r="L1478" s="1" t="str">
        <f t="shared" si="118"/>
        <v>OK</v>
      </c>
      <c r="M1478" s="1">
        <f t="shared" si="115"/>
        <v>1</v>
      </c>
      <c r="N1478" s="1">
        <f t="shared" si="116"/>
        <v>51</v>
      </c>
      <c r="O1478" s="10">
        <f t="shared" si="119"/>
        <v>10.677777777775191</v>
      </c>
    </row>
    <row r="1479" spans="1:15">
      <c r="A1479" s="1" t="s">
        <v>1584</v>
      </c>
      <c r="B1479" s="23">
        <v>45075.336805555555</v>
      </c>
      <c r="C1479" s="1" t="s">
        <v>43</v>
      </c>
      <c r="D1479" s="1" t="s">
        <v>59</v>
      </c>
      <c r="E1479" s="1" t="s">
        <v>33</v>
      </c>
      <c r="F1479" s="1" t="s">
        <v>254</v>
      </c>
      <c r="G1479" s="1">
        <v>446</v>
      </c>
      <c r="H1479" s="23">
        <v>45076.24077546296</v>
      </c>
      <c r="I1479" s="1" t="b">
        <v>0</v>
      </c>
      <c r="K1479" s="10">
        <f t="shared" si="117"/>
        <v>21.695277777733281</v>
      </c>
      <c r="L1479" s="1" t="str">
        <f t="shared" si="118"/>
        <v>OK</v>
      </c>
      <c r="M1479" s="1">
        <f t="shared" si="115"/>
        <v>1</v>
      </c>
      <c r="N1479" s="1">
        <f t="shared" si="116"/>
        <v>446</v>
      </c>
      <c r="O1479" s="10">
        <f t="shared" si="119"/>
        <v>21.695277777733281</v>
      </c>
    </row>
    <row r="1480" spans="1:15">
      <c r="A1480" s="1" t="s">
        <v>1585</v>
      </c>
      <c r="B1480" s="23">
        <v>45075.447916666664</v>
      </c>
      <c r="C1480" s="1" t="s">
        <v>43</v>
      </c>
      <c r="D1480" s="1" t="s">
        <v>17</v>
      </c>
      <c r="E1480" s="1" t="s">
        <v>13</v>
      </c>
      <c r="F1480" s="1" t="s">
        <v>162</v>
      </c>
      <c r="G1480" s="1">
        <v>23</v>
      </c>
      <c r="H1480" s="23">
        <v>45076.665682870371</v>
      </c>
      <c r="I1480" s="1" t="b">
        <v>0</v>
      </c>
      <c r="K1480" s="10">
        <f t="shared" si="117"/>
        <v>29.226388888957445</v>
      </c>
      <c r="L1480" s="1" t="str">
        <f t="shared" si="118"/>
        <v>OK</v>
      </c>
      <c r="M1480" s="1">
        <f t="shared" si="115"/>
        <v>1</v>
      </c>
      <c r="N1480" s="1">
        <f t="shared" si="116"/>
        <v>23</v>
      </c>
      <c r="O1480" s="10">
        <f t="shared" si="119"/>
        <v>29.226388888957445</v>
      </c>
    </row>
    <row r="1481" spans="1:15">
      <c r="A1481" s="1" t="s">
        <v>1586</v>
      </c>
      <c r="B1481" s="23">
        <v>45075.464583333334</v>
      </c>
      <c r="C1481" s="1" t="s">
        <v>25</v>
      </c>
      <c r="D1481" s="1" t="s">
        <v>59</v>
      </c>
      <c r="E1481" s="1" t="s">
        <v>18</v>
      </c>
      <c r="F1481" s="1" t="s">
        <v>130</v>
      </c>
      <c r="G1481" s="1">
        <v>25</v>
      </c>
      <c r="H1481" s="23">
        <v>45080.133969907409</v>
      </c>
      <c r="I1481" s="1" t="b">
        <v>0</v>
      </c>
      <c r="K1481" s="10">
        <f t="shared" si="117"/>
        <v>112.06527777778683</v>
      </c>
      <c r="L1481" s="1" t="str">
        <f t="shared" si="118"/>
        <v>OK</v>
      </c>
      <c r="M1481" s="1">
        <f t="shared" si="115"/>
        <v>1</v>
      </c>
      <c r="N1481" s="1">
        <f t="shared" si="116"/>
        <v>25</v>
      </c>
      <c r="O1481" s="10">
        <f t="shared" si="119"/>
        <v>112.06527777778683</v>
      </c>
    </row>
    <row r="1482" spans="1:15">
      <c r="A1482" s="1" t="s">
        <v>1587</v>
      </c>
      <c r="B1482" s="23">
        <v>45075.487500000003</v>
      </c>
      <c r="C1482" s="1" t="s">
        <v>25</v>
      </c>
      <c r="D1482" s="1" t="s">
        <v>26</v>
      </c>
      <c r="E1482" s="1" t="s">
        <v>33</v>
      </c>
      <c r="F1482" s="1" t="s">
        <v>128</v>
      </c>
      <c r="G1482" s="1">
        <v>567</v>
      </c>
      <c r="I1482" s="1" t="b">
        <v>0</v>
      </c>
      <c r="K1482" s="10" t="str">
        <f t="shared" si="117"/>
        <v/>
      </c>
      <c r="L1482" s="1" t="str">
        <f t="shared" si="118"/>
        <v>Cannot check</v>
      </c>
      <c r="M1482" s="1">
        <f t="shared" si="115"/>
        <v>1</v>
      </c>
      <c r="N1482" s="1">
        <f t="shared" si="116"/>
        <v>567</v>
      </c>
      <c r="O1482" s="10" t="str">
        <f t="shared" si="119"/>
        <v/>
      </c>
    </row>
    <row r="1483" spans="1:15">
      <c r="A1483" s="1" t="s">
        <v>1588</v>
      </c>
      <c r="B1483" s="23">
        <v>45075.665277777778</v>
      </c>
      <c r="C1483" s="1" t="s">
        <v>16</v>
      </c>
      <c r="D1483" s="1" t="s">
        <v>17</v>
      </c>
      <c r="E1483" s="1" t="s">
        <v>18</v>
      </c>
      <c r="F1483" s="1" t="s">
        <v>367</v>
      </c>
      <c r="G1483" s="1">
        <v>18</v>
      </c>
      <c r="H1483" s="23">
        <v>45076.881458333337</v>
      </c>
      <c r="I1483" s="1" t="b">
        <v>0</v>
      </c>
      <c r="K1483" s="10">
        <f t="shared" si="117"/>
        <v>29.18833333341172</v>
      </c>
      <c r="L1483" s="1" t="str">
        <f t="shared" si="118"/>
        <v>OK</v>
      </c>
      <c r="M1483" s="1">
        <f t="shared" si="115"/>
        <v>1</v>
      </c>
      <c r="N1483" s="1">
        <f t="shared" si="116"/>
        <v>18</v>
      </c>
      <c r="O1483" s="10">
        <f t="shared" si="119"/>
        <v>29.18833333341172</v>
      </c>
    </row>
    <row r="1484" spans="1:15">
      <c r="A1484" s="1" t="s">
        <v>1589</v>
      </c>
      <c r="B1484" s="23">
        <v>45075.790277777778</v>
      </c>
      <c r="C1484" s="1" t="s">
        <v>25</v>
      </c>
      <c r="D1484" s="1" t="s">
        <v>12</v>
      </c>
      <c r="E1484" s="1" t="s">
        <v>33</v>
      </c>
      <c r="F1484" s="1" t="s">
        <v>274</v>
      </c>
      <c r="G1484" s="1">
        <v>225</v>
      </c>
      <c r="H1484" s="23">
        <v>45082.360590277778</v>
      </c>
      <c r="I1484" s="1" t="b">
        <v>0</v>
      </c>
      <c r="K1484" s="10">
        <f t="shared" si="117"/>
        <v>157.6875</v>
      </c>
      <c r="L1484" s="1" t="str">
        <f t="shared" si="118"/>
        <v>OK</v>
      </c>
      <c r="M1484" s="1">
        <f t="shared" si="115"/>
        <v>1</v>
      </c>
      <c r="N1484" s="1">
        <f t="shared" si="116"/>
        <v>225</v>
      </c>
      <c r="O1484" s="10">
        <f t="shared" si="119"/>
        <v>157.6875</v>
      </c>
    </row>
    <row r="1485" spans="1:15">
      <c r="A1485" s="1" t="s">
        <v>1590</v>
      </c>
      <c r="B1485" s="23">
        <v>45075.79583333333</v>
      </c>
      <c r="C1485" s="1" t="s">
        <v>11</v>
      </c>
      <c r="D1485" s="1" t="s">
        <v>26</v>
      </c>
      <c r="E1485" s="1" t="s">
        <v>13</v>
      </c>
      <c r="F1485" s="1" t="s">
        <v>64</v>
      </c>
      <c r="G1485" s="1">
        <v>18</v>
      </c>
      <c r="H1485" s="23">
        <v>45075.898657407408</v>
      </c>
      <c r="I1485" s="1" t="b">
        <v>0</v>
      </c>
      <c r="J1485" s="1">
        <v>4</v>
      </c>
      <c r="K1485" s="10">
        <f t="shared" si="117"/>
        <v>2.4677777778706513</v>
      </c>
      <c r="L1485" s="1" t="str">
        <f t="shared" si="118"/>
        <v>OK</v>
      </c>
      <c r="M1485" s="1">
        <f t="shared" si="115"/>
        <v>1</v>
      </c>
      <c r="N1485" s="1">
        <f t="shared" si="116"/>
        <v>18</v>
      </c>
      <c r="O1485" s="10">
        <f t="shared" si="119"/>
        <v>2.4677777778706513</v>
      </c>
    </row>
    <row r="1486" spans="1:15">
      <c r="A1486" s="1" t="s">
        <v>1591</v>
      </c>
      <c r="B1486" s="23">
        <v>45075.800694444442</v>
      </c>
      <c r="C1486" s="1" t="s">
        <v>16</v>
      </c>
      <c r="D1486" s="1" t="s">
        <v>12</v>
      </c>
      <c r="E1486" s="1" t="s">
        <v>18</v>
      </c>
      <c r="F1486" s="1" t="s">
        <v>78</v>
      </c>
      <c r="G1486" s="1">
        <v>27</v>
      </c>
      <c r="H1486" s="23">
        <v>45076.398506944446</v>
      </c>
      <c r="I1486" s="1" t="b">
        <v>0</v>
      </c>
      <c r="J1486" s="1">
        <v>4</v>
      </c>
      <c r="K1486" s="10">
        <f t="shared" si="117"/>
        <v>14.347500000090804</v>
      </c>
      <c r="L1486" s="1" t="str">
        <f t="shared" si="118"/>
        <v>OK</v>
      </c>
      <c r="M1486" s="1">
        <f t="shared" si="115"/>
        <v>1</v>
      </c>
      <c r="N1486" s="1">
        <f t="shared" si="116"/>
        <v>27</v>
      </c>
      <c r="O1486" s="10">
        <f t="shared" si="119"/>
        <v>14.347500000090804</v>
      </c>
    </row>
    <row r="1487" spans="1:15">
      <c r="A1487" s="1" t="s">
        <v>1592</v>
      </c>
      <c r="B1487" s="23">
        <v>45075.801388888889</v>
      </c>
      <c r="C1487" s="1" t="s">
        <v>16</v>
      </c>
      <c r="D1487" s="1" t="s">
        <v>21</v>
      </c>
      <c r="E1487" s="1" t="s">
        <v>13</v>
      </c>
      <c r="F1487" s="1" t="s">
        <v>14</v>
      </c>
      <c r="G1487" s="1">
        <v>58</v>
      </c>
      <c r="H1487" s="23">
        <v>45075.869895833333</v>
      </c>
      <c r="I1487" s="1" t="b">
        <v>0</v>
      </c>
      <c r="J1487" s="1">
        <v>5</v>
      </c>
      <c r="K1487" s="10">
        <f t="shared" si="117"/>
        <v>1.6441666666651145</v>
      </c>
      <c r="L1487" s="1" t="str">
        <f t="shared" si="118"/>
        <v>OK</v>
      </c>
      <c r="M1487" s="1">
        <f t="shared" si="115"/>
        <v>1</v>
      </c>
      <c r="N1487" s="1">
        <f t="shared" si="116"/>
        <v>58</v>
      </c>
      <c r="O1487" s="10">
        <f t="shared" si="119"/>
        <v>1.6441666666651145</v>
      </c>
    </row>
    <row r="1488" spans="1:15">
      <c r="A1488" s="1" t="s">
        <v>1593</v>
      </c>
      <c r="B1488" s="23">
        <v>45075.900694444441</v>
      </c>
      <c r="C1488" s="1" t="s">
        <v>16</v>
      </c>
      <c r="D1488" s="1" t="s">
        <v>26</v>
      </c>
      <c r="E1488" s="1" t="s">
        <v>18</v>
      </c>
      <c r="F1488" s="1" t="s">
        <v>31</v>
      </c>
      <c r="G1488" s="1">
        <v>132</v>
      </c>
      <c r="H1488" s="23">
        <v>45078.54074074074</v>
      </c>
      <c r="I1488" s="1" t="b">
        <v>0</v>
      </c>
      <c r="J1488" s="1">
        <v>1</v>
      </c>
      <c r="K1488" s="10">
        <f t="shared" si="117"/>
        <v>63.361111111182254</v>
      </c>
      <c r="L1488" s="1" t="str">
        <f t="shared" si="118"/>
        <v>OK</v>
      </c>
      <c r="M1488" s="1">
        <f t="shared" si="115"/>
        <v>1</v>
      </c>
      <c r="N1488" s="1">
        <f t="shared" si="116"/>
        <v>132</v>
      </c>
      <c r="O1488" s="10">
        <f t="shared" si="119"/>
        <v>63.361111111182254</v>
      </c>
    </row>
    <row r="1489" spans="1:15">
      <c r="A1489" s="1" t="s">
        <v>1594</v>
      </c>
      <c r="B1489" s="23">
        <v>45076.209027777775</v>
      </c>
      <c r="C1489" s="1" t="s">
        <v>11</v>
      </c>
      <c r="D1489" s="1" t="s">
        <v>12</v>
      </c>
      <c r="E1489" s="1" t="s">
        <v>22</v>
      </c>
      <c r="F1489" s="1" t="s">
        <v>215</v>
      </c>
      <c r="G1489" s="1">
        <v>11</v>
      </c>
      <c r="H1489" s="23">
        <v>45076.308136574073</v>
      </c>
      <c r="I1489" s="1" t="b">
        <v>0</v>
      </c>
      <c r="J1489" s="1">
        <v>5</v>
      </c>
      <c r="K1489" s="10">
        <f t="shared" si="117"/>
        <v>2.3786111111403443</v>
      </c>
      <c r="L1489" s="1" t="str">
        <f t="shared" si="118"/>
        <v>OK</v>
      </c>
      <c r="M1489" s="1">
        <f t="shared" si="115"/>
        <v>1</v>
      </c>
      <c r="N1489" s="1">
        <f t="shared" si="116"/>
        <v>11</v>
      </c>
      <c r="O1489" s="10">
        <f t="shared" si="119"/>
        <v>2.3786111111403443</v>
      </c>
    </row>
    <row r="1490" spans="1:15">
      <c r="A1490" s="1" t="s">
        <v>1595</v>
      </c>
      <c r="B1490" s="23">
        <v>45076.309027777781</v>
      </c>
      <c r="C1490" s="1" t="s">
        <v>16</v>
      </c>
      <c r="D1490" s="1" t="s">
        <v>17</v>
      </c>
      <c r="E1490" s="1" t="s">
        <v>18</v>
      </c>
      <c r="F1490" s="1" t="s">
        <v>52</v>
      </c>
      <c r="G1490" s="1">
        <v>39</v>
      </c>
      <c r="H1490" s="23">
        <v>45079.718888888892</v>
      </c>
      <c r="I1490" s="1" t="b">
        <v>1</v>
      </c>
      <c r="K1490" s="10">
        <f t="shared" si="117"/>
        <v>81.836666666669771</v>
      </c>
      <c r="L1490" s="1" t="str">
        <f t="shared" si="118"/>
        <v>OK</v>
      </c>
      <c r="M1490" s="1">
        <f t="shared" si="115"/>
        <v>1</v>
      </c>
      <c r="N1490" s="1">
        <f t="shared" si="116"/>
        <v>39</v>
      </c>
      <c r="O1490" s="10">
        <f t="shared" si="119"/>
        <v>81.836666666669771</v>
      </c>
    </row>
    <row r="1491" spans="1:15">
      <c r="A1491" s="1" t="s">
        <v>1596</v>
      </c>
      <c r="B1491" s="23">
        <v>45076.331250000003</v>
      </c>
      <c r="C1491" s="1" t="s">
        <v>43</v>
      </c>
      <c r="D1491" s="1" t="s">
        <v>17</v>
      </c>
      <c r="E1491" s="1" t="s">
        <v>33</v>
      </c>
      <c r="F1491" s="1" t="s">
        <v>27</v>
      </c>
      <c r="G1491" s="1">
        <v>159</v>
      </c>
      <c r="H1491" s="23">
        <v>45079.412187499998</v>
      </c>
      <c r="I1491" s="1" t="b">
        <v>0</v>
      </c>
      <c r="K1491" s="10">
        <f t="shared" si="117"/>
        <v>73.942499999888241</v>
      </c>
      <c r="L1491" s="1" t="str">
        <f t="shared" si="118"/>
        <v>OK</v>
      </c>
      <c r="M1491" s="1">
        <f t="shared" si="115"/>
        <v>1</v>
      </c>
      <c r="N1491" s="1">
        <f t="shared" si="116"/>
        <v>159</v>
      </c>
      <c r="O1491" s="10">
        <f t="shared" si="119"/>
        <v>73.942499999888241</v>
      </c>
    </row>
    <row r="1492" spans="1:15">
      <c r="A1492" s="1" t="s">
        <v>1597</v>
      </c>
      <c r="B1492" s="23">
        <v>45076.355555555558</v>
      </c>
      <c r="C1492" s="1" t="s">
        <v>43</v>
      </c>
      <c r="D1492" s="1" t="s">
        <v>17</v>
      </c>
      <c r="E1492" s="1" t="s">
        <v>18</v>
      </c>
      <c r="F1492" s="1" t="s">
        <v>110</v>
      </c>
      <c r="G1492" s="1">
        <v>310</v>
      </c>
      <c r="H1492" s="23">
        <v>45079.593275462961</v>
      </c>
      <c r="I1492" s="1" t="b">
        <v>0</v>
      </c>
      <c r="K1492" s="10">
        <f t="shared" si="117"/>
        <v>77.705277777684387</v>
      </c>
      <c r="L1492" s="1" t="str">
        <f t="shared" si="118"/>
        <v>OK</v>
      </c>
      <c r="M1492" s="1">
        <f t="shared" si="115"/>
        <v>1</v>
      </c>
      <c r="N1492" s="1">
        <f t="shared" si="116"/>
        <v>310</v>
      </c>
      <c r="O1492" s="10">
        <f t="shared" si="119"/>
        <v>77.705277777684387</v>
      </c>
    </row>
    <row r="1493" spans="1:15">
      <c r="A1493" s="1" t="s">
        <v>1598</v>
      </c>
      <c r="B1493" s="23">
        <v>45076.37222222222</v>
      </c>
      <c r="C1493" s="1" t="s">
        <v>25</v>
      </c>
      <c r="D1493" s="1" t="s">
        <v>12</v>
      </c>
      <c r="E1493" s="1" t="s">
        <v>18</v>
      </c>
      <c r="F1493" s="1" t="s">
        <v>239</v>
      </c>
      <c r="G1493" s="1">
        <v>74</v>
      </c>
      <c r="H1493" s="23">
        <v>45078.923587962963</v>
      </c>
      <c r="I1493" s="1" t="b">
        <v>0</v>
      </c>
      <c r="K1493" s="10">
        <f t="shared" si="117"/>
        <v>61.232777777826414</v>
      </c>
      <c r="L1493" s="1" t="str">
        <f t="shared" si="118"/>
        <v>OK</v>
      </c>
      <c r="M1493" s="1">
        <f t="shared" si="115"/>
        <v>1</v>
      </c>
      <c r="N1493" s="1">
        <f t="shared" si="116"/>
        <v>74</v>
      </c>
      <c r="O1493" s="10">
        <f t="shared" si="119"/>
        <v>61.232777777826414</v>
      </c>
    </row>
    <row r="1494" spans="1:15">
      <c r="A1494" s="1" t="s">
        <v>1599</v>
      </c>
      <c r="B1494" s="23">
        <v>45076.550694444442</v>
      </c>
      <c r="C1494" s="1" t="s">
        <v>16</v>
      </c>
      <c r="D1494" s="1" t="s">
        <v>12</v>
      </c>
      <c r="E1494" s="1" t="s">
        <v>18</v>
      </c>
      <c r="F1494" s="1" t="s">
        <v>29</v>
      </c>
      <c r="G1494" s="1">
        <v>16</v>
      </c>
      <c r="H1494" s="23">
        <v>45076.835023148145</v>
      </c>
      <c r="I1494" s="1" t="b">
        <v>0</v>
      </c>
      <c r="K1494" s="10">
        <f t="shared" si="117"/>
        <v>6.8238888888736255</v>
      </c>
      <c r="L1494" s="1" t="str">
        <f t="shared" si="118"/>
        <v>OK</v>
      </c>
      <c r="M1494" s="1">
        <f t="shared" si="115"/>
        <v>1</v>
      </c>
      <c r="N1494" s="1">
        <f t="shared" si="116"/>
        <v>16</v>
      </c>
      <c r="O1494" s="10">
        <f t="shared" si="119"/>
        <v>6.8238888888736255</v>
      </c>
    </row>
    <row r="1495" spans="1:15">
      <c r="A1495" s="1" t="s">
        <v>1600</v>
      </c>
      <c r="B1495" s="23">
        <v>45076.613194444442</v>
      </c>
      <c r="C1495" s="1" t="s">
        <v>25</v>
      </c>
      <c r="D1495" s="1" t="s">
        <v>26</v>
      </c>
      <c r="E1495" s="1" t="s">
        <v>18</v>
      </c>
      <c r="F1495" s="1" t="s">
        <v>90</v>
      </c>
      <c r="H1495" s="23">
        <v>45077.961851851855</v>
      </c>
      <c r="I1495" s="1" t="b">
        <v>0</v>
      </c>
      <c r="K1495" s="10">
        <f t="shared" si="117"/>
        <v>32.367777777893934</v>
      </c>
      <c r="L1495" s="1" t="str">
        <f t="shared" si="118"/>
        <v>Cannot check</v>
      </c>
      <c r="M1495" s="1">
        <f t="shared" si="115"/>
        <v>1</v>
      </c>
      <c r="N1495" s="1" t="str">
        <f t="shared" si="116"/>
        <v/>
      </c>
      <c r="O1495" s="10">
        <f t="shared" si="119"/>
        <v>32.367777777893934</v>
      </c>
    </row>
    <row r="1496" spans="1:15">
      <c r="A1496" s="1" t="s">
        <v>1601</v>
      </c>
      <c r="B1496" s="23">
        <v>45076.650694444441</v>
      </c>
      <c r="C1496" s="1" t="s">
        <v>11</v>
      </c>
      <c r="D1496" s="1" t="s">
        <v>12</v>
      </c>
      <c r="E1496" s="1" t="s">
        <v>18</v>
      </c>
      <c r="F1496" s="1" t="s">
        <v>39</v>
      </c>
      <c r="G1496" s="1">
        <v>50</v>
      </c>
      <c r="H1496" s="23">
        <v>45077.157430555555</v>
      </c>
      <c r="I1496" s="1" t="b">
        <v>0</v>
      </c>
      <c r="K1496" s="10">
        <f t="shared" si="117"/>
        <v>12.16166666673962</v>
      </c>
      <c r="L1496" s="1" t="str">
        <f t="shared" si="118"/>
        <v>OK</v>
      </c>
      <c r="M1496" s="1">
        <f t="shared" si="115"/>
        <v>1</v>
      </c>
      <c r="N1496" s="1">
        <f t="shared" si="116"/>
        <v>50</v>
      </c>
      <c r="O1496" s="10">
        <f t="shared" si="119"/>
        <v>12.16166666673962</v>
      </c>
    </row>
    <row r="1497" spans="1:15">
      <c r="A1497" s="1" t="s">
        <v>1602</v>
      </c>
      <c r="B1497" s="23">
        <v>45076.803472222222</v>
      </c>
      <c r="C1497" s="1" t="s">
        <v>16</v>
      </c>
      <c r="D1497" s="1" t="s">
        <v>26</v>
      </c>
      <c r="E1497" s="1" t="s">
        <v>33</v>
      </c>
      <c r="F1497" s="1" t="s">
        <v>35</v>
      </c>
      <c r="G1497" s="1">
        <v>82</v>
      </c>
      <c r="H1497" s="23">
        <v>45077.186006944445</v>
      </c>
      <c r="I1497" s="1" t="b">
        <v>0</v>
      </c>
      <c r="K1497" s="10">
        <f t="shared" si="117"/>
        <v>9.1808333333465271</v>
      </c>
      <c r="L1497" s="1" t="str">
        <f t="shared" si="118"/>
        <v>OK</v>
      </c>
      <c r="M1497" s="1">
        <f t="shared" si="115"/>
        <v>1</v>
      </c>
      <c r="N1497" s="1">
        <f t="shared" si="116"/>
        <v>82</v>
      </c>
      <c r="O1497" s="10">
        <f t="shared" si="119"/>
        <v>9.1808333333465271</v>
      </c>
    </row>
    <row r="1498" spans="1:15">
      <c r="A1498" s="1" t="s">
        <v>1603</v>
      </c>
      <c r="B1498" s="23">
        <v>45077.173611111109</v>
      </c>
      <c r="C1498" s="1" t="s">
        <v>11</v>
      </c>
      <c r="D1498" s="1" t="s">
        <v>21</v>
      </c>
      <c r="E1498" s="1" t="s">
        <v>33</v>
      </c>
      <c r="F1498" s="1" t="s">
        <v>46</v>
      </c>
      <c r="G1498" s="1">
        <v>189</v>
      </c>
      <c r="H1498" s="23">
        <v>45083.965844907405</v>
      </c>
      <c r="I1498" s="1" t="b">
        <v>0</v>
      </c>
      <c r="J1498" s="1">
        <v>1</v>
      </c>
      <c r="K1498" s="10">
        <f t="shared" si="117"/>
        <v>163.01361111109145</v>
      </c>
      <c r="L1498" s="1" t="str">
        <f t="shared" si="118"/>
        <v>OK</v>
      </c>
      <c r="M1498" s="1">
        <f t="shared" si="115"/>
        <v>1</v>
      </c>
      <c r="N1498" s="1">
        <f t="shared" si="116"/>
        <v>189</v>
      </c>
      <c r="O1498" s="10">
        <f t="shared" si="119"/>
        <v>163.01361111109145</v>
      </c>
    </row>
    <row r="1499" spans="1:15">
      <c r="A1499" s="1" t="s">
        <v>1604</v>
      </c>
      <c r="B1499" s="23">
        <v>45077.189583333333</v>
      </c>
      <c r="C1499" s="1" t="s">
        <v>43</v>
      </c>
      <c r="D1499" s="1" t="s">
        <v>21</v>
      </c>
      <c r="E1499" s="1" t="s">
        <v>18</v>
      </c>
      <c r="F1499" s="1" t="s">
        <v>35</v>
      </c>
      <c r="G1499" s="1">
        <v>368</v>
      </c>
      <c r="H1499" s="23">
        <v>45078.054502314815</v>
      </c>
      <c r="I1499" s="1" t="b">
        <v>0</v>
      </c>
      <c r="J1499" s="1">
        <v>3</v>
      </c>
      <c r="K1499" s="10">
        <f t="shared" si="117"/>
        <v>20.758055555575993</v>
      </c>
      <c r="L1499" s="1" t="str">
        <f t="shared" si="118"/>
        <v>OK</v>
      </c>
      <c r="M1499" s="1">
        <f t="shared" si="115"/>
        <v>1</v>
      </c>
      <c r="N1499" s="1">
        <f t="shared" si="116"/>
        <v>368</v>
      </c>
      <c r="O1499" s="10">
        <f t="shared" si="119"/>
        <v>20.758055555575993</v>
      </c>
    </row>
    <row r="1500" spans="1:15">
      <c r="A1500" s="1" t="s">
        <v>1605</v>
      </c>
      <c r="B1500" s="23">
        <v>45077.216666666667</v>
      </c>
      <c r="C1500" s="1" t="s">
        <v>16</v>
      </c>
      <c r="D1500" s="1" t="s">
        <v>21</v>
      </c>
      <c r="E1500" s="1" t="s">
        <v>18</v>
      </c>
      <c r="F1500" s="1" t="s">
        <v>19</v>
      </c>
      <c r="G1500" s="1">
        <v>27</v>
      </c>
      <c r="H1500" s="23">
        <v>45078.550254629627</v>
      </c>
      <c r="I1500" s="1" t="b">
        <v>0</v>
      </c>
      <c r="K1500" s="10">
        <f t="shared" si="117"/>
        <v>32.006111111026257</v>
      </c>
      <c r="L1500" s="1" t="str">
        <f t="shared" si="118"/>
        <v>OK</v>
      </c>
      <c r="M1500" s="1">
        <f t="shared" si="115"/>
        <v>1</v>
      </c>
      <c r="N1500" s="1">
        <f t="shared" si="116"/>
        <v>27</v>
      </c>
      <c r="O1500" s="10">
        <f t="shared" si="119"/>
        <v>32.006111111026257</v>
      </c>
    </row>
    <row r="1501" spans="1:15">
      <c r="A1501" s="1" t="s">
        <v>1606</v>
      </c>
      <c r="B1501" s="23">
        <v>45077.30972222222</v>
      </c>
      <c r="C1501" s="1" t="s">
        <v>11</v>
      </c>
      <c r="D1501" s="1" t="s">
        <v>17</v>
      </c>
      <c r="E1501" s="1" t="s">
        <v>13</v>
      </c>
      <c r="F1501" s="1" t="s">
        <v>178</v>
      </c>
      <c r="G1501" s="1">
        <v>81</v>
      </c>
      <c r="H1501" s="23">
        <v>45077.49827546296</v>
      </c>
      <c r="I1501" s="1" t="b">
        <v>0</v>
      </c>
      <c r="K1501" s="10">
        <f t="shared" si="117"/>
        <v>4.5252777777495794</v>
      </c>
      <c r="L1501" s="1" t="str">
        <f t="shared" si="118"/>
        <v>OK</v>
      </c>
      <c r="M1501" s="1">
        <f t="shared" si="115"/>
        <v>1</v>
      </c>
      <c r="N1501" s="1">
        <f t="shared" si="116"/>
        <v>81</v>
      </c>
      <c r="O1501" s="10">
        <f t="shared" si="119"/>
        <v>4.5252777777495794</v>
      </c>
    </row>
    <row r="1502" spans="1:15">
      <c r="A1502" s="1" t="s">
        <v>1607</v>
      </c>
      <c r="B1502" s="23">
        <v>45077.351388888892</v>
      </c>
      <c r="C1502" s="1" t="s">
        <v>11</v>
      </c>
      <c r="D1502" s="1" t="s">
        <v>17</v>
      </c>
      <c r="E1502" s="1" t="s">
        <v>13</v>
      </c>
      <c r="F1502" s="1" t="s">
        <v>70</v>
      </c>
      <c r="G1502" s="1">
        <v>32</v>
      </c>
      <c r="H1502" s="23">
        <v>45080.041851851849</v>
      </c>
      <c r="I1502" s="1" t="b">
        <v>0</v>
      </c>
      <c r="K1502" s="10">
        <f t="shared" si="117"/>
        <v>64.571111110970378</v>
      </c>
      <c r="L1502" s="1" t="str">
        <f t="shared" si="118"/>
        <v>OK</v>
      </c>
      <c r="M1502" s="1">
        <f t="shared" si="115"/>
        <v>1</v>
      </c>
      <c r="N1502" s="1">
        <f t="shared" si="116"/>
        <v>32</v>
      </c>
      <c r="O1502" s="10">
        <f t="shared" si="119"/>
        <v>64.571111110970378</v>
      </c>
    </row>
    <row r="1503" spans="1:15">
      <c r="A1503" s="1" t="s">
        <v>1608</v>
      </c>
      <c r="B1503" s="23">
        <v>45077.48333333333</v>
      </c>
      <c r="C1503" s="1" t="s">
        <v>11</v>
      </c>
      <c r="D1503" s="1" t="s">
        <v>59</v>
      </c>
      <c r="E1503" s="1" t="s">
        <v>18</v>
      </c>
      <c r="F1503" s="1" t="s">
        <v>54</v>
      </c>
      <c r="G1503" s="1">
        <v>194</v>
      </c>
      <c r="H1503" s="23">
        <v>45079.047986111109</v>
      </c>
      <c r="I1503" s="1" t="b">
        <v>0</v>
      </c>
      <c r="K1503" s="10">
        <f t="shared" si="117"/>
        <v>37.551666666695382</v>
      </c>
      <c r="L1503" s="1" t="str">
        <f t="shared" si="118"/>
        <v>OK</v>
      </c>
      <c r="M1503" s="1">
        <f t="shared" si="115"/>
        <v>1</v>
      </c>
      <c r="N1503" s="1">
        <f t="shared" si="116"/>
        <v>194</v>
      </c>
      <c r="O1503" s="10">
        <f t="shared" si="119"/>
        <v>37.551666666695382</v>
      </c>
    </row>
    <row r="1504" spans="1:15">
      <c r="A1504" s="1" t="s">
        <v>1609</v>
      </c>
      <c r="B1504" s="23">
        <v>45077.804166666669</v>
      </c>
      <c r="C1504" s="1" t="s">
        <v>25</v>
      </c>
      <c r="D1504" s="1" t="s">
        <v>59</v>
      </c>
      <c r="E1504" s="1" t="s">
        <v>22</v>
      </c>
      <c r="F1504" s="1" t="s">
        <v>90</v>
      </c>
      <c r="G1504" s="1">
        <v>35</v>
      </c>
      <c r="H1504" s="23">
        <v>45078.132349537038</v>
      </c>
      <c r="I1504" s="1" t="b">
        <v>0</v>
      </c>
      <c r="K1504" s="10">
        <f t="shared" si="117"/>
        <v>7.8763888888643123</v>
      </c>
      <c r="L1504" s="1" t="str">
        <f t="shared" si="118"/>
        <v>OK</v>
      </c>
      <c r="M1504" s="1">
        <f t="shared" si="115"/>
        <v>1</v>
      </c>
      <c r="N1504" s="1">
        <f t="shared" si="116"/>
        <v>35</v>
      </c>
      <c r="O1504" s="10">
        <f t="shared" si="119"/>
        <v>7.8763888888643123</v>
      </c>
    </row>
    <row r="1505" spans="1:15">
      <c r="A1505" s="1" t="s">
        <v>1610</v>
      </c>
      <c r="B1505" s="23">
        <v>45077.811111111114</v>
      </c>
      <c r="C1505" s="1" t="s">
        <v>16</v>
      </c>
      <c r="D1505" s="1" t="s">
        <v>59</v>
      </c>
      <c r="E1505" s="1" t="s">
        <v>18</v>
      </c>
      <c r="F1505" s="1" t="s">
        <v>52</v>
      </c>
      <c r="G1505" s="1">
        <v>31</v>
      </c>
      <c r="H1505" s="23">
        <v>45077.952534722222</v>
      </c>
      <c r="I1505" s="1" t="b">
        <v>0</v>
      </c>
      <c r="K1505" s="10">
        <f t="shared" si="117"/>
        <v>3.3941666666069068</v>
      </c>
      <c r="L1505" s="1" t="str">
        <f t="shared" si="118"/>
        <v>OK</v>
      </c>
      <c r="M1505" s="1">
        <f t="shared" si="115"/>
        <v>1</v>
      </c>
      <c r="N1505" s="1">
        <f t="shared" si="116"/>
        <v>31</v>
      </c>
      <c r="O1505" s="10">
        <f t="shared" si="119"/>
        <v>3.3941666666069068</v>
      </c>
    </row>
    <row r="1506" spans="1:15">
      <c r="A1506" s="1" t="s">
        <v>1611</v>
      </c>
      <c r="B1506" s="23">
        <v>45077.886805555558</v>
      </c>
      <c r="C1506" s="1" t="s">
        <v>11</v>
      </c>
      <c r="D1506" s="1" t="s">
        <v>21</v>
      </c>
      <c r="E1506" s="1" t="s">
        <v>13</v>
      </c>
      <c r="F1506" s="1" t="s">
        <v>64</v>
      </c>
      <c r="G1506" s="1">
        <v>35</v>
      </c>
      <c r="H1506" s="23">
        <v>45079.012314814812</v>
      </c>
      <c r="I1506" s="1" t="b">
        <v>0</v>
      </c>
      <c r="K1506" s="10">
        <f t="shared" si="117"/>
        <v>27.012222222110722</v>
      </c>
      <c r="L1506" s="1" t="str">
        <f t="shared" si="118"/>
        <v>OK</v>
      </c>
      <c r="M1506" s="1">
        <f t="shared" si="115"/>
        <v>1</v>
      </c>
      <c r="N1506" s="1">
        <f t="shared" si="116"/>
        <v>35</v>
      </c>
      <c r="O1506" s="10">
        <f t="shared" si="119"/>
        <v>27.012222222110722</v>
      </c>
    </row>
    <row r="1507" spans="1:15">
      <c r="A1507" s="1" t="s">
        <v>1612</v>
      </c>
      <c r="B1507" s="23">
        <v>45078.04583333333</v>
      </c>
      <c r="C1507" s="1" t="s">
        <v>25</v>
      </c>
      <c r="D1507" s="1" t="s">
        <v>17</v>
      </c>
      <c r="E1507" s="1" t="s">
        <v>13</v>
      </c>
      <c r="F1507" s="1" t="s">
        <v>326</v>
      </c>
      <c r="G1507" s="1">
        <v>3</v>
      </c>
      <c r="H1507" s="23">
        <v>45079.660474537035</v>
      </c>
      <c r="I1507" s="1" t="b">
        <v>0</v>
      </c>
      <c r="J1507" s="1">
        <v>5</v>
      </c>
      <c r="K1507" s="10">
        <f t="shared" si="117"/>
        <v>38.75138888892252</v>
      </c>
      <c r="L1507" s="1" t="str">
        <f t="shared" si="118"/>
        <v>OK</v>
      </c>
      <c r="M1507" s="1">
        <f t="shared" si="115"/>
        <v>1</v>
      </c>
      <c r="N1507" s="1">
        <f t="shared" si="116"/>
        <v>3</v>
      </c>
      <c r="O1507" s="10">
        <f t="shared" si="119"/>
        <v>38.75138888892252</v>
      </c>
    </row>
    <row r="1508" spans="1:15">
      <c r="A1508" s="1" t="s">
        <v>1613</v>
      </c>
      <c r="B1508" s="23">
        <v>45078.09375</v>
      </c>
      <c r="C1508" s="1" t="s">
        <v>11</v>
      </c>
      <c r="D1508" s="1" t="s">
        <v>12</v>
      </c>
      <c r="E1508" s="1" t="s">
        <v>18</v>
      </c>
      <c r="F1508" s="1" t="s">
        <v>64</v>
      </c>
      <c r="G1508" s="1">
        <v>113</v>
      </c>
      <c r="H1508" s="23">
        <v>45079.717210648145</v>
      </c>
      <c r="I1508" s="1" t="b">
        <v>0</v>
      </c>
      <c r="J1508" s="1">
        <v>5</v>
      </c>
      <c r="K1508" s="10">
        <f t="shared" si="117"/>
        <v>38.963055555475876</v>
      </c>
      <c r="L1508" s="1" t="str">
        <f t="shared" si="118"/>
        <v>OK</v>
      </c>
      <c r="M1508" s="1">
        <f t="shared" si="115"/>
        <v>1</v>
      </c>
      <c r="N1508" s="1">
        <f t="shared" si="116"/>
        <v>113</v>
      </c>
      <c r="O1508" s="10">
        <f t="shared" si="119"/>
        <v>38.963055555475876</v>
      </c>
    </row>
    <row r="1509" spans="1:15">
      <c r="A1509" s="1" t="s">
        <v>1614</v>
      </c>
      <c r="B1509" s="23">
        <v>45078.107638888891</v>
      </c>
      <c r="C1509" s="1" t="s">
        <v>25</v>
      </c>
      <c r="D1509" s="1" t="s">
        <v>17</v>
      </c>
      <c r="E1509" s="1" t="s">
        <v>18</v>
      </c>
      <c r="F1509" s="1" t="s">
        <v>228</v>
      </c>
      <c r="G1509" s="1">
        <v>112</v>
      </c>
      <c r="H1509" s="23">
        <v>45079.72111111111</v>
      </c>
      <c r="I1509" s="1" t="b">
        <v>0</v>
      </c>
      <c r="J1509" s="1">
        <v>3</v>
      </c>
      <c r="K1509" s="10">
        <f t="shared" si="117"/>
        <v>38.723333333269693</v>
      </c>
      <c r="L1509" s="1" t="str">
        <f t="shared" si="118"/>
        <v>OK</v>
      </c>
      <c r="M1509" s="1">
        <f t="shared" si="115"/>
        <v>1</v>
      </c>
      <c r="N1509" s="1">
        <f t="shared" si="116"/>
        <v>112</v>
      </c>
      <c r="O1509" s="10">
        <f t="shared" si="119"/>
        <v>38.723333333269693</v>
      </c>
    </row>
    <row r="1510" spans="1:15">
      <c r="A1510" s="1" t="s">
        <v>1615</v>
      </c>
      <c r="B1510" s="23">
        <v>45078.121527777781</v>
      </c>
      <c r="C1510" s="1" t="s">
        <v>16</v>
      </c>
      <c r="D1510" s="1" t="s">
        <v>17</v>
      </c>
      <c r="E1510" s="1" t="s">
        <v>18</v>
      </c>
      <c r="F1510" s="1" t="s">
        <v>118</v>
      </c>
      <c r="G1510" s="1">
        <v>16</v>
      </c>
      <c r="H1510" s="23">
        <v>45085.487939814811</v>
      </c>
      <c r="I1510" s="1" t="b">
        <v>0</v>
      </c>
      <c r="K1510" s="10">
        <f t="shared" si="117"/>
        <v>176.79388888872927</v>
      </c>
      <c r="L1510" s="1" t="str">
        <f t="shared" si="118"/>
        <v>OK</v>
      </c>
      <c r="M1510" s="1">
        <f t="shared" si="115"/>
        <v>1</v>
      </c>
      <c r="N1510" s="1">
        <f t="shared" si="116"/>
        <v>16</v>
      </c>
      <c r="O1510" s="10">
        <f t="shared" si="119"/>
        <v>176.79388888872927</v>
      </c>
    </row>
    <row r="1511" spans="1:15">
      <c r="A1511" s="1" t="s">
        <v>1616</v>
      </c>
      <c r="B1511" s="23">
        <v>45078.124305555553</v>
      </c>
      <c r="C1511" s="1" t="s">
        <v>16</v>
      </c>
      <c r="D1511" s="1" t="s">
        <v>59</v>
      </c>
      <c r="E1511" s="1" t="s">
        <v>18</v>
      </c>
      <c r="F1511" s="1" t="s">
        <v>98</v>
      </c>
      <c r="G1511" s="1">
        <v>265</v>
      </c>
      <c r="H1511" s="23">
        <v>45078.763252314813</v>
      </c>
      <c r="I1511" s="1" t="b">
        <v>0</v>
      </c>
      <c r="J1511" s="1">
        <v>4</v>
      </c>
      <c r="K1511" s="10">
        <f t="shared" si="117"/>
        <v>15.334722222236451</v>
      </c>
      <c r="L1511" s="1" t="str">
        <f t="shared" si="118"/>
        <v>OK</v>
      </c>
      <c r="M1511" s="1">
        <f t="shared" si="115"/>
        <v>1</v>
      </c>
      <c r="N1511" s="1">
        <f t="shared" si="116"/>
        <v>265</v>
      </c>
      <c r="O1511" s="10">
        <f t="shared" si="119"/>
        <v>15.334722222236451</v>
      </c>
    </row>
    <row r="1512" spans="1:15">
      <c r="A1512" s="1" t="s">
        <v>1617</v>
      </c>
      <c r="B1512" s="23">
        <v>45078.140277777777</v>
      </c>
      <c r="C1512" s="1" t="s">
        <v>43</v>
      </c>
      <c r="D1512" s="1" t="s">
        <v>26</v>
      </c>
      <c r="E1512" s="1" t="s">
        <v>13</v>
      </c>
      <c r="F1512" s="1" t="s">
        <v>259</v>
      </c>
      <c r="G1512" s="1">
        <v>5</v>
      </c>
      <c r="I1512" s="1" t="b">
        <v>0</v>
      </c>
      <c r="K1512" s="10" t="str">
        <f t="shared" si="117"/>
        <v/>
      </c>
      <c r="L1512" s="1" t="str">
        <f t="shared" si="118"/>
        <v>Cannot check</v>
      </c>
      <c r="M1512" s="1">
        <f t="shared" si="115"/>
        <v>1</v>
      </c>
      <c r="N1512" s="1">
        <f t="shared" si="116"/>
        <v>5</v>
      </c>
      <c r="O1512" s="10" t="str">
        <f t="shared" si="119"/>
        <v/>
      </c>
    </row>
    <row r="1513" spans="1:15">
      <c r="A1513" s="1" t="s">
        <v>1618</v>
      </c>
      <c r="B1513" s="23">
        <v>45078.265277777777</v>
      </c>
      <c r="C1513" s="1" t="s">
        <v>43</v>
      </c>
      <c r="D1513" s="1" t="s">
        <v>59</v>
      </c>
      <c r="E1513" s="1" t="s">
        <v>13</v>
      </c>
      <c r="F1513" s="1" t="s">
        <v>57</v>
      </c>
      <c r="G1513" s="1">
        <v>26</v>
      </c>
      <c r="H1513" s="23">
        <v>45078.421296296299</v>
      </c>
      <c r="I1513" s="1" t="b">
        <v>0</v>
      </c>
      <c r="K1513" s="10">
        <f t="shared" si="117"/>
        <v>3.7444444445427507</v>
      </c>
      <c r="L1513" s="1" t="str">
        <f t="shared" si="118"/>
        <v>OK</v>
      </c>
      <c r="M1513" s="1">
        <f t="shared" si="115"/>
        <v>1</v>
      </c>
      <c r="N1513" s="1">
        <f t="shared" si="116"/>
        <v>26</v>
      </c>
      <c r="O1513" s="10">
        <f t="shared" si="119"/>
        <v>3.7444444445427507</v>
      </c>
    </row>
    <row r="1514" spans="1:15">
      <c r="A1514" s="1" t="s">
        <v>1619</v>
      </c>
      <c r="B1514" s="23">
        <v>45078.427777777775</v>
      </c>
      <c r="C1514" s="1" t="s">
        <v>16</v>
      </c>
      <c r="D1514" s="1" t="s">
        <v>59</v>
      </c>
      <c r="E1514" s="1" t="s">
        <v>13</v>
      </c>
      <c r="F1514" s="1" t="s">
        <v>92</v>
      </c>
      <c r="G1514" s="1">
        <v>64</v>
      </c>
      <c r="H1514" s="23">
        <v>45080.398969907408</v>
      </c>
      <c r="I1514" s="1" t="b">
        <v>0</v>
      </c>
      <c r="K1514" s="10">
        <f t="shared" si="117"/>
        <v>47.308611111191567</v>
      </c>
      <c r="L1514" s="1" t="str">
        <f t="shared" si="118"/>
        <v>OK</v>
      </c>
      <c r="M1514" s="1">
        <f t="shared" si="115"/>
        <v>1</v>
      </c>
      <c r="N1514" s="1">
        <f t="shared" si="116"/>
        <v>64</v>
      </c>
      <c r="O1514" s="10">
        <f t="shared" si="119"/>
        <v>47.308611111191567</v>
      </c>
    </row>
    <row r="1515" spans="1:15">
      <c r="A1515" s="1" t="s">
        <v>1620</v>
      </c>
      <c r="B1515" s="23">
        <v>45078.45208333333</v>
      </c>
      <c r="C1515" s="1" t="s">
        <v>11</v>
      </c>
      <c r="D1515" s="1" t="s">
        <v>26</v>
      </c>
      <c r="E1515" s="1" t="s">
        <v>18</v>
      </c>
      <c r="F1515" s="1" t="s">
        <v>178</v>
      </c>
      <c r="H1515" s="23">
        <v>45080.521782407406</v>
      </c>
      <c r="I1515" s="1" t="b">
        <v>0</v>
      </c>
      <c r="K1515" s="10">
        <f t="shared" si="117"/>
        <v>49.672777777828742</v>
      </c>
      <c r="L1515" s="1" t="str">
        <f t="shared" si="118"/>
        <v>Cannot check</v>
      </c>
      <c r="M1515" s="1">
        <f t="shared" si="115"/>
        <v>1</v>
      </c>
      <c r="N1515" s="1" t="str">
        <f t="shared" si="116"/>
        <v/>
      </c>
      <c r="O1515" s="10">
        <f t="shared" si="119"/>
        <v>49.672777777828742</v>
      </c>
    </row>
    <row r="1516" spans="1:15">
      <c r="A1516" s="1" t="s">
        <v>1621</v>
      </c>
      <c r="B1516" s="23">
        <v>45078.461805555555</v>
      </c>
      <c r="C1516" s="1" t="s">
        <v>11</v>
      </c>
      <c r="D1516" s="1" t="s">
        <v>12</v>
      </c>
      <c r="E1516" s="1" t="s">
        <v>18</v>
      </c>
      <c r="F1516" s="1" t="s">
        <v>228</v>
      </c>
      <c r="G1516" s="1">
        <v>189</v>
      </c>
      <c r="H1516" s="23">
        <v>45090.513344907406</v>
      </c>
      <c r="I1516" s="1" t="b">
        <v>0</v>
      </c>
      <c r="K1516" s="10">
        <f t="shared" si="117"/>
        <v>289.23694444441935</v>
      </c>
      <c r="L1516" s="1" t="str">
        <f t="shared" si="118"/>
        <v>OK</v>
      </c>
      <c r="M1516" s="1">
        <f t="shared" si="115"/>
        <v>1</v>
      </c>
      <c r="N1516" s="1">
        <f t="shared" si="116"/>
        <v>189</v>
      </c>
      <c r="O1516" s="10">
        <f t="shared" si="119"/>
        <v>289.23694444441935</v>
      </c>
    </row>
    <row r="1517" spans="1:15">
      <c r="A1517" s="1" t="s">
        <v>1622</v>
      </c>
      <c r="B1517" s="23">
        <v>45078.566666666666</v>
      </c>
      <c r="C1517" s="1" t="s">
        <v>16</v>
      </c>
      <c r="D1517" s="1" t="s">
        <v>21</v>
      </c>
      <c r="E1517" s="1" t="s">
        <v>33</v>
      </c>
      <c r="F1517" s="1" t="s">
        <v>66</v>
      </c>
      <c r="G1517" s="1">
        <v>276</v>
      </c>
      <c r="H1517" s="23">
        <v>45081.075370370374</v>
      </c>
      <c r="I1517" s="1" t="b">
        <v>0</v>
      </c>
      <c r="K1517" s="10">
        <f t="shared" si="117"/>
        <v>60.208888888999354</v>
      </c>
      <c r="L1517" s="1" t="str">
        <f t="shared" si="118"/>
        <v>OK</v>
      </c>
      <c r="M1517" s="1">
        <f t="shared" si="115"/>
        <v>1</v>
      </c>
      <c r="N1517" s="1">
        <f t="shared" si="116"/>
        <v>276</v>
      </c>
      <c r="O1517" s="10">
        <f t="shared" si="119"/>
        <v>60.208888888999354</v>
      </c>
    </row>
    <row r="1518" spans="1:15">
      <c r="A1518" s="1" t="s">
        <v>1623</v>
      </c>
      <c r="B1518" s="23">
        <v>45078.700694444444</v>
      </c>
      <c r="C1518" s="1" t="s">
        <v>43</v>
      </c>
      <c r="D1518" s="1" t="s">
        <v>17</v>
      </c>
      <c r="E1518" s="1" t="s">
        <v>18</v>
      </c>
      <c r="F1518" s="1" t="s">
        <v>66</v>
      </c>
      <c r="G1518" s="1">
        <v>81</v>
      </c>
      <c r="H1518" s="23">
        <v>45078.883888888886</v>
      </c>
      <c r="I1518" s="1" t="b">
        <v>0</v>
      </c>
      <c r="K1518" s="10">
        <f t="shared" si="117"/>
        <v>4.3966666666092351</v>
      </c>
      <c r="L1518" s="1" t="str">
        <f t="shared" si="118"/>
        <v>OK</v>
      </c>
      <c r="M1518" s="1">
        <f t="shared" si="115"/>
        <v>1</v>
      </c>
      <c r="N1518" s="1">
        <f t="shared" si="116"/>
        <v>81</v>
      </c>
      <c r="O1518" s="10">
        <f t="shared" si="119"/>
        <v>4.3966666666092351</v>
      </c>
    </row>
    <row r="1519" spans="1:15">
      <c r="A1519" s="1" t="s">
        <v>1624</v>
      </c>
      <c r="B1519" s="23">
        <v>45079.115972222222</v>
      </c>
      <c r="C1519" s="1" t="s">
        <v>16</v>
      </c>
      <c r="D1519" s="1" t="s">
        <v>12</v>
      </c>
      <c r="E1519" s="1" t="s">
        <v>18</v>
      </c>
      <c r="F1519" s="1" t="s">
        <v>148</v>
      </c>
      <c r="G1519" s="1">
        <v>166</v>
      </c>
      <c r="H1519" s="23">
        <v>45084.831689814811</v>
      </c>
      <c r="I1519" s="1" t="b">
        <v>0</v>
      </c>
      <c r="K1519" s="10">
        <f t="shared" si="117"/>
        <v>137.17722222214798</v>
      </c>
      <c r="L1519" s="1" t="str">
        <f t="shared" si="118"/>
        <v>OK</v>
      </c>
      <c r="M1519" s="1">
        <f t="shared" si="115"/>
        <v>1</v>
      </c>
      <c r="N1519" s="1">
        <f t="shared" si="116"/>
        <v>166</v>
      </c>
      <c r="O1519" s="10">
        <f t="shared" si="119"/>
        <v>137.17722222214798</v>
      </c>
    </row>
    <row r="1520" spans="1:15">
      <c r="A1520" s="1" t="s">
        <v>1625</v>
      </c>
      <c r="B1520" s="23">
        <v>45079.355555555558</v>
      </c>
      <c r="C1520" s="1" t="s">
        <v>11</v>
      </c>
      <c r="D1520" s="1" t="s">
        <v>21</v>
      </c>
      <c r="E1520" s="1" t="s">
        <v>13</v>
      </c>
      <c r="F1520" s="1" t="s">
        <v>159</v>
      </c>
      <c r="G1520" s="1">
        <v>11</v>
      </c>
      <c r="H1520" s="23">
        <v>45079.379155092596</v>
      </c>
      <c r="I1520" s="1" t="b">
        <v>0</v>
      </c>
      <c r="K1520" s="10">
        <f t="shared" si="117"/>
        <v>0.56638888892484829</v>
      </c>
      <c r="L1520" s="1" t="str">
        <f t="shared" si="118"/>
        <v>OK</v>
      </c>
      <c r="M1520" s="1">
        <f t="shared" si="115"/>
        <v>1</v>
      </c>
      <c r="N1520" s="1">
        <f t="shared" si="116"/>
        <v>11</v>
      </c>
      <c r="O1520" s="10">
        <f t="shared" si="119"/>
        <v>0.56638888892484829</v>
      </c>
    </row>
    <row r="1521" spans="1:15">
      <c r="A1521" s="1" t="s">
        <v>1626</v>
      </c>
      <c r="B1521" s="23">
        <v>45079.363888888889</v>
      </c>
      <c r="C1521" s="1" t="s">
        <v>43</v>
      </c>
      <c r="D1521" s="1" t="s">
        <v>26</v>
      </c>
      <c r="E1521" s="1" t="s">
        <v>18</v>
      </c>
      <c r="F1521" s="1" t="s">
        <v>84</v>
      </c>
      <c r="G1521" s="1">
        <v>202</v>
      </c>
      <c r="H1521" s="23">
        <v>45083.0312037037</v>
      </c>
      <c r="I1521" s="1" t="b">
        <v>0</v>
      </c>
      <c r="K1521" s="10">
        <f t="shared" si="117"/>
        <v>88.015555555466563</v>
      </c>
      <c r="L1521" s="1" t="str">
        <f t="shared" si="118"/>
        <v>OK</v>
      </c>
      <c r="M1521" s="1">
        <f t="shared" si="115"/>
        <v>1</v>
      </c>
      <c r="N1521" s="1">
        <f t="shared" si="116"/>
        <v>202</v>
      </c>
      <c r="O1521" s="10">
        <f t="shared" si="119"/>
        <v>88.015555555466563</v>
      </c>
    </row>
    <row r="1522" spans="1:15">
      <c r="A1522" s="1" t="s">
        <v>1627</v>
      </c>
      <c r="B1522" s="23">
        <v>45079.465277777781</v>
      </c>
      <c r="C1522" s="1" t="s">
        <v>25</v>
      </c>
      <c r="D1522" s="1" t="s">
        <v>59</v>
      </c>
      <c r="E1522" s="1" t="s">
        <v>18</v>
      </c>
      <c r="F1522" s="1" t="s">
        <v>186</v>
      </c>
      <c r="G1522" s="1">
        <v>48</v>
      </c>
      <c r="I1522" s="1" t="b">
        <v>0</v>
      </c>
      <c r="K1522" s="10" t="str">
        <f t="shared" si="117"/>
        <v/>
      </c>
      <c r="L1522" s="1" t="str">
        <f t="shared" si="118"/>
        <v>Cannot check</v>
      </c>
      <c r="M1522" s="1">
        <f t="shared" si="115"/>
        <v>1</v>
      </c>
      <c r="N1522" s="1">
        <f t="shared" si="116"/>
        <v>48</v>
      </c>
      <c r="O1522" s="10" t="str">
        <f t="shared" si="119"/>
        <v/>
      </c>
    </row>
    <row r="1523" spans="1:15">
      <c r="A1523" s="1" t="s">
        <v>1628</v>
      </c>
      <c r="B1523" s="23">
        <v>45079.675694444442</v>
      </c>
      <c r="C1523" s="1" t="s">
        <v>16</v>
      </c>
      <c r="D1523" s="1" t="s">
        <v>17</v>
      </c>
      <c r="E1523" s="1" t="s">
        <v>18</v>
      </c>
      <c r="F1523" s="1" t="s">
        <v>41</v>
      </c>
      <c r="G1523" s="1">
        <v>70</v>
      </c>
      <c r="H1523" s="23">
        <v>45082.147997685184</v>
      </c>
      <c r="I1523" s="1" t="b">
        <v>0</v>
      </c>
      <c r="J1523" s="1">
        <v>1</v>
      </c>
      <c r="K1523" s="10">
        <f t="shared" si="117"/>
        <v>59.335277777805459</v>
      </c>
      <c r="L1523" s="1" t="str">
        <f t="shared" si="118"/>
        <v>OK</v>
      </c>
      <c r="M1523" s="1">
        <f t="shared" si="115"/>
        <v>1</v>
      </c>
      <c r="N1523" s="1">
        <f t="shared" si="116"/>
        <v>70</v>
      </c>
      <c r="O1523" s="10">
        <f t="shared" si="119"/>
        <v>59.335277777805459</v>
      </c>
    </row>
    <row r="1524" spans="1:15">
      <c r="A1524" s="1" t="s">
        <v>1629</v>
      </c>
      <c r="B1524" s="23">
        <v>45079.676388888889</v>
      </c>
      <c r="C1524" s="1" t="s">
        <v>43</v>
      </c>
      <c r="D1524" s="1" t="s">
        <v>17</v>
      </c>
      <c r="E1524" s="1" t="s">
        <v>18</v>
      </c>
      <c r="F1524" s="1" t="s">
        <v>245</v>
      </c>
      <c r="G1524" s="1">
        <v>69</v>
      </c>
      <c r="H1524" s="23">
        <v>45081.846307870372</v>
      </c>
      <c r="I1524" s="1" t="b">
        <v>0</v>
      </c>
      <c r="K1524" s="10">
        <f t="shared" si="117"/>
        <v>52.078055555582978</v>
      </c>
      <c r="L1524" s="1" t="str">
        <f t="shared" si="118"/>
        <v>OK</v>
      </c>
      <c r="M1524" s="1">
        <f t="shared" si="115"/>
        <v>1</v>
      </c>
      <c r="N1524" s="1">
        <f t="shared" si="116"/>
        <v>69</v>
      </c>
      <c r="O1524" s="10">
        <f t="shared" si="119"/>
        <v>52.078055555582978</v>
      </c>
    </row>
    <row r="1525" spans="1:15">
      <c r="A1525" s="1" t="s">
        <v>1630</v>
      </c>
      <c r="B1525" s="23">
        <v>45079.688194444447</v>
      </c>
      <c r="C1525" s="1" t="s">
        <v>16</v>
      </c>
      <c r="D1525" s="1" t="s">
        <v>26</v>
      </c>
      <c r="E1525" s="1" t="s">
        <v>18</v>
      </c>
      <c r="F1525" s="1" t="s">
        <v>259</v>
      </c>
      <c r="G1525" s="1">
        <v>211</v>
      </c>
      <c r="H1525" s="23">
        <v>45083.799560185187</v>
      </c>
      <c r="I1525" s="1" t="b">
        <v>0</v>
      </c>
      <c r="K1525" s="10">
        <f t="shared" si="117"/>
        <v>98.672777777770534</v>
      </c>
      <c r="L1525" s="1" t="str">
        <f t="shared" si="118"/>
        <v>OK</v>
      </c>
      <c r="M1525" s="1">
        <f t="shared" si="115"/>
        <v>1</v>
      </c>
      <c r="N1525" s="1">
        <f t="shared" si="116"/>
        <v>211</v>
      </c>
      <c r="O1525" s="10">
        <f t="shared" si="119"/>
        <v>98.672777777770534</v>
      </c>
    </row>
    <row r="1526" spans="1:15">
      <c r="A1526" s="1" t="s">
        <v>1631</v>
      </c>
      <c r="B1526" s="23">
        <v>45079.691666666666</v>
      </c>
      <c r="C1526" s="1" t="s">
        <v>43</v>
      </c>
      <c r="D1526" s="1" t="s">
        <v>59</v>
      </c>
      <c r="E1526" s="1" t="s">
        <v>33</v>
      </c>
      <c r="F1526" s="1" t="s">
        <v>134</v>
      </c>
      <c r="G1526" s="1">
        <v>249</v>
      </c>
      <c r="H1526" s="23">
        <v>45082.178124999999</v>
      </c>
      <c r="I1526" s="1" t="b">
        <v>0</v>
      </c>
      <c r="K1526" s="10">
        <f t="shared" si="117"/>
        <v>59.674999999988358</v>
      </c>
      <c r="L1526" s="1" t="str">
        <f t="shared" si="118"/>
        <v>OK</v>
      </c>
      <c r="M1526" s="1">
        <f t="shared" si="115"/>
        <v>1</v>
      </c>
      <c r="N1526" s="1">
        <f t="shared" si="116"/>
        <v>249</v>
      </c>
      <c r="O1526" s="10">
        <f t="shared" si="119"/>
        <v>59.674999999988358</v>
      </c>
    </row>
    <row r="1527" spans="1:15">
      <c r="A1527" s="1" t="s">
        <v>1632</v>
      </c>
      <c r="B1527" s="23">
        <v>45079.720833333333</v>
      </c>
      <c r="C1527" s="1" t="s">
        <v>25</v>
      </c>
      <c r="D1527" s="1" t="s">
        <v>12</v>
      </c>
      <c r="E1527" s="1" t="s">
        <v>13</v>
      </c>
      <c r="F1527" s="1" t="s">
        <v>256</v>
      </c>
      <c r="G1527" s="1">
        <v>24</v>
      </c>
      <c r="H1527" s="23">
        <v>45079.828993055555</v>
      </c>
      <c r="I1527" s="1" t="b">
        <v>0</v>
      </c>
      <c r="K1527" s="10">
        <f t="shared" si="117"/>
        <v>2.5958333333255723</v>
      </c>
      <c r="L1527" s="1" t="str">
        <f t="shared" si="118"/>
        <v>OK</v>
      </c>
      <c r="M1527" s="1">
        <f t="shared" si="115"/>
        <v>1</v>
      </c>
      <c r="N1527" s="1">
        <f t="shared" si="116"/>
        <v>24</v>
      </c>
      <c r="O1527" s="10">
        <f t="shared" si="119"/>
        <v>2.5958333333255723</v>
      </c>
    </row>
    <row r="1528" spans="1:15">
      <c r="A1528" s="1" t="s">
        <v>1633</v>
      </c>
      <c r="B1528" s="23">
        <v>45079.761805555558</v>
      </c>
      <c r="C1528" s="1" t="s">
        <v>11</v>
      </c>
      <c r="D1528" s="1" t="s">
        <v>17</v>
      </c>
      <c r="E1528" s="1" t="s">
        <v>22</v>
      </c>
      <c r="F1528" s="1" t="s">
        <v>62</v>
      </c>
      <c r="G1528" s="1">
        <v>12</v>
      </c>
      <c r="H1528" s="23">
        <v>45080.766493055555</v>
      </c>
      <c r="I1528" s="1" t="b">
        <v>0</v>
      </c>
      <c r="K1528" s="10">
        <f t="shared" si="117"/>
        <v>24.112499999930151</v>
      </c>
      <c r="L1528" s="1" t="str">
        <f t="shared" si="118"/>
        <v>OK</v>
      </c>
      <c r="M1528" s="1">
        <f t="shared" si="115"/>
        <v>1</v>
      </c>
      <c r="N1528" s="1">
        <f t="shared" si="116"/>
        <v>12</v>
      </c>
      <c r="O1528" s="10">
        <f t="shared" si="119"/>
        <v>24.112499999930151</v>
      </c>
    </row>
    <row r="1529" spans="1:15">
      <c r="A1529" s="1" t="s">
        <v>1634</v>
      </c>
      <c r="B1529" s="23">
        <v>45079.762499999997</v>
      </c>
      <c r="C1529" s="1" t="s">
        <v>25</v>
      </c>
      <c r="D1529" s="1" t="s">
        <v>17</v>
      </c>
      <c r="E1529" s="1" t="s">
        <v>18</v>
      </c>
      <c r="F1529" s="1" t="s">
        <v>76</v>
      </c>
      <c r="G1529" s="1">
        <v>71</v>
      </c>
      <c r="H1529" s="23">
        <v>45080.897337962961</v>
      </c>
      <c r="I1529" s="1" t="b">
        <v>0</v>
      </c>
      <c r="J1529" s="1">
        <v>5</v>
      </c>
      <c r="K1529" s="10">
        <f t="shared" si="117"/>
        <v>27.236111111124046</v>
      </c>
      <c r="L1529" s="1" t="str">
        <f t="shared" si="118"/>
        <v>OK</v>
      </c>
      <c r="M1529" s="1">
        <f t="shared" si="115"/>
        <v>1</v>
      </c>
      <c r="N1529" s="1">
        <f t="shared" si="116"/>
        <v>71</v>
      </c>
      <c r="O1529" s="10">
        <f t="shared" si="119"/>
        <v>27.236111111124046</v>
      </c>
    </row>
    <row r="1530" spans="1:15">
      <c r="A1530" s="1" t="s">
        <v>1635</v>
      </c>
      <c r="B1530" s="23">
        <v>45080.118055555555</v>
      </c>
      <c r="C1530" s="1" t="s">
        <v>16</v>
      </c>
      <c r="D1530" s="1" t="s">
        <v>26</v>
      </c>
      <c r="E1530" s="1" t="s">
        <v>33</v>
      </c>
      <c r="F1530" s="1" t="s">
        <v>245</v>
      </c>
      <c r="G1530" s="1">
        <v>688</v>
      </c>
      <c r="H1530" s="23">
        <v>45095.345671296294</v>
      </c>
      <c r="I1530" s="1" t="b">
        <v>0</v>
      </c>
      <c r="K1530" s="10">
        <f t="shared" si="117"/>
        <v>365.46277777774958</v>
      </c>
      <c r="L1530" s="1" t="str">
        <f t="shared" si="118"/>
        <v>OK</v>
      </c>
      <c r="M1530" s="1">
        <f t="shared" si="115"/>
        <v>1</v>
      </c>
      <c r="N1530" s="1">
        <f t="shared" si="116"/>
        <v>688</v>
      </c>
      <c r="O1530" s="10">
        <f t="shared" si="119"/>
        <v>365.46277777774958</v>
      </c>
    </row>
    <row r="1531" spans="1:15">
      <c r="A1531" s="1" t="s">
        <v>1636</v>
      </c>
      <c r="B1531" s="23">
        <v>45080.129861111112</v>
      </c>
      <c r="C1531" s="1" t="s">
        <v>11</v>
      </c>
      <c r="D1531" s="1" t="s">
        <v>59</v>
      </c>
      <c r="E1531" s="1" t="s">
        <v>13</v>
      </c>
      <c r="F1531" s="1" t="s">
        <v>145</v>
      </c>
      <c r="G1531" s="1">
        <v>77</v>
      </c>
      <c r="H1531" s="23">
        <v>45080.182442129626</v>
      </c>
      <c r="I1531" s="1" t="b">
        <v>0</v>
      </c>
      <c r="K1531" s="10">
        <f t="shared" si="117"/>
        <v>1.2619444443262182</v>
      </c>
      <c r="L1531" s="1" t="str">
        <f t="shared" si="118"/>
        <v>Review</v>
      </c>
      <c r="M1531" s="1">
        <f t="shared" si="115"/>
        <v>1</v>
      </c>
      <c r="N1531" s="1" t="str">
        <f t="shared" si="116"/>
        <v/>
      </c>
      <c r="O1531" s="10" t="str">
        <f t="shared" si="119"/>
        <v/>
      </c>
    </row>
    <row r="1532" spans="1:15">
      <c r="A1532" s="1" t="s">
        <v>1637</v>
      </c>
      <c r="B1532" s="23">
        <v>45080.443749999999</v>
      </c>
      <c r="C1532" s="1" t="s">
        <v>43</v>
      </c>
      <c r="D1532" s="1" t="s">
        <v>12</v>
      </c>
      <c r="E1532" s="1" t="s">
        <v>18</v>
      </c>
      <c r="F1532" s="1" t="s">
        <v>92</v>
      </c>
      <c r="G1532" s="1">
        <v>73</v>
      </c>
      <c r="H1532" s="23">
        <v>45082.748333333337</v>
      </c>
      <c r="I1532" s="1" t="b">
        <v>0</v>
      </c>
      <c r="K1532" s="10">
        <f t="shared" si="117"/>
        <v>55.310000000114087</v>
      </c>
      <c r="L1532" s="1" t="str">
        <f t="shared" si="118"/>
        <v>OK</v>
      </c>
      <c r="M1532" s="1">
        <f t="shared" si="115"/>
        <v>1</v>
      </c>
      <c r="N1532" s="1">
        <f t="shared" si="116"/>
        <v>73</v>
      </c>
      <c r="O1532" s="10">
        <f t="shared" si="119"/>
        <v>55.310000000114087</v>
      </c>
    </row>
    <row r="1533" spans="1:15">
      <c r="A1533" s="1" t="s">
        <v>1638</v>
      </c>
      <c r="B1533" s="23">
        <v>45080.638194444444</v>
      </c>
      <c r="C1533" s="1" t="s">
        <v>11</v>
      </c>
      <c r="D1533" s="1" t="s">
        <v>59</v>
      </c>
      <c r="E1533" s="1" t="s">
        <v>18</v>
      </c>
      <c r="F1533" s="1" t="s">
        <v>86</v>
      </c>
      <c r="G1533" s="1">
        <v>355</v>
      </c>
      <c r="H1533" s="23">
        <v>45081.097557870373</v>
      </c>
      <c r="I1533" s="1" t="b">
        <v>0</v>
      </c>
      <c r="J1533" s="1">
        <v>1</v>
      </c>
      <c r="K1533" s="10">
        <f t="shared" si="117"/>
        <v>11.024722222296987</v>
      </c>
      <c r="L1533" s="1" t="str">
        <f t="shared" si="118"/>
        <v>OK</v>
      </c>
      <c r="M1533" s="1">
        <f t="shared" si="115"/>
        <v>1</v>
      </c>
      <c r="N1533" s="1">
        <f t="shared" si="116"/>
        <v>355</v>
      </c>
      <c r="O1533" s="10">
        <f t="shared" si="119"/>
        <v>11.024722222296987</v>
      </c>
    </row>
    <row r="1534" spans="1:15">
      <c r="A1534" s="1" t="s">
        <v>1639</v>
      </c>
      <c r="B1534" s="23">
        <v>45080.644444444442</v>
      </c>
      <c r="C1534" s="1" t="s">
        <v>16</v>
      </c>
      <c r="D1534" s="1" t="s">
        <v>59</v>
      </c>
      <c r="E1534" s="1" t="s">
        <v>33</v>
      </c>
      <c r="F1534" s="1" t="s">
        <v>106</v>
      </c>
      <c r="G1534" s="1">
        <v>210</v>
      </c>
      <c r="H1534" s="23">
        <v>45081.184074074074</v>
      </c>
      <c r="I1534" s="1" t="b">
        <v>1</v>
      </c>
      <c r="K1534" s="10">
        <f t="shared" si="117"/>
        <v>12.951111111149658</v>
      </c>
      <c r="L1534" s="1" t="str">
        <f t="shared" si="118"/>
        <v>OK</v>
      </c>
      <c r="M1534" s="1">
        <f t="shared" si="115"/>
        <v>1</v>
      </c>
      <c r="N1534" s="1">
        <f t="shared" si="116"/>
        <v>210</v>
      </c>
      <c r="O1534" s="10">
        <f t="shared" si="119"/>
        <v>12.951111111149658</v>
      </c>
    </row>
    <row r="1535" spans="1:15">
      <c r="A1535" s="1" t="s">
        <v>1640</v>
      </c>
      <c r="B1535" s="23">
        <v>45080.70416666667</v>
      </c>
      <c r="C1535" s="1" t="s">
        <v>16</v>
      </c>
      <c r="D1535" s="1" t="s">
        <v>21</v>
      </c>
      <c r="E1535" s="1" t="s">
        <v>33</v>
      </c>
      <c r="F1535" s="1" t="s">
        <v>102</v>
      </c>
      <c r="G1535" s="1">
        <v>179</v>
      </c>
      <c r="H1535" s="23">
        <v>45081.369050925925</v>
      </c>
      <c r="I1535" s="1" t="b">
        <v>0</v>
      </c>
      <c r="K1535" s="10">
        <f t="shared" si="117"/>
        <v>15.957222222117707</v>
      </c>
      <c r="L1535" s="1" t="str">
        <f t="shared" si="118"/>
        <v>OK</v>
      </c>
      <c r="M1535" s="1">
        <f t="shared" si="115"/>
        <v>1</v>
      </c>
      <c r="N1535" s="1">
        <f t="shared" si="116"/>
        <v>179</v>
      </c>
      <c r="O1535" s="10">
        <f t="shared" si="119"/>
        <v>15.957222222117707</v>
      </c>
    </row>
    <row r="1536" spans="1:15">
      <c r="A1536" s="1" t="s">
        <v>1641</v>
      </c>
      <c r="B1536" s="23">
        <v>45080.731944444444</v>
      </c>
      <c r="C1536" s="1" t="s">
        <v>25</v>
      </c>
      <c r="D1536" s="1" t="s">
        <v>59</v>
      </c>
      <c r="E1536" s="1" t="s">
        <v>18</v>
      </c>
      <c r="F1536" s="1" t="s">
        <v>130</v>
      </c>
      <c r="G1536" s="1">
        <v>113</v>
      </c>
      <c r="H1536" s="23">
        <v>45083.123043981483</v>
      </c>
      <c r="I1536" s="1" t="b">
        <v>0</v>
      </c>
      <c r="K1536" s="10">
        <f t="shared" si="117"/>
        <v>57.386388888931833</v>
      </c>
      <c r="L1536" s="1" t="str">
        <f t="shared" si="118"/>
        <v>OK</v>
      </c>
      <c r="M1536" s="1">
        <f t="shared" si="115"/>
        <v>1</v>
      </c>
      <c r="N1536" s="1">
        <f t="shared" si="116"/>
        <v>113</v>
      </c>
      <c r="O1536" s="10">
        <f t="shared" si="119"/>
        <v>57.386388888931833</v>
      </c>
    </row>
    <row r="1537" spans="1:15">
      <c r="A1537" s="1" t="s">
        <v>1642</v>
      </c>
      <c r="B1537" s="23">
        <v>45080.800694444442</v>
      </c>
      <c r="C1537" s="1" t="s">
        <v>11</v>
      </c>
      <c r="D1537" s="1" t="s">
        <v>21</v>
      </c>
      <c r="E1537" s="1" t="s">
        <v>33</v>
      </c>
      <c r="F1537" s="1" t="s">
        <v>48</v>
      </c>
      <c r="G1537" s="1">
        <v>188</v>
      </c>
      <c r="H1537" s="23">
        <v>45081.13521990741</v>
      </c>
      <c r="I1537" s="1" t="b">
        <v>0</v>
      </c>
      <c r="J1537" s="1">
        <v>3</v>
      </c>
      <c r="K1537" s="10">
        <f t="shared" si="117"/>
        <v>8.028611111221835</v>
      </c>
      <c r="L1537" s="1" t="str">
        <f t="shared" si="118"/>
        <v>OK</v>
      </c>
      <c r="M1537" s="1">
        <f t="shared" si="115"/>
        <v>1</v>
      </c>
      <c r="N1537" s="1">
        <f t="shared" si="116"/>
        <v>188</v>
      </c>
      <c r="O1537" s="10">
        <f t="shared" si="119"/>
        <v>8.028611111221835</v>
      </c>
    </row>
    <row r="1538" spans="1:15">
      <c r="A1538" s="1" t="s">
        <v>1643</v>
      </c>
      <c r="B1538" s="23">
        <v>45080.927777777775</v>
      </c>
      <c r="C1538" s="1" t="s">
        <v>11</v>
      </c>
      <c r="D1538" s="1" t="s">
        <v>21</v>
      </c>
      <c r="E1538" s="1" t="s">
        <v>13</v>
      </c>
      <c r="F1538" s="1" t="s">
        <v>345</v>
      </c>
      <c r="G1538" s="1">
        <v>37</v>
      </c>
      <c r="H1538" s="23">
        <v>45081.262280092589</v>
      </c>
      <c r="I1538" s="1" t="b">
        <v>0</v>
      </c>
      <c r="K1538" s="10">
        <f t="shared" si="117"/>
        <v>8.0280555555364117</v>
      </c>
      <c r="L1538" s="1" t="str">
        <f t="shared" si="118"/>
        <v>OK</v>
      </c>
      <c r="M1538" s="1">
        <f t="shared" ref="M1538:M1601" si="120">COUNTIF($A$2:$A$4001,A1538)</f>
        <v>1</v>
      </c>
      <c r="N1538" s="1">
        <f t="shared" ref="N1538:N1601" si="121">IF(OR(L1538="Review",G1538=""),"",G1538)</f>
        <v>37</v>
      </c>
      <c r="O1538" s="10">
        <f t="shared" si="119"/>
        <v>8.0280555555364117</v>
      </c>
    </row>
    <row r="1539" spans="1:15">
      <c r="A1539" s="1" t="s">
        <v>1644</v>
      </c>
      <c r="B1539" s="23">
        <v>45080.938194444447</v>
      </c>
      <c r="C1539" s="1" t="s">
        <v>16</v>
      </c>
      <c r="D1539" s="1" t="s">
        <v>21</v>
      </c>
      <c r="E1539" s="1" t="s">
        <v>13</v>
      </c>
      <c r="F1539" s="1" t="s">
        <v>88</v>
      </c>
      <c r="G1539" s="1">
        <v>229</v>
      </c>
      <c r="H1539" s="23">
        <v>45081.252939814818</v>
      </c>
      <c r="I1539" s="1" t="b">
        <v>0</v>
      </c>
      <c r="K1539" s="10">
        <f t="shared" ref="K1539:K1602" si="122">IF(H1539="","",(H1539-B1539)*24)</f>
        <v>7.5538888889132068</v>
      </c>
      <c r="L1539" s="1" t="str">
        <f t="shared" ref="L1539:L1602" si="123">IF(OR(G1539="",K1539=""),"Cannot check",IF(G1539&gt;K1539*60,"Review","OK"))</f>
        <v>OK</v>
      </c>
      <c r="M1539" s="1">
        <f t="shared" si="120"/>
        <v>1</v>
      </c>
      <c r="N1539" s="1">
        <f t="shared" si="121"/>
        <v>229</v>
      </c>
      <c r="O1539" s="10">
        <f t="shared" ref="O1539:O1602" si="124">IF(OR(L1539="Review",K1539=""),"",K1539)</f>
        <v>7.5538888889132068</v>
      </c>
    </row>
    <row r="1540" spans="1:15">
      <c r="A1540" s="1" t="s">
        <v>1645</v>
      </c>
      <c r="B1540" s="23">
        <v>45080.98333333333</v>
      </c>
      <c r="C1540" s="1" t="s">
        <v>16</v>
      </c>
      <c r="D1540" s="1" t="s">
        <v>17</v>
      </c>
      <c r="E1540" s="1" t="s">
        <v>13</v>
      </c>
      <c r="F1540" s="1" t="s">
        <v>68</v>
      </c>
      <c r="G1540" s="1">
        <v>68</v>
      </c>
      <c r="H1540" s="23">
        <v>45081.91034722222</v>
      </c>
      <c r="I1540" s="1" t="b">
        <v>0</v>
      </c>
      <c r="K1540" s="10">
        <f t="shared" si="122"/>
        <v>22.248333333351184</v>
      </c>
      <c r="L1540" s="1" t="str">
        <f t="shared" si="123"/>
        <v>OK</v>
      </c>
      <c r="M1540" s="1">
        <f t="shared" si="120"/>
        <v>1</v>
      </c>
      <c r="N1540" s="1">
        <f t="shared" si="121"/>
        <v>68</v>
      </c>
      <c r="O1540" s="10">
        <f t="shared" si="124"/>
        <v>22.248333333351184</v>
      </c>
    </row>
    <row r="1541" spans="1:15">
      <c r="A1541" s="1" t="s">
        <v>1646</v>
      </c>
      <c r="B1541" s="23">
        <v>45081.078472222223</v>
      </c>
      <c r="C1541" s="1" t="s">
        <v>16</v>
      </c>
      <c r="D1541" s="1" t="s">
        <v>17</v>
      </c>
      <c r="E1541" s="1" t="s">
        <v>33</v>
      </c>
      <c r="F1541" s="1" t="s">
        <v>74</v>
      </c>
      <c r="G1541" s="1">
        <v>593</v>
      </c>
      <c r="H1541" s="23">
        <v>45082.855034722219</v>
      </c>
      <c r="I1541" s="1" t="b">
        <v>0</v>
      </c>
      <c r="J1541" s="1">
        <v>5</v>
      </c>
      <c r="K1541" s="10">
        <f t="shared" si="122"/>
        <v>42.637499999895226</v>
      </c>
      <c r="L1541" s="1" t="str">
        <f t="shared" si="123"/>
        <v>OK</v>
      </c>
      <c r="M1541" s="1">
        <f t="shared" si="120"/>
        <v>1</v>
      </c>
      <c r="N1541" s="1">
        <f t="shared" si="121"/>
        <v>593</v>
      </c>
      <c r="O1541" s="10">
        <f t="shared" si="124"/>
        <v>42.637499999895226</v>
      </c>
    </row>
    <row r="1542" spans="1:15">
      <c r="A1542" s="1" t="s">
        <v>1647</v>
      </c>
      <c r="B1542" s="23">
        <v>45081.335416666669</v>
      </c>
      <c r="C1542" s="1" t="s">
        <v>16</v>
      </c>
      <c r="D1542" s="1" t="s">
        <v>21</v>
      </c>
      <c r="E1542" s="1" t="s">
        <v>18</v>
      </c>
      <c r="F1542" s="1" t="s">
        <v>66</v>
      </c>
      <c r="G1542" s="1">
        <v>189</v>
      </c>
      <c r="H1542" s="23">
        <v>45082.84033564815</v>
      </c>
      <c r="I1542" s="1" t="b">
        <v>0</v>
      </c>
      <c r="J1542" s="1">
        <v>4</v>
      </c>
      <c r="K1542" s="10">
        <f t="shared" si="122"/>
        <v>36.118055555562023</v>
      </c>
      <c r="L1542" s="1" t="str">
        <f t="shared" si="123"/>
        <v>OK</v>
      </c>
      <c r="M1542" s="1">
        <f t="shared" si="120"/>
        <v>1</v>
      </c>
      <c r="N1542" s="1">
        <f t="shared" si="121"/>
        <v>189</v>
      </c>
      <c r="O1542" s="10">
        <f t="shared" si="124"/>
        <v>36.118055555562023</v>
      </c>
    </row>
    <row r="1543" spans="1:15">
      <c r="A1543" s="1" t="s">
        <v>1648</v>
      </c>
      <c r="B1543" s="23">
        <v>45081.480555555558</v>
      </c>
      <c r="C1543" s="1" t="s">
        <v>11</v>
      </c>
      <c r="D1543" s="1" t="s">
        <v>21</v>
      </c>
      <c r="E1543" s="1" t="s">
        <v>18</v>
      </c>
      <c r="F1543" s="1" t="s">
        <v>96</v>
      </c>
      <c r="G1543" s="1">
        <v>324</v>
      </c>
      <c r="H1543" s="23">
        <v>45082.972187500003</v>
      </c>
      <c r="I1543" s="1" t="b">
        <v>0</v>
      </c>
      <c r="K1543" s="10">
        <f t="shared" si="122"/>
        <v>35.799166666693054</v>
      </c>
      <c r="L1543" s="1" t="str">
        <f t="shared" si="123"/>
        <v>OK</v>
      </c>
      <c r="M1543" s="1">
        <f t="shared" si="120"/>
        <v>1</v>
      </c>
      <c r="N1543" s="1">
        <f t="shared" si="121"/>
        <v>324</v>
      </c>
      <c r="O1543" s="10">
        <f t="shared" si="124"/>
        <v>35.799166666693054</v>
      </c>
    </row>
    <row r="1544" spans="1:15">
      <c r="A1544" s="1" t="s">
        <v>1649</v>
      </c>
      <c r="B1544" s="23">
        <v>45081.544444444444</v>
      </c>
      <c r="C1544" s="1" t="s">
        <v>43</v>
      </c>
      <c r="D1544" s="1" t="s">
        <v>17</v>
      </c>
      <c r="E1544" s="1" t="s">
        <v>18</v>
      </c>
      <c r="F1544" s="1" t="s">
        <v>148</v>
      </c>
      <c r="G1544" s="1">
        <v>59</v>
      </c>
      <c r="H1544" s="23">
        <v>45086.770775462966</v>
      </c>
      <c r="I1544" s="1" t="b">
        <v>0</v>
      </c>
      <c r="K1544" s="10">
        <f t="shared" si="122"/>
        <v>125.43194444454275</v>
      </c>
      <c r="L1544" s="1" t="str">
        <f t="shared" si="123"/>
        <v>OK</v>
      </c>
      <c r="M1544" s="1">
        <f t="shared" si="120"/>
        <v>1</v>
      </c>
      <c r="N1544" s="1">
        <f t="shared" si="121"/>
        <v>59</v>
      </c>
      <c r="O1544" s="10">
        <f t="shared" si="124"/>
        <v>125.43194444454275</v>
      </c>
    </row>
    <row r="1545" spans="1:15">
      <c r="A1545" s="1" t="s">
        <v>1650</v>
      </c>
      <c r="B1545" s="23">
        <v>45081.616666666669</v>
      </c>
      <c r="C1545" s="1" t="s">
        <v>11</v>
      </c>
      <c r="D1545" s="1" t="s">
        <v>17</v>
      </c>
      <c r="E1545" s="1" t="s">
        <v>18</v>
      </c>
      <c r="F1545" s="1" t="s">
        <v>167</v>
      </c>
      <c r="G1545" s="1">
        <v>166</v>
      </c>
      <c r="H1545" s="23">
        <v>45085.830868055556</v>
      </c>
      <c r="I1545" s="1" t="b">
        <v>0</v>
      </c>
      <c r="K1545" s="10">
        <f t="shared" si="122"/>
        <v>101.14083333330927</v>
      </c>
      <c r="L1545" s="1" t="str">
        <f t="shared" si="123"/>
        <v>OK</v>
      </c>
      <c r="M1545" s="1">
        <f t="shared" si="120"/>
        <v>1</v>
      </c>
      <c r="N1545" s="1">
        <f t="shared" si="121"/>
        <v>166</v>
      </c>
      <c r="O1545" s="10">
        <f t="shared" si="124"/>
        <v>101.14083333330927</v>
      </c>
    </row>
    <row r="1546" spans="1:15">
      <c r="A1546" s="1" t="s">
        <v>1651</v>
      </c>
      <c r="B1546" s="23">
        <v>45081.792361111111</v>
      </c>
      <c r="C1546" s="1" t="s">
        <v>43</v>
      </c>
      <c r="D1546" s="1" t="s">
        <v>21</v>
      </c>
      <c r="E1546" s="1" t="s">
        <v>13</v>
      </c>
      <c r="F1546" s="1" t="s">
        <v>112</v>
      </c>
      <c r="G1546" s="1">
        <v>86</v>
      </c>
      <c r="H1546" s="23">
        <v>45081.907013888886</v>
      </c>
      <c r="I1546" s="1" t="b">
        <v>0</v>
      </c>
      <c r="K1546" s="10">
        <f t="shared" si="122"/>
        <v>2.7516666665906087</v>
      </c>
      <c r="L1546" s="1" t="str">
        <f t="shared" si="123"/>
        <v>OK</v>
      </c>
      <c r="M1546" s="1">
        <f t="shared" si="120"/>
        <v>1</v>
      </c>
      <c r="N1546" s="1">
        <f t="shared" si="121"/>
        <v>86</v>
      </c>
      <c r="O1546" s="10">
        <f t="shared" si="124"/>
        <v>2.7516666665906087</v>
      </c>
    </row>
    <row r="1547" spans="1:15">
      <c r="A1547" s="1" t="s">
        <v>1652</v>
      </c>
      <c r="B1547" s="23">
        <v>45081.84097222222</v>
      </c>
      <c r="C1547" s="1" t="s">
        <v>25</v>
      </c>
      <c r="D1547" s="1" t="s">
        <v>17</v>
      </c>
      <c r="E1547" s="1" t="s">
        <v>18</v>
      </c>
      <c r="F1547" s="1" t="s">
        <v>159</v>
      </c>
      <c r="G1547" s="1">
        <v>46</v>
      </c>
      <c r="H1547" s="23">
        <v>45081.871157407404</v>
      </c>
      <c r="I1547" s="1" t="b">
        <v>1</v>
      </c>
      <c r="K1547" s="10">
        <f t="shared" si="122"/>
        <v>0.72444444440770894</v>
      </c>
      <c r="L1547" s="1" t="str">
        <f t="shared" si="123"/>
        <v>Review</v>
      </c>
      <c r="M1547" s="1">
        <f t="shared" si="120"/>
        <v>1</v>
      </c>
      <c r="N1547" s="1" t="str">
        <f t="shared" si="121"/>
        <v/>
      </c>
      <c r="O1547" s="10" t="str">
        <f t="shared" si="124"/>
        <v/>
      </c>
    </row>
    <row r="1548" spans="1:15">
      <c r="A1548" s="1" t="s">
        <v>1653</v>
      </c>
      <c r="B1548" s="23">
        <v>45081.940972222219</v>
      </c>
      <c r="C1548" s="1" t="s">
        <v>11</v>
      </c>
      <c r="D1548" s="1" t="s">
        <v>26</v>
      </c>
      <c r="E1548" s="1" t="s">
        <v>18</v>
      </c>
      <c r="F1548" s="1" t="s">
        <v>130</v>
      </c>
      <c r="G1548" s="1">
        <v>493</v>
      </c>
      <c r="H1548" s="23">
        <v>45083.906087962961</v>
      </c>
      <c r="I1548" s="1" t="b">
        <v>1</v>
      </c>
      <c r="K1548" s="10">
        <f t="shared" si="122"/>
        <v>47.162777777819429</v>
      </c>
      <c r="L1548" s="1" t="str">
        <f t="shared" si="123"/>
        <v>OK</v>
      </c>
      <c r="M1548" s="1">
        <f t="shared" si="120"/>
        <v>1</v>
      </c>
      <c r="N1548" s="1">
        <f t="shared" si="121"/>
        <v>493</v>
      </c>
      <c r="O1548" s="10">
        <f t="shared" si="124"/>
        <v>47.162777777819429</v>
      </c>
    </row>
    <row r="1549" spans="1:15">
      <c r="A1549" s="1" t="s">
        <v>1654</v>
      </c>
      <c r="B1549" s="23">
        <v>45082.132638888892</v>
      </c>
      <c r="C1549" s="1" t="s">
        <v>25</v>
      </c>
      <c r="D1549" s="1" t="s">
        <v>17</v>
      </c>
      <c r="E1549" s="1" t="s">
        <v>13</v>
      </c>
      <c r="F1549" s="1" t="s">
        <v>112</v>
      </c>
      <c r="G1549" s="1">
        <v>597</v>
      </c>
      <c r="H1549" s="23">
        <v>45082.478726851848</v>
      </c>
      <c r="I1549" s="1" t="b">
        <v>0</v>
      </c>
      <c r="J1549" s="1">
        <v>4</v>
      </c>
      <c r="K1549" s="10">
        <f t="shared" si="122"/>
        <v>8.3061111109564081</v>
      </c>
      <c r="L1549" s="1" t="str">
        <f t="shared" si="123"/>
        <v>Review</v>
      </c>
      <c r="M1549" s="1">
        <f t="shared" si="120"/>
        <v>1</v>
      </c>
      <c r="N1549" s="1" t="str">
        <f t="shared" si="121"/>
        <v/>
      </c>
      <c r="O1549" s="10" t="str">
        <f t="shared" si="124"/>
        <v/>
      </c>
    </row>
    <row r="1550" spans="1:15">
      <c r="A1550" s="1" t="s">
        <v>1655</v>
      </c>
      <c r="B1550" s="23">
        <v>45082.194444444445</v>
      </c>
      <c r="C1550" s="1" t="s">
        <v>16</v>
      </c>
      <c r="D1550" s="1" t="s">
        <v>21</v>
      </c>
      <c r="E1550" s="1" t="s">
        <v>18</v>
      </c>
      <c r="F1550" s="1" t="s">
        <v>132</v>
      </c>
      <c r="G1550" s="1">
        <v>177</v>
      </c>
      <c r="H1550" s="23">
        <v>45087.275347222225</v>
      </c>
      <c r="I1550" s="1" t="b">
        <v>1</v>
      </c>
      <c r="K1550" s="10">
        <f t="shared" si="122"/>
        <v>121.94166666670935</v>
      </c>
      <c r="L1550" s="1" t="str">
        <f t="shared" si="123"/>
        <v>OK</v>
      </c>
      <c r="M1550" s="1">
        <f t="shared" si="120"/>
        <v>1</v>
      </c>
      <c r="N1550" s="1">
        <f t="shared" si="121"/>
        <v>177</v>
      </c>
      <c r="O1550" s="10">
        <f t="shared" si="124"/>
        <v>121.94166666670935</v>
      </c>
    </row>
    <row r="1551" spans="1:15">
      <c r="A1551" s="1" t="s">
        <v>1656</v>
      </c>
      <c r="B1551" s="23">
        <v>45082.708333333336</v>
      </c>
      <c r="C1551" s="1" t="s">
        <v>25</v>
      </c>
      <c r="D1551" s="1" t="s">
        <v>59</v>
      </c>
      <c r="E1551" s="1" t="s">
        <v>33</v>
      </c>
      <c r="F1551" s="1" t="s">
        <v>392</v>
      </c>
      <c r="G1551" s="1">
        <v>115</v>
      </c>
      <c r="H1551" s="23">
        <v>45083.169606481482</v>
      </c>
      <c r="I1551" s="1" t="b">
        <v>0</v>
      </c>
      <c r="K1551" s="10">
        <f t="shared" si="122"/>
        <v>11.070555555517785</v>
      </c>
      <c r="L1551" s="1" t="str">
        <f t="shared" si="123"/>
        <v>OK</v>
      </c>
      <c r="M1551" s="1">
        <f t="shared" si="120"/>
        <v>1</v>
      </c>
      <c r="N1551" s="1">
        <f t="shared" si="121"/>
        <v>115</v>
      </c>
      <c r="O1551" s="10">
        <f t="shared" si="124"/>
        <v>11.070555555517785</v>
      </c>
    </row>
    <row r="1552" spans="1:15">
      <c r="A1552" s="1" t="s">
        <v>1657</v>
      </c>
      <c r="B1552" s="23">
        <v>45082.920138888891</v>
      </c>
      <c r="C1552" s="1" t="s">
        <v>16</v>
      </c>
      <c r="D1552" s="1" t="s">
        <v>21</v>
      </c>
      <c r="E1552" s="1" t="s">
        <v>18</v>
      </c>
      <c r="F1552" s="1" t="s">
        <v>72</v>
      </c>
      <c r="G1552" s="1">
        <v>80</v>
      </c>
      <c r="H1552" s="23">
        <v>45086.862326388888</v>
      </c>
      <c r="I1552" s="1" t="b">
        <v>0</v>
      </c>
      <c r="K1552" s="10">
        <f t="shared" si="122"/>
        <v>94.612499999930151</v>
      </c>
      <c r="L1552" s="1" t="str">
        <f t="shared" si="123"/>
        <v>OK</v>
      </c>
      <c r="M1552" s="1">
        <f t="shared" si="120"/>
        <v>1</v>
      </c>
      <c r="N1552" s="1">
        <f t="shared" si="121"/>
        <v>80</v>
      </c>
      <c r="O1552" s="10">
        <f t="shared" si="124"/>
        <v>94.612499999930151</v>
      </c>
    </row>
    <row r="1553" spans="1:15">
      <c r="A1553" s="1" t="s">
        <v>1658</v>
      </c>
      <c r="B1553" s="23">
        <v>45083.03125</v>
      </c>
      <c r="C1553" s="1" t="s">
        <v>16</v>
      </c>
      <c r="D1553" s="1" t="s">
        <v>17</v>
      </c>
      <c r="E1553" s="1" t="s">
        <v>22</v>
      </c>
      <c r="F1553" s="1" t="s">
        <v>259</v>
      </c>
      <c r="G1553" s="1">
        <v>54</v>
      </c>
      <c r="H1553" s="23">
        <v>45083.588379629633</v>
      </c>
      <c r="I1553" s="1" t="b">
        <v>0</v>
      </c>
      <c r="K1553" s="10">
        <f t="shared" si="122"/>
        <v>13.371111111191567</v>
      </c>
      <c r="L1553" s="1" t="str">
        <f t="shared" si="123"/>
        <v>OK</v>
      </c>
      <c r="M1553" s="1">
        <f t="shared" si="120"/>
        <v>1</v>
      </c>
      <c r="N1553" s="1">
        <f t="shared" si="121"/>
        <v>54</v>
      </c>
      <c r="O1553" s="10">
        <f t="shared" si="124"/>
        <v>13.371111111191567</v>
      </c>
    </row>
    <row r="1554" spans="1:15">
      <c r="A1554" s="1" t="s">
        <v>1659</v>
      </c>
      <c r="B1554" s="23">
        <v>45083.118750000001</v>
      </c>
      <c r="C1554" s="1" t="s">
        <v>11</v>
      </c>
      <c r="D1554" s="1" t="s">
        <v>17</v>
      </c>
      <c r="E1554" s="1" t="s">
        <v>13</v>
      </c>
      <c r="F1554" s="1" t="s">
        <v>178</v>
      </c>
      <c r="G1554" s="1">
        <v>47</v>
      </c>
      <c r="H1554" s="23">
        <v>45085.255752314813</v>
      </c>
      <c r="I1554" s="1" t="b">
        <v>0</v>
      </c>
      <c r="J1554" s="1">
        <v>2</v>
      </c>
      <c r="K1554" s="10">
        <f t="shared" si="122"/>
        <v>51.288055555487517</v>
      </c>
      <c r="L1554" s="1" t="str">
        <f t="shared" si="123"/>
        <v>OK</v>
      </c>
      <c r="M1554" s="1">
        <f t="shared" si="120"/>
        <v>1</v>
      </c>
      <c r="N1554" s="1">
        <f t="shared" si="121"/>
        <v>47</v>
      </c>
      <c r="O1554" s="10">
        <f t="shared" si="124"/>
        <v>51.288055555487517</v>
      </c>
    </row>
    <row r="1555" spans="1:15">
      <c r="A1555" s="1" t="s">
        <v>1660</v>
      </c>
      <c r="B1555" s="23">
        <v>45083.228472222225</v>
      </c>
      <c r="C1555" s="1" t="s">
        <v>25</v>
      </c>
      <c r="D1555" s="1" t="s">
        <v>17</v>
      </c>
      <c r="E1555" s="1" t="s">
        <v>33</v>
      </c>
      <c r="F1555" s="1" t="s">
        <v>76</v>
      </c>
      <c r="G1555" s="1">
        <v>314</v>
      </c>
      <c r="H1555" s="23">
        <v>45095.578240740739</v>
      </c>
      <c r="I1555" s="1" t="b">
        <v>0</v>
      </c>
      <c r="K1555" s="10">
        <f t="shared" si="122"/>
        <v>296.3944444443332</v>
      </c>
      <c r="L1555" s="1" t="str">
        <f t="shared" si="123"/>
        <v>OK</v>
      </c>
      <c r="M1555" s="1">
        <f t="shared" si="120"/>
        <v>1</v>
      </c>
      <c r="N1555" s="1">
        <f t="shared" si="121"/>
        <v>314</v>
      </c>
      <c r="O1555" s="10">
        <f t="shared" si="124"/>
        <v>296.3944444443332</v>
      </c>
    </row>
    <row r="1556" spans="1:15">
      <c r="A1556" s="1" t="s">
        <v>1661</v>
      </c>
      <c r="B1556" s="23">
        <v>45083.265972222223</v>
      </c>
      <c r="C1556" s="1" t="s">
        <v>11</v>
      </c>
      <c r="D1556" s="1" t="s">
        <v>17</v>
      </c>
      <c r="E1556" s="1" t="s">
        <v>33</v>
      </c>
      <c r="F1556" s="1" t="s">
        <v>206</v>
      </c>
      <c r="G1556" s="1">
        <v>1326</v>
      </c>
      <c r="H1556" s="23">
        <v>45083.904756944445</v>
      </c>
      <c r="I1556" s="1" t="b">
        <v>1</v>
      </c>
      <c r="K1556" s="10">
        <f t="shared" si="122"/>
        <v>15.330833333311602</v>
      </c>
      <c r="L1556" s="1" t="str">
        <f t="shared" si="123"/>
        <v>Review</v>
      </c>
      <c r="M1556" s="1">
        <f t="shared" si="120"/>
        <v>1</v>
      </c>
      <c r="N1556" s="1" t="str">
        <f t="shared" si="121"/>
        <v/>
      </c>
      <c r="O1556" s="10" t="str">
        <f t="shared" si="124"/>
        <v/>
      </c>
    </row>
    <row r="1557" spans="1:15">
      <c r="A1557" s="1" t="s">
        <v>1662</v>
      </c>
      <c r="B1557" s="23">
        <v>45083.332638888889</v>
      </c>
      <c r="C1557" s="1" t="s">
        <v>25</v>
      </c>
      <c r="D1557" s="1" t="s">
        <v>26</v>
      </c>
      <c r="E1557" s="1" t="s">
        <v>18</v>
      </c>
      <c r="F1557" s="1" t="s">
        <v>128</v>
      </c>
      <c r="G1557" s="1">
        <v>132</v>
      </c>
      <c r="H1557" s="23">
        <v>45084.0156712963</v>
      </c>
      <c r="I1557" s="1" t="b">
        <v>1</v>
      </c>
      <c r="J1557" s="1">
        <v>1</v>
      </c>
      <c r="K1557" s="10">
        <f t="shared" si="122"/>
        <v>16.39277777785901</v>
      </c>
      <c r="L1557" s="1" t="str">
        <f t="shared" si="123"/>
        <v>OK</v>
      </c>
      <c r="M1557" s="1">
        <f t="shared" si="120"/>
        <v>1</v>
      </c>
      <c r="N1557" s="1">
        <f t="shared" si="121"/>
        <v>132</v>
      </c>
      <c r="O1557" s="10">
        <f t="shared" si="124"/>
        <v>16.39277777785901</v>
      </c>
    </row>
    <row r="1558" spans="1:15">
      <c r="A1558" s="1" t="s">
        <v>1663</v>
      </c>
      <c r="B1558" s="23">
        <v>45083.362500000003</v>
      </c>
      <c r="C1558" s="1" t="s">
        <v>16</v>
      </c>
      <c r="D1558" s="1" t="s">
        <v>21</v>
      </c>
      <c r="E1558" s="1" t="s">
        <v>18</v>
      </c>
      <c r="F1558" s="1" t="s">
        <v>234</v>
      </c>
      <c r="G1558" s="1">
        <v>76</v>
      </c>
      <c r="H1558" s="23">
        <v>45085.766261574077</v>
      </c>
      <c r="I1558" s="1" t="b">
        <v>0</v>
      </c>
      <c r="K1558" s="10">
        <f t="shared" si="122"/>
        <v>57.690277777786832</v>
      </c>
      <c r="L1558" s="1" t="str">
        <f t="shared" si="123"/>
        <v>OK</v>
      </c>
      <c r="M1558" s="1">
        <f t="shared" si="120"/>
        <v>1</v>
      </c>
      <c r="N1558" s="1">
        <f t="shared" si="121"/>
        <v>76</v>
      </c>
      <c r="O1558" s="10">
        <f t="shared" si="124"/>
        <v>57.690277777786832</v>
      </c>
    </row>
    <row r="1559" spans="1:15">
      <c r="A1559" s="1" t="s">
        <v>1664</v>
      </c>
      <c r="B1559" s="23">
        <v>45083.513888888891</v>
      </c>
      <c r="C1559" s="1" t="s">
        <v>16</v>
      </c>
      <c r="D1559" s="1" t="s">
        <v>12</v>
      </c>
      <c r="E1559" s="1" t="s">
        <v>18</v>
      </c>
      <c r="F1559" s="1" t="s">
        <v>52</v>
      </c>
      <c r="G1559" s="1">
        <v>90</v>
      </c>
      <c r="H1559" s="23">
        <v>45083.919074074074</v>
      </c>
      <c r="I1559" s="1" t="b">
        <v>1</v>
      </c>
      <c r="J1559" s="1">
        <v>5</v>
      </c>
      <c r="K1559" s="10">
        <f t="shared" si="122"/>
        <v>9.7244444444077089</v>
      </c>
      <c r="L1559" s="1" t="str">
        <f t="shared" si="123"/>
        <v>OK</v>
      </c>
      <c r="M1559" s="1">
        <f t="shared" si="120"/>
        <v>1</v>
      </c>
      <c r="N1559" s="1">
        <f t="shared" si="121"/>
        <v>90</v>
      </c>
      <c r="O1559" s="10">
        <f t="shared" si="124"/>
        <v>9.7244444444077089</v>
      </c>
    </row>
    <row r="1560" spans="1:15">
      <c r="A1560" s="1" t="s">
        <v>1665</v>
      </c>
      <c r="B1560" s="23">
        <v>45084.070138888892</v>
      </c>
      <c r="C1560" s="1" t="s">
        <v>11</v>
      </c>
      <c r="D1560" s="1" t="s">
        <v>59</v>
      </c>
      <c r="E1560" s="1" t="s">
        <v>33</v>
      </c>
      <c r="F1560" s="1" t="s">
        <v>215</v>
      </c>
      <c r="G1560" s="1">
        <v>91</v>
      </c>
      <c r="H1560" s="23">
        <v>45085.270335648151</v>
      </c>
      <c r="I1560" s="1" t="b">
        <v>0</v>
      </c>
      <c r="K1560" s="10">
        <f t="shared" si="122"/>
        <v>28.804722222208511</v>
      </c>
      <c r="L1560" s="1" t="str">
        <f t="shared" si="123"/>
        <v>OK</v>
      </c>
      <c r="M1560" s="1">
        <f t="shared" si="120"/>
        <v>1</v>
      </c>
      <c r="N1560" s="1">
        <f t="shared" si="121"/>
        <v>91</v>
      </c>
      <c r="O1560" s="10">
        <f t="shared" si="124"/>
        <v>28.804722222208511</v>
      </c>
    </row>
    <row r="1561" spans="1:15">
      <c r="A1561" s="1" t="s">
        <v>1666</v>
      </c>
      <c r="B1561" s="23">
        <v>45084.150694444441</v>
      </c>
      <c r="C1561" s="1" t="s">
        <v>25</v>
      </c>
      <c r="D1561" s="1" t="s">
        <v>21</v>
      </c>
      <c r="E1561" s="1" t="s">
        <v>13</v>
      </c>
      <c r="F1561" s="1" t="s">
        <v>132</v>
      </c>
      <c r="G1561" s="1">
        <v>38</v>
      </c>
      <c r="H1561" s="23">
        <v>45084.404062499998</v>
      </c>
      <c r="I1561" s="1" t="b">
        <v>1</v>
      </c>
      <c r="K1561" s="10">
        <f t="shared" si="122"/>
        <v>6.0808333333698101</v>
      </c>
      <c r="L1561" s="1" t="str">
        <f t="shared" si="123"/>
        <v>OK</v>
      </c>
      <c r="M1561" s="1">
        <f t="shared" si="120"/>
        <v>1</v>
      </c>
      <c r="N1561" s="1">
        <f t="shared" si="121"/>
        <v>38</v>
      </c>
      <c r="O1561" s="10">
        <f t="shared" si="124"/>
        <v>6.0808333333698101</v>
      </c>
    </row>
    <row r="1562" spans="1:15">
      <c r="A1562" s="1" t="s">
        <v>1667</v>
      </c>
      <c r="B1562" s="23">
        <v>45084.229861111111</v>
      </c>
      <c r="C1562" s="1" t="s">
        <v>11</v>
      </c>
      <c r="D1562" s="1" t="s">
        <v>17</v>
      </c>
      <c r="E1562" s="1" t="s">
        <v>33</v>
      </c>
      <c r="F1562" s="1" t="s">
        <v>27</v>
      </c>
      <c r="H1562" s="23">
        <v>45092.028506944444</v>
      </c>
      <c r="I1562" s="1" t="b">
        <v>1</v>
      </c>
      <c r="K1562" s="10">
        <f t="shared" si="122"/>
        <v>187.16749999998137</v>
      </c>
      <c r="L1562" s="1" t="str">
        <f t="shared" si="123"/>
        <v>Cannot check</v>
      </c>
      <c r="M1562" s="1">
        <f t="shared" si="120"/>
        <v>1</v>
      </c>
      <c r="N1562" s="1" t="str">
        <f t="shared" si="121"/>
        <v/>
      </c>
      <c r="O1562" s="10">
        <f t="shared" si="124"/>
        <v>187.16749999998137</v>
      </c>
    </row>
    <row r="1563" spans="1:15">
      <c r="A1563" s="1" t="s">
        <v>1668</v>
      </c>
      <c r="B1563" s="23">
        <v>45084.245138888888</v>
      </c>
      <c r="C1563" s="1" t="s">
        <v>16</v>
      </c>
      <c r="D1563" s="1" t="s">
        <v>12</v>
      </c>
      <c r="E1563" s="1" t="s">
        <v>18</v>
      </c>
      <c r="F1563" s="1" t="s">
        <v>104</v>
      </c>
      <c r="G1563" s="1">
        <v>92</v>
      </c>
      <c r="H1563" s="23">
        <v>45084.518634259257</v>
      </c>
      <c r="I1563" s="1" t="b">
        <v>0</v>
      </c>
      <c r="K1563" s="10">
        <f t="shared" si="122"/>
        <v>6.5638888888643123</v>
      </c>
      <c r="L1563" s="1" t="str">
        <f t="shared" si="123"/>
        <v>OK</v>
      </c>
      <c r="M1563" s="1">
        <f t="shared" si="120"/>
        <v>1</v>
      </c>
      <c r="N1563" s="1">
        <f t="shared" si="121"/>
        <v>92</v>
      </c>
      <c r="O1563" s="10">
        <f t="shared" si="124"/>
        <v>6.5638888888643123</v>
      </c>
    </row>
    <row r="1564" spans="1:15">
      <c r="A1564" s="1" t="s">
        <v>1669</v>
      </c>
      <c r="B1564" s="23">
        <v>45084.336805555555</v>
      </c>
      <c r="C1564" s="1" t="s">
        <v>43</v>
      </c>
      <c r="D1564" s="1" t="s">
        <v>17</v>
      </c>
      <c r="E1564" s="1" t="s">
        <v>18</v>
      </c>
      <c r="F1564" s="1" t="s">
        <v>206</v>
      </c>
      <c r="G1564" s="1">
        <v>219</v>
      </c>
      <c r="H1564" s="23">
        <v>45088.879664351851</v>
      </c>
      <c r="I1564" s="1" t="b">
        <v>0</v>
      </c>
      <c r="K1564" s="10">
        <f t="shared" si="122"/>
        <v>109.02861111110542</v>
      </c>
      <c r="L1564" s="1" t="str">
        <f t="shared" si="123"/>
        <v>OK</v>
      </c>
      <c r="M1564" s="1">
        <f t="shared" si="120"/>
        <v>1</v>
      </c>
      <c r="N1564" s="1">
        <f t="shared" si="121"/>
        <v>219</v>
      </c>
      <c r="O1564" s="10">
        <f t="shared" si="124"/>
        <v>109.02861111110542</v>
      </c>
    </row>
    <row r="1565" spans="1:15">
      <c r="A1565" s="1" t="s">
        <v>1670</v>
      </c>
      <c r="B1565" s="23">
        <v>45084.560416666667</v>
      </c>
      <c r="C1565" s="1" t="s">
        <v>25</v>
      </c>
      <c r="D1565" s="1" t="s">
        <v>21</v>
      </c>
      <c r="E1565" s="1" t="s">
        <v>33</v>
      </c>
      <c r="F1565" s="1" t="s">
        <v>102</v>
      </c>
      <c r="G1565" s="1">
        <v>127</v>
      </c>
      <c r="H1565" s="23">
        <v>45085.066354166665</v>
      </c>
      <c r="I1565" s="1" t="b">
        <v>0</v>
      </c>
      <c r="K1565" s="10">
        <f t="shared" si="122"/>
        <v>12.14249999995809</v>
      </c>
      <c r="L1565" s="1" t="str">
        <f t="shared" si="123"/>
        <v>OK</v>
      </c>
      <c r="M1565" s="1">
        <f t="shared" si="120"/>
        <v>1</v>
      </c>
      <c r="N1565" s="1">
        <f t="shared" si="121"/>
        <v>127</v>
      </c>
      <c r="O1565" s="10">
        <f t="shared" si="124"/>
        <v>12.14249999995809</v>
      </c>
    </row>
    <row r="1566" spans="1:15">
      <c r="A1566" s="1" t="s">
        <v>1671</v>
      </c>
      <c r="B1566" s="23">
        <v>45084.581944444442</v>
      </c>
      <c r="C1566" s="1" t="s">
        <v>16</v>
      </c>
      <c r="D1566" s="1" t="s">
        <v>59</v>
      </c>
      <c r="E1566" s="1" t="s">
        <v>22</v>
      </c>
      <c r="F1566" s="1" t="s">
        <v>118</v>
      </c>
      <c r="G1566" s="1">
        <v>3</v>
      </c>
      <c r="I1566" s="1" t="b">
        <v>0</v>
      </c>
      <c r="K1566" s="10" t="str">
        <f t="shared" si="122"/>
        <v/>
      </c>
      <c r="L1566" s="1" t="str">
        <f t="shared" si="123"/>
        <v>Cannot check</v>
      </c>
      <c r="M1566" s="1">
        <f t="shared" si="120"/>
        <v>1</v>
      </c>
      <c r="N1566" s="1">
        <f t="shared" si="121"/>
        <v>3</v>
      </c>
      <c r="O1566" s="10" t="str">
        <f t="shared" si="124"/>
        <v/>
      </c>
    </row>
    <row r="1567" spans="1:15">
      <c r="A1567" s="1" t="s">
        <v>1672</v>
      </c>
      <c r="B1567" s="23">
        <v>45084.649305555555</v>
      </c>
      <c r="C1567" s="1" t="s">
        <v>25</v>
      </c>
      <c r="D1567" s="1" t="s">
        <v>17</v>
      </c>
      <c r="E1567" s="1" t="s">
        <v>18</v>
      </c>
      <c r="F1567" s="1" t="s">
        <v>27</v>
      </c>
      <c r="G1567" s="1">
        <v>59</v>
      </c>
      <c r="H1567" s="23">
        <v>45091.314988425926</v>
      </c>
      <c r="I1567" s="1" t="b">
        <v>0</v>
      </c>
      <c r="J1567" s="1">
        <v>5</v>
      </c>
      <c r="K1567" s="10">
        <f t="shared" si="122"/>
        <v>159.97638888889924</v>
      </c>
      <c r="L1567" s="1" t="str">
        <f t="shared" si="123"/>
        <v>OK</v>
      </c>
      <c r="M1567" s="1">
        <f t="shared" si="120"/>
        <v>1</v>
      </c>
      <c r="N1567" s="1">
        <f t="shared" si="121"/>
        <v>59</v>
      </c>
      <c r="O1567" s="10">
        <f t="shared" si="124"/>
        <v>159.97638888889924</v>
      </c>
    </row>
    <row r="1568" spans="1:15">
      <c r="A1568" s="1" t="s">
        <v>1673</v>
      </c>
      <c r="B1568" s="23">
        <v>45084.785416666666</v>
      </c>
      <c r="C1568" s="1" t="s">
        <v>16</v>
      </c>
      <c r="D1568" s="1" t="s">
        <v>26</v>
      </c>
      <c r="E1568" s="1" t="s">
        <v>18</v>
      </c>
      <c r="F1568" s="1" t="s">
        <v>31</v>
      </c>
      <c r="G1568" s="1">
        <v>198</v>
      </c>
      <c r="H1568" s="23">
        <v>45084.895162037035</v>
      </c>
      <c r="I1568" s="1" t="b">
        <v>0</v>
      </c>
      <c r="K1568" s="10">
        <f t="shared" si="122"/>
        <v>2.6338888888712972</v>
      </c>
      <c r="L1568" s="1" t="str">
        <f t="shared" si="123"/>
        <v>Review</v>
      </c>
      <c r="M1568" s="1">
        <f t="shared" si="120"/>
        <v>1</v>
      </c>
      <c r="N1568" s="1" t="str">
        <f t="shared" si="121"/>
        <v/>
      </c>
      <c r="O1568" s="10" t="str">
        <f t="shared" si="124"/>
        <v/>
      </c>
    </row>
    <row r="1569" spans="1:15">
      <c r="A1569" s="1" t="s">
        <v>1674</v>
      </c>
      <c r="B1569" s="23">
        <v>45084.814583333333</v>
      </c>
      <c r="C1569" s="1" t="s">
        <v>11</v>
      </c>
      <c r="D1569" s="1" t="s">
        <v>12</v>
      </c>
      <c r="E1569" s="1" t="s">
        <v>18</v>
      </c>
      <c r="F1569" s="1" t="s">
        <v>80</v>
      </c>
      <c r="G1569" s="1">
        <v>59</v>
      </c>
      <c r="H1569" s="23">
        <v>45085.158993055556</v>
      </c>
      <c r="I1569" s="1" t="b">
        <v>0</v>
      </c>
      <c r="K1569" s="10">
        <f t="shared" si="122"/>
        <v>8.2658333333674818</v>
      </c>
      <c r="L1569" s="1" t="str">
        <f t="shared" si="123"/>
        <v>OK</v>
      </c>
      <c r="M1569" s="1">
        <f t="shared" si="120"/>
        <v>1</v>
      </c>
      <c r="N1569" s="1">
        <f t="shared" si="121"/>
        <v>59</v>
      </c>
      <c r="O1569" s="10">
        <f t="shared" si="124"/>
        <v>8.2658333333674818</v>
      </c>
    </row>
    <row r="1570" spans="1:15">
      <c r="A1570" s="1" t="s">
        <v>1675</v>
      </c>
      <c r="B1570" s="23">
        <v>45084.81527777778</v>
      </c>
      <c r="C1570" s="1" t="s">
        <v>16</v>
      </c>
      <c r="D1570" s="1" t="s">
        <v>59</v>
      </c>
      <c r="E1570" s="1" t="s">
        <v>13</v>
      </c>
      <c r="F1570" s="1" t="s">
        <v>64</v>
      </c>
      <c r="G1570" s="1">
        <v>23</v>
      </c>
      <c r="H1570" s="23">
        <v>45084.931805555556</v>
      </c>
      <c r="I1570" s="1" t="b">
        <v>0</v>
      </c>
      <c r="K1570" s="10">
        <f t="shared" si="122"/>
        <v>2.7966666666325182</v>
      </c>
      <c r="L1570" s="1" t="str">
        <f t="shared" si="123"/>
        <v>OK</v>
      </c>
      <c r="M1570" s="1">
        <f t="shared" si="120"/>
        <v>1</v>
      </c>
      <c r="N1570" s="1">
        <f t="shared" si="121"/>
        <v>23</v>
      </c>
      <c r="O1570" s="10">
        <f t="shared" si="124"/>
        <v>2.7966666666325182</v>
      </c>
    </row>
    <row r="1571" spans="1:15">
      <c r="A1571" s="1" t="s">
        <v>1676</v>
      </c>
      <c r="B1571" s="23">
        <v>45084.904166666667</v>
      </c>
      <c r="C1571" s="1" t="s">
        <v>11</v>
      </c>
      <c r="D1571" s="1" t="s">
        <v>21</v>
      </c>
      <c r="E1571" s="1" t="s">
        <v>18</v>
      </c>
      <c r="F1571" s="1" t="s">
        <v>94</v>
      </c>
      <c r="G1571" s="1">
        <v>24</v>
      </c>
      <c r="H1571" s="23">
        <v>45085.522499999999</v>
      </c>
      <c r="I1571" s="1" t="b">
        <v>0</v>
      </c>
      <c r="K1571" s="10">
        <f t="shared" si="122"/>
        <v>14.839999999967404</v>
      </c>
      <c r="L1571" s="1" t="str">
        <f t="shared" si="123"/>
        <v>OK</v>
      </c>
      <c r="M1571" s="1">
        <f t="shared" si="120"/>
        <v>1</v>
      </c>
      <c r="N1571" s="1">
        <f t="shared" si="121"/>
        <v>24</v>
      </c>
      <c r="O1571" s="10">
        <f t="shared" si="124"/>
        <v>14.839999999967404</v>
      </c>
    </row>
    <row r="1572" spans="1:15">
      <c r="A1572" s="1" t="s">
        <v>1677</v>
      </c>
      <c r="B1572" s="23">
        <v>45085.017361111109</v>
      </c>
      <c r="C1572" s="1" t="s">
        <v>25</v>
      </c>
      <c r="D1572" s="1" t="s">
        <v>26</v>
      </c>
      <c r="E1572" s="1" t="s">
        <v>33</v>
      </c>
      <c r="F1572" s="1" t="s">
        <v>39</v>
      </c>
      <c r="G1572" s="1">
        <v>55</v>
      </c>
      <c r="H1572" s="23">
        <v>45095.041990740741</v>
      </c>
      <c r="I1572" s="1" t="b">
        <v>0</v>
      </c>
      <c r="K1572" s="10">
        <f t="shared" si="122"/>
        <v>240.59111111116363</v>
      </c>
      <c r="L1572" s="1" t="str">
        <f t="shared" si="123"/>
        <v>OK</v>
      </c>
      <c r="M1572" s="1">
        <f t="shared" si="120"/>
        <v>1</v>
      </c>
      <c r="N1572" s="1">
        <f t="shared" si="121"/>
        <v>55</v>
      </c>
      <c r="O1572" s="10">
        <f t="shared" si="124"/>
        <v>240.59111111116363</v>
      </c>
    </row>
    <row r="1573" spans="1:15">
      <c r="A1573" s="1" t="s">
        <v>1678</v>
      </c>
      <c r="B1573" s="23">
        <v>45085.07916666667</v>
      </c>
      <c r="C1573" s="1" t="s">
        <v>16</v>
      </c>
      <c r="D1573" s="1" t="s">
        <v>17</v>
      </c>
      <c r="E1573" s="1" t="s">
        <v>18</v>
      </c>
      <c r="F1573" s="1" t="s">
        <v>153</v>
      </c>
      <c r="G1573" s="1">
        <v>54</v>
      </c>
      <c r="H1573" s="23">
        <v>45090.645601851851</v>
      </c>
      <c r="I1573" s="1" t="b">
        <v>0</v>
      </c>
      <c r="J1573" s="1">
        <v>4</v>
      </c>
      <c r="K1573" s="10">
        <f t="shared" si="122"/>
        <v>133.59444444434484</v>
      </c>
      <c r="L1573" s="1" t="str">
        <f t="shared" si="123"/>
        <v>OK</v>
      </c>
      <c r="M1573" s="1">
        <f t="shared" si="120"/>
        <v>1</v>
      </c>
      <c r="N1573" s="1">
        <f t="shared" si="121"/>
        <v>54</v>
      </c>
      <c r="O1573" s="10">
        <f t="shared" si="124"/>
        <v>133.59444444434484</v>
      </c>
    </row>
    <row r="1574" spans="1:15">
      <c r="A1574" s="1" t="s">
        <v>1679</v>
      </c>
      <c r="B1574" s="23">
        <v>45085.208333333336</v>
      </c>
      <c r="C1574" s="1" t="s">
        <v>25</v>
      </c>
      <c r="D1574" s="1" t="s">
        <v>21</v>
      </c>
      <c r="E1574" s="1" t="s">
        <v>22</v>
      </c>
      <c r="F1574" s="1" t="s">
        <v>116</v>
      </c>
      <c r="G1574" s="1">
        <v>4</v>
      </c>
      <c r="H1574" s="23">
        <v>45085.336215277777</v>
      </c>
      <c r="I1574" s="1" t="b">
        <v>0</v>
      </c>
      <c r="K1574" s="10">
        <f t="shared" si="122"/>
        <v>3.0691666665952653</v>
      </c>
      <c r="L1574" s="1" t="str">
        <f t="shared" si="123"/>
        <v>OK</v>
      </c>
      <c r="M1574" s="1">
        <f t="shared" si="120"/>
        <v>1</v>
      </c>
      <c r="N1574" s="1">
        <f t="shared" si="121"/>
        <v>4</v>
      </c>
      <c r="O1574" s="10">
        <f t="shared" si="124"/>
        <v>3.0691666665952653</v>
      </c>
    </row>
    <row r="1575" spans="1:15">
      <c r="A1575" s="1" t="s">
        <v>1680</v>
      </c>
      <c r="B1575" s="23">
        <v>45085.272222222222</v>
      </c>
      <c r="C1575" s="1" t="s">
        <v>16</v>
      </c>
      <c r="D1575" s="1" t="s">
        <v>26</v>
      </c>
      <c r="E1575" s="1" t="s">
        <v>33</v>
      </c>
      <c r="F1575" s="1" t="s">
        <v>70</v>
      </c>
      <c r="G1575" s="1">
        <v>69</v>
      </c>
      <c r="H1575" s="23">
        <v>45086.385000000002</v>
      </c>
      <c r="I1575" s="1" t="b">
        <v>0</v>
      </c>
      <c r="K1575" s="10">
        <f t="shared" si="122"/>
        <v>26.706666666723322</v>
      </c>
      <c r="L1575" s="1" t="str">
        <f t="shared" si="123"/>
        <v>OK</v>
      </c>
      <c r="M1575" s="1">
        <f t="shared" si="120"/>
        <v>1</v>
      </c>
      <c r="N1575" s="1">
        <f t="shared" si="121"/>
        <v>69</v>
      </c>
      <c r="O1575" s="10">
        <f t="shared" si="124"/>
        <v>26.706666666723322</v>
      </c>
    </row>
    <row r="1576" spans="1:15">
      <c r="A1576" s="1" t="s">
        <v>1681</v>
      </c>
      <c r="B1576" s="23">
        <v>45085.336111111108</v>
      </c>
      <c r="C1576" s="1" t="s">
        <v>25</v>
      </c>
      <c r="D1576" s="1" t="s">
        <v>21</v>
      </c>
      <c r="E1576" s="1" t="s">
        <v>33</v>
      </c>
      <c r="F1576" s="1" t="s">
        <v>90</v>
      </c>
      <c r="G1576" s="1">
        <v>628</v>
      </c>
      <c r="H1576" s="23">
        <v>45092.735358796293</v>
      </c>
      <c r="I1576" s="1" t="b">
        <v>0</v>
      </c>
      <c r="K1576" s="10">
        <f t="shared" si="122"/>
        <v>177.58194444444962</v>
      </c>
      <c r="L1576" s="1" t="str">
        <f t="shared" si="123"/>
        <v>OK</v>
      </c>
      <c r="M1576" s="1">
        <f t="shared" si="120"/>
        <v>1</v>
      </c>
      <c r="N1576" s="1">
        <f t="shared" si="121"/>
        <v>628</v>
      </c>
      <c r="O1576" s="10">
        <f t="shared" si="124"/>
        <v>177.58194444444962</v>
      </c>
    </row>
    <row r="1577" spans="1:15">
      <c r="A1577" s="1" t="s">
        <v>1682</v>
      </c>
      <c r="B1577" s="23">
        <v>45085.381944444445</v>
      </c>
      <c r="C1577" s="1" t="s">
        <v>25</v>
      </c>
      <c r="D1577" s="1" t="s">
        <v>59</v>
      </c>
      <c r="E1577" s="1" t="s">
        <v>18</v>
      </c>
      <c r="F1577" s="1" t="s">
        <v>186</v>
      </c>
      <c r="G1577" s="1">
        <v>124</v>
      </c>
      <c r="H1577" s="23">
        <v>45088.003067129626</v>
      </c>
      <c r="I1577" s="1" t="b">
        <v>0</v>
      </c>
      <c r="K1577" s="10">
        <f t="shared" si="122"/>
        <v>62.906944444344845</v>
      </c>
      <c r="L1577" s="1" t="str">
        <f t="shared" si="123"/>
        <v>OK</v>
      </c>
      <c r="M1577" s="1">
        <f t="shared" si="120"/>
        <v>1</v>
      </c>
      <c r="N1577" s="1">
        <f t="shared" si="121"/>
        <v>124</v>
      </c>
      <c r="O1577" s="10">
        <f t="shared" si="124"/>
        <v>62.906944444344845</v>
      </c>
    </row>
    <row r="1578" spans="1:15">
      <c r="A1578" s="1" t="s">
        <v>1683</v>
      </c>
      <c r="B1578" s="23">
        <v>45085.405555555553</v>
      </c>
      <c r="C1578" s="1" t="s">
        <v>25</v>
      </c>
      <c r="D1578" s="1" t="s">
        <v>26</v>
      </c>
      <c r="E1578" s="1" t="s">
        <v>13</v>
      </c>
      <c r="F1578" s="1" t="s">
        <v>186</v>
      </c>
      <c r="G1578" s="1">
        <v>62</v>
      </c>
      <c r="H1578" s="23">
        <v>45086.924224537041</v>
      </c>
      <c r="I1578" s="1" t="b">
        <v>0</v>
      </c>
      <c r="K1578" s="10">
        <f t="shared" si="122"/>
        <v>36.448055555694737</v>
      </c>
      <c r="L1578" s="1" t="str">
        <f t="shared" si="123"/>
        <v>OK</v>
      </c>
      <c r="M1578" s="1">
        <f t="shared" si="120"/>
        <v>1</v>
      </c>
      <c r="N1578" s="1">
        <f t="shared" si="121"/>
        <v>62</v>
      </c>
      <c r="O1578" s="10">
        <f t="shared" si="124"/>
        <v>36.448055555694737</v>
      </c>
    </row>
    <row r="1579" spans="1:15">
      <c r="A1579" s="1" t="s">
        <v>1684</v>
      </c>
      <c r="B1579" s="23">
        <v>45085.479166666664</v>
      </c>
      <c r="C1579" s="1" t="s">
        <v>43</v>
      </c>
      <c r="D1579" s="1" t="s">
        <v>26</v>
      </c>
      <c r="E1579" s="1" t="s">
        <v>18</v>
      </c>
      <c r="F1579" s="1" t="s">
        <v>167</v>
      </c>
      <c r="G1579" s="1">
        <v>18</v>
      </c>
      <c r="H1579" s="23">
        <v>45086.08320601852</v>
      </c>
      <c r="I1579" s="1" t="b">
        <v>0</v>
      </c>
      <c r="K1579" s="10">
        <f t="shared" si="122"/>
        <v>14.496944444545079</v>
      </c>
      <c r="L1579" s="1" t="str">
        <f t="shared" si="123"/>
        <v>OK</v>
      </c>
      <c r="M1579" s="1">
        <f t="shared" si="120"/>
        <v>1</v>
      </c>
      <c r="N1579" s="1">
        <f t="shared" si="121"/>
        <v>18</v>
      </c>
      <c r="O1579" s="10">
        <f t="shared" si="124"/>
        <v>14.496944444545079</v>
      </c>
    </row>
    <row r="1580" spans="1:15">
      <c r="A1580" s="1" t="s">
        <v>1685</v>
      </c>
      <c r="B1580" s="23">
        <v>45085.530555555553</v>
      </c>
      <c r="C1580" s="1" t="s">
        <v>11</v>
      </c>
      <c r="D1580" s="1" t="s">
        <v>17</v>
      </c>
      <c r="E1580" s="1" t="s">
        <v>18</v>
      </c>
      <c r="F1580" s="1" t="s">
        <v>239</v>
      </c>
      <c r="G1580" s="1">
        <v>10</v>
      </c>
      <c r="H1580" s="23">
        <v>45088.016412037039</v>
      </c>
      <c r="I1580" s="1" t="b">
        <v>0</v>
      </c>
      <c r="K1580" s="10">
        <f t="shared" si="122"/>
        <v>59.660555555659812</v>
      </c>
      <c r="L1580" s="1" t="str">
        <f t="shared" si="123"/>
        <v>OK</v>
      </c>
      <c r="M1580" s="1">
        <f t="shared" si="120"/>
        <v>1</v>
      </c>
      <c r="N1580" s="1">
        <f t="shared" si="121"/>
        <v>10</v>
      </c>
      <c r="O1580" s="10">
        <f t="shared" si="124"/>
        <v>59.660555555659812</v>
      </c>
    </row>
    <row r="1581" spans="1:15">
      <c r="A1581" s="1" t="s">
        <v>1686</v>
      </c>
      <c r="B1581" s="23">
        <v>45085.588888888888</v>
      </c>
      <c r="C1581" s="1" t="s">
        <v>25</v>
      </c>
      <c r="D1581" s="1" t="s">
        <v>26</v>
      </c>
      <c r="E1581" s="1" t="s">
        <v>13</v>
      </c>
      <c r="F1581" s="1" t="s">
        <v>98</v>
      </c>
      <c r="G1581" s="1">
        <v>118</v>
      </c>
      <c r="H1581" s="23">
        <v>45086.383159722223</v>
      </c>
      <c r="I1581" s="1" t="b">
        <v>0</v>
      </c>
      <c r="K1581" s="10">
        <f t="shared" si="122"/>
        <v>19.062500000058208</v>
      </c>
      <c r="L1581" s="1" t="str">
        <f t="shared" si="123"/>
        <v>OK</v>
      </c>
      <c r="M1581" s="1">
        <f t="shared" si="120"/>
        <v>1</v>
      </c>
      <c r="N1581" s="1">
        <f t="shared" si="121"/>
        <v>118</v>
      </c>
      <c r="O1581" s="10">
        <f t="shared" si="124"/>
        <v>19.062500000058208</v>
      </c>
    </row>
    <row r="1582" spans="1:15">
      <c r="A1582" s="1" t="s">
        <v>1687</v>
      </c>
      <c r="B1582" s="23">
        <v>45085.634027777778</v>
      </c>
      <c r="C1582" s="1" t="s">
        <v>16</v>
      </c>
      <c r="D1582" s="1" t="s">
        <v>59</v>
      </c>
      <c r="E1582" s="1" t="s">
        <v>13</v>
      </c>
      <c r="F1582" s="1" t="s">
        <v>70</v>
      </c>
      <c r="G1582" s="1">
        <v>108</v>
      </c>
      <c r="H1582" s="23">
        <v>45085.688078703701</v>
      </c>
      <c r="I1582" s="1" t="b">
        <v>0</v>
      </c>
      <c r="K1582" s="10">
        <f t="shared" si="122"/>
        <v>1.2972222221433185</v>
      </c>
      <c r="L1582" s="1" t="str">
        <f t="shared" si="123"/>
        <v>Review</v>
      </c>
      <c r="M1582" s="1">
        <f t="shared" si="120"/>
        <v>1</v>
      </c>
      <c r="N1582" s="1" t="str">
        <f t="shared" si="121"/>
        <v/>
      </c>
      <c r="O1582" s="10" t="str">
        <f t="shared" si="124"/>
        <v/>
      </c>
    </row>
    <row r="1583" spans="1:15">
      <c r="A1583" s="1" t="s">
        <v>1688</v>
      </c>
      <c r="B1583" s="23">
        <v>45085.697222222225</v>
      </c>
      <c r="C1583" s="1" t="s">
        <v>43</v>
      </c>
      <c r="D1583" s="1" t="s">
        <v>21</v>
      </c>
      <c r="E1583" s="1" t="s">
        <v>13</v>
      </c>
      <c r="F1583" s="1" t="s">
        <v>102</v>
      </c>
      <c r="G1583" s="1">
        <v>23</v>
      </c>
      <c r="H1583" s="23">
        <v>45089.236493055556</v>
      </c>
      <c r="I1583" s="1" t="b">
        <v>0</v>
      </c>
      <c r="J1583" s="1">
        <v>5</v>
      </c>
      <c r="K1583" s="10">
        <f t="shared" si="122"/>
        <v>84.942499999946449</v>
      </c>
      <c r="L1583" s="1" t="str">
        <f t="shared" si="123"/>
        <v>OK</v>
      </c>
      <c r="M1583" s="1">
        <f t="shared" si="120"/>
        <v>1</v>
      </c>
      <c r="N1583" s="1">
        <f t="shared" si="121"/>
        <v>23</v>
      </c>
      <c r="O1583" s="10">
        <f t="shared" si="124"/>
        <v>84.942499999946449</v>
      </c>
    </row>
    <row r="1584" spans="1:15">
      <c r="A1584" s="1" t="s">
        <v>1689</v>
      </c>
      <c r="B1584" s="23">
        <v>45085.731249999997</v>
      </c>
      <c r="C1584" s="1" t="s">
        <v>16</v>
      </c>
      <c r="D1584" s="1" t="s">
        <v>21</v>
      </c>
      <c r="E1584" s="1" t="s">
        <v>18</v>
      </c>
      <c r="F1584" s="1" t="s">
        <v>90</v>
      </c>
      <c r="G1584" s="1">
        <v>86</v>
      </c>
      <c r="H1584" s="23">
        <v>45087.342002314814</v>
      </c>
      <c r="I1584" s="1" t="b">
        <v>0</v>
      </c>
      <c r="J1584" s="1">
        <v>5</v>
      </c>
      <c r="K1584" s="10">
        <f t="shared" si="122"/>
        <v>38.658055555599276</v>
      </c>
      <c r="L1584" s="1" t="str">
        <f t="shared" si="123"/>
        <v>OK</v>
      </c>
      <c r="M1584" s="1">
        <f t="shared" si="120"/>
        <v>1</v>
      </c>
      <c r="N1584" s="1">
        <f t="shared" si="121"/>
        <v>86</v>
      </c>
      <c r="O1584" s="10">
        <f t="shared" si="124"/>
        <v>38.658055555599276</v>
      </c>
    </row>
    <row r="1585" spans="1:15">
      <c r="A1585" s="1" t="s">
        <v>1690</v>
      </c>
      <c r="B1585" s="23">
        <v>45085.78125</v>
      </c>
      <c r="C1585" s="1" t="s">
        <v>16</v>
      </c>
      <c r="D1585" s="1" t="s">
        <v>21</v>
      </c>
      <c r="E1585" s="1" t="s">
        <v>13</v>
      </c>
      <c r="F1585" s="1" t="s">
        <v>178</v>
      </c>
      <c r="G1585" s="1">
        <v>63</v>
      </c>
      <c r="H1585" s="23">
        <v>45085.893090277779</v>
      </c>
      <c r="I1585" s="1" t="b">
        <v>0</v>
      </c>
      <c r="K1585" s="10">
        <f t="shared" si="122"/>
        <v>2.6841666667023674</v>
      </c>
      <c r="L1585" s="1" t="str">
        <f t="shared" si="123"/>
        <v>OK</v>
      </c>
      <c r="M1585" s="1">
        <f t="shared" si="120"/>
        <v>1</v>
      </c>
      <c r="N1585" s="1">
        <f t="shared" si="121"/>
        <v>63</v>
      </c>
      <c r="O1585" s="10">
        <f t="shared" si="124"/>
        <v>2.6841666667023674</v>
      </c>
    </row>
    <row r="1586" spans="1:15">
      <c r="A1586" s="1" t="s">
        <v>1691</v>
      </c>
      <c r="B1586" s="23">
        <v>45085.863194444442</v>
      </c>
      <c r="C1586" s="1" t="s">
        <v>16</v>
      </c>
      <c r="D1586" s="1" t="s">
        <v>17</v>
      </c>
      <c r="E1586" s="1" t="s">
        <v>18</v>
      </c>
      <c r="F1586" s="1" t="s">
        <v>245</v>
      </c>
      <c r="G1586" s="1">
        <v>454</v>
      </c>
      <c r="H1586" s="23">
        <v>45086.878020833334</v>
      </c>
      <c r="I1586" s="1" t="b">
        <v>1</v>
      </c>
      <c r="J1586" s="1">
        <v>4</v>
      </c>
      <c r="K1586" s="10">
        <f t="shared" si="122"/>
        <v>24.355833333393093</v>
      </c>
      <c r="L1586" s="1" t="str">
        <f t="shared" si="123"/>
        <v>OK</v>
      </c>
      <c r="M1586" s="1">
        <f t="shared" si="120"/>
        <v>1</v>
      </c>
      <c r="N1586" s="1">
        <f t="shared" si="121"/>
        <v>454</v>
      </c>
      <c r="O1586" s="10">
        <f t="shared" si="124"/>
        <v>24.355833333393093</v>
      </c>
    </row>
    <row r="1587" spans="1:15">
      <c r="A1587" s="1" t="s">
        <v>1692</v>
      </c>
      <c r="B1587" s="23">
        <v>45085.931250000001</v>
      </c>
      <c r="C1587" s="1" t="s">
        <v>16</v>
      </c>
      <c r="D1587" s="1" t="s">
        <v>59</v>
      </c>
      <c r="E1587" s="1" t="s">
        <v>13</v>
      </c>
      <c r="F1587" s="1" t="s">
        <v>46</v>
      </c>
      <c r="G1587" s="1">
        <v>22</v>
      </c>
      <c r="I1587" s="1" t="b">
        <v>0</v>
      </c>
      <c r="K1587" s="10" t="str">
        <f t="shared" si="122"/>
        <v/>
      </c>
      <c r="L1587" s="1" t="str">
        <f t="shared" si="123"/>
        <v>Cannot check</v>
      </c>
      <c r="M1587" s="1">
        <f t="shared" si="120"/>
        <v>1</v>
      </c>
      <c r="N1587" s="1">
        <f t="shared" si="121"/>
        <v>22</v>
      </c>
      <c r="O1587" s="10" t="str">
        <f t="shared" si="124"/>
        <v/>
      </c>
    </row>
    <row r="1588" spans="1:15">
      <c r="A1588" s="1" t="s">
        <v>1693</v>
      </c>
      <c r="B1588" s="23">
        <v>45086.01458333333</v>
      </c>
      <c r="C1588" s="1" t="s">
        <v>25</v>
      </c>
      <c r="D1588" s="1" t="s">
        <v>17</v>
      </c>
      <c r="E1588" s="1" t="s">
        <v>18</v>
      </c>
      <c r="F1588" s="1" t="s">
        <v>114</v>
      </c>
      <c r="H1588" s="23">
        <v>45088.939560185187</v>
      </c>
      <c r="I1588" s="1" t="b">
        <v>0</v>
      </c>
      <c r="J1588" s="1">
        <v>1</v>
      </c>
      <c r="K1588" s="10">
        <f t="shared" si="122"/>
        <v>70.199444444559049</v>
      </c>
      <c r="L1588" s="1" t="str">
        <f t="shared" si="123"/>
        <v>Cannot check</v>
      </c>
      <c r="M1588" s="1">
        <f t="shared" si="120"/>
        <v>1</v>
      </c>
      <c r="N1588" s="1" t="str">
        <f t="shared" si="121"/>
        <v/>
      </c>
      <c r="O1588" s="10">
        <f t="shared" si="124"/>
        <v>70.199444444559049</v>
      </c>
    </row>
    <row r="1589" spans="1:15">
      <c r="A1589" s="1" t="s">
        <v>1694</v>
      </c>
      <c r="B1589" s="23">
        <v>45086.027777777781</v>
      </c>
      <c r="C1589" s="1" t="s">
        <v>25</v>
      </c>
      <c r="D1589" s="1" t="s">
        <v>17</v>
      </c>
      <c r="E1589" s="1" t="s">
        <v>13</v>
      </c>
      <c r="F1589" s="1" t="s">
        <v>35</v>
      </c>
      <c r="G1589" s="1">
        <v>11</v>
      </c>
      <c r="H1589" s="23">
        <v>45086.678483796299</v>
      </c>
      <c r="I1589" s="1" t="b">
        <v>0</v>
      </c>
      <c r="K1589" s="10">
        <f t="shared" si="122"/>
        <v>15.616944444424007</v>
      </c>
      <c r="L1589" s="1" t="str">
        <f t="shared" si="123"/>
        <v>OK</v>
      </c>
      <c r="M1589" s="1">
        <f t="shared" si="120"/>
        <v>1</v>
      </c>
      <c r="N1589" s="1">
        <f t="shared" si="121"/>
        <v>11</v>
      </c>
      <c r="O1589" s="10">
        <f t="shared" si="124"/>
        <v>15.616944444424007</v>
      </c>
    </row>
    <row r="1590" spans="1:15">
      <c r="A1590" s="1" t="s">
        <v>1695</v>
      </c>
      <c r="B1590" s="23">
        <v>45086.089583333334</v>
      </c>
      <c r="C1590" s="1" t="s">
        <v>25</v>
      </c>
      <c r="D1590" s="1" t="s">
        <v>17</v>
      </c>
      <c r="E1590" s="1" t="s">
        <v>13</v>
      </c>
      <c r="F1590" s="1" t="s">
        <v>326</v>
      </c>
      <c r="G1590" s="1">
        <v>135</v>
      </c>
      <c r="H1590" s="23">
        <v>45087.69121527778</v>
      </c>
      <c r="I1590" s="1" t="b">
        <v>0</v>
      </c>
      <c r="K1590" s="10">
        <f t="shared" si="122"/>
        <v>38.439166666707024</v>
      </c>
      <c r="L1590" s="1" t="str">
        <f t="shared" si="123"/>
        <v>OK</v>
      </c>
      <c r="M1590" s="1">
        <f t="shared" si="120"/>
        <v>1</v>
      </c>
      <c r="N1590" s="1">
        <f t="shared" si="121"/>
        <v>135</v>
      </c>
      <c r="O1590" s="10">
        <f t="shared" si="124"/>
        <v>38.439166666707024</v>
      </c>
    </row>
    <row r="1591" spans="1:15">
      <c r="A1591" s="1" t="s">
        <v>1696</v>
      </c>
      <c r="B1591" s="23">
        <v>45086.090277777781</v>
      </c>
      <c r="C1591" s="1" t="s">
        <v>16</v>
      </c>
      <c r="D1591" s="1" t="s">
        <v>21</v>
      </c>
      <c r="E1591" s="1" t="s">
        <v>13</v>
      </c>
      <c r="F1591" s="1" t="s">
        <v>80</v>
      </c>
      <c r="H1591" s="23">
        <v>45086.19730324074</v>
      </c>
      <c r="I1591" s="1" t="b">
        <v>0</v>
      </c>
      <c r="K1591" s="10">
        <f t="shared" si="122"/>
        <v>2.5686111110262573</v>
      </c>
      <c r="L1591" s="1" t="str">
        <f t="shared" si="123"/>
        <v>Cannot check</v>
      </c>
      <c r="M1591" s="1">
        <f t="shared" si="120"/>
        <v>1</v>
      </c>
      <c r="N1591" s="1" t="str">
        <f t="shared" si="121"/>
        <v/>
      </c>
      <c r="O1591" s="10">
        <f t="shared" si="124"/>
        <v>2.5686111110262573</v>
      </c>
    </row>
    <row r="1592" spans="1:15">
      <c r="A1592" s="1" t="s">
        <v>1697</v>
      </c>
      <c r="B1592" s="23">
        <v>45086.129166666666</v>
      </c>
      <c r="C1592" s="1" t="s">
        <v>43</v>
      </c>
      <c r="D1592" s="1" t="s">
        <v>59</v>
      </c>
      <c r="E1592" s="1" t="s">
        <v>18</v>
      </c>
      <c r="F1592" s="1" t="s">
        <v>37</v>
      </c>
      <c r="G1592" s="1">
        <v>170</v>
      </c>
      <c r="H1592" s="23">
        <v>45087.448587962965</v>
      </c>
      <c r="I1592" s="1" t="b">
        <v>0</v>
      </c>
      <c r="K1592" s="10">
        <f t="shared" si="122"/>
        <v>31.666111111175269</v>
      </c>
      <c r="L1592" s="1" t="str">
        <f t="shared" si="123"/>
        <v>OK</v>
      </c>
      <c r="M1592" s="1">
        <f t="shared" si="120"/>
        <v>1</v>
      </c>
      <c r="N1592" s="1">
        <f t="shared" si="121"/>
        <v>170</v>
      </c>
      <c r="O1592" s="10">
        <f t="shared" si="124"/>
        <v>31.666111111175269</v>
      </c>
    </row>
    <row r="1593" spans="1:15">
      <c r="A1593" s="1" t="s">
        <v>1698</v>
      </c>
      <c r="B1593" s="23">
        <v>45086.172222222223</v>
      </c>
      <c r="C1593" s="1" t="s">
        <v>16</v>
      </c>
      <c r="D1593" s="1" t="s">
        <v>17</v>
      </c>
      <c r="E1593" s="1" t="s">
        <v>18</v>
      </c>
      <c r="F1593" s="1" t="s">
        <v>234</v>
      </c>
      <c r="G1593" s="1">
        <v>135</v>
      </c>
      <c r="H1593" s="23">
        <v>45087.048738425925</v>
      </c>
      <c r="I1593" s="1" t="b">
        <v>0</v>
      </c>
      <c r="K1593" s="10">
        <f t="shared" si="122"/>
        <v>21.036388888838701</v>
      </c>
      <c r="L1593" s="1" t="str">
        <f t="shared" si="123"/>
        <v>OK</v>
      </c>
      <c r="M1593" s="1">
        <f t="shared" si="120"/>
        <v>1</v>
      </c>
      <c r="N1593" s="1">
        <f t="shared" si="121"/>
        <v>135</v>
      </c>
      <c r="O1593" s="10">
        <f t="shared" si="124"/>
        <v>21.036388888838701</v>
      </c>
    </row>
    <row r="1594" spans="1:15">
      <c r="A1594" s="1" t="s">
        <v>1699</v>
      </c>
      <c r="B1594" s="23">
        <v>45086.512499999997</v>
      </c>
      <c r="C1594" s="1" t="s">
        <v>16</v>
      </c>
      <c r="D1594" s="1" t="s">
        <v>21</v>
      </c>
      <c r="E1594" s="1" t="s">
        <v>13</v>
      </c>
      <c r="F1594" s="1" t="s">
        <v>245</v>
      </c>
      <c r="H1594" s="23">
        <v>45088.910578703704</v>
      </c>
      <c r="I1594" s="1" t="b">
        <v>0</v>
      </c>
      <c r="K1594" s="10">
        <f t="shared" si="122"/>
        <v>57.553888888971414</v>
      </c>
      <c r="L1594" s="1" t="str">
        <f t="shared" si="123"/>
        <v>Cannot check</v>
      </c>
      <c r="M1594" s="1">
        <f t="shared" si="120"/>
        <v>1</v>
      </c>
      <c r="N1594" s="1" t="str">
        <f t="shared" si="121"/>
        <v/>
      </c>
      <c r="O1594" s="10">
        <f t="shared" si="124"/>
        <v>57.553888888971414</v>
      </c>
    </row>
    <row r="1595" spans="1:15">
      <c r="A1595" s="1" t="s">
        <v>1700</v>
      </c>
      <c r="B1595" s="23">
        <v>45086.57916666667</v>
      </c>
      <c r="C1595" s="1" t="s">
        <v>43</v>
      </c>
      <c r="D1595" s="1" t="s">
        <v>17</v>
      </c>
      <c r="E1595" s="1" t="s">
        <v>22</v>
      </c>
      <c r="F1595" s="1" t="s">
        <v>52</v>
      </c>
      <c r="G1595" s="1">
        <v>125</v>
      </c>
      <c r="I1595" s="1" t="b">
        <v>0</v>
      </c>
      <c r="K1595" s="10" t="str">
        <f t="shared" si="122"/>
        <v/>
      </c>
      <c r="L1595" s="1" t="str">
        <f t="shared" si="123"/>
        <v>Cannot check</v>
      </c>
      <c r="M1595" s="1">
        <f t="shared" si="120"/>
        <v>1</v>
      </c>
      <c r="N1595" s="1">
        <f t="shared" si="121"/>
        <v>125</v>
      </c>
      <c r="O1595" s="10" t="str">
        <f t="shared" si="124"/>
        <v/>
      </c>
    </row>
    <row r="1596" spans="1:15">
      <c r="A1596" s="1" t="s">
        <v>1701</v>
      </c>
      <c r="B1596" s="23">
        <v>45086.652777777781</v>
      </c>
      <c r="C1596" s="1" t="s">
        <v>16</v>
      </c>
      <c r="D1596" s="1" t="s">
        <v>21</v>
      </c>
      <c r="E1596" s="1" t="s">
        <v>22</v>
      </c>
      <c r="F1596" s="1" t="s">
        <v>228</v>
      </c>
      <c r="G1596" s="1">
        <v>41</v>
      </c>
      <c r="I1596" s="1" t="b">
        <v>0</v>
      </c>
      <c r="K1596" s="10" t="str">
        <f t="shared" si="122"/>
        <v/>
      </c>
      <c r="L1596" s="1" t="str">
        <f t="shared" si="123"/>
        <v>Cannot check</v>
      </c>
      <c r="M1596" s="1">
        <f t="shared" si="120"/>
        <v>1</v>
      </c>
      <c r="N1596" s="1">
        <f t="shared" si="121"/>
        <v>41</v>
      </c>
      <c r="O1596" s="10" t="str">
        <f t="shared" si="124"/>
        <v/>
      </c>
    </row>
    <row r="1597" spans="1:15">
      <c r="A1597" s="1" t="s">
        <v>1702</v>
      </c>
      <c r="B1597" s="23">
        <v>45086.875</v>
      </c>
      <c r="C1597" s="1" t="s">
        <v>16</v>
      </c>
      <c r="D1597" s="1" t="s">
        <v>59</v>
      </c>
      <c r="E1597" s="1" t="s">
        <v>13</v>
      </c>
      <c r="F1597" s="1" t="s">
        <v>186</v>
      </c>
      <c r="G1597" s="1">
        <v>41</v>
      </c>
      <c r="H1597" s="23">
        <v>45087.51425925926</v>
      </c>
      <c r="I1597" s="1" t="b">
        <v>0</v>
      </c>
      <c r="J1597" s="1">
        <v>5</v>
      </c>
      <c r="K1597" s="10">
        <f t="shared" si="122"/>
        <v>15.342222222243436</v>
      </c>
      <c r="L1597" s="1" t="str">
        <f t="shared" si="123"/>
        <v>OK</v>
      </c>
      <c r="M1597" s="1">
        <f t="shared" si="120"/>
        <v>1</v>
      </c>
      <c r="N1597" s="1">
        <f t="shared" si="121"/>
        <v>41</v>
      </c>
      <c r="O1597" s="10">
        <f t="shared" si="124"/>
        <v>15.342222222243436</v>
      </c>
    </row>
    <row r="1598" spans="1:15">
      <c r="A1598" s="1" t="s">
        <v>1703</v>
      </c>
      <c r="B1598" s="23">
        <v>45086.927083333336</v>
      </c>
      <c r="C1598" s="1" t="s">
        <v>43</v>
      </c>
      <c r="D1598" s="1" t="s">
        <v>21</v>
      </c>
      <c r="E1598" s="1" t="s">
        <v>13</v>
      </c>
      <c r="F1598" s="1" t="s">
        <v>104</v>
      </c>
      <c r="G1598" s="1">
        <v>472</v>
      </c>
      <c r="I1598" s="1" t="b">
        <v>0</v>
      </c>
      <c r="K1598" s="10" t="str">
        <f t="shared" si="122"/>
        <v/>
      </c>
      <c r="L1598" s="1" t="str">
        <f t="shared" si="123"/>
        <v>Cannot check</v>
      </c>
      <c r="M1598" s="1">
        <f t="shared" si="120"/>
        <v>1</v>
      </c>
      <c r="N1598" s="1">
        <f t="shared" si="121"/>
        <v>472</v>
      </c>
      <c r="O1598" s="10" t="str">
        <f t="shared" si="124"/>
        <v/>
      </c>
    </row>
    <row r="1599" spans="1:15">
      <c r="A1599" s="1" t="s">
        <v>1704</v>
      </c>
      <c r="B1599" s="23">
        <v>45086.961805555555</v>
      </c>
      <c r="C1599" s="1" t="s">
        <v>25</v>
      </c>
      <c r="D1599" s="1" t="s">
        <v>59</v>
      </c>
      <c r="E1599" s="1" t="s">
        <v>18</v>
      </c>
      <c r="F1599" s="1" t="s">
        <v>392</v>
      </c>
      <c r="G1599" s="1">
        <v>139</v>
      </c>
      <c r="H1599" s="23">
        <v>45092.642754629633</v>
      </c>
      <c r="I1599" s="1" t="b">
        <v>0</v>
      </c>
      <c r="J1599" s="1">
        <v>5</v>
      </c>
      <c r="K1599" s="10">
        <f t="shared" si="122"/>
        <v>136.34277777787065</v>
      </c>
      <c r="L1599" s="1" t="str">
        <f t="shared" si="123"/>
        <v>OK</v>
      </c>
      <c r="M1599" s="1">
        <f t="shared" si="120"/>
        <v>1</v>
      </c>
      <c r="N1599" s="1">
        <f t="shared" si="121"/>
        <v>139</v>
      </c>
      <c r="O1599" s="10">
        <f t="shared" si="124"/>
        <v>136.34277777787065</v>
      </c>
    </row>
    <row r="1600" spans="1:15">
      <c r="A1600" s="1" t="s">
        <v>1705</v>
      </c>
      <c r="B1600" s="23">
        <v>45087.086805555555</v>
      </c>
      <c r="C1600" s="1" t="s">
        <v>25</v>
      </c>
      <c r="D1600" s="1" t="s">
        <v>59</v>
      </c>
      <c r="E1600" s="1" t="s">
        <v>18</v>
      </c>
      <c r="F1600" s="1" t="s">
        <v>317</v>
      </c>
      <c r="G1600" s="1">
        <v>16</v>
      </c>
      <c r="H1600" s="23">
        <v>45089.663159722222</v>
      </c>
      <c r="I1600" s="1" t="b">
        <v>0</v>
      </c>
      <c r="K1600" s="10">
        <f t="shared" si="122"/>
        <v>61.832500000018626</v>
      </c>
      <c r="L1600" s="1" t="str">
        <f t="shared" si="123"/>
        <v>OK</v>
      </c>
      <c r="M1600" s="1">
        <f t="shared" si="120"/>
        <v>1</v>
      </c>
      <c r="N1600" s="1">
        <f t="shared" si="121"/>
        <v>16</v>
      </c>
      <c r="O1600" s="10">
        <f t="shared" si="124"/>
        <v>61.832500000018626</v>
      </c>
    </row>
    <row r="1601" spans="1:15">
      <c r="A1601" s="1" t="s">
        <v>1706</v>
      </c>
      <c r="B1601" s="23">
        <v>45087.164583333331</v>
      </c>
      <c r="C1601" s="1" t="s">
        <v>43</v>
      </c>
      <c r="D1601" s="1" t="s">
        <v>17</v>
      </c>
      <c r="E1601" s="1" t="s">
        <v>33</v>
      </c>
      <c r="F1601" s="1" t="s">
        <v>145</v>
      </c>
      <c r="G1601" s="1">
        <v>220</v>
      </c>
      <c r="H1601" s="23">
        <v>45097.943414351852</v>
      </c>
      <c r="I1601" s="1" t="b">
        <v>0</v>
      </c>
      <c r="J1601" s="1">
        <v>5</v>
      </c>
      <c r="K1601" s="10">
        <f t="shared" si="122"/>
        <v>258.69194444449386</v>
      </c>
      <c r="L1601" s="1" t="str">
        <f t="shared" si="123"/>
        <v>OK</v>
      </c>
      <c r="M1601" s="1">
        <f t="shared" si="120"/>
        <v>1</v>
      </c>
      <c r="N1601" s="1">
        <f t="shared" si="121"/>
        <v>220</v>
      </c>
      <c r="O1601" s="10">
        <f t="shared" si="124"/>
        <v>258.69194444449386</v>
      </c>
    </row>
    <row r="1602" spans="1:15">
      <c r="A1602" s="1" t="s">
        <v>1707</v>
      </c>
      <c r="B1602" s="23">
        <v>45087.166666666664</v>
      </c>
      <c r="C1602" s="1" t="s">
        <v>43</v>
      </c>
      <c r="D1602" s="1" t="s">
        <v>17</v>
      </c>
      <c r="E1602" s="1" t="s">
        <v>18</v>
      </c>
      <c r="F1602" s="1" t="s">
        <v>92</v>
      </c>
      <c r="G1602" s="1">
        <v>91</v>
      </c>
      <c r="H1602" s="23">
        <v>45089.133715277778</v>
      </c>
      <c r="I1602" s="1" t="b">
        <v>0</v>
      </c>
      <c r="K1602" s="10">
        <f t="shared" si="122"/>
        <v>47.20916666672565</v>
      </c>
      <c r="L1602" s="1" t="str">
        <f t="shared" si="123"/>
        <v>OK</v>
      </c>
      <c r="M1602" s="1">
        <f t="shared" ref="M1602:M1665" si="125">COUNTIF($A$2:$A$4001,A1602)</f>
        <v>1</v>
      </c>
      <c r="N1602" s="1">
        <f t="shared" ref="N1602:N1665" si="126">IF(OR(L1602="Review",G1602=""),"",G1602)</f>
        <v>91</v>
      </c>
      <c r="O1602" s="10">
        <f t="shared" si="124"/>
        <v>47.20916666672565</v>
      </c>
    </row>
    <row r="1603" spans="1:15">
      <c r="A1603" s="1" t="s">
        <v>1708</v>
      </c>
      <c r="B1603" s="23">
        <v>45087.243055555555</v>
      </c>
      <c r="C1603" s="1" t="s">
        <v>11</v>
      </c>
      <c r="D1603" s="1" t="s">
        <v>17</v>
      </c>
      <c r="E1603" s="1" t="s">
        <v>18</v>
      </c>
      <c r="F1603" s="1" t="s">
        <v>392</v>
      </c>
      <c r="G1603" s="1">
        <v>182</v>
      </c>
      <c r="H1603" s="23">
        <v>45090.10497685185</v>
      </c>
      <c r="I1603" s="1" t="b">
        <v>0</v>
      </c>
      <c r="K1603" s="10">
        <f t="shared" ref="K1603:K1666" si="127">IF(H1603="","",(H1603-B1603)*24)</f>
        <v>68.68611111107748</v>
      </c>
      <c r="L1603" s="1" t="str">
        <f t="shared" ref="L1603:L1666" si="128">IF(OR(G1603="",K1603=""),"Cannot check",IF(G1603&gt;K1603*60,"Review","OK"))</f>
        <v>OK</v>
      </c>
      <c r="M1603" s="1">
        <f t="shared" si="125"/>
        <v>1</v>
      </c>
      <c r="N1603" s="1">
        <f t="shared" si="126"/>
        <v>182</v>
      </c>
      <c r="O1603" s="10">
        <f t="shared" ref="O1603:O1666" si="129">IF(OR(L1603="Review",K1603=""),"",K1603)</f>
        <v>68.68611111107748</v>
      </c>
    </row>
    <row r="1604" spans="1:15">
      <c r="A1604" s="1" t="s">
        <v>1709</v>
      </c>
      <c r="B1604" s="23">
        <v>45087.267361111109</v>
      </c>
      <c r="C1604" s="1" t="s">
        <v>11</v>
      </c>
      <c r="D1604" s="1" t="s">
        <v>59</v>
      </c>
      <c r="E1604" s="1" t="s">
        <v>13</v>
      </c>
      <c r="F1604" s="1" t="s">
        <v>114</v>
      </c>
      <c r="G1604" s="1">
        <v>46</v>
      </c>
      <c r="H1604" s="23">
        <v>45087.568726851852</v>
      </c>
      <c r="I1604" s="1" t="b">
        <v>0</v>
      </c>
      <c r="K1604" s="10">
        <f t="shared" si="127"/>
        <v>7.2327777778264135</v>
      </c>
      <c r="L1604" s="1" t="str">
        <f t="shared" si="128"/>
        <v>OK</v>
      </c>
      <c r="M1604" s="1">
        <f t="shared" si="125"/>
        <v>1</v>
      </c>
      <c r="N1604" s="1">
        <f t="shared" si="126"/>
        <v>46</v>
      </c>
      <c r="O1604" s="10">
        <f t="shared" si="129"/>
        <v>7.2327777778264135</v>
      </c>
    </row>
    <row r="1605" spans="1:15">
      <c r="A1605" s="1" t="s">
        <v>1710</v>
      </c>
      <c r="B1605" s="23">
        <v>45087.384027777778</v>
      </c>
      <c r="C1605" s="1" t="s">
        <v>25</v>
      </c>
      <c r="D1605" s="1" t="s">
        <v>21</v>
      </c>
      <c r="E1605" s="1" t="s">
        <v>18</v>
      </c>
      <c r="F1605" s="1" t="s">
        <v>108</v>
      </c>
      <c r="G1605" s="1">
        <v>57</v>
      </c>
      <c r="H1605" s="23">
        <v>45087.588587962964</v>
      </c>
      <c r="I1605" s="1" t="b">
        <v>0</v>
      </c>
      <c r="K1605" s="10">
        <f t="shared" si="127"/>
        <v>4.9094444444635883</v>
      </c>
      <c r="L1605" s="1" t="str">
        <f t="shared" si="128"/>
        <v>OK</v>
      </c>
      <c r="M1605" s="1">
        <f t="shared" si="125"/>
        <v>1</v>
      </c>
      <c r="N1605" s="1">
        <f t="shared" si="126"/>
        <v>57</v>
      </c>
      <c r="O1605" s="10">
        <f t="shared" si="129"/>
        <v>4.9094444444635883</v>
      </c>
    </row>
    <row r="1606" spans="1:15">
      <c r="A1606" s="1" t="s">
        <v>1711</v>
      </c>
      <c r="B1606" s="23">
        <v>45087.443055555559</v>
      </c>
      <c r="C1606" s="1" t="s">
        <v>25</v>
      </c>
      <c r="D1606" s="1" t="s">
        <v>21</v>
      </c>
      <c r="E1606" s="1" t="s">
        <v>13</v>
      </c>
      <c r="F1606" s="1" t="s">
        <v>37</v>
      </c>
      <c r="G1606" s="1">
        <v>426</v>
      </c>
      <c r="H1606" s="23">
        <v>45088.785717592589</v>
      </c>
      <c r="I1606" s="1" t="b">
        <v>0</v>
      </c>
      <c r="K1606" s="10">
        <f t="shared" si="127"/>
        <v>32.223888888722286</v>
      </c>
      <c r="L1606" s="1" t="str">
        <f t="shared" si="128"/>
        <v>OK</v>
      </c>
      <c r="M1606" s="1">
        <f t="shared" si="125"/>
        <v>1</v>
      </c>
      <c r="N1606" s="1">
        <f t="shared" si="126"/>
        <v>426</v>
      </c>
      <c r="O1606" s="10">
        <f t="shared" si="129"/>
        <v>32.223888888722286</v>
      </c>
    </row>
    <row r="1607" spans="1:15">
      <c r="A1607" s="1" t="s">
        <v>1712</v>
      </c>
      <c r="B1607" s="23">
        <v>45087.613194444442</v>
      </c>
      <c r="C1607" s="1" t="s">
        <v>16</v>
      </c>
      <c r="D1607" s="1" t="s">
        <v>21</v>
      </c>
      <c r="E1607" s="1" t="s">
        <v>13</v>
      </c>
      <c r="F1607" s="1" t="s">
        <v>345</v>
      </c>
      <c r="G1607" s="1">
        <v>62</v>
      </c>
      <c r="H1607" s="23">
        <v>45088.206932870373</v>
      </c>
      <c r="I1607" s="1" t="b">
        <v>0</v>
      </c>
      <c r="K1607" s="10">
        <f t="shared" si="127"/>
        <v>14.249722222331911</v>
      </c>
      <c r="L1607" s="1" t="str">
        <f t="shared" si="128"/>
        <v>OK</v>
      </c>
      <c r="M1607" s="1">
        <f t="shared" si="125"/>
        <v>1</v>
      </c>
      <c r="N1607" s="1">
        <f t="shared" si="126"/>
        <v>62</v>
      </c>
      <c r="O1607" s="10">
        <f t="shared" si="129"/>
        <v>14.249722222331911</v>
      </c>
    </row>
    <row r="1608" spans="1:15">
      <c r="A1608" s="1" t="s">
        <v>1713</v>
      </c>
      <c r="B1608" s="23">
        <v>45087.646527777775</v>
      </c>
      <c r="C1608" s="1" t="s">
        <v>25</v>
      </c>
      <c r="D1608" s="1" t="s">
        <v>12</v>
      </c>
      <c r="E1608" s="1" t="s">
        <v>18</v>
      </c>
      <c r="F1608" s="1" t="s">
        <v>256</v>
      </c>
      <c r="G1608" s="1">
        <v>55</v>
      </c>
      <c r="H1608" s="23">
        <v>45088.34915509259</v>
      </c>
      <c r="I1608" s="1" t="b">
        <v>0</v>
      </c>
      <c r="J1608" s="1">
        <v>5</v>
      </c>
      <c r="K1608" s="10">
        <f t="shared" si="127"/>
        <v>16.863055555557366</v>
      </c>
      <c r="L1608" s="1" t="str">
        <f t="shared" si="128"/>
        <v>OK</v>
      </c>
      <c r="M1608" s="1">
        <f t="shared" si="125"/>
        <v>1</v>
      </c>
      <c r="N1608" s="1">
        <f t="shared" si="126"/>
        <v>55</v>
      </c>
      <c r="O1608" s="10">
        <f t="shared" si="129"/>
        <v>16.863055555557366</v>
      </c>
    </row>
    <row r="1609" spans="1:15">
      <c r="A1609" s="1" t="s">
        <v>1714</v>
      </c>
      <c r="B1609" s="23">
        <v>45087.759027777778</v>
      </c>
      <c r="C1609" s="1" t="s">
        <v>11</v>
      </c>
      <c r="D1609" s="1" t="s">
        <v>21</v>
      </c>
      <c r="E1609" s="1" t="s">
        <v>13</v>
      </c>
      <c r="F1609" s="1" t="s">
        <v>120</v>
      </c>
      <c r="G1609" s="1">
        <v>28</v>
      </c>
      <c r="I1609" s="1" t="b">
        <v>0</v>
      </c>
      <c r="K1609" s="10" t="str">
        <f t="shared" si="127"/>
        <v/>
      </c>
      <c r="L1609" s="1" t="str">
        <f t="shared" si="128"/>
        <v>Cannot check</v>
      </c>
      <c r="M1609" s="1">
        <f t="shared" si="125"/>
        <v>1</v>
      </c>
      <c r="N1609" s="1">
        <f t="shared" si="126"/>
        <v>28</v>
      </c>
      <c r="O1609" s="10" t="str">
        <f t="shared" si="129"/>
        <v/>
      </c>
    </row>
    <row r="1610" spans="1:15">
      <c r="A1610" s="1" t="s">
        <v>1715</v>
      </c>
      <c r="B1610" s="23">
        <v>45087.814583333333</v>
      </c>
      <c r="C1610" s="1" t="s">
        <v>16</v>
      </c>
      <c r="D1610" s="1" t="s">
        <v>59</v>
      </c>
      <c r="E1610" s="1" t="s">
        <v>33</v>
      </c>
      <c r="F1610" s="1" t="s">
        <v>86</v>
      </c>
      <c r="G1610" s="1">
        <v>326</v>
      </c>
      <c r="H1610" s="23">
        <v>45090.918703703705</v>
      </c>
      <c r="I1610" s="1" t="b">
        <v>0</v>
      </c>
      <c r="K1610" s="10">
        <f t="shared" si="127"/>
        <v>74.498888888920192</v>
      </c>
      <c r="L1610" s="1" t="str">
        <f t="shared" si="128"/>
        <v>OK</v>
      </c>
      <c r="M1610" s="1">
        <f t="shared" si="125"/>
        <v>1</v>
      </c>
      <c r="N1610" s="1">
        <f t="shared" si="126"/>
        <v>326</v>
      </c>
      <c r="O1610" s="10">
        <f t="shared" si="129"/>
        <v>74.498888888920192</v>
      </c>
    </row>
    <row r="1611" spans="1:15">
      <c r="A1611" s="1" t="s">
        <v>1716</v>
      </c>
      <c r="B1611" s="23">
        <v>45087.823611111111</v>
      </c>
      <c r="C1611" s="1" t="s">
        <v>25</v>
      </c>
      <c r="D1611" s="1" t="s">
        <v>59</v>
      </c>
      <c r="E1611" s="1" t="s">
        <v>33</v>
      </c>
      <c r="F1611" s="1" t="s">
        <v>206</v>
      </c>
      <c r="G1611" s="1">
        <v>40</v>
      </c>
      <c r="H1611" s="23">
        <v>45095.41978009259</v>
      </c>
      <c r="I1611" s="1" t="b">
        <v>0</v>
      </c>
      <c r="K1611" s="10">
        <f t="shared" si="127"/>
        <v>182.30805555550614</v>
      </c>
      <c r="L1611" s="1" t="str">
        <f t="shared" si="128"/>
        <v>OK</v>
      </c>
      <c r="M1611" s="1">
        <f t="shared" si="125"/>
        <v>1</v>
      </c>
      <c r="N1611" s="1">
        <f t="shared" si="126"/>
        <v>40</v>
      </c>
      <c r="O1611" s="10">
        <f t="shared" si="129"/>
        <v>182.30805555550614</v>
      </c>
    </row>
    <row r="1612" spans="1:15">
      <c r="A1612" s="1" t="s">
        <v>1717</v>
      </c>
      <c r="B1612" s="23">
        <v>45087.92291666667</v>
      </c>
      <c r="C1612" s="1" t="s">
        <v>11</v>
      </c>
      <c r="D1612" s="1" t="s">
        <v>26</v>
      </c>
      <c r="E1612" s="1" t="s">
        <v>22</v>
      </c>
      <c r="F1612" s="1" t="s">
        <v>367</v>
      </c>
      <c r="G1612" s="1">
        <v>11</v>
      </c>
      <c r="H1612" s="23">
        <v>45088.081817129627</v>
      </c>
      <c r="I1612" s="1" t="b">
        <v>0</v>
      </c>
      <c r="J1612" s="1">
        <v>5</v>
      </c>
      <c r="K1612" s="10">
        <f t="shared" si="127"/>
        <v>3.813611110963393</v>
      </c>
      <c r="L1612" s="1" t="str">
        <f t="shared" si="128"/>
        <v>OK</v>
      </c>
      <c r="M1612" s="1">
        <f t="shared" si="125"/>
        <v>1</v>
      </c>
      <c r="N1612" s="1">
        <f t="shared" si="126"/>
        <v>11</v>
      </c>
      <c r="O1612" s="10">
        <f t="shared" si="129"/>
        <v>3.813611110963393</v>
      </c>
    </row>
    <row r="1613" spans="1:15">
      <c r="A1613" s="1" t="s">
        <v>1718</v>
      </c>
      <c r="B1613" s="23">
        <v>45088.036805555559</v>
      </c>
      <c r="C1613" s="1" t="s">
        <v>16</v>
      </c>
      <c r="D1613" s="1" t="s">
        <v>59</v>
      </c>
      <c r="E1613" s="1" t="s">
        <v>33</v>
      </c>
      <c r="F1613" s="1" t="s">
        <v>254</v>
      </c>
      <c r="G1613" s="1">
        <v>79</v>
      </c>
      <c r="H1613" s="23">
        <v>45088.638472222221</v>
      </c>
      <c r="I1613" s="1" t="b">
        <v>0</v>
      </c>
      <c r="J1613" s="1">
        <v>2</v>
      </c>
      <c r="K1613" s="10">
        <f t="shared" si="127"/>
        <v>14.439999999885913</v>
      </c>
      <c r="L1613" s="1" t="str">
        <f t="shared" si="128"/>
        <v>OK</v>
      </c>
      <c r="M1613" s="1">
        <f t="shared" si="125"/>
        <v>1</v>
      </c>
      <c r="N1613" s="1">
        <f t="shared" si="126"/>
        <v>79</v>
      </c>
      <c r="O1613" s="10">
        <f t="shared" si="129"/>
        <v>14.439999999885913</v>
      </c>
    </row>
    <row r="1614" spans="1:15">
      <c r="A1614" s="1" t="s">
        <v>1719</v>
      </c>
      <c r="B1614" s="23">
        <v>45088.04583333333</v>
      </c>
      <c r="C1614" s="1" t="s">
        <v>43</v>
      </c>
      <c r="D1614" s="1" t="s">
        <v>17</v>
      </c>
      <c r="E1614" s="1" t="s">
        <v>18</v>
      </c>
      <c r="F1614" s="1" t="s">
        <v>228</v>
      </c>
      <c r="G1614" s="1">
        <v>40</v>
      </c>
      <c r="I1614" s="1" t="b">
        <v>0</v>
      </c>
      <c r="K1614" s="10" t="str">
        <f t="shared" si="127"/>
        <v/>
      </c>
      <c r="L1614" s="1" t="str">
        <f t="shared" si="128"/>
        <v>Cannot check</v>
      </c>
      <c r="M1614" s="1">
        <f t="shared" si="125"/>
        <v>1</v>
      </c>
      <c r="N1614" s="1">
        <f t="shared" si="126"/>
        <v>40</v>
      </c>
      <c r="O1614" s="10" t="str">
        <f t="shared" si="129"/>
        <v/>
      </c>
    </row>
    <row r="1615" spans="1:15">
      <c r="A1615" s="1" t="s">
        <v>1720</v>
      </c>
      <c r="B1615" s="23">
        <v>45088.086111111108</v>
      </c>
      <c r="C1615" s="1" t="s">
        <v>43</v>
      </c>
      <c r="D1615" s="1" t="s">
        <v>17</v>
      </c>
      <c r="E1615" s="1" t="s">
        <v>13</v>
      </c>
      <c r="F1615" s="1" t="s">
        <v>50</v>
      </c>
      <c r="G1615" s="1">
        <v>50</v>
      </c>
      <c r="H1615" s="23">
        <v>45088.51122685185</v>
      </c>
      <c r="I1615" s="1" t="b">
        <v>0</v>
      </c>
      <c r="K1615" s="10">
        <f t="shared" si="127"/>
        <v>10.202777777798474</v>
      </c>
      <c r="L1615" s="1" t="str">
        <f t="shared" si="128"/>
        <v>OK</v>
      </c>
      <c r="M1615" s="1">
        <f t="shared" si="125"/>
        <v>1</v>
      </c>
      <c r="N1615" s="1">
        <f t="shared" si="126"/>
        <v>50</v>
      </c>
      <c r="O1615" s="10">
        <f t="shared" si="129"/>
        <v>10.202777777798474</v>
      </c>
    </row>
    <row r="1616" spans="1:15">
      <c r="A1616" s="1" t="s">
        <v>1721</v>
      </c>
      <c r="B1616" s="23">
        <v>45088.254166666666</v>
      </c>
      <c r="C1616" s="1" t="s">
        <v>25</v>
      </c>
      <c r="D1616" s="1" t="s">
        <v>12</v>
      </c>
      <c r="E1616" s="1" t="s">
        <v>18</v>
      </c>
      <c r="F1616" s="1" t="s">
        <v>116</v>
      </c>
      <c r="G1616" s="1">
        <v>413</v>
      </c>
      <c r="H1616" s="23">
        <v>45090.116979166669</v>
      </c>
      <c r="I1616" s="1" t="b">
        <v>0</v>
      </c>
      <c r="K1616" s="10">
        <f t="shared" si="127"/>
        <v>44.707500000076834</v>
      </c>
      <c r="L1616" s="1" t="str">
        <f t="shared" si="128"/>
        <v>OK</v>
      </c>
      <c r="M1616" s="1">
        <f t="shared" si="125"/>
        <v>1</v>
      </c>
      <c r="N1616" s="1">
        <f t="shared" si="126"/>
        <v>413</v>
      </c>
      <c r="O1616" s="10">
        <f t="shared" si="129"/>
        <v>44.707500000076834</v>
      </c>
    </row>
    <row r="1617" spans="1:15">
      <c r="A1617" s="1" t="s">
        <v>1722</v>
      </c>
      <c r="B1617" s="23">
        <v>45088.396527777775</v>
      </c>
      <c r="C1617" s="1" t="s">
        <v>11</v>
      </c>
      <c r="D1617" s="1" t="s">
        <v>26</v>
      </c>
      <c r="E1617" s="1" t="s">
        <v>18</v>
      </c>
      <c r="F1617" s="1" t="s">
        <v>100</v>
      </c>
      <c r="G1617" s="1">
        <v>47</v>
      </c>
      <c r="I1617" s="1" t="b">
        <v>0</v>
      </c>
      <c r="K1617" s="10" t="str">
        <f t="shared" si="127"/>
        <v/>
      </c>
      <c r="L1617" s="1" t="str">
        <f t="shared" si="128"/>
        <v>Cannot check</v>
      </c>
      <c r="M1617" s="1">
        <f t="shared" si="125"/>
        <v>1</v>
      </c>
      <c r="N1617" s="1">
        <f t="shared" si="126"/>
        <v>47</v>
      </c>
      <c r="O1617" s="10" t="str">
        <f t="shared" si="129"/>
        <v/>
      </c>
    </row>
    <row r="1618" spans="1:15">
      <c r="A1618" s="1" t="s">
        <v>1723</v>
      </c>
      <c r="B1618" s="23">
        <v>45088.410416666666</v>
      </c>
      <c r="C1618" s="1" t="s">
        <v>16</v>
      </c>
      <c r="D1618" s="1" t="s">
        <v>21</v>
      </c>
      <c r="E1618" s="1" t="s">
        <v>13</v>
      </c>
      <c r="F1618" s="1" t="s">
        <v>86</v>
      </c>
      <c r="G1618" s="1">
        <v>35</v>
      </c>
      <c r="H1618" s="23">
        <v>45088.731180555558</v>
      </c>
      <c r="I1618" s="1" t="b">
        <v>0</v>
      </c>
      <c r="K1618" s="10">
        <f t="shared" si="127"/>
        <v>7.6983333334210329</v>
      </c>
      <c r="L1618" s="1" t="str">
        <f t="shared" si="128"/>
        <v>OK</v>
      </c>
      <c r="M1618" s="1">
        <f t="shared" si="125"/>
        <v>1</v>
      </c>
      <c r="N1618" s="1">
        <f t="shared" si="126"/>
        <v>35</v>
      </c>
      <c r="O1618" s="10">
        <f t="shared" si="129"/>
        <v>7.6983333334210329</v>
      </c>
    </row>
    <row r="1619" spans="1:15">
      <c r="A1619" s="1" t="s">
        <v>1724</v>
      </c>
      <c r="B1619" s="23">
        <v>45088.604861111111</v>
      </c>
      <c r="C1619" s="1" t="s">
        <v>25</v>
      </c>
      <c r="D1619" s="1" t="s">
        <v>21</v>
      </c>
      <c r="E1619" s="1" t="s">
        <v>18</v>
      </c>
      <c r="F1619" s="1" t="s">
        <v>178</v>
      </c>
      <c r="G1619" s="1">
        <v>112</v>
      </c>
      <c r="H1619" s="23">
        <v>45091.21199074074</v>
      </c>
      <c r="I1619" s="1" t="b">
        <v>0</v>
      </c>
      <c r="K1619" s="10">
        <f t="shared" si="127"/>
        <v>62.571111111086793</v>
      </c>
      <c r="L1619" s="1" t="str">
        <f t="shared" si="128"/>
        <v>OK</v>
      </c>
      <c r="M1619" s="1">
        <f t="shared" si="125"/>
        <v>1</v>
      </c>
      <c r="N1619" s="1">
        <f t="shared" si="126"/>
        <v>112</v>
      </c>
      <c r="O1619" s="10">
        <f t="shared" si="129"/>
        <v>62.571111111086793</v>
      </c>
    </row>
    <row r="1620" spans="1:15">
      <c r="A1620" s="1" t="s">
        <v>1725</v>
      </c>
      <c r="B1620" s="23">
        <v>45088.688888888886</v>
      </c>
      <c r="C1620" s="1" t="s">
        <v>16</v>
      </c>
      <c r="D1620" s="1" t="s">
        <v>17</v>
      </c>
      <c r="E1620" s="1" t="s">
        <v>18</v>
      </c>
      <c r="F1620" s="1" t="s">
        <v>256</v>
      </c>
      <c r="G1620" s="1">
        <v>64</v>
      </c>
      <c r="H1620" s="23">
        <v>45090.363425925927</v>
      </c>
      <c r="I1620" s="1" t="b">
        <v>0</v>
      </c>
      <c r="J1620" s="1">
        <v>5</v>
      </c>
      <c r="K1620" s="10">
        <f t="shared" si="127"/>
        <v>40.188888888980728</v>
      </c>
      <c r="L1620" s="1" t="str">
        <f t="shared" si="128"/>
        <v>OK</v>
      </c>
      <c r="M1620" s="1">
        <f t="shared" si="125"/>
        <v>1</v>
      </c>
      <c r="N1620" s="1">
        <f t="shared" si="126"/>
        <v>64</v>
      </c>
      <c r="O1620" s="10">
        <f t="shared" si="129"/>
        <v>40.188888888980728</v>
      </c>
    </row>
    <row r="1621" spans="1:15">
      <c r="A1621" s="1" t="s">
        <v>1726</v>
      </c>
      <c r="B1621" s="23">
        <v>45088.695833333331</v>
      </c>
      <c r="C1621" s="1" t="s">
        <v>25</v>
      </c>
      <c r="D1621" s="1" t="s">
        <v>17</v>
      </c>
      <c r="E1621" s="1" t="s">
        <v>13</v>
      </c>
      <c r="F1621" s="1" t="s">
        <v>159</v>
      </c>
      <c r="G1621" s="1">
        <v>15</v>
      </c>
      <c r="H1621" s="23">
        <v>45089.346215277779</v>
      </c>
      <c r="I1621" s="1" t="b">
        <v>0</v>
      </c>
      <c r="K1621" s="10">
        <f t="shared" si="127"/>
        <v>15.609166666748933</v>
      </c>
      <c r="L1621" s="1" t="str">
        <f t="shared" si="128"/>
        <v>OK</v>
      </c>
      <c r="M1621" s="1">
        <f t="shared" si="125"/>
        <v>1</v>
      </c>
      <c r="N1621" s="1">
        <f t="shared" si="126"/>
        <v>15</v>
      </c>
      <c r="O1621" s="10">
        <f t="shared" si="129"/>
        <v>15.609166666748933</v>
      </c>
    </row>
    <row r="1622" spans="1:15">
      <c r="A1622" s="1" t="s">
        <v>1727</v>
      </c>
      <c r="B1622" s="23">
        <v>45089.070138888892</v>
      </c>
      <c r="C1622" s="1" t="s">
        <v>25</v>
      </c>
      <c r="D1622" s="1" t="s">
        <v>17</v>
      </c>
      <c r="E1622" s="1" t="s">
        <v>22</v>
      </c>
      <c r="F1622" s="1" t="s">
        <v>31</v>
      </c>
      <c r="G1622" s="1">
        <v>15</v>
      </c>
      <c r="H1622" s="23">
        <v>45089.160844907405</v>
      </c>
      <c r="I1622" s="1" t="b">
        <v>0</v>
      </c>
      <c r="K1622" s="10">
        <f t="shared" si="127"/>
        <v>2.1769444443052635</v>
      </c>
      <c r="L1622" s="1" t="str">
        <f t="shared" si="128"/>
        <v>OK</v>
      </c>
      <c r="M1622" s="1">
        <f t="shared" si="125"/>
        <v>1</v>
      </c>
      <c r="N1622" s="1">
        <f t="shared" si="126"/>
        <v>15</v>
      </c>
      <c r="O1622" s="10">
        <f t="shared" si="129"/>
        <v>2.1769444443052635</v>
      </c>
    </row>
    <row r="1623" spans="1:15">
      <c r="A1623" s="1" t="s">
        <v>1728</v>
      </c>
      <c r="B1623" s="23">
        <v>45089.079861111109</v>
      </c>
      <c r="C1623" s="1" t="s">
        <v>16</v>
      </c>
      <c r="D1623" s="1" t="s">
        <v>12</v>
      </c>
      <c r="E1623" s="1" t="s">
        <v>13</v>
      </c>
      <c r="F1623" s="1" t="s">
        <v>130</v>
      </c>
      <c r="G1623" s="1">
        <v>135</v>
      </c>
      <c r="H1623" s="23">
        <v>45089.565752314818</v>
      </c>
      <c r="I1623" s="1" t="b">
        <v>0</v>
      </c>
      <c r="K1623" s="10">
        <f t="shared" si="127"/>
        <v>11.661388889013324</v>
      </c>
      <c r="L1623" s="1" t="str">
        <f t="shared" si="128"/>
        <v>OK</v>
      </c>
      <c r="M1623" s="1">
        <f t="shared" si="125"/>
        <v>1</v>
      </c>
      <c r="N1623" s="1">
        <f t="shared" si="126"/>
        <v>135</v>
      </c>
      <c r="O1623" s="10">
        <f t="shared" si="129"/>
        <v>11.661388889013324</v>
      </c>
    </row>
    <row r="1624" spans="1:15">
      <c r="A1624" s="1" t="s">
        <v>1729</v>
      </c>
      <c r="B1624" s="23">
        <v>45089.084722222222</v>
      </c>
      <c r="C1624" s="1" t="s">
        <v>25</v>
      </c>
      <c r="D1624" s="1" t="s">
        <v>12</v>
      </c>
      <c r="E1624" s="1" t="s">
        <v>13</v>
      </c>
      <c r="F1624" s="1" t="s">
        <v>201</v>
      </c>
      <c r="G1624" s="1">
        <v>57</v>
      </c>
      <c r="H1624" s="23">
        <v>45089.185717592591</v>
      </c>
      <c r="I1624" s="1" t="b">
        <v>0</v>
      </c>
      <c r="J1624" s="1">
        <v>5</v>
      </c>
      <c r="K1624" s="10">
        <f t="shared" si="127"/>
        <v>2.4238888888503425</v>
      </c>
      <c r="L1624" s="1" t="str">
        <f t="shared" si="128"/>
        <v>OK</v>
      </c>
      <c r="M1624" s="1">
        <f t="shared" si="125"/>
        <v>1</v>
      </c>
      <c r="N1624" s="1">
        <f t="shared" si="126"/>
        <v>57</v>
      </c>
      <c r="O1624" s="10">
        <f t="shared" si="129"/>
        <v>2.4238888888503425</v>
      </c>
    </row>
    <row r="1625" spans="1:15">
      <c r="A1625" s="1" t="s">
        <v>1730</v>
      </c>
      <c r="B1625" s="23">
        <v>45089.204861111109</v>
      </c>
      <c r="C1625" s="1" t="s">
        <v>43</v>
      </c>
      <c r="D1625" s="1" t="s">
        <v>17</v>
      </c>
      <c r="E1625" s="1" t="s">
        <v>18</v>
      </c>
      <c r="F1625" s="1" t="s">
        <v>486</v>
      </c>
      <c r="G1625" s="1">
        <v>238</v>
      </c>
      <c r="H1625" s="23">
        <v>45090.105925925927</v>
      </c>
      <c r="I1625" s="1" t="b">
        <v>0</v>
      </c>
      <c r="K1625" s="10">
        <f t="shared" si="127"/>
        <v>21.625555555627216</v>
      </c>
      <c r="L1625" s="1" t="str">
        <f t="shared" si="128"/>
        <v>OK</v>
      </c>
      <c r="M1625" s="1">
        <f t="shared" si="125"/>
        <v>1</v>
      </c>
      <c r="N1625" s="1">
        <f t="shared" si="126"/>
        <v>238</v>
      </c>
      <c r="O1625" s="10">
        <f t="shared" si="129"/>
        <v>21.625555555627216</v>
      </c>
    </row>
    <row r="1626" spans="1:15">
      <c r="A1626" s="1" t="s">
        <v>1731</v>
      </c>
      <c r="B1626" s="23">
        <v>45089.25</v>
      </c>
      <c r="C1626" s="1" t="s">
        <v>25</v>
      </c>
      <c r="D1626" s="1" t="s">
        <v>12</v>
      </c>
      <c r="E1626" s="1" t="s">
        <v>13</v>
      </c>
      <c r="F1626" s="1" t="s">
        <v>145</v>
      </c>
      <c r="G1626" s="1">
        <v>142</v>
      </c>
      <c r="I1626" s="1" t="b">
        <v>0</v>
      </c>
      <c r="K1626" s="10" t="str">
        <f t="shared" si="127"/>
        <v/>
      </c>
      <c r="L1626" s="1" t="str">
        <f t="shared" si="128"/>
        <v>Cannot check</v>
      </c>
      <c r="M1626" s="1">
        <f t="shared" si="125"/>
        <v>1</v>
      </c>
      <c r="N1626" s="1">
        <f t="shared" si="126"/>
        <v>142</v>
      </c>
      <c r="O1626" s="10" t="str">
        <f t="shared" si="129"/>
        <v/>
      </c>
    </row>
    <row r="1627" spans="1:15">
      <c r="A1627" s="1" t="s">
        <v>1732</v>
      </c>
      <c r="B1627" s="23">
        <v>45089.251388888886</v>
      </c>
      <c r="C1627" s="1" t="s">
        <v>16</v>
      </c>
      <c r="D1627" s="1" t="s">
        <v>21</v>
      </c>
      <c r="E1627" s="1" t="s">
        <v>13</v>
      </c>
      <c r="F1627" s="1" t="s">
        <v>52</v>
      </c>
      <c r="G1627" s="1">
        <v>91</v>
      </c>
      <c r="H1627" s="23">
        <v>45089.442013888889</v>
      </c>
      <c r="I1627" s="1" t="b">
        <v>0</v>
      </c>
      <c r="K1627" s="10">
        <f t="shared" si="127"/>
        <v>4.5750000000698492</v>
      </c>
      <c r="L1627" s="1" t="str">
        <f t="shared" si="128"/>
        <v>OK</v>
      </c>
      <c r="M1627" s="1">
        <f t="shared" si="125"/>
        <v>1</v>
      </c>
      <c r="N1627" s="1">
        <f t="shared" si="126"/>
        <v>91</v>
      </c>
      <c r="O1627" s="10">
        <f t="shared" si="129"/>
        <v>4.5750000000698492</v>
      </c>
    </row>
    <row r="1628" spans="1:15">
      <c r="A1628" s="1" t="s">
        <v>1733</v>
      </c>
      <c r="B1628" s="23">
        <v>45089.365972222222</v>
      </c>
      <c r="C1628" s="1" t="s">
        <v>25</v>
      </c>
      <c r="D1628" s="1" t="s">
        <v>17</v>
      </c>
      <c r="E1628" s="1" t="s">
        <v>18</v>
      </c>
      <c r="F1628" s="1" t="s">
        <v>41</v>
      </c>
      <c r="H1628" s="23">
        <v>45099.192928240744</v>
      </c>
      <c r="I1628" s="1" t="b">
        <v>0</v>
      </c>
      <c r="K1628" s="10">
        <f t="shared" si="127"/>
        <v>235.8469444445218</v>
      </c>
      <c r="L1628" s="1" t="str">
        <f t="shared" si="128"/>
        <v>Cannot check</v>
      </c>
      <c r="M1628" s="1">
        <f t="shared" si="125"/>
        <v>1</v>
      </c>
      <c r="N1628" s="1" t="str">
        <f t="shared" si="126"/>
        <v/>
      </c>
      <c r="O1628" s="10">
        <f t="shared" si="129"/>
        <v>235.8469444445218</v>
      </c>
    </row>
    <row r="1629" spans="1:15">
      <c r="A1629" s="1" t="s">
        <v>1734</v>
      </c>
      <c r="B1629" s="23">
        <v>45089.714583333334</v>
      </c>
      <c r="C1629" s="1" t="s">
        <v>16</v>
      </c>
      <c r="D1629" s="1" t="s">
        <v>59</v>
      </c>
      <c r="E1629" s="1" t="s">
        <v>33</v>
      </c>
      <c r="F1629" s="1" t="s">
        <v>118</v>
      </c>
      <c r="G1629" s="1">
        <v>143</v>
      </c>
      <c r="I1629" s="1" t="b">
        <v>0</v>
      </c>
      <c r="K1629" s="10" t="str">
        <f t="shared" si="127"/>
        <v/>
      </c>
      <c r="L1629" s="1" t="str">
        <f t="shared" si="128"/>
        <v>Cannot check</v>
      </c>
      <c r="M1629" s="1">
        <f t="shared" si="125"/>
        <v>1</v>
      </c>
      <c r="N1629" s="1">
        <f t="shared" si="126"/>
        <v>143</v>
      </c>
      <c r="O1629" s="10" t="str">
        <f t="shared" si="129"/>
        <v/>
      </c>
    </row>
    <row r="1630" spans="1:15">
      <c r="A1630" s="1" t="s">
        <v>1735</v>
      </c>
      <c r="B1630" s="23">
        <v>45089.770138888889</v>
      </c>
      <c r="C1630" s="1" t="s">
        <v>16</v>
      </c>
      <c r="D1630" s="1" t="s">
        <v>21</v>
      </c>
      <c r="E1630" s="1" t="s">
        <v>18</v>
      </c>
      <c r="F1630" s="1" t="s">
        <v>302</v>
      </c>
      <c r="G1630" s="1">
        <v>39</v>
      </c>
      <c r="H1630" s="23">
        <v>45090.119930555556</v>
      </c>
      <c r="I1630" s="1" t="b">
        <v>0</v>
      </c>
      <c r="J1630" s="1">
        <v>5</v>
      </c>
      <c r="K1630" s="10">
        <f t="shared" si="127"/>
        <v>8.3950000000186265</v>
      </c>
      <c r="L1630" s="1" t="str">
        <f t="shared" si="128"/>
        <v>OK</v>
      </c>
      <c r="M1630" s="1">
        <f t="shared" si="125"/>
        <v>1</v>
      </c>
      <c r="N1630" s="1">
        <f t="shared" si="126"/>
        <v>39</v>
      </c>
      <c r="O1630" s="10">
        <f t="shared" si="129"/>
        <v>8.3950000000186265</v>
      </c>
    </row>
    <row r="1631" spans="1:15">
      <c r="A1631" s="1" t="s">
        <v>1736</v>
      </c>
      <c r="B1631" s="23">
        <v>45089.822916666664</v>
      </c>
      <c r="C1631" s="1" t="s">
        <v>43</v>
      </c>
      <c r="D1631" s="1" t="s">
        <v>17</v>
      </c>
      <c r="E1631" s="1" t="s">
        <v>33</v>
      </c>
      <c r="F1631" s="1" t="s">
        <v>76</v>
      </c>
      <c r="G1631" s="1">
        <v>200</v>
      </c>
      <c r="H1631" s="23">
        <v>45090.261261574073</v>
      </c>
      <c r="I1631" s="1" t="b">
        <v>0</v>
      </c>
      <c r="K1631" s="10">
        <f t="shared" si="127"/>
        <v>10.52027777780313</v>
      </c>
      <c r="L1631" s="1" t="str">
        <f t="shared" si="128"/>
        <v>OK</v>
      </c>
      <c r="M1631" s="1">
        <f t="shared" si="125"/>
        <v>1</v>
      </c>
      <c r="N1631" s="1">
        <f t="shared" si="126"/>
        <v>200</v>
      </c>
      <c r="O1631" s="10">
        <f t="shared" si="129"/>
        <v>10.52027777780313</v>
      </c>
    </row>
    <row r="1632" spans="1:15">
      <c r="A1632" s="1" t="s">
        <v>1737</v>
      </c>
      <c r="B1632" s="23">
        <v>45089.884722222225</v>
      </c>
      <c r="C1632" s="1" t="s">
        <v>43</v>
      </c>
      <c r="D1632" s="1" t="s">
        <v>12</v>
      </c>
      <c r="E1632" s="1" t="s">
        <v>22</v>
      </c>
      <c r="F1632" s="1" t="s">
        <v>35</v>
      </c>
      <c r="G1632" s="1">
        <v>23</v>
      </c>
      <c r="H1632" s="23">
        <v>45090.119097222225</v>
      </c>
      <c r="I1632" s="1" t="b">
        <v>0</v>
      </c>
      <c r="K1632" s="10">
        <f t="shared" si="127"/>
        <v>5.625</v>
      </c>
      <c r="L1632" s="1" t="str">
        <f t="shared" si="128"/>
        <v>OK</v>
      </c>
      <c r="M1632" s="1">
        <f t="shared" si="125"/>
        <v>1</v>
      </c>
      <c r="N1632" s="1">
        <f t="shared" si="126"/>
        <v>23</v>
      </c>
      <c r="O1632" s="10">
        <f t="shared" si="129"/>
        <v>5.625</v>
      </c>
    </row>
    <row r="1633" spans="1:15">
      <c r="A1633" s="1" t="s">
        <v>1738</v>
      </c>
      <c r="B1633" s="23">
        <v>45089.993750000001</v>
      </c>
      <c r="C1633" s="1" t="s">
        <v>11</v>
      </c>
      <c r="D1633" s="1" t="s">
        <v>17</v>
      </c>
      <c r="E1633" s="1" t="s">
        <v>18</v>
      </c>
      <c r="F1633" s="1" t="s">
        <v>302</v>
      </c>
      <c r="G1633" s="1">
        <v>73</v>
      </c>
      <c r="H1633" s="23">
        <v>45091.98505787037</v>
      </c>
      <c r="I1633" s="1" t="b">
        <v>0</v>
      </c>
      <c r="K1633" s="10">
        <f t="shared" si="127"/>
        <v>47.791388888843358</v>
      </c>
      <c r="L1633" s="1" t="str">
        <f t="shared" si="128"/>
        <v>OK</v>
      </c>
      <c r="M1633" s="1">
        <f t="shared" si="125"/>
        <v>1</v>
      </c>
      <c r="N1633" s="1">
        <f t="shared" si="126"/>
        <v>73</v>
      </c>
      <c r="O1633" s="10">
        <f t="shared" si="129"/>
        <v>47.791388888843358</v>
      </c>
    </row>
    <row r="1634" spans="1:15">
      <c r="A1634" s="1" t="s">
        <v>1739</v>
      </c>
      <c r="B1634" s="23">
        <v>45090.086111111108</v>
      </c>
      <c r="C1634" s="1" t="s">
        <v>25</v>
      </c>
      <c r="D1634" s="1" t="s">
        <v>21</v>
      </c>
      <c r="E1634" s="1" t="s">
        <v>33</v>
      </c>
      <c r="F1634" s="1" t="s">
        <v>76</v>
      </c>
      <c r="G1634" s="1">
        <v>169</v>
      </c>
      <c r="H1634" s="23">
        <v>45094.172777777778</v>
      </c>
      <c r="I1634" s="1" t="b">
        <v>0</v>
      </c>
      <c r="K1634" s="10">
        <f t="shared" si="127"/>
        <v>98.080000000074506</v>
      </c>
      <c r="L1634" s="1" t="str">
        <f t="shared" si="128"/>
        <v>OK</v>
      </c>
      <c r="M1634" s="1">
        <f t="shared" si="125"/>
        <v>1</v>
      </c>
      <c r="N1634" s="1">
        <f t="shared" si="126"/>
        <v>169</v>
      </c>
      <c r="O1634" s="10">
        <f t="shared" si="129"/>
        <v>98.080000000074506</v>
      </c>
    </row>
    <row r="1635" spans="1:15">
      <c r="A1635" s="1" t="s">
        <v>1740</v>
      </c>
      <c r="B1635" s="23">
        <v>45090.086111111108</v>
      </c>
      <c r="C1635" s="1" t="s">
        <v>11</v>
      </c>
      <c r="D1635" s="1" t="s">
        <v>26</v>
      </c>
      <c r="E1635" s="1" t="s">
        <v>18</v>
      </c>
      <c r="F1635" s="1" t="s">
        <v>130</v>
      </c>
      <c r="G1635" s="1">
        <v>186</v>
      </c>
      <c r="H1635" s="23">
        <v>45108.316053240742</v>
      </c>
      <c r="I1635" s="1" t="b">
        <v>0</v>
      </c>
      <c r="J1635" s="1">
        <v>5</v>
      </c>
      <c r="K1635" s="10">
        <f t="shared" si="127"/>
        <v>437.51861111121252</v>
      </c>
      <c r="L1635" s="1" t="str">
        <f t="shared" si="128"/>
        <v>OK</v>
      </c>
      <c r="M1635" s="1">
        <f t="shared" si="125"/>
        <v>1</v>
      </c>
      <c r="N1635" s="1">
        <f t="shared" si="126"/>
        <v>186</v>
      </c>
      <c r="O1635" s="10">
        <f t="shared" si="129"/>
        <v>437.51861111121252</v>
      </c>
    </row>
    <row r="1636" spans="1:15">
      <c r="A1636" s="1" t="s">
        <v>1741</v>
      </c>
      <c r="B1636" s="23">
        <v>45090.3</v>
      </c>
      <c r="C1636" s="1" t="s">
        <v>11</v>
      </c>
      <c r="D1636" s="1" t="s">
        <v>26</v>
      </c>
      <c r="E1636" s="1" t="s">
        <v>13</v>
      </c>
      <c r="F1636" s="1" t="s">
        <v>254</v>
      </c>
      <c r="G1636" s="1">
        <v>20</v>
      </c>
      <c r="I1636" s="1" t="b">
        <v>0</v>
      </c>
      <c r="K1636" s="10" t="str">
        <f t="shared" si="127"/>
        <v/>
      </c>
      <c r="L1636" s="1" t="str">
        <f t="shared" si="128"/>
        <v>Cannot check</v>
      </c>
      <c r="M1636" s="1">
        <f t="shared" si="125"/>
        <v>1</v>
      </c>
      <c r="N1636" s="1">
        <f t="shared" si="126"/>
        <v>20</v>
      </c>
      <c r="O1636" s="10" t="str">
        <f t="shared" si="129"/>
        <v/>
      </c>
    </row>
    <row r="1637" spans="1:15">
      <c r="A1637" s="1" t="s">
        <v>1742</v>
      </c>
      <c r="B1637" s="23">
        <v>45090.369444444441</v>
      </c>
      <c r="C1637" s="1" t="s">
        <v>25</v>
      </c>
      <c r="D1637" s="1" t="s">
        <v>17</v>
      </c>
      <c r="E1637" s="1" t="s">
        <v>33</v>
      </c>
      <c r="F1637" s="1" t="s">
        <v>64</v>
      </c>
      <c r="G1637" s="1">
        <v>287</v>
      </c>
      <c r="H1637" s="23">
        <v>45093.719444444447</v>
      </c>
      <c r="I1637" s="1" t="b">
        <v>0</v>
      </c>
      <c r="K1637" s="10">
        <f t="shared" si="127"/>
        <v>80.400000000139698</v>
      </c>
      <c r="L1637" s="1" t="str">
        <f t="shared" si="128"/>
        <v>OK</v>
      </c>
      <c r="M1637" s="1">
        <f t="shared" si="125"/>
        <v>1</v>
      </c>
      <c r="N1637" s="1">
        <f t="shared" si="126"/>
        <v>287</v>
      </c>
      <c r="O1637" s="10">
        <f t="shared" si="129"/>
        <v>80.400000000139698</v>
      </c>
    </row>
    <row r="1638" spans="1:15">
      <c r="A1638" s="1" t="s">
        <v>1743</v>
      </c>
      <c r="B1638" s="23">
        <v>45090.506249999999</v>
      </c>
      <c r="C1638" s="1" t="s">
        <v>25</v>
      </c>
      <c r="D1638" s="1" t="s">
        <v>12</v>
      </c>
      <c r="E1638" s="1" t="s">
        <v>13</v>
      </c>
      <c r="F1638" s="1" t="s">
        <v>709</v>
      </c>
      <c r="G1638" s="1">
        <v>38</v>
      </c>
      <c r="H1638" s="23">
        <v>45090.559571759259</v>
      </c>
      <c r="I1638" s="1" t="b">
        <v>0</v>
      </c>
      <c r="J1638" s="1">
        <v>1</v>
      </c>
      <c r="K1638" s="10">
        <f t="shared" si="127"/>
        <v>1.2797222222434357</v>
      </c>
      <c r="L1638" s="1" t="str">
        <f t="shared" si="128"/>
        <v>OK</v>
      </c>
      <c r="M1638" s="1">
        <f t="shared" si="125"/>
        <v>1</v>
      </c>
      <c r="N1638" s="1">
        <f t="shared" si="126"/>
        <v>38</v>
      </c>
      <c r="O1638" s="10">
        <f t="shared" si="129"/>
        <v>1.2797222222434357</v>
      </c>
    </row>
    <row r="1639" spans="1:15">
      <c r="A1639" s="1" t="s">
        <v>1744</v>
      </c>
      <c r="B1639" s="23">
        <v>45090.744444444441</v>
      </c>
      <c r="C1639" s="1" t="s">
        <v>25</v>
      </c>
      <c r="D1639" s="1" t="s">
        <v>12</v>
      </c>
      <c r="E1639" s="1" t="s">
        <v>18</v>
      </c>
      <c r="F1639" s="1" t="s">
        <v>60</v>
      </c>
      <c r="G1639" s="1">
        <v>35</v>
      </c>
      <c r="H1639" s="23">
        <v>45093.113449074073</v>
      </c>
      <c r="I1639" s="1" t="b">
        <v>0</v>
      </c>
      <c r="K1639" s="10">
        <f t="shared" si="127"/>
        <v>56.856111111177597</v>
      </c>
      <c r="L1639" s="1" t="str">
        <f t="shared" si="128"/>
        <v>OK</v>
      </c>
      <c r="M1639" s="1">
        <f t="shared" si="125"/>
        <v>1</v>
      </c>
      <c r="N1639" s="1">
        <f t="shared" si="126"/>
        <v>35</v>
      </c>
      <c r="O1639" s="10">
        <f t="shared" si="129"/>
        <v>56.856111111177597</v>
      </c>
    </row>
    <row r="1640" spans="1:15">
      <c r="A1640" s="1" t="s">
        <v>1745</v>
      </c>
      <c r="B1640" s="23">
        <v>45091.060416666667</v>
      </c>
      <c r="C1640" s="1" t="s">
        <v>43</v>
      </c>
      <c r="D1640" s="1" t="s">
        <v>59</v>
      </c>
      <c r="E1640" s="1" t="s">
        <v>18</v>
      </c>
      <c r="F1640" s="1" t="s">
        <v>100</v>
      </c>
      <c r="G1640" s="1">
        <v>302</v>
      </c>
      <c r="H1640" s="23">
        <v>45091.958020833335</v>
      </c>
      <c r="I1640" s="1" t="b">
        <v>0</v>
      </c>
      <c r="J1640" s="1">
        <v>4</v>
      </c>
      <c r="K1640" s="10">
        <f t="shared" si="127"/>
        <v>21.542500000039581</v>
      </c>
      <c r="L1640" s="1" t="str">
        <f t="shared" si="128"/>
        <v>OK</v>
      </c>
      <c r="M1640" s="1">
        <f t="shared" si="125"/>
        <v>1</v>
      </c>
      <c r="N1640" s="1">
        <f t="shared" si="126"/>
        <v>302</v>
      </c>
      <c r="O1640" s="10">
        <f t="shared" si="129"/>
        <v>21.542500000039581</v>
      </c>
    </row>
    <row r="1641" spans="1:15">
      <c r="A1641" s="1" t="s">
        <v>1746</v>
      </c>
      <c r="B1641" s="23">
        <v>45091.552777777775</v>
      </c>
      <c r="C1641" s="1" t="s">
        <v>25</v>
      </c>
      <c r="D1641" s="1" t="s">
        <v>17</v>
      </c>
      <c r="E1641" s="1" t="s">
        <v>33</v>
      </c>
      <c r="F1641" s="1" t="s">
        <v>326</v>
      </c>
      <c r="G1641" s="1">
        <v>42</v>
      </c>
      <c r="H1641" s="23">
        <v>45095.621469907404</v>
      </c>
      <c r="I1641" s="1" t="b">
        <v>0</v>
      </c>
      <c r="J1641" s="1">
        <v>4</v>
      </c>
      <c r="K1641" s="10">
        <f t="shared" si="127"/>
        <v>97.648611111100763</v>
      </c>
      <c r="L1641" s="1" t="str">
        <f t="shared" si="128"/>
        <v>OK</v>
      </c>
      <c r="M1641" s="1">
        <f t="shared" si="125"/>
        <v>1</v>
      </c>
      <c r="N1641" s="1">
        <f t="shared" si="126"/>
        <v>42</v>
      </c>
      <c r="O1641" s="10">
        <f t="shared" si="129"/>
        <v>97.648611111100763</v>
      </c>
    </row>
    <row r="1642" spans="1:15">
      <c r="A1642" s="1" t="s">
        <v>1747</v>
      </c>
      <c r="B1642" s="23">
        <v>45091.580555555556</v>
      </c>
      <c r="C1642" s="1" t="s">
        <v>43</v>
      </c>
      <c r="D1642" s="1" t="s">
        <v>21</v>
      </c>
      <c r="E1642" s="1" t="s">
        <v>18</v>
      </c>
      <c r="F1642" s="1" t="s">
        <v>50</v>
      </c>
      <c r="H1642" s="23">
        <v>45091.71665509259</v>
      </c>
      <c r="I1642" s="1" t="b">
        <v>0</v>
      </c>
      <c r="J1642" s="1">
        <v>5</v>
      </c>
      <c r="K1642" s="10">
        <f t="shared" si="127"/>
        <v>3.2663888888200745</v>
      </c>
      <c r="L1642" s="1" t="str">
        <f t="shared" si="128"/>
        <v>Cannot check</v>
      </c>
      <c r="M1642" s="1">
        <f t="shared" si="125"/>
        <v>1</v>
      </c>
      <c r="N1642" s="1" t="str">
        <f t="shared" si="126"/>
        <v/>
      </c>
      <c r="O1642" s="10">
        <f t="shared" si="129"/>
        <v>3.2663888888200745</v>
      </c>
    </row>
    <row r="1643" spans="1:15">
      <c r="A1643" s="1" t="s">
        <v>1748</v>
      </c>
      <c r="B1643" s="23">
        <v>45091.59375</v>
      </c>
      <c r="C1643" s="1" t="s">
        <v>16</v>
      </c>
      <c r="D1643" s="1" t="s">
        <v>59</v>
      </c>
      <c r="E1643" s="1" t="s">
        <v>13</v>
      </c>
      <c r="F1643" s="1" t="s">
        <v>84</v>
      </c>
      <c r="G1643" s="1">
        <v>29</v>
      </c>
      <c r="H1643" s="23">
        <v>45091.789583333331</v>
      </c>
      <c r="I1643" s="1" t="b">
        <v>0</v>
      </c>
      <c r="K1643" s="10">
        <f t="shared" si="127"/>
        <v>4.6999999999534339</v>
      </c>
      <c r="L1643" s="1" t="str">
        <f t="shared" si="128"/>
        <v>OK</v>
      </c>
      <c r="M1643" s="1">
        <f t="shared" si="125"/>
        <v>1</v>
      </c>
      <c r="N1643" s="1">
        <f t="shared" si="126"/>
        <v>29</v>
      </c>
      <c r="O1643" s="10">
        <f t="shared" si="129"/>
        <v>4.6999999999534339</v>
      </c>
    </row>
    <row r="1644" spans="1:15">
      <c r="A1644" s="1" t="s">
        <v>1749</v>
      </c>
      <c r="B1644" s="23">
        <v>45091.712500000001</v>
      </c>
      <c r="C1644" s="1" t="s">
        <v>25</v>
      </c>
      <c r="D1644" s="1" t="s">
        <v>17</v>
      </c>
      <c r="E1644" s="1" t="s">
        <v>18</v>
      </c>
      <c r="F1644" s="1" t="s">
        <v>130</v>
      </c>
      <c r="H1644" s="23">
        <v>45094.98165509259</v>
      </c>
      <c r="I1644" s="1" t="b">
        <v>0</v>
      </c>
      <c r="K1644" s="10">
        <f t="shared" si="127"/>
        <v>78.459722222120035</v>
      </c>
      <c r="L1644" s="1" t="str">
        <f t="shared" si="128"/>
        <v>Cannot check</v>
      </c>
      <c r="M1644" s="1">
        <f t="shared" si="125"/>
        <v>1</v>
      </c>
      <c r="N1644" s="1" t="str">
        <f t="shared" si="126"/>
        <v/>
      </c>
      <c r="O1644" s="10">
        <f t="shared" si="129"/>
        <v>78.459722222120035</v>
      </c>
    </row>
    <row r="1645" spans="1:15">
      <c r="A1645" s="1" t="s">
        <v>1750</v>
      </c>
      <c r="B1645" s="23">
        <v>45091.805555555555</v>
      </c>
      <c r="C1645" s="1" t="s">
        <v>11</v>
      </c>
      <c r="D1645" s="1" t="s">
        <v>21</v>
      </c>
      <c r="E1645" s="1" t="s">
        <v>22</v>
      </c>
      <c r="F1645" s="1" t="s">
        <v>100</v>
      </c>
      <c r="G1645" s="1">
        <v>18</v>
      </c>
      <c r="H1645" s="23">
        <v>45091.896226851852</v>
      </c>
      <c r="I1645" s="1" t="b">
        <v>0</v>
      </c>
      <c r="K1645" s="10">
        <f t="shared" si="127"/>
        <v>2.1761111111263745</v>
      </c>
      <c r="L1645" s="1" t="str">
        <f t="shared" si="128"/>
        <v>OK</v>
      </c>
      <c r="M1645" s="1">
        <f t="shared" si="125"/>
        <v>1</v>
      </c>
      <c r="N1645" s="1">
        <f t="shared" si="126"/>
        <v>18</v>
      </c>
      <c r="O1645" s="10">
        <f t="shared" si="129"/>
        <v>2.1761111111263745</v>
      </c>
    </row>
    <row r="1646" spans="1:15">
      <c r="A1646" s="1" t="s">
        <v>1751</v>
      </c>
      <c r="B1646" s="23">
        <v>45091.952777777777</v>
      </c>
      <c r="C1646" s="1" t="s">
        <v>16</v>
      </c>
      <c r="D1646" s="1" t="s">
        <v>12</v>
      </c>
      <c r="E1646" s="1" t="s">
        <v>22</v>
      </c>
      <c r="F1646" s="1" t="s">
        <v>326</v>
      </c>
      <c r="G1646" s="1">
        <v>22</v>
      </c>
      <c r="H1646" s="23">
        <v>45093.317523148151</v>
      </c>
      <c r="I1646" s="1" t="b">
        <v>0</v>
      </c>
      <c r="K1646" s="10">
        <f t="shared" si="127"/>
        <v>32.753888888983056</v>
      </c>
      <c r="L1646" s="1" t="str">
        <f t="shared" si="128"/>
        <v>OK</v>
      </c>
      <c r="M1646" s="1">
        <f t="shared" si="125"/>
        <v>1</v>
      </c>
      <c r="N1646" s="1">
        <f t="shared" si="126"/>
        <v>22</v>
      </c>
      <c r="O1646" s="10">
        <f t="shared" si="129"/>
        <v>32.753888888983056</v>
      </c>
    </row>
    <row r="1647" spans="1:15">
      <c r="A1647" s="1" t="s">
        <v>1752</v>
      </c>
      <c r="B1647" s="23">
        <v>45091.954861111109</v>
      </c>
      <c r="C1647" s="1" t="s">
        <v>25</v>
      </c>
      <c r="D1647" s="1" t="s">
        <v>21</v>
      </c>
      <c r="E1647" s="1" t="s">
        <v>22</v>
      </c>
      <c r="F1647" s="1" t="s">
        <v>415</v>
      </c>
      <c r="G1647" s="1">
        <v>38</v>
      </c>
      <c r="H1647" s="23">
        <v>45092.275000000001</v>
      </c>
      <c r="I1647" s="1" t="b">
        <v>0</v>
      </c>
      <c r="K1647" s="10">
        <f t="shared" si="127"/>
        <v>7.683333333407063</v>
      </c>
      <c r="L1647" s="1" t="str">
        <f t="shared" si="128"/>
        <v>OK</v>
      </c>
      <c r="M1647" s="1">
        <f t="shared" si="125"/>
        <v>1</v>
      </c>
      <c r="N1647" s="1">
        <f t="shared" si="126"/>
        <v>38</v>
      </c>
      <c r="O1647" s="10">
        <f t="shared" si="129"/>
        <v>7.683333333407063</v>
      </c>
    </row>
    <row r="1648" spans="1:15">
      <c r="A1648" s="1" t="s">
        <v>1753</v>
      </c>
      <c r="B1648" s="23">
        <v>45091.993750000001</v>
      </c>
      <c r="C1648" s="1" t="s">
        <v>16</v>
      </c>
      <c r="D1648" s="1" t="s">
        <v>26</v>
      </c>
      <c r="E1648" s="1" t="s">
        <v>18</v>
      </c>
      <c r="F1648" s="1" t="s">
        <v>41</v>
      </c>
      <c r="G1648" s="1">
        <v>1185</v>
      </c>
      <c r="H1648" s="23">
        <v>45092.246631944443</v>
      </c>
      <c r="I1648" s="1" t="b">
        <v>0</v>
      </c>
      <c r="K1648" s="10">
        <f t="shared" si="127"/>
        <v>6.0691666665952653</v>
      </c>
      <c r="L1648" s="1" t="str">
        <f t="shared" si="128"/>
        <v>Review</v>
      </c>
      <c r="M1648" s="1">
        <f t="shared" si="125"/>
        <v>1</v>
      </c>
      <c r="N1648" s="1" t="str">
        <f t="shared" si="126"/>
        <v/>
      </c>
      <c r="O1648" s="10" t="str">
        <f t="shared" si="129"/>
        <v/>
      </c>
    </row>
    <row r="1649" spans="1:15">
      <c r="A1649" s="1" t="s">
        <v>1754</v>
      </c>
      <c r="B1649" s="23">
        <v>45092.064583333333</v>
      </c>
      <c r="C1649" s="1" t="s">
        <v>16</v>
      </c>
      <c r="D1649" s="1" t="s">
        <v>17</v>
      </c>
      <c r="E1649" s="1" t="s">
        <v>13</v>
      </c>
      <c r="F1649" s="1" t="s">
        <v>86</v>
      </c>
      <c r="G1649" s="1">
        <v>31</v>
      </c>
      <c r="H1649" s="23">
        <v>45092.300578703704</v>
      </c>
      <c r="I1649" s="1" t="b">
        <v>0</v>
      </c>
      <c r="J1649" s="1">
        <v>5</v>
      </c>
      <c r="K1649" s="10">
        <f t="shared" si="127"/>
        <v>5.6638888888992369</v>
      </c>
      <c r="L1649" s="1" t="str">
        <f t="shared" si="128"/>
        <v>OK</v>
      </c>
      <c r="M1649" s="1">
        <f t="shared" si="125"/>
        <v>1</v>
      </c>
      <c r="N1649" s="1">
        <f t="shared" si="126"/>
        <v>31</v>
      </c>
      <c r="O1649" s="10">
        <f t="shared" si="129"/>
        <v>5.6638888888992369</v>
      </c>
    </row>
    <row r="1650" spans="1:15">
      <c r="A1650" s="1" t="s">
        <v>1755</v>
      </c>
      <c r="B1650" s="23">
        <v>45092.177083333336</v>
      </c>
      <c r="C1650" s="1" t="s">
        <v>16</v>
      </c>
      <c r="D1650" s="1" t="s">
        <v>17</v>
      </c>
      <c r="E1650" s="1" t="s">
        <v>18</v>
      </c>
      <c r="F1650" s="1" t="s">
        <v>90</v>
      </c>
      <c r="G1650" s="1">
        <v>200</v>
      </c>
      <c r="I1650" s="1" t="b">
        <v>0</v>
      </c>
      <c r="K1650" s="10" t="str">
        <f t="shared" si="127"/>
        <v/>
      </c>
      <c r="L1650" s="1" t="str">
        <f t="shared" si="128"/>
        <v>Cannot check</v>
      </c>
      <c r="M1650" s="1">
        <f t="shared" si="125"/>
        <v>1</v>
      </c>
      <c r="N1650" s="1">
        <f t="shared" si="126"/>
        <v>200</v>
      </c>
      <c r="O1650" s="10" t="str">
        <f t="shared" si="129"/>
        <v/>
      </c>
    </row>
    <row r="1651" spans="1:15">
      <c r="A1651" s="1" t="s">
        <v>1756</v>
      </c>
      <c r="B1651" s="23">
        <v>45092.193055555559</v>
      </c>
      <c r="C1651" s="1" t="s">
        <v>25</v>
      </c>
      <c r="D1651" s="1" t="s">
        <v>17</v>
      </c>
      <c r="E1651" s="1" t="s">
        <v>22</v>
      </c>
      <c r="F1651" s="1" t="s">
        <v>224</v>
      </c>
      <c r="G1651" s="1">
        <v>51</v>
      </c>
      <c r="H1651" s="23">
        <v>45092.523472222223</v>
      </c>
      <c r="I1651" s="1" t="b">
        <v>0</v>
      </c>
      <c r="J1651" s="1">
        <v>2</v>
      </c>
      <c r="K1651" s="10">
        <f t="shared" si="127"/>
        <v>7.9299999999348074</v>
      </c>
      <c r="L1651" s="1" t="str">
        <f t="shared" si="128"/>
        <v>OK</v>
      </c>
      <c r="M1651" s="1">
        <f t="shared" si="125"/>
        <v>1</v>
      </c>
      <c r="N1651" s="1">
        <f t="shared" si="126"/>
        <v>51</v>
      </c>
      <c r="O1651" s="10">
        <f t="shared" si="129"/>
        <v>7.9299999999348074</v>
      </c>
    </row>
    <row r="1652" spans="1:15">
      <c r="A1652" s="1" t="s">
        <v>1757</v>
      </c>
      <c r="B1652" s="23">
        <v>45092.211805555555</v>
      </c>
      <c r="C1652" s="1" t="s">
        <v>43</v>
      </c>
      <c r="D1652" s="1" t="s">
        <v>21</v>
      </c>
      <c r="E1652" s="1" t="s">
        <v>18</v>
      </c>
      <c r="F1652" s="1" t="s">
        <v>72</v>
      </c>
      <c r="G1652" s="1">
        <v>49</v>
      </c>
      <c r="H1652" s="23">
        <v>45094.339016203703</v>
      </c>
      <c r="I1652" s="1" t="b">
        <v>0</v>
      </c>
      <c r="K1652" s="10">
        <f t="shared" si="127"/>
        <v>51.053055555559695</v>
      </c>
      <c r="L1652" s="1" t="str">
        <f t="shared" si="128"/>
        <v>OK</v>
      </c>
      <c r="M1652" s="1">
        <f t="shared" si="125"/>
        <v>1</v>
      </c>
      <c r="N1652" s="1">
        <f t="shared" si="126"/>
        <v>49</v>
      </c>
      <c r="O1652" s="10">
        <f t="shared" si="129"/>
        <v>51.053055555559695</v>
      </c>
    </row>
    <row r="1653" spans="1:15">
      <c r="A1653" s="1" t="s">
        <v>1758</v>
      </c>
      <c r="B1653" s="23">
        <v>45092.326388888891</v>
      </c>
      <c r="C1653" s="1" t="s">
        <v>16</v>
      </c>
      <c r="D1653" s="1" t="s">
        <v>21</v>
      </c>
      <c r="E1653" s="1" t="s">
        <v>33</v>
      </c>
      <c r="F1653" s="1" t="s">
        <v>226</v>
      </c>
      <c r="G1653" s="1">
        <v>180</v>
      </c>
      <c r="H1653" s="23">
        <v>45093.320428240739</v>
      </c>
      <c r="I1653" s="1" t="b">
        <v>0</v>
      </c>
      <c r="K1653" s="10">
        <f t="shared" si="127"/>
        <v>23.856944444356486</v>
      </c>
      <c r="L1653" s="1" t="str">
        <f t="shared" si="128"/>
        <v>OK</v>
      </c>
      <c r="M1653" s="1">
        <f t="shared" si="125"/>
        <v>1</v>
      </c>
      <c r="N1653" s="1">
        <f t="shared" si="126"/>
        <v>180</v>
      </c>
      <c r="O1653" s="10">
        <f t="shared" si="129"/>
        <v>23.856944444356486</v>
      </c>
    </row>
    <row r="1654" spans="1:15">
      <c r="A1654" s="1" t="s">
        <v>1759</v>
      </c>
      <c r="B1654" s="23">
        <v>45092.347222222219</v>
      </c>
      <c r="C1654" s="1" t="s">
        <v>25</v>
      </c>
      <c r="D1654" s="1" t="s">
        <v>21</v>
      </c>
      <c r="E1654" s="1" t="s">
        <v>18</v>
      </c>
      <c r="F1654" s="1" t="s">
        <v>148</v>
      </c>
      <c r="G1654" s="1">
        <v>158</v>
      </c>
      <c r="H1654" s="23">
        <v>45094.235219907408</v>
      </c>
      <c r="I1654" s="1" t="b">
        <v>0</v>
      </c>
      <c r="J1654" s="1">
        <v>5</v>
      </c>
      <c r="K1654" s="10">
        <f t="shared" si="127"/>
        <v>45.311944444547407</v>
      </c>
      <c r="L1654" s="1" t="str">
        <f t="shared" si="128"/>
        <v>OK</v>
      </c>
      <c r="M1654" s="1">
        <f t="shared" si="125"/>
        <v>1</v>
      </c>
      <c r="N1654" s="1">
        <f t="shared" si="126"/>
        <v>158</v>
      </c>
      <c r="O1654" s="10">
        <f t="shared" si="129"/>
        <v>45.311944444547407</v>
      </c>
    </row>
    <row r="1655" spans="1:15">
      <c r="A1655" s="1" t="s">
        <v>1760</v>
      </c>
      <c r="B1655" s="23">
        <v>45092.361111111109</v>
      </c>
      <c r="C1655" s="1" t="s">
        <v>25</v>
      </c>
      <c r="D1655" s="1" t="s">
        <v>12</v>
      </c>
      <c r="E1655" s="1" t="s">
        <v>13</v>
      </c>
      <c r="F1655" s="1" t="s">
        <v>27</v>
      </c>
      <c r="G1655" s="1">
        <v>28</v>
      </c>
      <c r="H1655" s="23">
        <v>45092.436793981484</v>
      </c>
      <c r="I1655" s="1" t="b">
        <v>0</v>
      </c>
      <c r="J1655" s="1">
        <v>5</v>
      </c>
      <c r="K1655" s="10">
        <f t="shared" si="127"/>
        <v>1.8163888889830559</v>
      </c>
      <c r="L1655" s="1" t="str">
        <f t="shared" si="128"/>
        <v>OK</v>
      </c>
      <c r="M1655" s="1">
        <f t="shared" si="125"/>
        <v>1</v>
      </c>
      <c r="N1655" s="1">
        <f t="shared" si="126"/>
        <v>28</v>
      </c>
      <c r="O1655" s="10">
        <f t="shared" si="129"/>
        <v>1.8163888889830559</v>
      </c>
    </row>
    <row r="1656" spans="1:15">
      <c r="A1656" s="1" t="s">
        <v>1761</v>
      </c>
      <c r="B1656" s="23">
        <v>45092.423611111109</v>
      </c>
      <c r="C1656" s="1" t="s">
        <v>16</v>
      </c>
      <c r="D1656" s="1" t="s">
        <v>21</v>
      </c>
      <c r="E1656" s="1" t="s">
        <v>13</v>
      </c>
      <c r="F1656" s="1" t="s">
        <v>128</v>
      </c>
      <c r="G1656" s="1">
        <v>172</v>
      </c>
      <c r="H1656" s="23">
        <v>45092.713518518518</v>
      </c>
      <c r="I1656" s="1" t="b">
        <v>0</v>
      </c>
      <c r="J1656" s="1">
        <v>4</v>
      </c>
      <c r="K1656" s="10">
        <f t="shared" si="127"/>
        <v>6.9577777778031304</v>
      </c>
      <c r="L1656" s="1" t="str">
        <f t="shared" si="128"/>
        <v>OK</v>
      </c>
      <c r="M1656" s="1">
        <f t="shared" si="125"/>
        <v>1</v>
      </c>
      <c r="N1656" s="1">
        <f t="shared" si="126"/>
        <v>172</v>
      </c>
      <c r="O1656" s="10">
        <f t="shared" si="129"/>
        <v>6.9577777778031304</v>
      </c>
    </row>
    <row r="1657" spans="1:15">
      <c r="A1657" s="1" t="s">
        <v>1762</v>
      </c>
      <c r="B1657" s="23">
        <v>45092.466666666667</v>
      </c>
      <c r="C1657" s="1" t="s">
        <v>43</v>
      </c>
      <c r="D1657" s="1" t="s">
        <v>17</v>
      </c>
      <c r="E1657" s="1" t="s">
        <v>18</v>
      </c>
      <c r="F1657" s="1" t="s">
        <v>709</v>
      </c>
      <c r="G1657" s="1">
        <v>98</v>
      </c>
      <c r="H1657" s="23">
        <v>45096.508402777778</v>
      </c>
      <c r="I1657" s="1" t="b">
        <v>0</v>
      </c>
      <c r="K1657" s="10">
        <f t="shared" si="127"/>
        <v>97.001666666648816</v>
      </c>
      <c r="L1657" s="1" t="str">
        <f t="shared" si="128"/>
        <v>OK</v>
      </c>
      <c r="M1657" s="1">
        <f t="shared" si="125"/>
        <v>1</v>
      </c>
      <c r="N1657" s="1">
        <f t="shared" si="126"/>
        <v>98</v>
      </c>
      <c r="O1657" s="10">
        <f t="shared" si="129"/>
        <v>97.001666666648816</v>
      </c>
    </row>
    <row r="1658" spans="1:15">
      <c r="A1658" s="1" t="s">
        <v>1763</v>
      </c>
      <c r="B1658" s="23">
        <v>45092.590277777781</v>
      </c>
      <c r="C1658" s="1" t="s">
        <v>16</v>
      </c>
      <c r="D1658" s="1" t="s">
        <v>21</v>
      </c>
      <c r="E1658" s="1" t="s">
        <v>18</v>
      </c>
      <c r="F1658" s="1" t="s">
        <v>14</v>
      </c>
      <c r="G1658" s="1">
        <v>238</v>
      </c>
      <c r="H1658" s="23">
        <v>45093.434861111113</v>
      </c>
      <c r="I1658" s="1" t="b">
        <v>0</v>
      </c>
      <c r="K1658" s="10">
        <f t="shared" si="127"/>
        <v>20.269999999960419</v>
      </c>
      <c r="L1658" s="1" t="str">
        <f t="shared" si="128"/>
        <v>OK</v>
      </c>
      <c r="M1658" s="1">
        <f t="shared" si="125"/>
        <v>1</v>
      </c>
      <c r="N1658" s="1">
        <f t="shared" si="126"/>
        <v>238</v>
      </c>
      <c r="O1658" s="10">
        <f t="shared" si="129"/>
        <v>20.269999999960419</v>
      </c>
    </row>
    <row r="1659" spans="1:15">
      <c r="A1659" s="1" t="s">
        <v>1764</v>
      </c>
      <c r="B1659" s="23">
        <v>45092.707638888889</v>
      </c>
      <c r="C1659" s="1" t="s">
        <v>16</v>
      </c>
      <c r="D1659" s="1" t="s">
        <v>12</v>
      </c>
      <c r="E1659" s="1" t="s">
        <v>22</v>
      </c>
      <c r="F1659" s="1" t="s">
        <v>78</v>
      </c>
      <c r="G1659" s="1">
        <v>34</v>
      </c>
      <c r="H1659" s="23">
        <v>45093.211354166669</v>
      </c>
      <c r="I1659" s="1" t="b">
        <v>0</v>
      </c>
      <c r="K1659" s="10">
        <f t="shared" si="127"/>
        <v>12.089166666730307</v>
      </c>
      <c r="L1659" s="1" t="str">
        <f t="shared" si="128"/>
        <v>OK</v>
      </c>
      <c r="M1659" s="1">
        <f t="shared" si="125"/>
        <v>1</v>
      </c>
      <c r="N1659" s="1">
        <f t="shared" si="126"/>
        <v>34</v>
      </c>
      <c r="O1659" s="10">
        <f t="shared" si="129"/>
        <v>12.089166666730307</v>
      </c>
    </row>
    <row r="1660" spans="1:15">
      <c r="A1660" s="1" t="s">
        <v>1765</v>
      </c>
      <c r="B1660" s="23">
        <v>45092.756944444445</v>
      </c>
      <c r="C1660" s="1" t="s">
        <v>11</v>
      </c>
      <c r="D1660" s="1" t="s">
        <v>59</v>
      </c>
      <c r="E1660" s="1" t="s">
        <v>13</v>
      </c>
      <c r="F1660" s="1" t="s">
        <v>98</v>
      </c>
      <c r="G1660" s="1">
        <v>60</v>
      </c>
      <c r="H1660" s="23">
        <v>45093.004247685189</v>
      </c>
      <c r="I1660" s="1" t="b">
        <v>0</v>
      </c>
      <c r="J1660" s="1">
        <v>5</v>
      </c>
      <c r="K1660" s="10">
        <f t="shared" si="127"/>
        <v>5.9352777778403834</v>
      </c>
      <c r="L1660" s="1" t="str">
        <f t="shared" si="128"/>
        <v>OK</v>
      </c>
      <c r="M1660" s="1">
        <f t="shared" si="125"/>
        <v>1</v>
      </c>
      <c r="N1660" s="1">
        <f t="shared" si="126"/>
        <v>60</v>
      </c>
      <c r="O1660" s="10">
        <f t="shared" si="129"/>
        <v>5.9352777778403834</v>
      </c>
    </row>
    <row r="1661" spans="1:15">
      <c r="A1661" s="1" t="s">
        <v>1766</v>
      </c>
      <c r="B1661" s="23">
        <v>45092.786111111112</v>
      </c>
      <c r="C1661" s="1" t="s">
        <v>16</v>
      </c>
      <c r="D1661" s="1" t="s">
        <v>17</v>
      </c>
      <c r="E1661" s="1" t="s">
        <v>13</v>
      </c>
      <c r="F1661" s="1" t="s">
        <v>14</v>
      </c>
      <c r="H1661" s="23">
        <v>45093.091597222221</v>
      </c>
      <c r="I1661" s="1" t="b">
        <v>0</v>
      </c>
      <c r="K1661" s="10">
        <f t="shared" si="127"/>
        <v>7.3316666666069068</v>
      </c>
      <c r="L1661" s="1" t="str">
        <f t="shared" si="128"/>
        <v>Cannot check</v>
      </c>
      <c r="M1661" s="1">
        <f t="shared" si="125"/>
        <v>1</v>
      </c>
      <c r="N1661" s="1" t="str">
        <f t="shared" si="126"/>
        <v/>
      </c>
      <c r="O1661" s="10">
        <f t="shared" si="129"/>
        <v>7.3316666666069068</v>
      </c>
    </row>
    <row r="1662" spans="1:15">
      <c r="A1662" s="1" t="s">
        <v>1767</v>
      </c>
      <c r="B1662" s="23">
        <v>45092.794444444444</v>
      </c>
      <c r="C1662" s="1" t="s">
        <v>16</v>
      </c>
      <c r="D1662" s="1" t="s">
        <v>17</v>
      </c>
      <c r="E1662" s="1" t="s">
        <v>18</v>
      </c>
      <c r="F1662" s="1" t="s">
        <v>130</v>
      </c>
      <c r="G1662" s="1">
        <v>184</v>
      </c>
      <c r="H1662" s="23">
        <v>45097.412372685183</v>
      </c>
      <c r="I1662" s="1" t="b">
        <v>0</v>
      </c>
      <c r="K1662" s="10">
        <f t="shared" si="127"/>
        <v>110.83027777774259</v>
      </c>
      <c r="L1662" s="1" t="str">
        <f t="shared" si="128"/>
        <v>OK</v>
      </c>
      <c r="M1662" s="1">
        <f t="shared" si="125"/>
        <v>1</v>
      </c>
      <c r="N1662" s="1">
        <f t="shared" si="126"/>
        <v>184</v>
      </c>
      <c r="O1662" s="10">
        <f t="shared" si="129"/>
        <v>110.83027777774259</v>
      </c>
    </row>
    <row r="1663" spans="1:15">
      <c r="A1663" s="1" t="s">
        <v>1768</v>
      </c>
      <c r="B1663" s="23">
        <v>45092.819444444445</v>
      </c>
      <c r="C1663" s="1" t="s">
        <v>16</v>
      </c>
      <c r="D1663" s="1" t="s">
        <v>17</v>
      </c>
      <c r="E1663" s="1" t="s">
        <v>13</v>
      </c>
      <c r="F1663" s="1" t="s">
        <v>60</v>
      </c>
      <c r="G1663" s="1">
        <v>10</v>
      </c>
      <c r="H1663" s="23">
        <v>45094.506168981483</v>
      </c>
      <c r="I1663" s="1" t="b">
        <v>0</v>
      </c>
      <c r="K1663" s="10">
        <f t="shared" si="127"/>
        <v>40.481388888903894</v>
      </c>
      <c r="L1663" s="1" t="str">
        <f t="shared" si="128"/>
        <v>OK</v>
      </c>
      <c r="M1663" s="1">
        <f t="shared" si="125"/>
        <v>1</v>
      </c>
      <c r="N1663" s="1">
        <f t="shared" si="126"/>
        <v>10</v>
      </c>
      <c r="O1663" s="10">
        <f t="shared" si="129"/>
        <v>40.481388888903894</v>
      </c>
    </row>
    <row r="1664" spans="1:15">
      <c r="A1664" s="1" t="s">
        <v>1769</v>
      </c>
      <c r="B1664" s="23">
        <v>45092.890277777777</v>
      </c>
      <c r="C1664" s="1" t="s">
        <v>25</v>
      </c>
      <c r="D1664" s="1" t="s">
        <v>26</v>
      </c>
      <c r="E1664" s="1" t="s">
        <v>18</v>
      </c>
      <c r="F1664" s="1" t="s">
        <v>201</v>
      </c>
      <c r="G1664" s="1">
        <v>192</v>
      </c>
      <c r="H1664" s="23">
        <v>45107.560196759259</v>
      </c>
      <c r="I1664" s="1" t="b">
        <v>0</v>
      </c>
      <c r="J1664" s="1">
        <v>1</v>
      </c>
      <c r="K1664" s="10">
        <f t="shared" si="127"/>
        <v>352.07805555558298</v>
      </c>
      <c r="L1664" s="1" t="str">
        <f t="shared" si="128"/>
        <v>OK</v>
      </c>
      <c r="M1664" s="1">
        <f t="shared" si="125"/>
        <v>1</v>
      </c>
      <c r="N1664" s="1">
        <f t="shared" si="126"/>
        <v>192</v>
      </c>
      <c r="O1664" s="10">
        <f t="shared" si="129"/>
        <v>352.07805555558298</v>
      </c>
    </row>
    <row r="1665" spans="1:15">
      <c r="A1665" s="1" t="s">
        <v>1770</v>
      </c>
      <c r="B1665" s="23">
        <v>45092.947916666664</v>
      </c>
      <c r="C1665" s="1" t="s">
        <v>11</v>
      </c>
      <c r="D1665" s="1" t="s">
        <v>26</v>
      </c>
      <c r="E1665" s="1" t="s">
        <v>33</v>
      </c>
      <c r="F1665" s="1" t="s">
        <v>153</v>
      </c>
      <c r="G1665" s="1">
        <v>52</v>
      </c>
      <c r="H1665" s="23">
        <v>45101.597361111111</v>
      </c>
      <c r="I1665" s="1" t="b">
        <v>0</v>
      </c>
      <c r="J1665" s="1">
        <v>3</v>
      </c>
      <c r="K1665" s="10">
        <f t="shared" si="127"/>
        <v>207.58666666672798</v>
      </c>
      <c r="L1665" s="1" t="str">
        <f t="shared" si="128"/>
        <v>OK</v>
      </c>
      <c r="M1665" s="1">
        <f t="shared" si="125"/>
        <v>1</v>
      </c>
      <c r="N1665" s="1">
        <f t="shared" si="126"/>
        <v>52</v>
      </c>
      <c r="O1665" s="10">
        <f t="shared" si="129"/>
        <v>207.58666666672798</v>
      </c>
    </row>
    <row r="1666" spans="1:15">
      <c r="A1666" s="1" t="s">
        <v>1771</v>
      </c>
      <c r="B1666" s="23">
        <v>45092.968055555553</v>
      </c>
      <c r="C1666" s="1" t="s">
        <v>43</v>
      </c>
      <c r="D1666" s="1" t="s">
        <v>59</v>
      </c>
      <c r="E1666" s="1" t="s">
        <v>33</v>
      </c>
      <c r="F1666" s="1" t="s">
        <v>256</v>
      </c>
      <c r="G1666" s="1">
        <v>1092</v>
      </c>
      <c r="H1666" s="23">
        <v>45093.618842592594</v>
      </c>
      <c r="I1666" s="1" t="b">
        <v>0</v>
      </c>
      <c r="K1666" s="10">
        <f t="shared" si="127"/>
        <v>15.618888888973743</v>
      </c>
      <c r="L1666" s="1" t="str">
        <f t="shared" si="128"/>
        <v>Review</v>
      </c>
      <c r="M1666" s="1">
        <f t="shared" ref="M1666:M1729" si="130">COUNTIF($A$2:$A$4001,A1666)</f>
        <v>1</v>
      </c>
      <c r="N1666" s="1" t="str">
        <f t="shared" ref="N1666:N1729" si="131">IF(OR(L1666="Review",G1666=""),"",G1666)</f>
        <v/>
      </c>
      <c r="O1666" s="10" t="str">
        <f t="shared" si="129"/>
        <v/>
      </c>
    </row>
    <row r="1667" spans="1:15">
      <c r="A1667" s="1" t="s">
        <v>1772</v>
      </c>
      <c r="B1667" s="23">
        <v>45093.002083333333</v>
      </c>
      <c r="C1667" s="1" t="s">
        <v>43</v>
      </c>
      <c r="D1667" s="1" t="s">
        <v>26</v>
      </c>
      <c r="E1667" s="1" t="s">
        <v>18</v>
      </c>
      <c r="F1667" s="1" t="s">
        <v>86</v>
      </c>
      <c r="G1667" s="1">
        <v>37</v>
      </c>
      <c r="H1667" s="23">
        <v>45093.725081018521</v>
      </c>
      <c r="I1667" s="1" t="b">
        <v>0</v>
      </c>
      <c r="K1667" s="10">
        <f t="shared" ref="K1667:K1730" si="132">IF(H1667="","",(H1667-B1667)*24)</f>
        <v>17.351944444526453</v>
      </c>
      <c r="L1667" s="1" t="str">
        <f t="shared" ref="L1667:L1730" si="133">IF(OR(G1667="",K1667=""),"Cannot check",IF(G1667&gt;K1667*60,"Review","OK"))</f>
        <v>OK</v>
      </c>
      <c r="M1667" s="1">
        <f t="shared" si="130"/>
        <v>1</v>
      </c>
      <c r="N1667" s="1">
        <f t="shared" si="131"/>
        <v>37</v>
      </c>
      <c r="O1667" s="10">
        <f t="shared" ref="O1667:O1730" si="134">IF(OR(L1667="Review",K1667=""),"",K1667)</f>
        <v>17.351944444526453</v>
      </c>
    </row>
    <row r="1668" spans="1:15">
      <c r="A1668" s="1" t="s">
        <v>1773</v>
      </c>
      <c r="B1668" s="23">
        <v>45093.031944444447</v>
      </c>
      <c r="C1668" s="1" t="s">
        <v>16</v>
      </c>
      <c r="D1668" s="1" t="s">
        <v>17</v>
      </c>
      <c r="E1668" s="1" t="s">
        <v>18</v>
      </c>
      <c r="F1668" s="1" t="s">
        <v>130</v>
      </c>
      <c r="G1668" s="1">
        <v>50</v>
      </c>
      <c r="H1668" s="23">
        <v>45094.328784722224</v>
      </c>
      <c r="I1668" s="1" t="b">
        <v>0</v>
      </c>
      <c r="K1668" s="10">
        <f t="shared" si="132"/>
        <v>31.124166666646488</v>
      </c>
      <c r="L1668" s="1" t="str">
        <f t="shared" si="133"/>
        <v>OK</v>
      </c>
      <c r="M1668" s="1">
        <f t="shared" si="130"/>
        <v>1</v>
      </c>
      <c r="N1668" s="1">
        <f t="shared" si="131"/>
        <v>50</v>
      </c>
      <c r="O1668" s="10">
        <f t="shared" si="134"/>
        <v>31.124166666646488</v>
      </c>
    </row>
    <row r="1669" spans="1:15">
      <c r="A1669" s="1" t="s">
        <v>1774</v>
      </c>
      <c r="B1669" s="23">
        <v>45093.263194444444</v>
      </c>
      <c r="C1669" s="1" t="s">
        <v>43</v>
      </c>
      <c r="D1669" s="1" t="s">
        <v>17</v>
      </c>
      <c r="E1669" s="1" t="s">
        <v>18</v>
      </c>
      <c r="F1669" s="1" t="s">
        <v>237</v>
      </c>
      <c r="G1669" s="1">
        <v>161</v>
      </c>
      <c r="H1669" s="23">
        <v>45098.405312499999</v>
      </c>
      <c r="I1669" s="1" t="b">
        <v>0</v>
      </c>
      <c r="K1669" s="10">
        <f t="shared" si="132"/>
        <v>123.4108333333279</v>
      </c>
      <c r="L1669" s="1" t="str">
        <f t="shared" si="133"/>
        <v>OK</v>
      </c>
      <c r="M1669" s="1">
        <f t="shared" si="130"/>
        <v>1</v>
      </c>
      <c r="N1669" s="1">
        <f t="shared" si="131"/>
        <v>161</v>
      </c>
      <c r="O1669" s="10">
        <f t="shared" si="134"/>
        <v>123.4108333333279</v>
      </c>
    </row>
    <row r="1670" spans="1:15">
      <c r="A1670" s="1" t="s">
        <v>1775</v>
      </c>
      <c r="B1670" s="23">
        <v>45093.361805555556</v>
      </c>
      <c r="C1670" s="1" t="s">
        <v>25</v>
      </c>
      <c r="D1670" s="1" t="s">
        <v>21</v>
      </c>
      <c r="E1670" s="1" t="s">
        <v>13</v>
      </c>
      <c r="F1670" s="1" t="s">
        <v>118</v>
      </c>
      <c r="G1670" s="1">
        <v>16</v>
      </c>
      <c r="I1670" s="1" t="b">
        <v>0</v>
      </c>
      <c r="K1670" s="10" t="str">
        <f t="shared" si="132"/>
        <v/>
      </c>
      <c r="L1670" s="1" t="str">
        <f t="shared" si="133"/>
        <v>Cannot check</v>
      </c>
      <c r="M1670" s="1">
        <f t="shared" si="130"/>
        <v>1</v>
      </c>
      <c r="N1670" s="1">
        <f t="shared" si="131"/>
        <v>16</v>
      </c>
      <c r="O1670" s="10" t="str">
        <f t="shared" si="134"/>
        <v/>
      </c>
    </row>
    <row r="1671" spans="1:15">
      <c r="A1671" s="1" t="s">
        <v>1776</v>
      </c>
      <c r="B1671" s="23">
        <v>45093.536111111112</v>
      </c>
      <c r="C1671" s="1" t="s">
        <v>16</v>
      </c>
      <c r="D1671" s="1" t="s">
        <v>21</v>
      </c>
      <c r="E1671" s="1" t="s">
        <v>22</v>
      </c>
      <c r="F1671" s="1" t="s">
        <v>153</v>
      </c>
      <c r="G1671" s="1">
        <v>26</v>
      </c>
      <c r="H1671" s="23">
        <v>45094.089467592596</v>
      </c>
      <c r="I1671" s="1" t="b">
        <v>0</v>
      </c>
      <c r="K1671" s="10">
        <f t="shared" si="132"/>
        <v>13.280555555596948</v>
      </c>
      <c r="L1671" s="1" t="str">
        <f t="shared" si="133"/>
        <v>OK</v>
      </c>
      <c r="M1671" s="1">
        <f t="shared" si="130"/>
        <v>1</v>
      </c>
      <c r="N1671" s="1">
        <f t="shared" si="131"/>
        <v>26</v>
      </c>
      <c r="O1671" s="10">
        <f t="shared" si="134"/>
        <v>13.280555555596948</v>
      </c>
    </row>
    <row r="1672" spans="1:15">
      <c r="A1672" s="1" t="s">
        <v>1777</v>
      </c>
      <c r="B1672" s="23">
        <v>45093.683333333334</v>
      </c>
      <c r="C1672" s="1" t="s">
        <v>11</v>
      </c>
      <c r="D1672" s="1" t="s">
        <v>21</v>
      </c>
      <c r="E1672" s="1" t="s">
        <v>18</v>
      </c>
      <c r="F1672" s="1" t="s">
        <v>486</v>
      </c>
      <c r="H1672" s="23">
        <v>45093.716469907406</v>
      </c>
      <c r="I1672" s="1" t="b">
        <v>0</v>
      </c>
      <c r="J1672" s="1">
        <v>4</v>
      </c>
      <c r="K1672" s="10">
        <f t="shared" si="132"/>
        <v>0.79527777770999819</v>
      </c>
      <c r="L1672" s="1" t="str">
        <f t="shared" si="133"/>
        <v>Cannot check</v>
      </c>
      <c r="M1672" s="1">
        <f t="shared" si="130"/>
        <v>1</v>
      </c>
      <c r="N1672" s="1" t="str">
        <f t="shared" si="131"/>
        <v/>
      </c>
      <c r="O1672" s="10">
        <f t="shared" si="134"/>
        <v>0.79527777770999819</v>
      </c>
    </row>
    <row r="1673" spans="1:15">
      <c r="A1673" s="1" t="s">
        <v>1778</v>
      </c>
      <c r="B1673" s="23">
        <v>45093.7</v>
      </c>
      <c r="C1673" s="1" t="s">
        <v>16</v>
      </c>
      <c r="D1673" s="1" t="s">
        <v>17</v>
      </c>
      <c r="E1673" s="1" t="s">
        <v>18</v>
      </c>
      <c r="F1673" s="1" t="s">
        <v>27</v>
      </c>
      <c r="G1673" s="1">
        <v>98</v>
      </c>
      <c r="H1673" s="23">
        <v>45095.223912037036</v>
      </c>
      <c r="I1673" s="1" t="b">
        <v>0</v>
      </c>
      <c r="K1673" s="10">
        <f t="shared" si="132"/>
        <v>36.573888888931833</v>
      </c>
      <c r="L1673" s="1" t="str">
        <f t="shared" si="133"/>
        <v>OK</v>
      </c>
      <c r="M1673" s="1">
        <f t="shared" si="130"/>
        <v>1</v>
      </c>
      <c r="N1673" s="1">
        <f t="shared" si="131"/>
        <v>98</v>
      </c>
      <c r="O1673" s="10">
        <f t="shared" si="134"/>
        <v>36.573888888931833</v>
      </c>
    </row>
    <row r="1674" spans="1:15">
      <c r="A1674" s="1" t="s">
        <v>1779</v>
      </c>
      <c r="B1674" s="23">
        <v>45093.779166666667</v>
      </c>
      <c r="C1674" s="1" t="s">
        <v>11</v>
      </c>
      <c r="D1674" s="1" t="s">
        <v>59</v>
      </c>
      <c r="E1674" s="1" t="s">
        <v>18</v>
      </c>
      <c r="F1674" s="1" t="s">
        <v>228</v>
      </c>
      <c r="G1674" s="1">
        <v>927</v>
      </c>
      <c r="H1674" s="23">
        <v>45094.120879629627</v>
      </c>
      <c r="I1674" s="1" t="b">
        <v>0</v>
      </c>
      <c r="K1674" s="10">
        <f t="shared" si="132"/>
        <v>8.2011111110332422</v>
      </c>
      <c r="L1674" s="1" t="str">
        <f t="shared" si="133"/>
        <v>Review</v>
      </c>
      <c r="M1674" s="1">
        <f t="shared" si="130"/>
        <v>1</v>
      </c>
      <c r="N1674" s="1" t="str">
        <f t="shared" si="131"/>
        <v/>
      </c>
      <c r="O1674" s="10" t="str">
        <f t="shared" si="134"/>
        <v/>
      </c>
    </row>
    <row r="1675" spans="1:15">
      <c r="A1675" s="1" t="s">
        <v>1780</v>
      </c>
      <c r="B1675" s="23">
        <v>45094.029166666667</v>
      </c>
      <c r="C1675" s="1" t="s">
        <v>25</v>
      </c>
      <c r="D1675" s="1" t="s">
        <v>26</v>
      </c>
      <c r="E1675" s="1" t="s">
        <v>13</v>
      </c>
      <c r="F1675" s="1" t="s">
        <v>145</v>
      </c>
      <c r="G1675" s="1">
        <v>27</v>
      </c>
      <c r="H1675" s="23">
        <v>45095.051226851851</v>
      </c>
      <c r="I1675" s="1" t="b">
        <v>0</v>
      </c>
      <c r="K1675" s="10">
        <f t="shared" si="132"/>
        <v>24.529444444400724</v>
      </c>
      <c r="L1675" s="1" t="str">
        <f t="shared" si="133"/>
        <v>OK</v>
      </c>
      <c r="M1675" s="1">
        <f t="shared" si="130"/>
        <v>1</v>
      </c>
      <c r="N1675" s="1">
        <f t="shared" si="131"/>
        <v>27</v>
      </c>
      <c r="O1675" s="10">
        <f t="shared" si="134"/>
        <v>24.529444444400724</v>
      </c>
    </row>
    <row r="1676" spans="1:15">
      <c r="A1676" s="1" t="s">
        <v>1781</v>
      </c>
      <c r="B1676" s="23">
        <v>45094.090277777781</v>
      </c>
      <c r="C1676" s="1" t="s">
        <v>25</v>
      </c>
      <c r="D1676" s="1" t="s">
        <v>12</v>
      </c>
      <c r="E1676" s="1" t="s">
        <v>13</v>
      </c>
      <c r="F1676" s="1" t="s">
        <v>57</v>
      </c>
      <c r="G1676" s="1">
        <v>49</v>
      </c>
      <c r="H1676" s="23">
        <v>45094.302858796298</v>
      </c>
      <c r="I1676" s="1" t="b">
        <v>0</v>
      </c>
      <c r="J1676" s="1">
        <v>5</v>
      </c>
      <c r="K1676" s="10">
        <f t="shared" si="132"/>
        <v>5.1019444444100372</v>
      </c>
      <c r="L1676" s="1" t="str">
        <f t="shared" si="133"/>
        <v>OK</v>
      </c>
      <c r="M1676" s="1">
        <f t="shared" si="130"/>
        <v>1</v>
      </c>
      <c r="N1676" s="1">
        <f t="shared" si="131"/>
        <v>49</v>
      </c>
      <c r="O1676" s="10">
        <f t="shared" si="134"/>
        <v>5.1019444444100372</v>
      </c>
    </row>
    <row r="1677" spans="1:15">
      <c r="A1677" s="1" t="s">
        <v>1782</v>
      </c>
      <c r="B1677" s="23">
        <v>45094.165972222225</v>
      </c>
      <c r="C1677" s="1" t="s">
        <v>43</v>
      </c>
      <c r="D1677" s="1" t="s">
        <v>21</v>
      </c>
      <c r="E1677" s="1" t="s">
        <v>33</v>
      </c>
      <c r="F1677" s="1" t="s">
        <v>29</v>
      </c>
      <c r="G1677" s="1">
        <v>1082</v>
      </c>
      <c r="H1677" s="23">
        <v>45096.906053240738</v>
      </c>
      <c r="I1677" s="1" t="b">
        <v>0</v>
      </c>
      <c r="K1677" s="10">
        <f t="shared" si="132"/>
        <v>65.761944444326218</v>
      </c>
      <c r="L1677" s="1" t="str">
        <f t="shared" si="133"/>
        <v>OK</v>
      </c>
      <c r="M1677" s="1">
        <f t="shared" si="130"/>
        <v>1</v>
      </c>
      <c r="N1677" s="1">
        <f t="shared" si="131"/>
        <v>1082</v>
      </c>
      <c r="O1677" s="10">
        <f t="shared" si="134"/>
        <v>65.761944444326218</v>
      </c>
    </row>
    <row r="1678" spans="1:15">
      <c r="A1678" s="1" t="s">
        <v>1783</v>
      </c>
      <c r="B1678" s="23">
        <v>45094.208333333336</v>
      </c>
      <c r="C1678" s="1" t="s">
        <v>11</v>
      </c>
      <c r="D1678" s="1" t="s">
        <v>21</v>
      </c>
      <c r="E1678" s="1" t="s">
        <v>18</v>
      </c>
      <c r="F1678" s="1" t="s">
        <v>159</v>
      </c>
      <c r="G1678" s="1">
        <v>14</v>
      </c>
      <c r="H1678" s="23">
        <v>45095.248888888891</v>
      </c>
      <c r="I1678" s="1" t="b">
        <v>0</v>
      </c>
      <c r="K1678" s="10">
        <f t="shared" si="132"/>
        <v>24.973333333327901</v>
      </c>
      <c r="L1678" s="1" t="str">
        <f t="shared" si="133"/>
        <v>OK</v>
      </c>
      <c r="M1678" s="1">
        <f t="shared" si="130"/>
        <v>1</v>
      </c>
      <c r="N1678" s="1">
        <f t="shared" si="131"/>
        <v>14</v>
      </c>
      <c r="O1678" s="10">
        <f t="shared" si="134"/>
        <v>24.973333333327901</v>
      </c>
    </row>
    <row r="1679" spans="1:15">
      <c r="A1679" s="1" t="s">
        <v>1784</v>
      </c>
      <c r="B1679" s="23">
        <v>45094.46875</v>
      </c>
      <c r="C1679" s="1" t="s">
        <v>16</v>
      </c>
      <c r="D1679" s="1" t="s">
        <v>21</v>
      </c>
      <c r="E1679" s="1" t="s">
        <v>18</v>
      </c>
      <c r="F1679" s="1" t="s">
        <v>27</v>
      </c>
      <c r="G1679" s="1">
        <v>750</v>
      </c>
      <c r="H1679" s="23">
        <v>45097.154849537037</v>
      </c>
      <c r="I1679" s="1" t="b">
        <v>0</v>
      </c>
      <c r="K1679" s="10">
        <f t="shared" si="132"/>
        <v>64.466388888889924</v>
      </c>
      <c r="L1679" s="1" t="str">
        <f t="shared" si="133"/>
        <v>OK</v>
      </c>
      <c r="M1679" s="1">
        <f t="shared" si="130"/>
        <v>1</v>
      </c>
      <c r="N1679" s="1">
        <f t="shared" si="131"/>
        <v>750</v>
      </c>
      <c r="O1679" s="10">
        <f t="shared" si="134"/>
        <v>64.466388888889924</v>
      </c>
    </row>
    <row r="1680" spans="1:15">
      <c r="A1680" s="1" t="s">
        <v>1785</v>
      </c>
      <c r="B1680" s="23">
        <v>45094.523611111108</v>
      </c>
      <c r="C1680" s="1" t="s">
        <v>16</v>
      </c>
      <c r="D1680" s="1" t="s">
        <v>12</v>
      </c>
      <c r="E1680" s="1" t="s">
        <v>22</v>
      </c>
      <c r="F1680" s="1" t="s">
        <v>345</v>
      </c>
      <c r="G1680" s="1">
        <v>26</v>
      </c>
      <c r="H1680" s="23">
        <v>45095.195231481484</v>
      </c>
      <c r="I1680" s="1" t="b">
        <v>0</v>
      </c>
      <c r="K1680" s="10">
        <f t="shared" si="132"/>
        <v>16.11888888903195</v>
      </c>
      <c r="L1680" s="1" t="str">
        <f t="shared" si="133"/>
        <v>OK</v>
      </c>
      <c r="M1680" s="1">
        <f t="shared" si="130"/>
        <v>1</v>
      </c>
      <c r="N1680" s="1">
        <f t="shared" si="131"/>
        <v>26</v>
      </c>
      <c r="O1680" s="10">
        <f t="shared" si="134"/>
        <v>16.11888888903195</v>
      </c>
    </row>
    <row r="1681" spans="1:15">
      <c r="A1681" s="1" t="s">
        <v>1786</v>
      </c>
      <c r="B1681" s="23">
        <v>45094.527083333334</v>
      </c>
      <c r="C1681" s="1" t="s">
        <v>16</v>
      </c>
      <c r="D1681" s="1" t="s">
        <v>26</v>
      </c>
      <c r="E1681" s="1" t="s">
        <v>18</v>
      </c>
      <c r="F1681" s="1" t="s">
        <v>326</v>
      </c>
      <c r="G1681" s="1">
        <v>56</v>
      </c>
      <c r="I1681" s="1" t="b">
        <v>0</v>
      </c>
      <c r="K1681" s="10" t="str">
        <f t="shared" si="132"/>
        <v/>
      </c>
      <c r="L1681" s="1" t="str">
        <f t="shared" si="133"/>
        <v>Cannot check</v>
      </c>
      <c r="M1681" s="1">
        <f t="shared" si="130"/>
        <v>1</v>
      </c>
      <c r="N1681" s="1">
        <f t="shared" si="131"/>
        <v>56</v>
      </c>
      <c r="O1681" s="10" t="str">
        <f t="shared" si="134"/>
        <v/>
      </c>
    </row>
    <row r="1682" spans="1:15">
      <c r="A1682" s="1" t="s">
        <v>1787</v>
      </c>
      <c r="B1682" s="23">
        <v>45094.734722222223</v>
      </c>
      <c r="C1682" s="1" t="s">
        <v>25</v>
      </c>
      <c r="D1682" s="1" t="s">
        <v>21</v>
      </c>
      <c r="E1682" s="1" t="s">
        <v>18</v>
      </c>
      <c r="F1682" s="1" t="s">
        <v>153</v>
      </c>
      <c r="G1682" s="1">
        <v>240</v>
      </c>
      <c r="H1682" s="23">
        <v>45095.096805555557</v>
      </c>
      <c r="I1682" s="1" t="b">
        <v>1</v>
      </c>
      <c r="K1682" s="10">
        <f t="shared" si="132"/>
        <v>8.6900000000023283</v>
      </c>
      <c r="L1682" s="1" t="str">
        <f t="shared" si="133"/>
        <v>OK</v>
      </c>
      <c r="M1682" s="1">
        <f t="shared" si="130"/>
        <v>1</v>
      </c>
      <c r="N1682" s="1">
        <f t="shared" si="131"/>
        <v>240</v>
      </c>
      <c r="O1682" s="10">
        <f t="shared" si="134"/>
        <v>8.6900000000023283</v>
      </c>
    </row>
    <row r="1683" spans="1:15">
      <c r="A1683" s="1" t="s">
        <v>1788</v>
      </c>
      <c r="B1683" s="23">
        <v>45094.976388888892</v>
      </c>
      <c r="C1683" s="1" t="s">
        <v>11</v>
      </c>
      <c r="D1683" s="1" t="s">
        <v>17</v>
      </c>
      <c r="E1683" s="1" t="s">
        <v>18</v>
      </c>
      <c r="F1683" s="1" t="s">
        <v>54</v>
      </c>
      <c r="G1683" s="1">
        <v>298</v>
      </c>
      <c r="H1683" s="23">
        <v>45097.045717592591</v>
      </c>
      <c r="I1683" s="1" t="b">
        <v>0</v>
      </c>
      <c r="K1683" s="10">
        <f t="shared" si="132"/>
        <v>49.663888888782822</v>
      </c>
      <c r="L1683" s="1" t="str">
        <f t="shared" si="133"/>
        <v>OK</v>
      </c>
      <c r="M1683" s="1">
        <f t="shared" si="130"/>
        <v>1</v>
      </c>
      <c r="N1683" s="1">
        <f t="shared" si="131"/>
        <v>298</v>
      </c>
      <c r="O1683" s="10">
        <f t="shared" si="134"/>
        <v>49.663888888782822</v>
      </c>
    </row>
    <row r="1684" spans="1:15">
      <c r="A1684" s="1" t="s">
        <v>1789</v>
      </c>
      <c r="B1684" s="23">
        <v>45095.012499999997</v>
      </c>
      <c r="C1684" s="1" t="s">
        <v>11</v>
      </c>
      <c r="D1684" s="1" t="s">
        <v>17</v>
      </c>
      <c r="E1684" s="1" t="s">
        <v>18</v>
      </c>
      <c r="F1684" s="1" t="s">
        <v>326</v>
      </c>
      <c r="G1684" s="1">
        <v>50</v>
      </c>
      <c r="H1684" s="23">
        <v>45095.208541666667</v>
      </c>
      <c r="I1684" s="1" t="b">
        <v>1</v>
      </c>
      <c r="K1684" s="10">
        <f t="shared" si="132"/>
        <v>4.7050000000745058</v>
      </c>
      <c r="L1684" s="1" t="str">
        <f t="shared" si="133"/>
        <v>OK</v>
      </c>
      <c r="M1684" s="1">
        <f t="shared" si="130"/>
        <v>1</v>
      </c>
      <c r="N1684" s="1">
        <f t="shared" si="131"/>
        <v>50</v>
      </c>
      <c r="O1684" s="10">
        <f t="shared" si="134"/>
        <v>4.7050000000745058</v>
      </c>
    </row>
    <row r="1685" spans="1:15">
      <c r="A1685" s="1" t="s">
        <v>1790</v>
      </c>
      <c r="B1685" s="23">
        <v>45095.118750000001</v>
      </c>
      <c r="C1685" s="1" t="s">
        <v>43</v>
      </c>
      <c r="D1685" s="1" t="s">
        <v>59</v>
      </c>
      <c r="E1685" s="1" t="s">
        <v>18</v>
      </c>
      <c r="F1685" s="1" t="s">
        <v>37</v>
      </c>
      <c r="G1685" s="1">
        <v>367</v>
      </c>
      <c r="H1685" s="23">
        <v>45095.528958333336</v>
      </c>
      <c r="I1685" s="1" t="b">
        <v>0</v>
      </c>
      <c r="J1685" s="1">
        <v>4</v>
      </c>
      <c r="K1685" s="10">
        <f t="shared" si="132"/>
        <v>9.845000000030268</v>
      </c>
      <c r="L1685" s="1" t="str">
        <f t="shared" si="133"/>
        <v>OK</v>
      </c>
      <c r="M1685" s="1">
        <f t="shared" si="130"/>
        <v>1</v>
      </c>
      <c r="N1685" s="1">
        <f t="shared" si="131"/>
        <v>367</v>
      </c>
      <c r="O1685" s="10">
        <f t="shared" si="134"/>
        <v>9.845000000030268</v>
      </c>
    </row>
    <row r="1686" spans="1:15">
      <c r="A1686" s="1" t="s">
        <v>1791</v>
      </c>
      <c r="B1686" s="23">
        <v>45095.213194444441</v>
      </c>
      <c r="C1686" s="1" t="s">
        <v>11</v>
      </c>
      <c r="D1686" s="1" t="s">
        <v>26</v>
      </c>
      <c r="E1686" s="1" t="s">
        <v>18</v>
      </c>
      <c r="F1686" s="1" t="s">
        <v>44</v>
      </c>
      <c r="G1686" s="1">
        <v>508</v>
      </c>
      <c r="H1686" s="23">
        <v>45100.103958333333</v>
      </c>
      <c r="I1686" s="1" t="b">
        <v>1</v>
      </c>
      <c r="K1686" s="10">
        <f t="shared" si="132"/>
        <v>117.37833333341405</v>
      </c>
      <c r="L1686" s="1" t="str">
        <f t="shared" si="133"/>
        <v>OK</v>
      </c>
      <c r="M1686" s="1">
        <f t="shared" si="130"/>
        <v>1</v>
      </c>
      <c r="N1686" s="1">
        <f t="shared" si="131"/>
        <v>508</v>
      </c>
      <c r="O1686" s="10">
        <f t="shared" si="134"/>
        <v>117.37833333341405</v>
      </c>
    </row>
    <row r="1687" spans="1:15">
      <c r="A1687" s="1" t="s">
        <v>1792</v>
      </c>
      <c r="B1687" s="23">
        <v>45095.356249999997</v>
      </c>
      <c r="C1687" s="1" t="s">
        <v>25</v>
      </c>
      <c r="D1687" s="1" t="s">
        <v>12</v>
      </c>
      <c r="E1687" s="1" t="s">
        <v>13</v>
      </c>
      <c r="F1687" s="1" t="s">
        <v>41</v>
      </c>
      <c r="G1687" s="1">
        <v>32</v>
      </c>
      <c r="H1687" s="23">
        <v>45096.803611111114</v>
      </c>
      <c r="I1687" s="1" t="b">
        <v>0</v>
      </c>
      <c r="J1687" s="1">
        <v>4</v>
      </c>
      <c r="K1687" s="10">
        <f t="shared" si="132"/>
        <v>34.736666666809469</v>
      </c>
      <c r="L1687" s="1" t="str">
        <f t="shared" si="133"/>
        <v>OK</v>
      </c>
      <c r="M1687" s="1">
        <f t="shared" si="130"/>
        <v>1</v>
      </c>
      <c r="N1687" s="1">
        <f t="shared" si="131"/>
        <v>32</v>
      </c>
      <c r="O1687" s="10">
        <f t="shared" si="134"/>
        <v>34.736666666809469</v>
      </c>
    </row>
    <row r="1688" spans="1:15">
      <c r="A1688" s="1" t="s">
        <v>1793</v>
      </c>
      <c r="B1688" s="23">
        <v>45095.547222222223</v>
      </c>
      <c r="C1688" s="1" t="s">
        <v>16</v>
      </c>
      <c r="D1688" s="1" t="s">
        <v>21</v>
      </c>
      <c r="E1688" s="1" t="s">
        <v>18</v>
      </c>
      <c r="F1688" s="1" t="s">
        <v>162</v>
      </c>
      <c r="G1688" s="1">
        <v>34</v>
      </c>
      <c r="H1688" s="23">
        <v>45096.066087962965</v>
      </c>
      <c r="I1688" s="1" t="b">
        <v>0</v>
      </c>
      <c r="J1688" s="1">
        <v>4</v>
      </c>
      <c r="K1688" s="10">
        <f t="shared" si="132"/>
        <v>12.452777777798474</v>
      </c>
      <c r="L1688" s="1" t="str">
        <f t="shared" si="133"/>
        <v>OK</v>
      </c>
      <c r="M1688" s="1">
        <f t="shared" si="130"/>
        <v>1</v>
      </c>
      <c r="N1688" s="1">
        <f t="shared" si="131"/>
        <v>34</v>
      </c>
      <c r="O1688" s="10">
        <f t="shared" si="134"/>
        <v>12.452777777798474</v>
      </c>
    </row>
    <row r="1689" spans="1:15">
      <c r="A1689" s="1" t="s">
        <v>1794</v>
      </c>
      <c r="B1689" s="23">
        <v>45095.585416666669</v>
      </c>
      <c r="C1689" s="1" t="s">
        <v>11</v>
      </c>
      <c r="D1689" s="1" t="s">
        <v>17</v>
      </c>
      <c r="E1689" s="1" t="s">
        <v>33</v>
      </c>
      <c r="F1689" s="1" t="s">
        <v>57</v>
      </c>
      <c r="G1689" s="1">
        <v>363</v>
      </c>
      <c r="H1689" s="23">
        <v>45098.592581018522</v>
      </c>
      <c r="I1689" s="1" t="b">
        <v>1</v>
      </c>
      <c r="K1689" s="10">
        <f t="shared" si="132"/>
        <v>72.17194444447523</v>
      </c>
      <c r="L1689" s="1" t="str">
        <f t="shared" si="133"/>
        <v>OK</v>
      </c>
      <c r="M1689" s="1">
        <f t="shared" si="130"/>
        <v>1</v>
      </c>
      <c r="N1689" s="1">
        <f t="shared" si="131"/>
        <v>363</v>
      </c>
      <c r="O1689" s="10">
        <f t="shared" si="134"/>
        <v>72.17194444447523</v>
      </c>
    </row>
    <row r="1690" spans="1:15">
      <c r="A1690" s="1" t="s">
        <v>1795</v>
      </c>
      <c r="B1690" s="23">
        <v>45095.779166666667</v>
      </c>
      <c r="C1690" s="1" t="s">
        <v>11</v>
      </c>
      <c r="D1690" s="1" t="s">
        <v>59</v>
      </c>
      <c r="E1690" s="1" t="s">
        <v>13</v>
      </c>
      <c r="F1690" s="1" t="s">
        <v>186</v>
      </c>
      <c r="G1690" s="1">
        <v>4</v>
      </c>
      <c r="I1690" s="1" t="b">
        <v>0</v>
      </c>
      <c r="K1690" s="10" t="str">
        <f t="shared" si="132"/>
        <v/>
      </c>
      <c r="L1690" s="1" t="str">
        <f t="shared" si="133"/>
        <v>Cannot check</v>
      </c>
      <c r="M1690" s="1">
        <f t="shared" si="130"/>
        <v>1</v>
      </c>
      <c r="N1690" s="1">
        <f t="shared" si="131"/>
        <v>4</v>
      </c>
      <c r="O1690" s="10" t="str">
        <f t="shared" si="134"/>
        <v/>
      </c>
    </row>
    <row r="1691" spans="1:15">
      <c r="A1691" s="1" t="s">
        <v>1796</v>
      </c>
      <c r="B1691" s="23">
        <v>45095.992361111108</v>
      </c>
      <c r="C1691" s="1" t="s">
        <v>25</v>
      </c>
      <c r="D1691" s="1" t="s">
        <v>59</v>
      </c>
      <c r="E1691" s="1" t="s">
        <v>18</v>
      </c>
      <c r="F1691" s="1" t="s">
        <v>94</v>
      </c>
      <c r="G1691" s="1">
        <v>78</v>
      </c>
      <c r="H1691" s="23">
        <v>45099.02685185185</v>
      </c>
      <c r="I1691" s="1" t="b">
        <v>1</v>
      </c>
      <c r="K1691" s="10">
        <f t="shared" si="132"/>
        <v>72.827777777798474</v>
      </c>
      <c r="L1691" s="1" t="str">
        <f t="shared" si="133"/>
        <v>OK</v>
      </c>
      <c r="M1691" s="1">
        <f t="shared" si="130"/>
        <v>1</v>
      </c>
      <c r="N1691" s="1">
        <f t="shared" si="131"/>
        <v>78</v>
      </c>
      <c r="O1691" s="10">
        <f t="shared" si="134"/>
        <v>72.827777777798474</v>
      </c>
    </row>
    <row r="1692" spans="1:15">
      <c r="A1692" s="1" t="s">
        <v>1797</v>
      </c>
      <c r="B1692" s="23">
        <v>45096.093055555553</v>
      </c>
      <c r="C1692" s="1" t="s">
        <v>25</v>
      </c>
      <c r="D1692" s="1" t="s">
        <v>21</v>
      </c>
      <c r="E1692" s="1" t="s">
        <v>18</v>
      </c>
      <c r="F1692" s="1" t="s">
        <v>39</v>
      </c>
      <c r="G1692" s="1">
        <v>90</v>
      </c>
      <c r="H1692" s="23">
        <v>45097.450150462966</v>
      </c>
      <c r="I1692" s="1" t="b">
        <v>0</v>
      </c>
      <c r="K1692" s="10">
        <f t="shared" si="132"/>
        <v>32.570277777907904</v>
      </c>
      <c r="L1692" s="1" t="str">
        <f t="shared" si="133"/>
        <v>OK</v>
      </c>
      <c r="M1692" s="1">
        <f t="shared" si="130"/>
        <v>1</v>
      </c>
      <c r="N1692" s="1">
        <f t="shared" si="131"/>
        <v>90</v>
      </c>
      <c r="O1692" s="10">
        <f t="shared" si="134"/>
        <v>32.570277777907904</v>
      </c>
    </row>
    <row r="1693" spans="1:15">
      <c r="A1693" s="1" t="s">
        <v>1798</v>
      </c>
      <c r="B1693" s="23">
        <v>45096.194444444445</v>
      </c>
      <c r="C1693" s="1" t="s">
        <v>11</v>
      </c>
      <c r="D1693" s="1" t="s">
        <v>12</v>
      </c>
      <c r="E1693" s="1" t="s">
        <v>18</v>
      </c>
      <c r="F1693" s="1" t="s">
        <v>14</v>
      </c>
      <c r="G1693" s="1">
        <v>236</v>
      </c>
      <c r="H1693" s="23">
        <v>45097.605300925927</v>
      </c>
      <c r="I1693" s="1" t="b">
        <v>0</v>
      </c>
      <c r="K1693" s="10">
        <f t="shared" si="132"/>
        <v>33.860555555555038</v>
      </c>
      <c r="L1693" s="1" t="str">
        <f t="shared" si="133"/>
        <v>OK</v>
      </c>
      <c r="M1693" s="1">
        <f t="shared" si="130"/>
        <v>1</v>
      </c>
      <c r="N1693" s="1">
        <f t="shared" si="131"/>
        <v>236</v>
      </c>
      <c r="O1693" s="10">
        <f t="shared" si="134"/>
        <v>33.860555555555038</v>
      </c>
    </row>
    <row r="1694" spans="1:15">
      <c r="A1694" s="1" t="s">
        <v>1799</v>
      </c>
      <c r="B1694" s="23">
        <v>45096.24722222222</v>
      </c>
      <c r="C1694" s="1" t="s">
        <v>43</v>
      </c>
      <c r="D1694" s="1" t="s">
        <v>21</v>
      </c>
      <c r="E1694" s="1" t="s">
        <v>13</v>
      </c>
      <c r="F1694" s="1" t="s">
        <v>201</v>
      </c>
      <c r="H1694" s="23">
        <v>45096.269629629627</v>
      </c>
      <c r="I1694" s="1" t="b">
        <v>0</v>
      </c>
      <c r="J1694" s="1">
        <v>1</v>
      </c>
      <c r="K1694" s="10">
        <f t="shared" si="132"/>
        <v>0.53777777776122093</v>
      </c>
      <c r="L1694" s="1" t="str">
        <f t="shared" si="133"/>
        <v>Cannot check</v>
      </c>
      <c r="M1694" s="1">
        <f t="shared" si="130"/>
        <v>1</v>
      </c>
      <c r="N1694" s="1" t="str">
        <f t="shared" si="131"/>
        <v/>
      </c>
      <c r="O1694" s="10">
        <f t="shared" si="134"/>
        <v>0.53777777776122093</v>
      </c>
    </row>
    <row r="1695" spans="1:15">
      <c r="A1695" s="1" t="s">
        <v>1800</v>
      </c>
      <c r="B1695" s="23">
        <v>45096.25277777778</v>
      </c>
      <c r="C1695" s="1" t="s">
        <v>11</v>
      </c>
      <c r="D1695" s="1" t="s">
        <v>21</v>
      </c>
      <c r="E1695" s="1" t="s">
        <v>33</v>
      </c>
      <c r="F1695" s="1" t="s">
        <v>148</v>
      </c>
      <c r="G1695" s="1">
        <v>150</v>
      </c>
      <c r="H1695" s="23">
        <v>45101.068865740737</v>
      </c>
      <c r="I1695" s="1" t="b">
        <v>1</v>
      </c>
      <c r="J1695" s="1">
        <v>2</v>
      </c>
      <c r="K1695" s="10">
        <f t="shared" si="132"/>
        <v>115.58611111098435</v>
      </c>
      <c r="L1695" s="1" t="str">
        <f t="shared" si="133"/>
        <v>OK</v>
      </c>
      <c r="M1695" s="1">
        <f t="shared" si="130"/>
        <v>1</v>
      </c>
      <c r="N1695" s="1">
        <f t="shared" si="131"/>
        <v>150</v>
      </c>
      <c r="O1695" s="10">
        <f t="shared" si="134"/>
        <v>115.58611111098435</v>
      </c>
    </row>
    <row r="1696" spans="1:15">
      <c r="A1696" s="1" t="s">
        <v>1801</v>
      </c>
      <c r="B1696" s="23">
        <v>45096.314583333333</v>
      </c>
      <c r="C1696" s="1" t="s">
        <v>11</v>
      </c>
      <c r="D1696" s="1" t="s">
        <v>17</v>
      </c>
      <c r="E1696" s="1" t="s">
        <v>18</v>
      </c>
      <c r="F1696" s="1" t="s">
        <v>128</v>
      </c>
      <c r="G1696" s="1">
        <v>93</v>
      </c>
      <c r="H1696" s="23">
        <v>45097.480798611112</v>
      </c>
      <c r="I1696" s="1" t="b">
        <v>0</v>
      </c>
      <c r="K1696" s="10">
        <f t="shared" si="132"/>
        <v>27.989166666695382</v>
      </c>
      <c r="L1696" s="1" t="str">
        <f t="shared" si="133"/>
        <v>OK</v>
      </c>
      <c r="M1696" s="1">
        <f t="shared" si="130"/>
        <v>1</v>
      </c>
      <c r="N1696" s="1">
        <f t="shared" si="131"/>
        <v>93</v>
      </c>
      <c r="O1696" s="10">
        <f t="shared" si="134"/>
        <v>27.989166666695382</v>
      </c>
    </row>
    <row r="1697" spans="1:15">
      <c r="A1697" s="1" t="s">
        <v>1802</v>
      </c>
      <c r="B1697" s="23">
        <v>45096.329861111109</v>
      </c>
      <c r="C1697" s="1" t="s">
        <v>16</v>
      </c>
      <c r="D1697" s="1" t="s">
        <v>17</v>
      </c>
      <c r="E1697" s="1" t="s">
        <v>13</v>
      </c>
      <c r="F1697" s="1" t="s">
        <v>162</v>
      </c>
      <c r="G1697" s="1">
        <v>89</v>
      </c>
      <c r="H1697" s="23">
        <v>45097.462442129632</v>
      </c>
      <c r="I1697" s="1" t="b">
        <v>0</v>
      </c>
      <c r="J1697" s="1">
        <v>3</v>
      </c>
      <c r="K1697" s="10">
        <f t="shared" si="132"/>
        <v>27.181944444542751</v>
      </c>
      <c r="L1697" s="1" t="str">
        <f t="shared" si="133"/>
        <v>OK</v>
      </c>
      <c r="M1697" s="1">
        <f t="shared" si="130"/>
        <v>1</v>
      </c>
      <c r="N1697" s="1">
        <f t="shared" si="131"/>
        <v>89</v>
      </c>
      <c r="O1697" s="10">
        <f t="shared" si="134"/>
        <v>27.181944444542751</v>
      </c>
    </row>
    <row r="1698" spans="1:15">
      <c r="A1698" s="1" t="s">
        <v>1803</v>
      </c>
      <c r="B1698" s="23">
        <v>45096.352777777778</v>
      </c>
      <c r="C1698" s="1" t="s">
        <v>16</v>
      </c>
      <c r="D1698" s="1" t="s">
        <v>12</v>
      </c>
      <c r="E1698" s="1" t="s">
        <v>13</v>
      </c>
      <c r="F1698" s="1" t="s">
        <v>108</v>
      </c>
      <c r="G1698" s="1">
        <v>22</v>
      </c>
      <c r="H1698" s="23">
        <v>45102.400555555556</v>
      </c>
      <c r="I1698" s="1" t="b">
        <v>0</v>
      </c>
      <c r="K1698" s="10">
        <f t="shared" si="132"/>
        <v>145.14666666666744</v>
      </c>
      <c r="L1698" s="1" t="str">
        <f t="shared" si="133"/>
        <v>OK</v>
      </c>
      <c r="M1698" s="1">
        <f t="shared" si="130"/>
        <v>1</v>
      </c>
      <c r="N1698" s="1">
        <f t="shared" si="131"/>
        <v>22</v>
      </c>
      <c r="O1698" s="10">
        <f t="shared" si="134"/>
        <v>145.14666666666744</v>
      </c>
    </row>
    <row r="1699" spans="1:15">
      <c r="A1699" s="1" t="s">
        <v>1804</v>
      </c>
      <c r="B1699" s="23">
        <v>45096.614583333336</v>
      </c>
      <c r="C1699" s="1" t="s">
        <v>25</v>
      </c>
      <c r="D1699" s="1" t="s">
        <v>12</v>
      </c>
      <c r="E1699" s="1" t="s">
        <v>33</v>
      </c>
      <c r="F1699" s="1" t="s">
        <v>392</v>
      </c>
      <c r="G1699" s="1">
        <v>307</v>
      </c>
      <c r="H1699" s="23">
        <v>45096.854490740741</v>
      </c>
      <c r="I1699" s="1" t="b">
        <v>0</v>
      </c>
      <c r="J1699" s="1">
        <v>4</v>
      </c>
      <c r="K1699" s="10">
        <f t="shared" si="132"/>
        <v>5.7577777777332813</v>
      </c>
      <c r="L1699" s="1" t="str">
        <f t="shared" si="133"/>
        <v>OK</v>
      </c>
      <c r="M1699" s="1">
        <f t="shared" si="130"/>
        <v>1</v>
      </c>
      <c r="N1699" s="1">
        <f t="shared" si="131"/>
        <v>307</v>
      </c>
      <c r="O1699" s="10">
        <f t="shared" si="134"/>
        <v>5.7577777777332813</v>
      </c>
    </row>
    <row r="1700" spans="1:15">
      <c r="A1700" s="1" t="s">
        <v>1805</v>
      </c>
      <c r="B1700" s="23">
        <v>45096.618750000001</v>
      </c>
      <c r="C1700" s="1" t="s">
        <v>11</v>
      </c>
      <c r="D1700" s="1" t="s">
        <v>21</v>
      </c>
      <c r="E1700" s="1" t="s">
        <v>18</v>
      </c>
      <c r="F1700" s="1" t="s">
        <v>110</v>
      </c>
      <c r="G1700" s="1">
        <v>262</v>
      </c>
      <c r="H1700" s="23">
        <v>45099.146053240744</v>
      </c>
      <c r="I1700" s="1" t="b">
        <v>1</v>
      </c>
      <c r="K1700" s="10">
        <f t="shared" si="132"/>
        <v>60.655277777812444</v>
      </c>
      <c r="L1700" s="1" t="str">
        <f t="shared" si="133"/>
        <v>OK</v>
      </c>
      <c r="M1700" s="1">
        <f t="shared" si="130"/>
        <v>1</v>
      </c>
      <c r="N1700" s="1">
        <f t="shared" si="131"/>
        <v>262</v>
      </c>
      <c r="O1700" s="10">
        <f t="shared" si="134"/>
        <v>60.655277777812444</v>
      </c>
    </row>
    <row r="1701" spans="1:15">
      <c r="A1701" s="1" t="s">
        <v>1806</v>
      </c>
      <c r="B1701" s="23">
        <v>45096.678472222222</v>
      </c>
      <c r="C1701" s="1" t="s">
        <v>25</v>
      </c>
      <c r="D1701" s="1" t="s">
        <v>12</v>
      </c>
      <c r="E1701" s="1" t="s">
        <v>18</v>
      </c>
      <c r="F1701" s="1" t="s">
        <v>27</v>
      </c>
      <c r="G1701" s="1">
        <v>23</v>
      </c>
      <c r="H1701" s="23">
        <v>45097.920046296298</v>
      </c>
      <c r="I1701" s="1" t="b">
        <v>0</v>
      </c>
      <c r="J1701" s="1">
        <v>1</v>
      </c>
      <c r="K1701" s="10">
        <f t="shared" si="132"/>
        <v>29.797777777828742</v>
      </c>
      <c r="L1701" s="1" t="str">
        <f t="shared" si="133"/>
        <v>OK</v>
      </c>
      <c r="M1701" s="1">
        <f t="shared" si="130"/>
        <v>1</v>
      </c>
      <c r="N1701" s="1">
        <f t="shared" si="131"/>
        <v>23</v>
      </c>
      <c r="O1701" s="10">
        <f t="shared" si="134"/>
        <v>29.797777777828742</v>
      </c>
    </row>
    <row r="1702" spans="1:15">
      <c r="A1702" s="1" t="s">
        <v>1807</v>
      </c>
      <c r="B1702" s="23">
        <v>45096.859722222223</v>
      </c>
      <c r="C1702" s="1" t="s">
        <v>11</v>
      </c>
      <c r="D1702" s="1" t="s">
        <v>59</v>
      </c>
      <c r="E1702" s="1" t="s">
        <v>13</v>
      </c>
      <c r="F1702" s="1" t="s">
        <v>178</v>
      </c>
      <c r="G1702" s="1">
        <v>36</v>
      </c>
      <c r="H1702" s="23">
        <v>45098.336909722224</v>
      </c>
      <c r="I1702" s="1" t="b">
        <v>0</v>
      </c>
      <c r="K1702" s="10">
        <f t="shared" si="132"/>
        <v>35.45250000001397</v>
      </c>
      <c r="L1702" s="1" t="str">
        <f t="shared" si="133"/>
        <v>OK</v>
      </c>
      <c r="M1702" s="1">
        <f t="shared" si="130"/>
        <v>1</v>
      </c>
      <c r="N1702" s="1">
        <f t="shared" si="131"/>
        <v>36</v>
      </c>
      <c r="O1702" s="10">
        <f t="shared" si="134"/>
        <v>35.45250000001397</v>
      </c>
    </row>
    <row r="1703" spans="1:15">
      <c r="A1703" s="1" t="s">
        <v>1808</v>
      </c>
      <c r="B1703" s="23">
        <v>45096.948611111111</v>
      </c>
      <c r="C1703" s="1" t="s">
        <v>25</v>
      </c>
      <c r="D1703" s="1" t="s">
        <v>21</v>
      </c>
      <c r="E1703" s="1" t="s">
        <v>18</v>
      </c>
      <c r="F1703" s="1" t="s">
        <v>74</v>
      </c>
      <c r="G1703" s="1">
        <v>54</v>
      </c>
      <c r="H1703" s="23">
        <v>45098.994942129626</v>
      </c>
      <c r="I1703" s="1" t="b">
        <v>0</v>
      </c>
      <c r="K1703" s="10">
        <f t="shared" si="132"/>
        <v>49.111944444361143</v>
      </c>
      <c r="L1703" s="1" t="str">
        <f t="shared" si="133"/>
        <v>OK</v>
      </c>
      <c r="M1703" s="1">
        <f t="shared" si="130"/>
        <v>1</v>
      </c>
      <c r="N1703" s="1">
        <f t="shared" si="131"/>
        <v>54</v>
      </c>
      <c r="O1703" s="10">
        <f t="shared" si="134"/>
        <v>49.111944444361143</v>
      </c>
    </row>
    <row r="1704" spans="1:15">
      <c r="A1704" s="1" t="s">
        <v>1809</v>
      </c>
      <c r="B1704" s="23">
        <v>45097.352777777778</v>
      </c>
      <c r="C1704" s="1" t="s">
        <v>16</v>
      </c>
      <c r="D1704" s="1" t="s">
        <v>59</v>
      </c>
      <c r="E1704" s="1" t="s">
        <v>18</v>
      </c>
      <c r="F1704" s="1" t="s">
        <v>46</v>
      </c>
      <c r="G1704" s="1">
        <v>46</v>
      </c>
      <c r="H1704" s="23">
        <v>45097.640266203707</v>
      </c>
      <c r="I1704" s="1" t="b">
        <v>0</v>
      </c>
      <c r="J1704" s="1">
        <v>3</v>
      </c>
      <c r="K1704" s="10">
        <f t="shared" si="132"/>
        <v>6.8997222222969867</v>
      </c>
      <c r="L1704" s="1" t="str">
        <f t="shared" si="133"/>
        <v>OK</v>
      </c>
      <c r="M1704" s="1">
        <f t="shared" si="130"/>
        <v>1</v>
      </c>
      <c r="N1704" s="1">
        <f t="shared" si="131"/>
        <v>46</v>
      </c>
      <c r="O1704" s="10">
        <f t="shared" si="134"/>
        <v>6.8997222222969867</v>
      </c>
    </row>
    <row r="1705" spans="1:15">
      <c r="A1705" s="1" t="s">
        <v>1810</v>
      </c>
      <c r="B1705" s="23">
        <v>45097.381944444445</v>
      </c>
      <c r="C1705" s="1" t="s">
        <v>16</v>
      </c>
      <c r="D1705" s="1" t="s">
        <v>17</v>
      </c>
      <c r="E1705" s="1" t="s">
        <v>13</v>
      </c>
      <c r="F1705" s="1" t="s">
        <v>23</v>
      </c>
      <c r="G1705" s="1">
        <v>52</v>
      </c>
      <c r="H1705" s="23">
        <v>45104.829872685186</v>
      </c>
      <c r="I1705" s="1" t="b">
        <v>0</v>
      </c>
      <c r="K1705" s="10">
        <f t="shared" si="132"/>
        <v>178.7502777777845</v>
      </c>
      <c r="L1705" s="1" t="str">
        <f t="shared" si="133"/>
        <v>OK</v>
      </c>
      <c r="M1705" s="1">
        <f t="shared" si="130"/>
        <v>1</v>
      </c>
      <c r="N1705" s="1">
        <f t="shared" si="131"/>
        <v>52</v>
      </c>
      <c r="O1705" s="10">
        <f t="shared" si="134"/>
        <v>178.7502777777845</v>
      </c>
    </row>
    <row r="1706" spans="1:15">
      <c r="A1706" s="1" t="s">
        <v>1811</v>
      </c>
      <c r="B1706" s="23">
        <v>45097.448611111111</v>
      </c>
      <c r="C1706" s="1" t="s">
        <v>25</v>
      </c>
      <c r="D1706" s="1" t="s">
        <v>17</v>
      </c>
      <c r="E1706" s="1" t="s">
        <v>18</v>
      </c>
      <c r="F1706" s="1" t="s">
        <v>392</v>
      </c>
      <c r="G1706" s="1">
        <v>160</v>
      </c>
      <c r="H1706" s="23">
        <v>45098.044305555559</v>
      </c>
      <c r="I1706" s="1" t="b">
        <v>0</v>
      </c>
      <c r="K1706" s="10">
        <f t="shared" si="132"/>
        <v>14.296666666748933</v>
      </c>
      <c r="L1706" s="1" t="str">
        <f t="shared" si="133"/>
        <v>OK</v>
      </c>
      <c r="M1706" s="1">
        <f t="shared" si="130"/>
        <v>1</v>
      </c>
      <c r="N1706" s="1">
        <f t="shared" si="131"/>
        <v>160</v>
      </c>
      <c r="O1706" s="10">
        <f t="shared" si="134"/>
        <v>14.296666666748933</v>
      </c>
    </row>
    <row r="1707" spans="1:15">
      <c r="A1707" s="1" t="s">
        <v>1812</v>
      </c>
      <c r="B1707" s="23">
        <v>45097.508333333331</v>
      </c>
      <c r="C1707" s="1" t="s">
        <v>16</v>
      </c>
      <c r="D1707" s="1" t="s">
        <v>21</v>
      </c>
      <c r="E1707" s="1" t="s">
        <v>33</v>
      </c>
      <c r="F1707" s="1" t="s">
        <v>206</v>
      </c>
      <c r="G1707" s="1">
        <v>1179</v>
      </c>
      <c r="H1707" s="23">
        <v>45098.774398148147</v>
      </c>
      <c r="I1707" s="1" t="b">
        <v>0</v>
      </c>
      <c r="J1707" s="1">
        <v>5</v>
      </c>
      <c r="K1707" s="10">
        <f t="shared" si="132"/>
        <v>30.385555555578321</v>
      </c>
      <c r="L1707" s="1" t="str">
        <f t="shared" si="133"/>
        <v>OK</v>
      </c>
      <c r="M1707" s="1">
        <f t="shared" si="130"/>
        <v>1</v>
      </c>
      <c r="N1707" s="1">
        <f t="shared" si="131"/>
        <v>1179</v>
      </c>
      <c r="O1707" s="10">
        <f t="shared" si="134"/>
        <v>30.385555555578321</v>
      </c>
    </row>
    <row r="1708" spans="1:15">
      <c r="A1708" s="1" t="s">
        <v>1813</v>
      </c>
      <c r="B1708" s="23">
        <v>45097.601388888892</v>
      </c>
      <c r="C1708" s="1" t="s">
        <v>11</v>
      </c>
      <c r="D1708" s="1" t="s">
        <v>21</v>
      </c>
      <c r="E1708" s="1" t="s">
        <v>22</v>
      </c>
      <c r="F1708" s="1" t="s">
        <v>120</v>
      </c>
      <c r="G1708" s="1">
        <v>20</v>
      </c>
      <c r="H1708" s="23">
        <v>45097.603148148148</v>
      </c>
      <c r="I1708" s="1" t="b">
        <v>0</v>
      </c>
      <c r="K1708" s="10">
        <f t="shared" si="132"/>
        <v>4.2222222138661891E-2</v>
      </c>
      <c r="L1708" s="1" t="str">
        <f t="shared" si="133"/>
        <v>Review</v>
      </c>
      <c r="M1708" s="1">
        <f t="shared" si="130"/>
        <v>1</v>
      </c>
      <c r="N1708" s="1" t="str">
        <f t="shared" si="131"/>
        <v/>
      </c>
      <c r="O1708" s="10" t="str">
        <f t="shared" si="134"/>
        <v/>
      </c>
    </row>
    <row r="1709" spans="1:15">
      <c r="A1709" s="1" t="s">
        <v>1814</v>
      </c>
      <c r="B1709" s="23">
        <v>45097.765277777777</v>
      </c>
      <c r="C1709" s="1" t="s">
        <v>11</v>
      </c>
      <c r="D1709" s="1" t="s">
        <v>21</v>
      </c>
      <c r="E1709" s="1" t="s">
        <v>18</v>
      </c>
      <c r="F1709" s="1" t="s">
        <v>60</v>
      </c>
      <c r="G1709" s="1">
        <v>104</v>
      </c>
      <c r="H1709" s="23">
        <v>45099.429062499999</v>
      </c>
      <c r="I1709" s="1" t="b">
        <v>0</v>
      </c>
      <c r="K1709" s="10">
        <f t="shared" si="132"/>
        <v>39.930833333346527</v>
      </c>
      <c r="L1709" s="1" t="str">
        <f t="shared" si="133"/>
        <v>OK</v>
      </c>
      <c r="M1709" s="1">
        <f t="shared" si="130"/>
        <v>1</v>
      </c>
      <c r="N1709" s="1">
        <f t="shared" si="131"/>
        <v>104</v>
      </c>
      <c r="O1709" s="10">
        <f t="shared" si="134"/>
        <v>39.930833333346527</v>
      </c>
    </row>
    <row r="1710" spans="1:15">
      <c r="A1710" s="1" t="s">
        <v>1815</v>
      </c>
      <c r="B1710" s="23">
        <v>45097.814583333333</v>
      </c>
      <c r="C1710" s="1" t="s">
        <v>11</v>
      </c>
      <c r="D1710" s="1" t="s">
        <v>17</v>
      </c>
      <c r="E1710" s="1" t="s">
        <v>13</v>
      </c>
      <c r="F1710" s="1" t="s">
        <v>326</v>
      </c>
      <c r="G1710" s="1">
        <v>31</v>
      </c>
      <c r="H1710" s="23">
        <v>45099.189201388886</v>
      </c>
      <c r="I1710" s="1" t="b">
        <v>0</v>
      </c>
      <c r="K1710" s="10">
        <f t="shared" si="132"/>
        <v>32.990833333285991</v>
      </c>
      <c r="L1710" s="1" t="str">
        <f t="shared" si="133"/>
        <v>OK</v>
      </c>
      <c r="M1710" s="1">
        <f t="shared" si="130"/>
        <v>1</v>
      </c>
      <c r="N1710" s="1">
        <f t="shared" si="131"/>
        <v>31</v>
      </c>
      <c r="O1710" s="10">
        <f t="shared" si="134"/>
        <v>32.990833333285991</v>
      </c>
    </row>
    <row r="1711" spans="1:15">
      <c r="A1711" s="1" t="s">
        <v>1816</v>
      </c>
      <c r="B1711" s="23">
        <v>45097.979861111111</v>
      </c>
      <c r="C1711" s="1" t="s">
        <v>11</v>
      </c>
      <c r="D1711" s="1" t="s">
        <v>12</v>
      </c>
      <c r="E1711" s="1" t="s">
        <v>18</v>
      </c>
      <c r="F1711" s="1" t="s">
        <v>102</v>
      </c>
      <c r="G1711" s="1">
        <v>224</v>
      </c>
      <c r="H1711" s="23">
        <v>45098.730636574073</v>
      </c>
      <c r="I1711" s="1" t="b">
        <v>0</v>
      </c>
      <c r="J1711" s="1">
        <v>1</v>
      </c>
      <c r="K1711" s="10">
        <f t="shared" si="132"/>
        <v>18.018611111096106</v>
      </c>
      <c r="L1711" s="1" t="str">
        <f t="shared" si="133"/>
        <v>OK</v>
      </c>
      <c r="M1711" s="1">
        <f t="shared" si="130"/>
        <v>1</v>
      </c>
      <c r="N1711" s="1">
        <f t="shared" si="131"/>
        <v>224</v>
      </c>
      <c r="O1711" s="10">
        <f t="shared" si="134"/>
        <v>18.018611111096106</v>
      </c>
    </row>
    <row r="1712" spans="1:15">
      <c r="A1712" s="1" t="s">
        <v>1817</v>
      </c>
      <c r="B1712" s="23">
        <v>45097.979861111111</v>
      </c>
      <c r="C1712" s="1" t="s">
        <v>16</v>
      </c>
      <c r="D1712" s="1" t="s">
        <v>12</v>
      </c>
      <c r="E1712" s="1" t="s">
        <v>18</v>
      </c>
      <c r="F1712" s="1" t="s">
        <v>153</v>
      </c>
      <c r="G1712" s="1">
        <v>174</v>
      </c>
      <c r="H1712" s="23">
        <v>45098.629803240743</v>
      </c>
      <c r="I1712" s="1" t="b">
        <v>0</v>
      </c>
      <c r="K1712" s="10">
        <f t="shared" si="132"/>
        <v>15.598611111170612</v>
      </c>
      <c r="L1712" s="1" t="str">
        <f t="shared" si="133"/>
        <v>OK</v>
      </c>
      <c r="M1712" s="1">
        <f t="shared" si="130"/>
        <v>1</v>
      </c>
      <c r="N1712" s="1">
        <f t="shared" si="131"/>
        <v>174</v>
      </c>
      <c r="O1712" s="10">
        <f t="shared" si="134"/>
        <v>15.598611111170612</v>
      </c>
    </row>
    <row r="1713" spans="1:15">
      <c r="A1713" s="1" t="s">
        <v>1818</v>
      </c>
      <c r="B1713" s="23">
        <v>45098.220138888886</v>
      </c>
      <c r="C1713" s="1" t="s">
        <v>16</v>
      </c>
      <c r="D1713" s="1" t="s">
        <v>12</v>
      </c>
      <c r="E1713" s="1" t="s">
        <v>13</v>
      </c>
      <c r="F1713" s="1" t="s">
        <v>31</v>
      </c>
      <c r="G1713" s="1">
        <v>226</v>
      </c>
      <c r="H1713" s="23">
        <v>45098.695671296293</v>
      </c>
      <c r="I1713" s="1" t="b">
        <v>0</v>
      </c>
      <c r="K1713" s="10">
        <f t="shared" si="132"/>
        <v>11.412777777761221</v>
      </c>
      <c r="L1713" s="1" t="str">
        <f t="shared" si="133"/>
        <v>OK</v>
      </c>
      <c r="M1713" s="1">
        <f t="shared" si="130"/>
        <v>1</v>
      </c>
      <c r="N1713" s="1">
        <f t="shared" si="131"/>
        <v>226</v>
      </c>
      <c r="O1713" s="10">
        <f t="shared" si="134"/>
        <v>11.412777777761221</v>
      </c>
    </row>
    <row r="1714" spans="1:15">
      <c r="A1714" s="1" t="s">
        <v>1819</v>
      </c>
      <c r="B1714" s="23">
        <v>45098.35833333333</v>
      </c>
      <c r="C1714" s="1" t="s">
        <v>16</v>
      </c>
      <c r="D1714" s="1" t="s">
        <v>21</v>
      </c>
      <c r="E1714" s="1" t="s">
        <v>22</v>
      </c>
      <c r="F1714" s="1" t="s">
        <v>46</v>
      </c>
      <c r="G1714" s="1">
        <v>23</v>
      </c>
      <c r="H1714" s="23">
        <v>45098.396018518521</v>
      </c>
      <c r="I1714" s="1" t="b">
        <v>0</v>
      </c>
      <c r="K1714" s="10">
        <f t="shared" si="132"/>
        <v>0.90444444457534701</v>
      </c>
      <c r="L1714" s="1" t="str">
        <f t="shared" si="133"/>
        <v>OK</v>
      </c>
      <c r="M1714" s="1">
        <f t="shared" si="130"/>
        <v>1</v>
      </c>
      <c r="N1714" s="1">
        <f t="shared" si="131"/>
        <v>23</v>
      </c>
      <c r="O1714" s="10">
        <f t="shared" si="134"/>
        <v>0.90444444457534701</v>
      </c>
    </row>
    <row r="1715" spans="1:15">
      <c r="A1715" s="1" t="s">
        <v>1820</v>
      </c>
      <c r="B1715" s="23">
        <v>45098.359027777777</v>
      </c>
      <c r="C1715" s="1" t="s">
        <v>16</v>
      </c>
      <c r="D1715" s="1" t="s">
        <v>17</v>
      </c>
      <c r="E1715" s="1" t="s">
        <v>33</v>
      </c>
      <c r="F1715" s="1" t="s">
        <v>112</v>
      </c>
      <c r="G1715" s="1">
        <v>109</v>
      </c>
      <c r="I1715" s="1" t="b">
        <v>0</v>
      </c>
      <c r="K1715" s="10" t="str">
        <f t="shared" si="132"/>
        <v/>
      </c>
      <c r="L1715" s="1" t="str">
        <f t="shared" si="133"/>
        <v>Cannot check</v>
      </c>
      <c r="M1715" s="1">
        <f t="shared" si="130"/>
        <v>1</v>
      </c>
      <c r="N1715" s="1">
        <f t="shared" si="131"/>
        <v>109</v>
      </c>
      <c r="O1715" s="10" t="str">
        <f t="shared" si="134"/>
        <v/>
      </c>
    </row>
    <row r="1716" spans="1:15">
      <c r="A1716" s="1" t="s">
        <v>1821</v>
      </c>
      <c r="B1716" s="23">
        <v>45098.451388888891</v>
      </c>
      <c r="C1716" s="1" t="s">
        <v>43</v>
      </c>
      <c r="D1716" s="1" t="s">
        <v>12</v>
      </c>
      <c r="E1716" s="1" t="s">
        <v>33</v>
      </c>
      <c r="F1716" s="1" t="s">
        <v>175</v>
      </c>
      <c r="G1716" s="1">
        <v>310</v>
      </c>
      <c r="H1716" s="23">
        <v>45102.28197916667</v>
      </c>
      <c r="I1716" s="1" t="b">
        <v>0</v>
      </c>
      <c r="K1716" s="10">
        <f t="shared" si="132"/>
        <v>91.934166666702367</v>
      </c>
      <c r="L1716" s="1" t="str">
        <f t="shared" si="133"/>
        <v>OK</v>
      </c>
      <c r="M1716" s="1">
        <f t="shared" si="130"/>
        <v>1</v>
      </c>
      <c r="N1716" s="1">
        <f t="shared" si="131"/>
        <v>310</v>
      </c>
      <c r="O1716" s="10">
        <f t="shared" si="134"/>
        <v>91.934166666702367</v>
      </c>
    </row>
    <row r="1717" spans="1:15">
      <c r="A1717" s="1" t="s">
        <v>1822</v>
      </c>
      <c r="B1717" s="23">
        <v>45098.636111111111</v>
      </c>
      <c r="C1717" s="1" t="s">
        <v>25</v>
      </c>
      <c r="D1717" s="1" t="s">
        <v>26</v>
      </c>
      <c r="E1717" s="1" t="s">
        <v>18</v>
      </c>
      <c r="F1717" s="1" t="s">
        <v>100</v>
      </c>
      <c r="G1717" s="1">
        <v>144</v>
      </c>
      <c r="H1717" s="23">
        <v>45106.969444444447</v>
      </c>
      <c r="I1717" s="1" t="b">
        <v>0</v>
      </c>
      <c r="J1717" s="1">
        <v>4</v>
      </c>
      <c r="K1717" s="10">
        <f t="shared" si="132"/>
        <v>200.00000000005821</v>
      </c>
      <c r="L1717" s="1" t="str">
        <f t="shared" si="133"/>
        <v>OK</v>
      </c>
      <c r="M1717" s="1">
        <f t="shared" si="130"/>
        <v>1</v>
      </c>
      <c r="N1717" s="1">
        <f t="shared" si="131"/>
        <v>144</v>
      </c>
      <c r="O1717" s="10">
        <f t="shared" si="134"/>
        <v>200.00000000005821</v>
      </c>
    </row>
    <row r="1718" spans="1:15">
      <c r="A1718" s="1" t="s">
        <v>1823</v>
      </c>
      <c r="B1718" s="23">
        <v>45098.731249999997</v>
      </c>
      <c r="C1718" s="1" t="s">
        <v>25</v>
      </c>
      <c r="D1718" s="1" t="s">
        <v>59</v>
      </c>
      <c r="E1718" s="1" t="s">
        <v>33</v>
      </c>
      <c r="F1718" s="1" t="s">
        <v>224</v>
      </c>
      <c r="G1718" s="1">
        <v>71</v>
      </c>
      <c r="H1718" s="23">
        <v>45099.625381944446</v>
      </c>
      <c r="I1718" s="1" t="b">
        <v>0</v>
      </c>
      <c r="K1718" s="10">
        <f t="shared" si="132"/>
        <v>21.459166666783858</v>
      </c>
      <c r="L1718" s="1" t="str">
        <f t="shared" si="133"/>
        <v>OK</v>
      </c>
      <c r="M1718" s="1">
        <f t="shared" si="130"/>
        <v>1</v>
      </c>
      <c r="N1718" s="1">
        <f t="shared" si="131"/>
        <v>71</v>
      </c>
      <c r="O1718" s="10">
        <f t="shared" si="134"/>
        <v>21.459166666783858</v>
      </c>
    </row>
    <row r="1719" spans="1:15">
      <c r="A1719" s="1" t="s">
        <v>1824</v>
      </c>
      <c r="B1719" s="23">
        <v>45098.768055555556</v>
      </c>
      <c r="C1719" s="1" t="s">
        <v>16</v>
      </c>
      <c r="D1719" s="1" t="s">
        <v>26</v>
      </c>
      <c r="E1719" s="1" t="s">
        <v>33</v>
      </c>
      <c r="F1719" s="1" t="s">
        <v>167</v>
      </c>
      <c r="G1719" s="1">
        <v>148</v>
      </c>
      <c r="H1719" s="23">
        <v>45104.992789351854</v>
      </c>
      <c r="I1719" s="1" t="b">
        <v>0</v>
      </c>
      <c r="K1719" s="10">
        <f t="shared" si="132"/>
        <v>149.39361111115431</v>
      </c>
      <c r="L1719" s="1" t="str">
        <f t="shared" si="133"/>
        <v>OK</v>
      </c>
      <c r="M1719" s="1">
        <f t="shared" si="130"/>
        <v>1</v>
      </c>
      <c r="N1719" s="1">
        <f t="shared" si="131"/>
        <v>148</v>
      </c>
      <c r="O1719" s="10">
        <f t="shared" si="134"/>
        <v>149.39361111115431</v>
      </c>
    </row>
    <row r="1720" spans="1:15">
      <c r="A1720" s="1" t="s">
        <v>1825</v>
      </c>
      <c r="B1720" s="23">
        <v>45099.038194444445</v>
      </c>
      <c r="C1720" s="1" t="s">
        <v>11</v>
      </c>
      <c r="D1720" s="1" t="s">
        <v>26</v>
      </c>
      <c r="E1720" s="1" t="s">
        <v>18</v>
      </c>
      <c r="F1720" s="1" t="s">
        <v>60</v>
      </c>
      <c r="G1720" s="1">
        <v>101</v>
      </c>
      <c r="H1720" s="23">
        <v>45101.106851851851</v>
      </c>
      <c r="I1720" s="1" t="b">
        <v>0</v>
      </c>
      <c r="K1720" s="10">
        <f t="shared" si="132"/>
        <v>49.647777777747251</v>
      </c>
      <c r="L1720" s="1" t="str">
        <f t="shared" si="133"/>
        <v>OK</v>
      </c>
      <c r="M1720" s="1">
        <f t="shared" si="130"/>
        <v>1</v>
      </c>
      <c r="N1720" s="1">
        <f t="shared" si="131"/>
        <v>101</v>
      </c>
      <c r="O1720" s="10">
        <f t="shared" si="134"/>
        <v>49.647777777747251</v>
      </c>
    </row>
    <row r="1721" spans="1:15">
      <c r="A1721" s="1" t="s">
        <v>1826</v>
      </c>
      <c r="B1721" s="23">
        <v>45099.31527777778</v>
      </c>
      <c r="C1721" s="1" t="s">
        <v>43</v>
      </c>
      <c r="D1721" s="1" t="s">
        <v>17</v>
      </c>
      <c r="E1721" s="1" t="s">
        <v>18</v>
      </c>
      <c r="F1721" s="1" t="s">
        <v>52</v>
      </c>
      <c r="G1721" s="1">
        <v>32</v>
      </c>
      <c r="H1721" s="23">
        <v>45099.98673611111</v>
      </c>
      <c r="I1721" s="1" t="b">
        <v>1</v>
      </c>
      <c r="J1721" s="1">
        <v>3</v>
      </c>
      <c r="K1721" s="10">
        <f t="shared" si="132"/>
        <v>16.114999999932479</v>
      </c>
      <c r="L1721" s="1" t="str">
        <f t="shared" si="133"/>
        <v>OK</v>
      </c>
      <c r="M1721" s="1">
        <f t="shared" si="130"/>
        <v>1</v>
      </c>
      <c r="N1721" s="1">
        <f t="shared" si="131"/>
        <v>32</v>
      </c>
      <c r="O1721" s="10">
        <f t="shared" si="134"/>
        <v>16.114999999932479</v>
      </c>
    </row>
    <row r="1722" spans="1:15">
      <c r="A1722" s="1" t="s">
        <v>1827</v>
      </c>
      <c r="B1722" s="23">
        <v>45099.595833333333</v>
      </c>
      <c r="C1722" s="1" t="s">
        <v>25</v>
      </c>
      <c r="D1722" s="1" t="s">
        <v>17</v>
      </c>
      <c r="E1722" s="1" t="s">
        <v>33</v>
      </c>
      <c r="F1722" s="1" t="s">
        <v>39</v>
      </c>
      <c r="G1722" s="1">
        <v>909</v>
      </c>
      <c r="H1722" s="23">
        <v>45104.651631944442</v>
      </c>
      <c r="I1722" s="1" t="b">
        <v>0</v>
      </c>
      <c r="K1722" s="10">
        <f t="shared" si="132"/>
        <v>121.33916666661389</v>
      </c>
      <c r="L1722" s="1" t="str">
        <f t="shared" si="133"/>
        <v>OK</v>
      </c>
      <c r="M1722" s="1">
        <f t="shared" si="130"/>
        <v>1</v>
      </c>
      <c r="N1722" s="1">
        <f t="shared" si="131"/>
        <v>909</v>
      </c>
      <c r="O1722" s="10">
        <f t="shared" si="134"/>
        <v>121.33916666661389</v>
      </c>
    </row>
    <row r="1723" spans="1:15">
      <c r="A1723" s="1" t="s">
        <v>1828</v>
      </c>
      <c r="B1723" s="23">
        <v>45099.611111111109</v>
      </c>
      <c r="C1723" s="1" t="s">
        <v>16</v>
      </c>
      <c r="D1723" s="1" t="s">
        <v>17</v>
      </c>
      <c r="E1723" s="1" t="s">
        <v>33</v>
      </c>
      <c r="F1723" s="1" t="s">
        <v>80</v>
      </c>
      <c r="G1723" s="1">
        <v>187</v>
      </c>
      <c r="I1723" s="1" t="b">
        <v>0</v>
      </c>
      <c r="K1723" s="10" t="str">
        <f t="shared" si="132"/>
        <v/>
      </c>
      <c r="L1723" s="1" t="str">
        <f t="shared" si="133"/>
        <v>Cannot check</v>
      </c>
      <c r="M1723" s="1">
        <f t="shared" si="130"/>
        <v>1</v>
      </c>
      <c r="N1723" s="1">
        <f t="shared" si="131"/>
        <v>187</v>
      </c>
      <c r="O1723" s="10" t="str">
        <f t="shared" si="134"/>
        <v/>
      </c>
    </row>
    <row r="1724" spans="1:15">
      <c r="A1724" s="1" t="s">
        <v>1829</v>
      </c>
      <c r="B1724" s="23">
        <v>45099.616666666669</v>
      </c>
      <c r="C1724" s="1" t="s">
        <v>16</v>
      </c>
      <c r="D1724" s="1" t="s">
        <v>26</v>
      </c>
      <c r="E1724" s="1" t="s">
        <v>18</v>
      </c>
      <c r="F1724" s="1" t="s">
        <v>245</v>
      </c>
      <c r="G1724" s="1">
        <v>157</v>
      </c>
      <c r="H1724" s="23">
        <v>45102.219537037039</v>
      </c>
      <c r="I1724" s="1" t="b">
        <v>0</v>
      </c>
      <c r="K1724" s="10">
        <f t="shared" si="132"/>
        <v>62.468888888892252</v>
      </c>
      <c r="L1724" s="1" t="str">
        <f t="shared" si="133"/>
        <v>OK</v>
      </c>
      <c r="M1724" s="1">
        <f t="shared" si="130"/>
        <v>1</v>
      </c>
      <c r="N1724" s="1">
        <f t="shared" si="131"/>
        <v>157</v>
      </c>
      <c r="O1724" s="10">
        <f t="shared" si="134"/>
        <v>62.468888888892252</v>
      </c>
    </row>
    <row r="1725" spans="1:15">
      <c r="A1725" s="1" t="s">
        <v>1830</v>
      </c>
      <c r="B1725" s="23">
        <v>45099.620138888888</v>
      </c>
      <c r="C1725" s="1" t="s">
        <v>11</v>
      </c>
      <c r="D1725" s="1" t="s">
        <v>21</v>
      </c>
      <c r="E1725" s="1" t="s">
        <v>33</v>
      </c>
      <c r="F1725" s="1" t="s">
        <v>50</v>
      </c>
      <c r="G1725" s="1">
        <v>133</v>
      </c>
      <c r="H1725" s="23">
        <v>45111.15902777778</v>
      </c>
      <c r="I1725" s="1" t="b">
        <v>0</v>
      </c>
      <c r="J1725" s="1">
        <v>4</v>
      </c>
      <c r="K1725" s="10">
        <f t="shared" si="132"/>
        <v>276.93333333340706</v>
      </c>
      <c r="L1725" s="1" t="str">
        <f t="shared" si="133"/>
        <v>OK</v>
      </c>
      <c r="M1725" s="1">
        <f t="shared" si="130"/>
        <v>1</v>
      </c>
      <c r="N1725" s="1">
        <f t="shared" si="131"/>
        <v>133</v>
      </c>
      <c r="O1725" s="10">
        <f t="shared" si="134"/>
        <v>276.93333333340706</v>
      </c>
    </row>
    <row r="1726" spans="1:15">
      <c r="A1726" s="1" t="s">
        <v>1831</v>
      </c>
      <c r="B1726" s="23">
        <v>45099.638194444444</v>
      </c>
      <c r="C1726" s="1" t="s">
        <v>25</v>
      </c>
      <c r="D1726" s="1" t="s">
        <v>21</v>
      </c>
      <c r="E1726" s="1" t="s">
        <v>18</v>
      </c>
      <c r="F1726" s="1" t="s">
        <v>120</v>
      </c>
      <c r="G1726" s="1">
        <v>230</v>
      </c>
      <c r="H1726" s="23">
        <v>45099.977060185185</v>
      </c>
      <c r="I1726" s="1" t="b">
        <v>0</v>
      </c>
      <c r="J1726" s="1">
        <v>2</v>
      </c>
      <c r="K1726" s="10">
        <f t="shared" si="132"/>
        <v>8.1327777777914889</v>
      </c>
      <c r="L1726" s="1" t="str">
        <f t="shared" si="133"/>
        <v>OK</v>
      </c>
      <c r="M1726" s="1">
        <f t="shared" si="130"/>
        <v>1</v>
      </c>
      <c r="N1726" s="1">
        <f t="shared" si="131"/>
        <v>230</v>
      </c>
      <c r="O1726" s="10">
        <f t="shared" si="134"/>
        <v>8.1327777777914889</v>
      </c>
    </row>
    <row r="1727" spans="1:15">
      <c r="A1727" s="1" t="s">
        <v>1832</v>
      </c>
      <c r="B1727" s="23">
        <v>45099.720833333333</v>
      </c>
      <c r="C1727" s="1" t="s">
        <v>16</v>
      </c>
      <c r="D1727" s="1" t="s">
        <v>59</v>
      </c>
      <c r="E1727" s="1" t="s">
        <v>18</v>
      </c>
      <c r="F1727" s="1" t="s">
        <v>274</v>
      </c>
      <c r="G1727" s="1">
        <v>24</v>
      </c>
      <c r="H1727" s="23">
        <v>45100.026724537034</v>
      </c>
      <c r="I1727" s="1" t="b">
        <v>0</v>
      </c>
      <c r="K1727" s="10">
        <f t="shared" si="132"/>
        <v>7.341388888831716</v>
      </c>
      <c r="L1727" s="1" t="str">
        <f t="shared" si="133"/>
        <v>OK</v>
      </c>
      <c r="M1727" s="1">
        <f t="shared" si="130"/>
        <v>1</v>
      </c>
      <c r="N1727" s="1">
        <f t="shared" si="131"/>
        <v>24</v>
      </c>
      <c r="O1727" s="10">
        <f t="shared" si="134"/>
        <v>7.341388888831716</v>
      </c>
    </row>
    <row r="1728" spans="1:15">
      <c r="A1728" s="1" t="s">
        <v>1833</v>
      </c>
      <c r="B1728" s="23">
        <v>45099.88958333333</v>
      </c>
      <c r="C1728" s="1" t="s">
        <v>25</v>
      </c>
      <c r="D1728" s="1" t="s">
        <v>26</v>
      </c>
      <c r="E1728" s="1" t="s">
        <v>18</v>
      </c>
      <c r="F1728" s="1" t="s">
        <v>84</v>
      </c>
      <c r="G1728" s="1">
        <v>322</v>
      </c>
      <c r="I1728" s="1" t="b">
        <v>0</v>
      </c>
      <c r="K1728" s="10" t="str">
        <f t="shared" si="132"/>
        <v/>
      </c>
      <c r="L1728" s="1" t="str">
        <f t="shared" si="133"/>
        <v>Cannot check</v>
      </c>
      <c r="M1728" s="1">
        <f t="shared" si="130"/>
        <v>1</v>
      </c>
      <c r="N1728" s="1">
        <f t="shared" si="131"/>
        <v>322</v>
      </c>
      <c r="O1728" s="10" t="str">
        <f t="shared" si="134"/>
        <v/>
      </c>
    </row>
    <row r="1729" spans="1:15">
      <c r="A1729" s="1" t="s">
        <v>1834</v>
      </c>
      <c r="B1729" s="23">
        <v>45100.133333333331</v>
      </c>
      <c r="C1729" s="1" t="s">
        <v>43</v>
      </c>
      <c r="D1729" s="1" t="s">
        <v>17</v>
      </c>
      <c r="E1729" s="1" t="s">
        <v>18</v>
      </c>
      <c r="F1729" s="1" t="s">
        <v>239</v>
      </c>
      <c r="G1729" s="1">
        <v>33</v>
      </c>
      <c r="H1729" s="23">
        <v>45100.805520833332</v>
      </c>
      <c r="I1729" s="1" t="b">
        <v>0</v>
      </c>
      <c r="K1729" s="10">
        <f t="shared" si="132"/>
        <v>16.132500000006985</v>
      </c>
      <c r="L1729" s="1" t="str">
        <f t="shared" si="133"/>
        <v>OK</v>
      </c>
      <c r="M1729" s="1">
        <f t="shared" si="130"/>
        <v>1</v>
      </c>
      <c r="N1729" s="1">
        <f t="shared" si="131"/>
        <v>33</v>
      </c>
      <c r="O1729" s="10">
        <f t="shared" si="134"/>
        <v>16.132500000006985</v>
      </c>
    </row>
    <row r="1730" spans="1:15">
      <c r="A1730" s="1" t="s">
        <v>1835</v>
      </c>
      <c r="B1730" s="23">
        <v>45100.160416666666</v>
      </c>
      <c r="C1730" s="1" t="s">
        <v>11</v>
      </c>
      <c r="D1730" s="1" t="s">
        <v>21</v>
      </c>
      <c r="E1730" s="1" t="s">
        <v>18</v>
      </c>
      <c r="F1730" s="1" t="s">
        <v>46</v>
      </c>
      <c r="G1730" s="1">
        <v>123</v>
      </c>
      <c r="H1730" s="23">
        <v>45100.502592592595</v>
      </c>
      <c r="I1730" s="1" t="b">
        <v>1</v>
      </c>
      <c r="K1730" s="10">
        <f t="shared" si="132"/>
        <v>8.2122222222969867</v>
      </c>
      <c r="L1730" s="1" t="str">
        <f t="shared" si="133"/>
        <v>OK</v>
      </c>
      <c r="M1730" s="1">
        <f t="shared" ref="M1730:M1793" si="135">COUNTIF($A$2:$A$4001,A1730)</f>
        <v>1</v>
      </c>
      <c r="N1730" s="1">
        <f t="shared" ref="N1730:N1793" si="136">IF(OR(L1730="Review",G1730=""),"",G1730)</f>
        <v>123</v>
      </c>
      <c r="O1730" s="10">
        <f t="shared" si="134"/>
        <v>8.2122222222969867</v>
      </c>
    </row>
    <row r="1731" spans="1:15">
      <c r="A1731" s="1" t="s">
        <v>1836</v>
      </c>
      <c r="B1731" s="23">
        <v>45100.194444444445</v>
      </c>
      <c r="C1731" s="1" t="s">
        <v>25</v>
      </c>
      <c r="D1731" s="1" t="s">
        <v>12</v>
      </c>
      <c r="E1731" s="1" t="s">
        <v>18</v>
      </c>
      <c r="F1731" s="1" t="s">
        <v>392</v>
      </c>
      <c r="G1731" s="1">
        <v>161</v>
      </c>
      <c r="H1731" s="23">
        <v>45100.352800925924</v>
      </c>
      <c r="I1731" s="1" t="b">
        <v>0</v>
      </c>
      <c r="K1731" s="10">
        <f t="shared" ref="K1731:K1794" si="137">IF(H1731="","",(H1731-B1731)*24)</f>
        <v>3.8005555554991588</v>
      </c>
      <c r="L1731" s="1" t="str">
        <f t="shared" ref="L1731:L1794" si="138">IF(OR(G1731="",K1731=""),"Cannot check",IF(G1731&gt;K1731*60,"Review","OK"))</f>
        <v>OK</v>
      </c>
      <c r="M1731" s="1">
        <f t="shared" si="135"/>
        <v>1</v>
      </c>
      <c r="N1731" s="1">
        <f t="shared" si="136"/>
        <v>161</v>
      </c>
      <c r="O1731" s="10">
        <f t="shared" ref="O1731:O1794" si="139">IF(OR(L1731="Review",K1731=""),"",K1731)</f>
        <v>3.8005555554991588</v>
      </c>
    </row>
    <row r="1732" spans="1:15">
      <c r="A1732" s="1" t="s">
        <v>1837</v>
      </c>
      <c r="B1732" s="23">
        <v>45100.410416666666</v>
      </c>
      <c r="C1732" s="1" t="s">
        <v>43</v>
      </c>
      <c r="D1732" s="1" t="s">
        <v>21</v>
      </c>
      <c r="E1732" s="1" t="s">
        <v>18</v>
      </c>
      <c r="F1732" s="1" t="s">
        <v>128</v>
      </c>
      <c r="G1732" s="1">
        <v>1191</v>
      </c>
      <c r="H1732" s="23">
        <v>45100.641944444447</v>
      </c>
      <c r="I1732" s="1" t="b">
        <v>0</v>
      </c>
      <c r="K1732" s="10">
        <f t="shared" si="137"/>
        <v>5.5566666667582467</v>
      </c>
      <c r="L1732" s="1" t="str">
        <f t="shared" si="138"/>
        <v>Review</v>
      </c>
      <c r="M1732" s="1">
        <f t="shared" si="135"/>
        <v>1</v>
      </c>
      <c r="N1732" s="1" t="str">
        <f t="shared" si="136"/>
        <v/>
      </c>
      <c r="O1732" s="10" t="str">
        <f t="shared" si="139"/>
        <v/>
      </c>
    </row>
    <row r="1733" spans="1:15">
      <c r="A1733" s="1" t="s">
        <v>1838</v>
      </c>
      <c r="B1733" s="23">
        <v>45100.431250000001</v>
      </c>
      <c r="C1733" s="1" t="s">
        <v>25</v>
      </c>
      <c r="D1733" s="1" t="s">
        <v>26</v>
      </c>
      <c r="E1733" s="1" t="s">
        <v>33</v>
      </c>
      <c r="F1733" s="1" t="s">
        <v>100</v>
      </c>
      <c r="G1733" s="1">
        <v>126</v>
      </c>
      <c r="H1733" s="23">
        <v>45103.035069444442</v>
      </c>
      <c r="I1733" s="1" t="b">
        <v>0</v>
      </c>
      <c r="K1733" s="10">
        <f t="shared" si="137"/>
        <v>62.491666666581295</v>
      </c>
      <c r="L1733" s="1" t="str">
        <f t="shared" si="138"/>
        <v>OK</v>
      </c>
      <c r="M1733" s="1">
        <f t="shared" si="135"/>
        <v>1</v>
      </c>
      <c r="N1733" s="1">
        <f t="shared" si="136"/>
        <v>126</v>
      </c>
      <c r="O1733" s="10">
        <f t="shared" si="139"/>
        <v>62.491666666581295</v>
      </c>
    </row>
    <row r="1734" spans="1:15">
      <c r="A1734" s="1" t="s">
        <v>1839</v>
      </c>
      <c r="B1734" s="23">
        <v>45100.509027777778</v>
      </c>
      <c r="C1734" s="1" t="s">
        <v>25</v>
      </c>
      <c r="D1734" s="1" t="s">
        <v>21</v>
      </c>
      <c r="E1734" s="1" t="s">
        <v>18</v>
      </c>
      <c r="F1734" s="1" t="s">
        <v>415</v>
      </c>
      <c r="G1734" s="1">
        <v>44</v>
      </c>
      <c r="H1734" s="23">
        <v>45106.499421296299</v>
      </c>
      <c r="I1734" s="1" t="b">
        <v>0</v>
      </c>
      <c r="K1734" s="10">
        <f t="shared" si="137"/>
        <v>143.76944444450783</v>
      </c>
      <c r="L1734" s="1" t="str">
        <f t="shared" si="138"/>
        <v>OK</v>
      </c>
      <c r="M1734" s="1">
        <f t="shared" si="135"/>
        <v>1</v>
      </c>
      <c r="N1734" s="1">
        <f t="shared" si="136"/>
        <v>44</v>
      </c>
      <c r="O1734" s="10">
        <f t="shared" si="139"/>
        <v>143.76944444450783</v>
      </c>
    </row>
    <row r="1735" spans="1:15">
      <c r="A1735" s="1" t="s">
        <v>1840</v>
      </c>
      <c r="B1735" s="23">
        <v>45100.558333333334</v>
      </c>
      <c r="C1735" s="1" t="s">
        <v>25</v>
      </c>
      <c r="D1735" s="1" t="s">
        <v>59</v>
      </c>
      <c r="E1735" s="1" t="s">
        <v>13</v>
      </c>
      <c r="F1735" s="1" t="s">
        <v>239</v>
      </c>
      <c r="G1735" s="1">
        <v>40</v>
      </c>
      <c r="H1735" s="23">
        <v>45100.752627314818</v>
      </c>
      <c r="I1735" s="1" t="b">
        <v>0</v>
      </c>
      <c r="K1735" s="10">
        <f t="shared" si="137"/>
        <v>4.6630555556039326</v>
      </c>
      <c r="L1735" s="1" t="str">
        <f t="shared" si="138"/>
        <v>OK</v>
      </c>
      <c r="M1735" s="1">
        <f t="shared" si="135"/>
        <v>1</v>
      </c>
      <c r="N1735" s="1">
        <f t="shared" si="136"/>
        <v>40</v>
      </c>
      <c r="O1735" s="10">
        <f t="shared" si="139"/>
        <v>4.6630555556039326</v>
      </c>
    </row>
    <row r="1736" spans="1:15">
      <c r="A1736" s="1" t="s">
        <v>1841</v>
      </c>
      <c r="B1736" s="23">
        <v>45100.674305555556</v>
      </c>
      <c r="C1736" s="1" t="s">
        <v>25</v>
      </c>
      <c r="D1736" s="1" t="s">
        <v>59</v>
      </c>
      <c r="E1736" s="1" t="s">
        <v>18</v>
      </c>
      <c r="F1736" s="1" t="s">
        <v>86</v>
      </c>
      <c r="G1736" s="1">
        <v>211</v>
      </c>
      <c r="H1736" s="23">
        <v>45100.787418981483</v>
      </c>
      <c r="I1736" s="1" t="b">
        <v>0</v>
      </c>
      <c r="K1736" s="10">
        <f t="shared" si="137"/>
        <v>2.7147222222411074</v>
      </c>
      <c r="L1736" s="1" t="str">
        <f t="shared" si="138"/>
        <v>Review</v>
      </c>
      <c r="M1736" s="1">
        <f t="shared" si="135"/>
        <v>1</v>
      </c>
      <c r="N1736" s="1" t="str">
        <f t="shared" si="136"/>
        <v/>
      </c>
      <c r="O1736" s="10" t="str">
        <f t="shared" si="139"/>
        <v/>
      </c>
    </row>
    <row r="1737" spans="1:15">
      <c r="A1737" s="1" t="s">
        <v>1842</v>
      </c>
      <c r="B1737" s="23">
        <v>45100.689583333333</v>
      </c>
      <c r="C1737" s="1" t="s">
        <v>11</v>
      </c>
      <c r="D1737" s="1" t="s">
        <v>26</v>
      </c>
      <c r="E1737" s="1" t="s">
        <v>13</v>
      </c>
      <c r="F1737" s="1" t="s">
        <v>88</v>
      </c>
      <c r="G1737" s="1">
        <v>64</v>
      </c>
      <c r="H1737" s="23">
        <v>45104.532372685186</v>
      </c>
      <c r="I1737" s="1" t="b">
        <v>0</v>
      </c>
      <c r="K1737" s="10">
        <f t="shared" si="137"/>
        <v>92.226944444468245</v>
      </c>
      <c r="L1737" s="1" t="str">
        <f t="shared" si="138"/>
        <v>OK</v>
      </c>
      <c r="M1737" s="1">
        <f t="shared" si="135"/>
        <v>1</v>
      </c>
      <c r="N1737" s="1">
        <f t="shared" si="136"/>
        <v>64</v>
      </c>
      <c r="O1737" s="10">
        <f t="shared" si="139"/>
        <v>92.226944444468245</v>
      </c>
    </row>
    <row r="1738" spans="1:15">
      <c r="A1738" s="1" t="s">
        <v>1843</v>
      </c>
      <c r="B1738" s="23">
        <v>45100.975694444445</v>
      </c>
      <c r="C1738" s="1" t="s">
        <v>43</v>
      </c>
      <c r="D1738" s="1" t="s">
        <v>17</v>
      </c>
      <c r="E1738" s="1" t="s">
        <v>18</v>
      </c>
      <c r="F1738" s="1" t="s">
        <v>52</v>
      </c>
      <c r="G1738" s="1">
        <v>6</v>
      </c>
      <c r="H1738" s="23">
        <v>45101.622175925928</v>
      </c>
      <c r="I1738" s="1" t="b">
        <v>0</v>
      </c>
      <c r="J1738" s="1">
        <v>5</v>
      </c>
      <c r="K1738" s="10">
        <f t="shared" si="137"/>
        <v>15.515555555582978</v>
      </c>
      <c r="L1738" s="1" t="str">
        <f t="shared" si="138"/>
        <v>OK</v>
      </c>
      <c r="M1738" s="1">
        <f t="shared" si="135"/>
        <v>1</v>
      </c>
      <c r="N1738" s="1">
        <f t="shared" si="136"/>
        <v>6</v>
      </c>
      <c r="O1738" s="10">
        <f t="shared" si="139"/>
        <v>15.515555555582978</v>
      </c>
    </row>
    <row r="1739" spans="1:15">
      <c r="A1739" s="1" t="s">
        <v>1844</v>
      </c>
      <c r="B1739" s="23">
        <v>45101.021527777775</v>
      </c>
      <c r="C1739" s="1" t="s">
        <v>11</v>
      </c>
      <c r="D1739" s="1" t="s">
        <v>21</v>
      </c>
      <c r="E1739" s="1" t="s">
        <v>18</v>
      </c>
      <c r="F1739" s="1" t="s">
        <v>23</v>
      </c>
      <c r="G1739" s="1">
        <v>29</v>
      </c>
      <c r="H1739" s="23">
        <v>45103.498993055553</v>
      </c>
      <c r="I1739" s="1" t="b">
        <v>1</v>
      </c>
      <c r="K1739" s="10">
        <f t="shared" si="137"/>
        <v>59.459166666667443</v>
      </c>
      <c r="L1739" s="1" t="str">
        <f t="shared" si="138"/>
        <v>OK</v>
      </c>
      <c r="M1739" s="1">
        <f t="shared" si="135"/>
        <v>1</v>
      </c>
      <c r="N1739" s="1">
        <f t="shared" si="136"/>
        <v>29</v>
      </c>
      <c r="O1739" s="10">
        <f t="shared" si="139"/>
        <v>59.459166666667443</v>
      </c>
    </row>
    <row r="1740" spans="1:15">
      <c r="A1740" s="1" t="s">
        <v>1845</v>
      </c>
      <c r="B1740" s="23">
        <v>45101.307638888888</v>
      </c>
      <c r="C1740" s="1" t="s">
        <v>16</v>
      </c>
      <c r="D1740" s="1" t="s">
        <v>26</v>
      </c>
      <c r="E1740" s="1" t="s">
        <v>22</v>
      </c>
      <c r="F1740" s="1" t="s">
        <v>74</v>
      </c>
      <c r="G1740" s="1">
        <v>16</v>
      </c>
      <c r="H1740" s="23">
        <v>45102.128518518519</v>
      </c>
      <c r="I1740" s="1" t="b">
        <v>0</v>
      </c>
      <c r="K1740" s="10">
        <f t="shared" si="137"/>
        <v>19.701111111149658</v>
      </c>
      <c r="L1740" s="1" t="str">
        <f t="shared" si="138"/>
        <v>OK</v>
      </c>
      <c r="M1740" s="1">
        <f t="shared" si="135"/>
        <v>1</v>
      </c>
      <c r="N1740" s="1">
        <f t="shared" si="136"/>
        <v>16</v>
      </c>
      <c r="O1740" s="10">
        <f t="shared" si="139"/>
        <v>19.701111111149658</v>
      </c>
    </row>
    <row r="1741" spans="1:15">
      <c r="A1741" s="1" t="s">
        <v>1846</v>
      </c>
      <c r="B1741" s="23">
        <v>45101.344444444447</v>
      </c>
      <c r="C1741" s="1" t="s">
        <v>16</v>
      </c>
      <c r="D1741" s="1" t="s">
        <v>21</v>
      </c>
      <c r="E1741" s="1" t="s">
        <v>33</v>
      </c>
      <c r="F1741" s="1" t="s">
        <v>148</v>
      </c>
      <c r="G1741" s="1">
        <v>55</v>
      </c>
      <c r="H1741" s="23">
        <v>45102.356111111112</v>
      </c>
      <c r="I1741" s="1" t="b">
        <v>0</v>
      </c>
      <c r="K1741" s="10">
        <f t="shared" si="137"/>
        <v>24.279999999969732</v>
      </c>
      <c r="L1741" s="1" t="str">
        <f t="shared" si="138"/>
        <v>OK</v>
      </c>
      <c r="M1741" s="1">
        <f t="shared" si="135"/>
        <v>1</v>
      </c>
      <c r="N1741" s="1">
        <f t="shared" si="136"/>
        <v>55</v>
      </c>
      <c r="O1741" s="10">
        <f t="shared" si="139"/>
        <v>24.279999999969732</v>
      </c>
    </row>
    <row r="1742" spans="1:15">
      <c r="A1742" s="1" t="s">
        <v>1847</v>
      </c>
      <c r="B1742" s="23">
        <v>45101.387499999997</v>
      </c>
      <c r="C1742" s="1" t="s">
        <v>25</v>
      </c>
      <c r="D1742" s="1" t="s">
        <v>59</v>
      </c>
      <c r="E1742" s="1" t="s">
        <v>18</v>
      </c>
      <c r="F1742" s="1" t="s">
        <v>92</v>
      </c>
      <c r="G1742" s="1">
        <v>174</v>
      </c>
      <c r="H1742" s="23">
        <v>45101.563032407408</v>
      </c>
      <c r="I1742" s="1" t="b">
        <v>0</v>
      </c>
      <c r="K1742" s="10">
        <f t="shared" si="137"/>
        <v>4.2127777778659947</v>
      </c>
      <c r="L1742" s="1" t="str">
        <f t="shared" si="138"/>
        <v>OK</v>
      </c>
      <c r="M1742" s="1">
        <f t="shared" si="135"/>
        <v>1</v>
      </c>
      <c r="N1742" s="1">
        <f t="shared" si="136"/>
        <v>174</v>
      </c>
      <c r="O1742" s="10">
        <f t="shared" si="139"/>
        <v>4.2127777778659947</v>
      </c>
    </row>
    <row r="1743" spans="1:15">
      <c r="A1743" s="1" t="s">
        <v>1848</v>
      </c>
      <c r="B1743" s="23">
        <v>45101.584027777775</v>
      </c>
      <c r="C1743" s="1" t="s">
        <v>25</v>
      </c>
      <c r="D1743" s="1" t="s">
        <v>12</v>
      </c>
      <c r="E1743" s="1" t="s">
        <v>33</v>
      </c>
      <c r="F1743" s="1" t="s">
        <v>186</v>
      </c>
      <c r="G1743" s="1">
        <v>113</v>
      </c>
      <c r="H1743" s="23">
        <v>45101.967847222222</v>
      </c>
      <c r="I1743" s="1" t="b">
        <v>0</v>
      </c>
      <c r="J1743" s="1">
        <v>5</v>
      </c>
      <c r="K1743" s="10">
        <f t="shared" si="137"/>
        <v>9.2116666667279787</v>
      </c>
      <c r="L1743" s="1" t="str">
        <f t="shared" si="138"/>
        <v>OK</v>
      </c>
      <c r="M1743" s="1">
        <f t="shared" si="135"/>
        <v>1</v>
      </c>
      <c r="N1743" s="1">
        <f t="shared" si="136"/>
        <v>113</v>
      </c>
      <c r="O1743" s="10">
        <f t="shared" si="139"/>
        <v>9.2116666667279787</v>
      </c>
    </row>
    <row r="1744" spans="1:15">
      <c r="A1744" s="1" t="s">
        <v>1849</v>
      </c>
      <c r="B1744" s="23">
        <v>45101.611111111109</v>
      </c>
      <c r="C1744" s="1" t="s">
        <v>11</v>
      </c>
      <c r="D1744" s="1" t="s">
        <v>17</v>
      </c>
      <c r="E1744" s="1" t="s">
        <v>13</v>
      </c>
      <c r="F1744" s="1" t="s">
        <v>112</v>
      </c>
      <c r="G1744" s="1">
        <v>27</v>
      </c>
      <c r="H1744" s="23">
        <v>45101.983217592591</v>
      </c>
      <c r="I1744" s="1" t="b">
        <v>0</v>
      </c>
      <c r="K1744" s="10">
        <f t="shared" si="137"/>
        <v>8.9305555555620231</v>
      </c>
      <c r="L1744" s="1" t="str">
        <f t="shared" si="138"/>
        <v>OK</v>
      </c>
      <c r="M1744" s="1">
        <f t="shared" si="135"/>
        <v>1</v>
      </c>
      <c r="N1744" s="1">
        <f t="shared" si="136"/>
        <v>27</v>
      </c>
      <c r="O1744" s="10">
        <f t="shared" si="139"/>
        <v>8.9305555555620231</v>
      </c>
    </row>
    <row r="1745" spans="1:15">
      <c r="A1745" s="1" t="s">
        <v>1850</v>
      </c>
      <c r="B1745" s="23">
        <v>45102.099305555559</v>
      </c>
      <c r="C1745" s="1" t="s">
        <v>11</v>
      </c>
      <c r="D1745" s="1" t="s">
        <v>59</v>
      </c>
      <c r="E1745" s="1" t="s">
        <v>33</v>
      </c>
      <c r="F1745" s="1" t="s">
        <v>130</v>
      </c>
      <c r="G1745" s="1">
        <v>1577</v>
      </c>
      <c r="H1745" s="23">
        <v>45103.126319444447</v>
      </c>
      <c r="I1745" s="1" t="b">
        <v>0</v>
      </c>
      <c r="K1745" s="10">
        <f t="shared" si="137"/>
        <v>24.648333333316259</v>
      </c>
      <c r="L1745" s="1" t="str">
        <f t="shared" si="138"/>
        <v>Review</v>
      </c>
      <c r="M1745" s="1">
        <f t="shared" si="135"/>
        <v>1</v>
      </c>
      <c r="N1745" s="1" t="str">
        <f t="shared" si="136"/>
        <v/>
      </c>
      <c r="O1745" s="10" t="str">
        <f t="shared" si="139"/>
        <v/>
      </c>
    </row>
    <row r="1746" spans="1:15">
      <c r="A1746" s="1" t="s">
        <v>1851</v>
      </c>
      <c r="B1746" s="23">
        <v>45102.136111111111</v>
      </c>
      <c r="C1746" s="1" t="s">
        <v>25</v>
      </c>
      <c r="D1746" s="1" t="s">
        <v>59</v>
      </c>
      <c r="E1746" s="1" t="s">
        <v>18</v>
      </c>
      <c r="F1746" s="1" t="s">
        <v>100</v>
      </c>
      <c r="G1746" s="1">
        <v>135</v>
      </c>
      <c r="H1746" s="23">
        <v>45102.47383101852</v>
      </c>
      <c r="I1746" s="1" t="b">
        <v>1</v>
      </c>
      <c r="K1746" s="10">
        <f t="shared" si="137"/>
        <v>8.1052777778240852</v>
      </c>
      <c r="L1746" s="1" t="str">
        <f t="shared" si="138"/>
        <v>OK</v>
      </c>
      <c r="M1746" s="1">
        <f t="shared" si="135"/>
        <v>1</v>
      </c>
      <c r="N1746" s="1">
        <f t="shared" si="136"/>
        <v>135</v>
      </c>
      <c r="O1746" s="10">
        <f t="shared" si="139"/>
        <v>8.1052777778240852</v>
      </c>
    </row>
    <row r="1747" spans="1:15">
      <c r="A1747" s="1" t="s">
        <v>1852</v>
      </c>
      <c r="B1747" s="23">
        <v>45102.26666666667</v>
      </c>
      <c r="C1747" s="1" t="s">
        <v>16</v>
      </c>
      <c r="D1747" s="1" t="s">
        <v>12</v>
      </c>
      <c r="E1747" s="1" t="s">
        <v>18</v>
      </c>
      <c r="F1747" s="1" t="s">
        <v>50</v>
      </c>
      <c r="G1747" s="1">
        <v>126</v>
      </c>
      <c r="H1747" s="23">
        <v>45104.288113425922</v>
      </c>
      <c r="I1747" s="1" t="b">
        <v>0</v>
      </c>
      <c r="J1747" s="1">
        <v>5</v>
      </c>
      <c r="K1747" s="10">
        <f t="shared" si="137"/>
        <v>48.514722222054843</v>
      </c>
      <c r="L1747" s="1" t="str">
        <f t="shared" si="138"/>
        <v>OK</v>
      </c>
      <c r="M1747" s="1">
        <f t="shared" si="135"/>
        <v>1</v>
      </c>
      <c r="N1747" s="1">
        <f t="shared" si="136"/>
        <v>126</v>
      </c>
      <c r="O1747" s="10">
        <f t="shared" si="139"/>
        <v>48.514722222054843</v>
      </c>
    </row>
    <row r="1748" spans="1:15">
      <c r="A1748" s="1" t="s">
        <v>1853</v>
      </c>
      <c r="B1748" s="23">
        <v>45102.289583333331</v>
      </c>
      <c r="C1748" s="1" t="s">
        <v>25</v>
      </c>
      <c r="D1748" s="1" t="s">
        <v>12</v>
      </c>
      <c r="E1748" s="1" t="s">
        <v>18</v>
      </c>
      <c r="F1748" s="1" t="s">
        <v>98</v>
      </c>
      <c r="G1748" s="1">
        <v>41</v>
      </c>
      <c r="H1748" s="23">
        <v>45102.882465277777</v>
      </c>
      <c r="I1748" s="1" t="b">
        <v>0</v>
      </c>
      <c r="K1748" s="10">
        <f t="shared" si="137"/>
        <v>14.229166666686069</v>
      </c>
      <c r="L1748" s="1" t="str">
        <f t="shared" si="138"/>
        <v>OK</v>
      </c>
      <c r="M1748" s="1">
        <f t="shared" si="135"/>
        <v>1</v>
      </c>
      <c r="N1748" s="1">
        <f t="shared" si="136"/>
        <v>41</v>
      </c>
      <c r="O1748" s="10">
        <f t="shared" si="139"/>
        <v>14.229166666686069</v>
      </c>
    </row>
    <row r="1749" spans="1:15">
      <c r="A1749" s="1" t="s">
        <v>1854</v>
      </c>
      <c r="B1749" s="23">
        <v>45102.783333333333</v>
      </c>
      <c r="C1749" s="1" t="s">
        <v>43</v>
      </c>
      <c r="D1749" s="1" t="s">
        <v>59</v>
      </c>
      <c r="E1749" s="1" t="s">
        <v>33</v>
      </c>
      <c r="F1749" s="1" t="s">
        <v>162</v>
      </c>
      <c r="G1749" s="1">
        <v>57</v>
      </c>
      <c r="H1749" s="23">
        <v>45102.914583333331</v>
      </c>
      <c r="I1749" s="1" t="b">
        <v>0</v>
      </c>
      <c r="K1749" s="10">
        <f t="shared" si="137"/>
        <v>3.1499999999650754</v>
      </c>
      <c r="L1749" s="1" t="str">
        <f t="shared" si="138"/>
        <v>OK</v>
      </c>
      <c r="M1749" s="1">
        <f t="shared" si="135"/>
        <v>1</v>
      </c>
      <c r="N1749" s="1">
        <f t="shared" si="136"/>
        <v>57</v>
      </c>
      <c r="O1749" s="10">
        <f t="shared" si="139"/>
        <v>3.1499999999650754</v>
      </c>
    </row>
    <row r="1750" spans="1:15">
      <c r="A1750" s="1" t="s">
        <v>1855</v>
      </c>
      <c r="B1750" s="23">
        <v>45102.911111111112</v>
      </c>
      <c r="C1750" s="1" t="s">
        <v>25</v>
      </c>
      <c r="D1750" s="1" t="s">
        <v>17</v>
      </c>
      <c r="E1750" s="1" t="s">
        <v>18</v>
      </c>
      <c r="F1750" s="1" t="s">
        <v>367</v>
      </c>
      <c r="G1750" s="1">
        <v>68</v>
      </c>
      <c r="H1750" s="23">
        <v>45103.698564814818</v>
      </c>
      <c r="I1750" s="1" t="b">
        <v>0</v>
      </c>
      <c r="K1750" s="10">
        <f t="shared" si="137"/>
        <v>18.898888888943475</v>
      </c>
      <c r="L1750" s="1" t="str">
        <f t="shared" si="138"/>
        <v>OK</v>
      </c>
      <c r="M1750" s="1">
        <f t="shared" si="135"/>
        <v>1</v>
      </c>
      <c r="N1750" s="1">
        <f t="shared" si="136"/>
        <v>68</v>
      </c>
      <c r="O1750" s="10">
        <f t="shared" si="139"/>
        <v>18.898888888943475</v>
      </c>
    </row>
    <row r="1751" spans="1:15">
      <c r="A1751" s="1" t="s">
        <v>1856</v>
      </c>
      <c r="B1751" s="23">
        <v>45103.013888888891</v>
      </c>
      <c r="C1751" s="1" t="s">
        <v>16</v>
      </c>
      <c r="D1751" s="1" t="s">
        <v>59</v>
      </c>
      <c r="E1751" s="1" t="s">
        <v>22</v>
      </c>
      <c r="F1751" s="1" t="s">
        <v>27</v>
      </c>
      <c r="G1751" s="1">
        <v>15</v>
      </c>
      <c r="H1751" s="23">
        <v>45103.099768518521</v>
      </c>
      <c r="I1751" s="1" t="b">
        <v>0</v>
      </c>
      <c r="K1751" s="10">
        <f t="shared" si="137"/>
        <v>2.0611111111356877</v>
      </c>
      <c r="L1751" s="1" t="str">
        <f t="shared" si="138"/>
        <v>OK</v>
      </c>
      <c r="M1751" s="1">
        <f t="shared" si="135"/>
        <v>1</v>
      </c>
      <c r="N1751" s="1">
        <f t="shared" si="136"/>
        <v>15</v>
      </c>
      <c r="O1751" s="10">
        <f t="shared" si="139"/>
        <v>2.0611111111356877</v>
      </c>
    </row>
    <row r="1752" spans="1:15">
      <c r="A1752" s="1" t="s">
        <v>1857</v>
      </c>
      <c r="B1752" s="23">
        <v>45103.109722222223</v>
      </c>
      <c r="C1752" s="1" t="s">
        <v>16</v>
      </c>
      <c r="D1752" s="1" t="s">
        <v>59</v>
      </c>
      <c r="E1752" s="1" t="s">
        <v>18</v>
      </c>
      <c r="F1752" s="1" t="s">
        <v>37</v>
      </c>
      <c r="G1752" s="1">
        <v>9</v>
      </c>
      <c r="H1752" s="23">
        <v>45106.231469907405</v>
      </c>
      <c r="I1752" s="1" t="b">
        <v>0</v>
      </c>
      <c r="J1752" s="1">
        <v>5</v>
      </c>
      <c r="K1752" s="10">
        <f t="shared" si="137"/>
        <v>74.921944444358815</v>
      </c>
      <c r="L1752" s="1" t="str">
        <f t="shared" si="138"/>
        <v>OK</v>
      </c>
      <c r="M1752" s="1">
        <f t="shared" si="135"/>
        <v>1</v>
      </c>
      <c r="N1752" s="1">
        <f t="shared" si="136"/>
        <v>9</v>
      </c>
      <c r="O1752" s="10">
        <f t="shared" si="139"/>
        <v>74.921944444358815</v>
      </c>
    </row>
    <row r="1753" spans="1:15">
      <c r="A1753" s="1" t="s">
        <v>1858</v>
      </c>
      <c r="B1753" s="23">
        <v>45103.32916666667</v>
      </c>
      <c r="C1753" s="1" t="s">
        <v>16</v>
      </c>
      <c r="D1753" s="1" t="s">
        <v>59</v>
      </c>
      <c r="E1753" s="1" t="s">
        <v>33</v>
      </c>
      <c r="F1753" s="1" t="s">
        <v>345</v>
      </c>
      <c r="G1753" s="1">
        <v>203</v>
      </c>
      <c r="I1753" s="1" t="b">
        <v>0</v>
      </c>
      <c r="K1753" s="10" t="str">
        <f t="shared" si="137"/>
        <v/>
      </c>
      <c r="L1753" s="1" t="str">
        <f t="shared" si="138"/>
        <v>Cannot check</v>
      </c>
      <c r="M1753" s="1">
        <f t="shared" si="135"/>
        <v>1</v>
      </c>
      <c r="N1753" s="1">
        <f t="shared" si="136"/>
        <v>203</v>
      </c>
      <c r="O1753" s="10" t="str">
        <f t="shared" si="139"/>
        <v/>
      </c>
    </row>
    <row r="1754" spans="1:15">
      <c r="A1754" s="1" t="s">
        <v>1859</v>
      </c>
      <c r="B1754" s="23">
        <v>45103.359722222223</v>
      </c>
      <c r="C1754" s="1" t="s">
        <v>25</v>
      </c>
      <c r="D1754" s="1" t="s">
        <v>26</v>
      </c>
      <c r="E1754" s="1" t="s">
        <v>18</v>
      </c>
      <c r="F1754" s="1" t="s">
        <v>74</v>
      </c>
      <c r="G1754" s="1">
        <v>101</v>
      </c>
      <c r="H1754" s="23">
        <v>45104.985648148147</v>
      </c>
      <c r="I1754" s="1" t="b">
        <v>0</v>
      </c>
      <c r="K1754" s="10">
        <f t="shared" si="137"/>
        <v>39.022222222178243</v>
      </c>
      <c r="L1754" s="1" t="str">
        <f t="shared" si="138"/>
        <v>OK</v>
      </c>
      <c r="M1754" s="1">
        <f t="shared" si="135"/>
        <v>1</v>
      </c>
      <c r="N1754" s="1">
        <f t="shared" si="136"/>
        <v>101</v>
      </c>
      <c r="O1754" s="10">
        <f t="shared" si="139"/>
        <v>39.022222222178243</v>
      </c>
    </row>
    <row r="1755" spans="1:15">
      <c r="A1755" s="1" t="s">
        <v>1860</v>
      </c>
      <c r="B1755" s="23">
        <v>45103.397916666669</v>
      </c>
      <c r="C1755" s="1" t="s">
        <v>16</v>
      </c>
      <c r="D1755" s="1" t="s">
        <v>12</v>
      </c>
      <c r="E1755" s="1" t="s">
        <v>13</v>
      </c>
      <c r="F1755" s="1" t="s">
        <v>237</v>
      </c>
      <c r="G1755" s="1">
        <v>57</v>
      </c>
      <c r="H1755" s="23">
        <v>45103.82199074074</v>
      </c>
      <c r="I1755" s="1" t="b">
        <v>0</v>
      </c>
      <c r="K1755" s="10">
        <f t="shared" si="137"/>
        <v>10.177777777716983</v>
      </c>
      <c r="L1755" s="1" t="str">
        <f t="shared" si="138"/>
        <v>OK</v>
      </c>
      <c r="M1755" s="1">
        <f t="shared" si="135"/>
        <v>1</v>
      </c>
      <c r="N1755" s="1">
        <f t="shared" si="136"/>
        <v>57</v>
      </c>
      <c r="O1755" s="10">
        <f t="shared" si="139"/>
        <v>10.177777777716983</v>
      </c>
    </row>
    <row r="1756" spans="1:15">
      <c r="A1756" s="1" t="s">
        <v>1861</v>
      </c>
      <c r="B1756" s="23">
        <v>45103.40347222222</v>
      </c>
      <c r="C1756" s="1" t="s">
        <v>25</v>
      </c>
      <c r="D1756" s="1" t="s">
        <v>12</v>
      </c>
      <c r="E1756" s="1" t="s">
        <v>33</v>
      </c>
      <c r="F1756" s="1" t="s">
        <v>92</v>
      </c>
      <c r="G1756" s="1">
        <v>499</v>
      </c>
      <c r="H1756" s="23">
        <v>45103.535740740743</v>
      </c>
      <c r="I1756" s="1" t="b">
        <v>0</v>
      </c>
      <c r="K1756" s="10">
        <f t="shared" si="137"/>
        <v>3.1744444445357658</v>
      </c>
      <c r="L1756" s="1" t="str">
        <f t="shared" si="138"/>
        <v>Review</v>
      </c>
      <c r="M1756" s="1">
        <f t="shared" si="135"/>
        <v>1</v>
      </c>
      <c r="N1756" s="1" t="str">
        <f t="shared" si="136"/>
        <v/>
      </c>
      <c r="O1756" s="10" t="str">
        <f t="shared" si="139"/>
        <v/>
      </c>
    </row>
    <row r="1757" spans="1:15">
      <c r="A1757" s="1" t="s">
        <v>1862</v>
      </c>
      <c r="B1757" s="23">
        <v>45103.525000000001</v>
      </c>
      <c r="C1757" s="1" t="s">
        <v>43</v>
      </c>
      <c r="D1757" s="1" t="s">
        <v>17</v>
      </c>
      <c r="E1757" s="1" t="s">
        <v>18</v>
      </c>
      <c r="F1757" s="1" t="s">
        <v>145</v>
      </c>
      <c r="G1757" s="1">
        <v>81</v>
      </c>
      <c r="H1757" s="23">
        <v>45103.927685185183</v>
      </c>
      <c r="I1757" s="1" t="b">
        <v>0</v>
      </c>
      <c r="J1757" s="1">
        <v>3</v>
      </c>
      <c r="K1757" s="10">
        <f t="shared" si="137"/>
        <v>9.6644444443518296</v>
      </c>
      <c r="L1757" s="1" t="str">
        <f t="shared" si="138"/>
        <v>OK</v>
      </c>
      <c r="M1757" s="1">
        <f t="shared" si="135"/>
        <v>1</v>
      </c>
      <c r="N1757" s="1">
        <f t="shared" si="136"/>
        <v>81</v>
      </c>
      <c r="O1757" s="10">
        <f t="shared" si="139"/>
        <v>9.6644444443518296</v>
      </c>
    </row>
    <row r="1758" spans="1:15">
      <c r="A1758" s="1" t="s">
        <v>1863</v>
      </c>
      <c r="B1758" s="23">
        <v>45103.536805555559</v>
      </c>
      <c r="C1758" s="1" t="s">
        <v>25</v>
      </c>
      <c r="D1758" s="1" t="s">
        <v>59</v>
      </c>
      <c r="E1758" s="1" t="s">
        <v>33</v>
      </c>
      <c r="F1758" s="1" t="s">
        <v>41</v>
      </c>
      <c r="G1758" s="1">
        <v>820</v>
      </c>
      <c r="H1758" s="23">
        <v>45104.294594907406</v>
      </c>
      <c r="I1758" s="1" t="b">
        <v>0</v>
      </c>
      <c r="K1758" s="10">
        <f t="shared" si="137"/>
        <v>18.186944444314577</v>
      </c>
      <c r="L1758" s="1" t="str">
        <f t="shared" si="138"/>
        <v>OK</v>
      </c>
      <c r="M1758" s="1">
        <f t="shared" si="135"/>
        <v>1</v>
      </c>
      <c r="N1758" s="1">
        <f t="shared" si="136"/>
        <v>820</v>
      </c>
      <c r="O1758" s="10">
        <f t="shared" si="139"/>
        <v>18.186944444314577</v>
      </c>
    </row>
    <row r="1759" spans="1:15">
      <c r="A1759" s="1" t="s">
        <v>1864</v>
      </c>
      <c r="B1759" s="23">
        <v>45103.603472222225</v>
      </c>
      <c r="C1759" s="1" t="s">
        <v>11</v>
      </c>
      <c r="D1759" s="1" t="s">
        <v>21</v>
      </c>
      <c r="E1759" s="1" t="s">
        <v>33</v>
      </c>
      <c r="F1759" s="1" t="s">
        <v>254</v>
      </c>
      <c r="G1759" s="1">
        <v>195</v>
      </c>
      <c r="H1759" s="23">
        <v>45119.137256944443</v>
      </c>
      <c r="I1759" s="1" t="b">
        <v>0</v>
      </c>
      <c r="K1759" s="10">
        <f t="shared" si="137"/>
        <v>372.81083333323477</v>
      </c>
      <c r="L1759" s="1" t="str">
        <f t="shared" si="138"/>
        <v>OK</v>
      </c>
      <c r="M1759" s="1">
        <f t="shared" si="135"/>
        <v>1</v>
      </c>
      <c r="N1759" s="1">
        <f t="shared" si="136"/>
        <v>195</v>
      </c>
      <c r="O1759" s="10">
        <f t="shared" si="139"/>
        <v>372.81083333323477</v>
      </c>
    </row>
    <row r="1760" spans="1:15">
      <c r="A1760" s="1" t="s">
        <v>1865</v>
      </c>
      <c r="B1760" s="23">
        <v>45103.757638888892</v>
      </c>
      <c r="C1760" s="1" t="s">
        <v>25</v>
      </c>
      <c r="D1760" s="1" t="s">
        <v>21</v>
      </c>
      <c r="E1760" s="1" t="s">
        <v>13</v>
      </c>
      <c r="F1760" s="1" t="s">
        <v>345</v>
      </c>
      <c r="G1760" s="1">
        <v>58</v>
      </c>
      <c r="H1760" s="23">
        <v>45104.281689814816</v>
      </c>
      <c r="I1760" s="1" t="b">
        <v>0</v>
      </c>
      <c r="K1760" s="10">
        <f t="shared" si="137"/>
        <v>12.577222222171258</v>
      </c>
      <c r="L1760" s="1" t="str">
        <f t="shared" si="138"/>
        <v>OK</v>
      </c>
      <c r="M1760" s="1">
        <f t="shared" si="135"/>
        <v>1</v>
      </c>
      <c r="N1760" s="1">
        <f t="shared" si="136"/>
        <v>58</v>
      </c>
      <c r="O1760" s="10">
        <f t="shared" si="139"/>
        <v>12.577222222171258</v>
      </c>
    </row>
    <row r="1761" spans="1:15">
      <c r="A1761" s="1" t="s">
        <v>1866</v>
      </c>
      <c r="B1761" s="23">
        <v>45103.806250000001</v>
      </c>
      <c r="C1761" s="1" t="s">
        <v>43</v>
      </c>
      <c r="D1761" s="1" t="s">
        <v>17</v>
      </c>
      <c r="E1761" s="1" t="s">
        <v>33</v>
      </c>
      <c r="F1761" s="1" t="s">
        <v>57</v>
      </c>
      <c r="G1761" s="1">
        <v>178</v>
      </c>
      <c r="H1761" s="23">
        <v>45108.567430555559</v>
      </c>
      <c r="I1761" s="1" t="b">
        <v>0</v>
      </c>
      <c r="J1761" s="1">
        <v>5</v>
      </c>
      <c r="K1761" s="10">
        <f t="shared" si="137"/>
        <v>114.26833333336981</v>
      </c>
      <c r="L1761" s="1" t="str">
        <f t="shared" si="138"/>
        <v>OK</v>
      </c>
      <c r="M1761" s="1">
        <f t="shared" si="135"/>
        <v>1</v>
      </c>
      <c r="N1761" s="1">
        <f t="shared" si="136"/>
        <v>178</v>
      </c>
      <c r="O1761" s="10">
        <f t="shared" si="139"/>
        <v>114.26833333336981</v>
      </c>
    </row>
    <row r="1762" spans="1:15">
      <c r="A1762" s="1" t="s">
        <v>1867</v>
      </c>
      <c r="B1762" s="23">
        <v>45103.895833333336</v>
      </c>
      <c r="C1762" s="1" t="s">
        <v>11</v>
      </c>
      <c r="D1762" s="1" t="s">
        <v>17</v>
      </c>
      <c r="E1762" s="1" t="s">
        <v>18</v>
      </c>
      <c r="F1762" s="1" t="s">
        <v>153</v>
      </c>
      <c r="G1762" s="1">
        <v>34</v>
      </c>
      <c r="H1762" s="23">
        <v>45119.221805555557</v>
      </c>
      <c r="I1762" s="1" t="b">
        <v>0</v>
      </c>
      <c r="J1762" s="1">
        <v>3</v>
      </c>
      <c r="K1762" s="10">
        <f t="shared" si="137"/>
        <v>367.82333333330462</v>
      </c>
      <c r="L1762" s="1" t="str">
        <f t="shared" si="138"/>
        <v>OK</v>
      </c>
      <c r="M1762" s="1">
        <f t="shared" si="135"/>
        <v>1</v>
      </c>
      <c r="N1762" s="1">
        <f t="shared" si="136"/>
        <v>34</v>
      </c>
      <c r="O1762" s="10">
        <f t="shared" si="139"/>
        <v>367.82333333330462</v>
      </c>
    </row>
    <row r="1763" spans="1:15">
      <c r="A1763" s="1" t="s">
        <v>1868</v>
      </c>
      <c r="B1763" s="23">
        <v>45104.043055555558</v>
      </c>
      <c r="C1763" s="1" t="s">
        <v>16</v>
      </c>
      <c r="D1763" s="1" t="s">
        <v>17</v>
      </c>
      <c r="E1763" s="1" t="s">
        <v>18</v>
      </c>
      <c r="F1763" s="1" t="s">
        <v>74</v>
      </c>
      <c r="G1763" s="1">
        <v>81</v>
      </c>
      <c r="H1763" s="23">
        <v>45141.308564814812</v>
      </c>
      <c r="I1763" s="1" t="b">
        <v>0</v>
      </c>
      <c r="K1763" s="10">
        <f t="shared" si="137"/>
        <v>894.37222222209675</v>
      </c>
      <c r="L1763" s="1" t="str">
        <f t="shared" si="138"/>
        <v>OK</v>
      </c>
      <c r="M1763" s="1">
        <f t="shared" si="135"/>
        <v>1</v>
      </c>
      <c r="N1763" s="1">
        <f t="shared" si="136"/>
        <v>81</v>
      </c>
      <c r="O1763" s="10">
        <f t="shared" si="139"/>
        <v>894.37222222209675</v>
      </c>
    </row>
    <row r="1764" spans="1:15">
      <c r="A1764" s="1" t="s">
        <v>1869</v>
      </c>
      <c r="B1764" s="23">
        <v>45104.126388888886</v>
      </c>
      <c r="C1764" s="1" t="s">
        <v>25</v>
      </c>
      <c r="D1764" s="1" t="s">
        <v>26</v>
      </c>
      <c r="E1764" s="1" t="s">
        <v>18</v>
      </c>
      <c r="F1764" s="1" t="s">
        <v>19</v>
      </c>
      <c r="G1764" s="1">
        <v>150</v>
      </c>
      <c r="H1764" s="23">
        <v>45112.637094907404</v>
      </c>
      <c r="I1764" s="1" t="b">
        <v>0</v>
      </c>
      <c r="J1764" s="1">
        <v>5</v>
      </c>
      <c r="K1764" s="10">
        <f t="shared" si="137"/>
        <v>204.25694444443798</v>
      </c>
      <c r="L1764" s="1" t="str">
        <f t="shared" si="138"/>
        <v>OK</v>
      </c>
      <c r="M1764" s="1">
        <f t="shared" si="135"/>
        <v>1</v>
      </c>
      <c r="N1764" s="1">
        <f t="shared" si="136"/>
        <v>150</v>
      </c>
      <c r="O1764" s="10">
        <f t="shared" si="139"/>
        <v>204.25694444443798</v>
      </c>
    </row>
    <row r="1765" spans="1:15">
      <c r="A1765" s="1" t="s">
        <v>1870</v>
      </c>
      <c r="B1765" s="23">
        <v>45104.172222222223</v>
      </c>
      <c r="C1765" s="1" t="s">
        <v>16</v>
      </c>
      <c r="D1765" s="1" t="s">
        <v>21</v>
      </c>
      <c r="E1765" s="1" t="s">
        <v>33</v>
      </c>
      <c r="F1765" s="1" t="s">
        <v>78</v>
      </c>
      <c r="G1765" s="1">
        <v>289</v>
      </c>
      <c r="H1765" s="23">
        <v>45105.946006944447</v>
      </c>
      <c r="I1765" s="1" t="b">
        <v>0</v>
      </c>
      <c r="K1765" s="10">
        <f t="shared" si="137"/>
        <v>42.570833333360497</v>
      </c>
      <c r="L1765" s="1" t="str">
        <f t="shared" si="138"/>
        <v>OK</v>
      </c>
      <c r="M1765" s="1">
        <f t="shared" si="135"/>
        <v>1</v>
      </c>
      <c r="N1765" s="1">
        <f t="shared" si="136"/>
        <v>289</v>
      </c>
      <c r="O1765" s="10">
        <f t="shared" si="139"/>
        <v>42.570833333360497</v>
      </c>
    </row>
    <row r="1766" spans="1:15">
      <c r="A1766" s="1" t="s">
        <v>1871</v>
      </c>
      <c r="B1766" s="23">
        <v>45104.177083333336</v>
      </c>
      <c r="C1766" s="1" t="s">
        <v>11</v>
      </c>
      <c r="D1766" s="1" t="s">
        <v>17</v>
      </c>
      <c r="E1766" s="1" t="s">
        <v>18</v>
      </c>
      <c r="F1766" s="1" t="s">
        <v>159</v>
      </c>
      <c r="G1766" s="1">
        <v>201</v>
      </c>
      <c r="H1766" s="23">
        <v>45105.942395833335</v>
      </c>
      <c r="I1766" s="1" t="b">
        <v>0</v>
      </c>
      <c r="K1766" s="10">
        <f t="shared" si="137"/>
        <v>42.367499999993015</v>
      </c>
      <c r="L1766" s="1" t="str">
        <f t="shared" si="138"/>
        <v>OK</v>
      </c>
      <c r="M1766" s="1">
        <f t="shared" si="135"/>
        <v>1</v>
      </c>
      <c r="N1766" s="1">
        <f t="shared" si="136"/>
        <v>201</v>
      </c>
      <c r="O1766" s="10">
        <f t="shared" si="139"/>
        <v>42.367499999993015</v>
      </c>
    </row>
    <row r="1767" spans="1:15">
      <c r="A1767" s="1" t="s">
        <v>1872</v>
      </c>
      <c r="B1767" s="23">
        <v>45104.325694444444</v>
      </c>
      <c r="C1767" s="1" t="s">
        <v>25</v>
      </c>
      <c r="D1767" s="1" t="s">
        <v>17</v>
      </c>
      <c r="E1767" s="1" t="s">
        <v>13</v>
      </c>
      <c r="F1767" s="1" t="s">
        <v>120</v>
      </c>
      <c r="G1767" s="1">
        <v>121</v>
      </c>
      <c r="H1767" s="23">
        <v>45104.378865740742</v>
      </c>
      <c r="I1767" s="1" t="b">
        <v>0</v>
      </c>
      <c r="K1767" s="10">
        <f t="shared" si="137"/>
        <v>1.276111111161299</v>
      </c>
      <c r="L1767" s="1" t="str">
        <f t="shared" si="138"/>
        <v>Review</v>
      </c>
      <c r="M1767" s="1">
        <f t="shared" si="135"/>
        <v>1</v>
      </c>
      <c r="N1767" s="1" t="str">
        <f t="shared" si="136"/>
        <v/>
      </c>
      <c r="O1767" s="10" t="str">
        <f t="shared" si="139"/>
        <v/>
      </c>
    </row>
    <row r="1768" spans="1:15">
      <c r="A1768" s="1" t="s">
        <v>1873</v>
      </c>
      <c r="B1768" s="23">
        <v>45104.489583333336</v>
      </c>
      <c r="C1768" s="1" t="s">
        <v>25</v>
      </c>
      <c r="D1768" s="1" t="s">
        <v>21</v>
      </c>
      <c r="E1768" s="1" t="s">
        <v>13</v>
      </c>
      <c r="F1768" s="1" t="s">
        <v>186</v>
      </c>
      <c r="G1768" s="1">
        <v>88</v>
      </c>
      <c r="H1768" s="23">
        <v>45104.86928240741</v>
      </c>
      <c r="I1768" s="1" t="b">
        <v>0</v>
      </c>
      <c r="K1768" s="10">
        <f t="shared" si="137"/>
        <v>9.1127777777728625</v>
      </c>
      <c r="L1768" s="1" t="str">
        <f t="shared" si="138"/>
        <v>OK</v>
      </c>
      <c r="M1768" s="1">
        <f t="shared" si="135"/>
        <v>1</v>
      </c>
      <c r="N1768" s="1">
        <f t="shared" si="136"/>
        <v>88</v>
      </c>
      <c r="O1768" s="10">
        <f t="shared" si="139"/>
        <v>9.1127777777728625</v>
      </c>
    </row>
    <row r="1769" spans="1:15">
      <c r="A1769" s="1" t="s">
        <v>1874</v>
      </c>
      <c r="B1769" s="23">
        <v>45104.540277777778</v>
      </c>
      <c r="C1769" s="1" t="s">
        <v>11</v>
      </c>
      <c r="D1769" s="1" t="s">
        <v>21</v>
      </c>
      <c r="E1769" s="1" t="s">
        <v>33</v>
      </c>
      <c r="F1769" s="1" t="s">
        <v>80</v>
      </c>
      <c r="G1769" s="1">
        <v>237</v>
      </c>
      <c r="H1769" s="23">
        <v>45108.864293981482</v>
      </c>
      <c r="I1769" s="1" t="b">
        <v>0</v>
      </c>
      <c r="K1769" s="10">
        <f t="shared" si="137"/>
        <v>103.7763888888876</v>
      </c>
      <c r="L1769" s="1" t="str">
        <f t="shared" si="138"/>
        <v>OK</v>
      </c>
      <c r="M1769" s="1">
        <f t="shared" si="135"/>
        <v>1</v>
      </c>
      <c r="N1769" s="1">
        <f t="shared" si="136"/>
        <v>237</v>
      </c>
      <c r="O1769" s="10">
        <f t="shared" si="139"/>
        <v>103.7763888888876</v>
      </c>
    </row>
    <row r="1770" spans="1:15">
      <c r="A1770" s="1" t="s">
        <v>1875</v>
      </c>
      <c r="B1770" s="23">
        <v>45104.625</v>
      </c>
      <c r="C1770" s="1" t="s">
        <v>16</v>
      </c>
      <c r="D1770" s="1" t="s">
        <v>59</v>
      </c>
      <c r="E1770" s="1" t="s">
        <v>18</v>
      </c>
      <c r="F1770" s="1" t="s">
        <v>94</v>
      </c>
      <c r="G1770" s="1">
        <v>290</v>
      </c>
      <c r="H1770" s="23">
        <v>45106.673819444448</v>
      </c>
      <c r="I1770" s="1" t="b">
        <v>0</v>
      </c>
      <c r="J1770" s="1">
        <v>3</v>
      </c>
      <c r="K1770" s="10">
        <f t="shared" si="137"/>
        <v>49.171666666748933</v>
      </c>
      <c r="L1770" s="1" t="str">
        <f t="shared" si="138"/>
        <v>OK</v>
      </c>
      <c r="M1770" s="1">
        <f t="shared" si="135"/>
        <v>1</v>
      </c>
      <c r="N1770" s="1">
        <f t="shared" si="136"/>
        <v>290</v>
      </c>
      <c r="O1770" s="10">
        <f t="shared" si="139"/>
        <v>49.171666666748933</v>
      </c>
    </row>
    <row r="1771" spans="1:15">
      <c r="A1771" s="1" t="s">
        <v>1876</v>
      </c>
      <c r="B1771" s="23">
        <v>45104.67291666667</v>
      </c>
      <c r="C1771" s="1" t="s">
        <v>25</v>
      </c>
      <c r="D1771" s="1" t="s">
        <v>17</v>
      </c>
      <c r="E1771" s="1" t="s">
        <v>33</v>
      </c>
      <c r="F1771" s="1" t="s">
        <v>317</v>
      </c>
      <c r="G1771" s="1">
        <v>187</v>
      </c>
      <c r="H1771" s="23">
        <v>45109.214965277781</v>
      </c>
      <c r="I1771" s="1" t="b">
        <v>0</v>
      </c>
      <c r="K1771" s="10">
        <f t="shared" si="137"/>
        <v>109.0091666666558</v>
      </c>
      <c r="L1771" s="1" t="str">
        <f t="shared" si="138"/>
        <v>OK</v>
      </c>
      <c r="M1771" s="1">
        <f t="shared" si="135"/>
        <v>1</v>
      </c>
      <c r="N1771" s="1">
        <f t="shared" si="136"/>
        <v>187</v>
      </c>
      <c r="O1771" s="10">
        <f t="shared" si="139"/>
        <v>109.0091666666558</v>
      </c>
    </row>
    <row r="1772" spans="1:15">
      <c r="A1772" s="1" t="s">
        <v>1877</v>
      </c>
      <c r="B1772" s="23">
        <v>45104.910416666666</v>
      </c>
      <c r="C1772" s="1" t="s">
        <v>11</v>
      </c>
      <c r="D1772" s="1" t="s">
        <v>59</v>
      </c>
      <c r="E1772" s="1" t="s">
        <v>18</v>
      </c>
      <c r="F1772" s="1" t="s">
        <v>94</v>
      </c>
      <c r="G1772" s="1">
        <v>23</v>
      </c>
      <c r="H1772" s="23">
        <v>45105.729884259257</v>
      </c>
      <c r="I1772" s="1" t="b">
        <v>0</v>
      </c>
      <c r="J1772" s="1">
        <v>3</v>
      </c>
      <c r="K1772" s="10">
        <f t="shared" si="137"/>
        <v>19.66722222219687</v>
      </c>
      <c r="L1772" s="1" t="str">
        <f t="shared" si="138"/>
        <v>OK</v>
      </c>
      <c r="M1772" s="1">
        <f t="shared" si="135"/>
        <v>1</v>
      </c>
      <c r="N1772" s="1">
        <f t="shared" si="136"/>
        <v>23</v>
      </c>
      <c r="O1772" s="10">
        <f t="shared" si="139"/>
        <v>19.66722222219687</v>
      </c>
    </row>
    <row r="1773" spans="1:15">
      <c r="A1773" s="1" t="s">
        <v>1878</v>
      </c>
      <c r="B1773" s="23">
        <v>45104.992361111108</v>
      </c>
      <c r="C1773" s="1" t="s">
        <v>16</v>
      </c>
      <c r="D1773" s="1" t="s">
        <v>21</v>
      </c>
      <c r="E1773" s="1" t="s">
        <v>18</v>
      </c>
      <c r="F1773" s="1" t="s">
        <v>23</v>
      </c>
      <c r="G1773" s="1">
        <v>46</v>
      </c>
      <c r="H1773" s="23">
        <v>45105.576307870368</v>
      </c>
      <c r="I1773" s="1" t="b">
        <v>0</v>
      </c>
      <c r="K1773" s="10">
        <f t="shared" si="137"/>
        <v>14.014722222229466</v>
      </c>
      <c r="L1773" s="1" t="str">
        <f t="shared" si="138"/>
        <v>OK</v>
      </c>
      <c r="M1773" s="1">
        <f t="shared" si="135"/>
        <v>1</v>
      </c>
      <c r="N1773" s="1">
        <f t="shared" si="136"/>
        <v>46</v>
      </c>
      <c r="O1773" s="10">
        <f t="shared" si="139"/>
        <v>14.014722222229466</v>
      </c>
    </row>
    <row r="1774" spans="1:15">
      <c r="A1774" s="1" t="s">
        <v>1879</v>
      </c>
      <c r="B1774" s="23">
        <v>45105.025000000001</v>
      </c>
      <c r="C1774" s="1" t="s">
        <v>11</v>
      </c>
      <c r="D1774" s="1" t="s">
        <v>12</v>
      </c>
      <c r="E1774" s="1" t="s">
        <v>13</v>
      </c>
      <c r="F1774" s="1" t="s">
        <v>54</v>
      </c>
      <c r="G1774" s="1">
        <v>34</v>
      </c>
      <c r="H1774" s="23">
        <v>45105.976898148147</v>
      </c>
      <c r="I1774" s="1" t="b">
        <v>0</v>
      </c>
      <c r="J1774" s="1">
        <v>5</v>
      </c>
      <c r="K1774" s="10">
        <f t="shared" si="137"/>
        <v>22.845555555482861</v>
      </c>
      <c r="L1774" s="1" t="str">
        <f t="shared" si="138"/>
        <v>OK</v>
      </c>
      <c r="M1774" s="1">
        <f t="shared" si="135"/>
        <v>1</v>
      </c>
      <c r="N1774" s="1">
        <f t="shared" si="136"/>
        <v>34</v>
      </c>
      <c r="O1774" s="10">
        <f t="shared" si="139"/>
        <v>22.845555555482861</v>
      </c>
    </row>
    <row r="1775" spans="1:15">
      <c r="A1775" s="1" t="s">
        <v>1880</v>
      </c>
      <c r="B1775" s="23">
        <v>45105.04583333333</v>
      </c>
      <c r="C1775" s="1" t="s">
        <v>16</v>
      </c>
      <c r="D1775" s="1" t="s">
        <v>17</v>
      </c>
      <c r="E1775" s="1" t="s">
        <v>18</v>
      </c>
      <c r="F1775" s="1" t="s">
        <v>76</v>
      </c>
      <c r="G1775" s="1">
        <v>110</v>
      </c>
      <c r="H1775" s="23">
        <v>45109.48238425926</v>
      </c>
      <c r="I1775" s="1" t="b">
        <v>0</v>
      </c>
      <c r="K1775" s="10">
        <f t="shared" si="137"/>
        <v>106.47722222231096</v>
      </c>
      <c r="L1775" s="1" t="str">
        <f t="shared" si="138"/>
        <v>OK</v>
      </c>
      <c r="M1775" s="1">
        <f t="shared" si="135"/>
        <v>1</v>
      </c>
      <c r="N1775" s="1">
        <f t="shared" si="136"/>
        <v>110</v>
      </c>
      <c r="O1775" s="10">
        <f t="shared" si="139"/>
        <v>106.47722222231096</v>
      </c>
    </row>
    <row r="1776" spans="1:15">
      <c r="A1776" s="1" t="s">
        <v>1881</v>
      </c>
      <c r="B1776" s="23">
        <v>45105.244444444441</v>
      </c>
      <c r="C1776" s="1" t="s">
        <v>11</v>
      </c>
      <c r="D1776" s="1" t="s">
        <v>26</v>
      </c>
      <c r="E1776" s="1" t="s">
        <v>33</v>
      </c>
      <c r="F1776" s="1" t="s">
        <v>57</v>
      </c>
      <c r="G1776" s="1">
        <v>89</v>
      </c>
      <c r="H1776" s="23">
        <v>45105.835497685184</v>
      </c>
      <c r="I1776" s="1" t="b">
        <v>0</v>
      </c>
      <c r="J1776" s="1">
        <v>4</v>
      </c>
      <c r="K1776" s="10">
        <f t="shared" si="137"/>
        <v>14.185277777840383</v>
      </c>
      <c r="L1776" s="1" t="str">
        <f t="shared" si="138"/>
        <v>OK</v>
      </c>
      <c r="M1776" s="1">
        <f t="shared" si="135"/>
        <v>1</v>
      </c>
      <c r="N1776" s="1">
        <f t="shared" si="136"/>
        <v>89</v>
      </c>
      <c r="O1776" s="10">
        <f t="shared" si="139"/>
        <v>14.185277777840383</v>
      </c>
    </row>
    <row r="1777" spans="1:15">
      <c r="A1777" s="1" t="s">
        <v>1882</v>
      </c>
      <c r="B1777" s="23">
        <v>45105.272222222222</v>
      </c>
      <c r="C1777" s="1" t="s">
        <v>43</v>
      </c>
      <c r="D1777" s="1" t="s">
        <v>12</v>
      </c>
      <c r="E1777" s="1" t="s">
        <v>18</v>
      </c>
      <c r="F1777" s="1" t="s">
        <v>132</v>
      </c>
      <c r="G1777" s="1">
        <v>30</v>
      </c>
      <c r="H1777" s="23">
        <v>45106.280046296299</v>
      </c>
      <c r="I1777" s="1" t="b">
        <v>1</v>
      </c>
      <c r="K1777" s="10">
        <f t="shared" si="137"/>
        <v>24.187777777842712</v>
      </c>
      <c r="L1777" s="1" t="str">
        <f t="shared" si="138"/>
        <v>OK</v>
      </c>
      <c r="M1777" s="1">
        <f t="shared" si="135"/>
        <v>1</v>
      </c>
      <c r="N1777" s="1">
        <f t="shared" si="136"/>
        <v>30</v>
      </c>
      <c r="O1777" s="10">
        <f t="shared" si="139"/>
        <v>24.187777777842712</v>
      </c>
    </row>
    <row r="1778" spans="1:15">
      <c r="A1778" s="1" t="s">
        <v>1883</v>
      </c>
      <c r="B1778" s="23">
        <v>45105.464583333334</v>
      </c>
      <c r="C1778" s="1" t="s">
        <v>25</v>
      </c>
      <c r="D1778" s="1" t="s">
        <v>21</v>
      </c>
      <c r="E1778" s="1" t="s">
        <v>33</v>
      </c>
      <c r="F1778" s="1" t="s">
        <v>62</v>
      </c>
      <c r="G1778" s="1">
        <v>1024</v>
      </c>
      <c r="H1778" s="23">
        <v>45107.790497685186</v>
      </c>
      <c r="I1778" s="1" t="b">
        <v>1</v>
      </c>
      <c r="J1778" s="1">
        <v>5</v>
      </c>
      <c r="K1778" s="10">
        <f t="shared" si="137"/>
        <v>55.821944444440305</v>
      </c>
      <c r="L1778" s="1" t="str">
        <f t="shared" si="138"/>
        <v>OK</v>
      </c>
      <c r="M1778" s="1">
        <f t="shared" si="135"/>
        <v>1</v>
      </c>
      <c r="N1778" s="1">
        <f t="shared" si="136"/>
        <v>1024</v>
      </c>
      <c r="O1778" s="10">
        <f t="shared" si="139"/>
        <v>55.821944444440305</v>
      </c>
    </row>
    <row r="1779" spans="1:15">
      <c r="A1779" s="1" t="s">
        <v>1884</v>
      </c>
      <c r="B1779" s="23">
        <v>45105.662499999999</v>
      </c>
      <c r="C1779" s="1" t="s">
        <v>11</v>
      </c>
      <c r="D1779" s="1" t="s">
        <v>26</v>
      </c>
      <c r="E1779" s="1" t="s">
        <v>18</v>
      </c>
      <c r="F1779" s="1" t="s">
        <v>153</v>
      </c>
      <c r="G1779" s="1">
        <v>70</v>
      </c>
      <c r="H1779" s="23">
        <v>45107.707696759258</v>
      </c>
      <c r="I1779" s="1" t="b">
        <v>0</v>
      </c>
      <c r="K1779" s="10">
        <f t="shared" si="137"/>
        <v>49.084722222236451</v>
      </c>
      <c r="L1779" s="1" t="str">
        <f t="shared" si="138"/>
        <v>OK</v>
      </c>
      <c r="M1779" s="1">
        <f t="shared" si="135"/>
        <v>1</v>
      </c>
      <c r="N1779" s="1">
        <f t="shared" si="136"/>
        <v>70</v>
      </c>
      <c r="O1779" s="10">
        <f t="shared" si="139"/>
        <v>49.084722222236451</v>
      </c>
    </row>
    <row r="1780" spans="1:15">
      <c r="A1780" s="1" t="s">
        <v>1885</v>
      </c>
      <c r="B1780" s="23">
        <v>45105.804861111108</v>
      </c>
      <c r="C1780" s="1" t="s">
        <v>25</v>
      </c>
      <c r="D1780" s="1" t="s">
        <v>21</v>
      </c>
      <c r="E1780" s="1" t="s">
        <v>18</v>
      </c>
      <c r="F1780" s="1" t="s">
        <v>57</v>
      </c>
      <c r="G1780" s="1">
        <v>152</v>
      </c>
      <c r="H1780" s="23">
        <v>45110.860451388886</v>
      </c>
      <c r="I1780" s="1" t="b">
        <v>0</v>
      </c>
      <c r="K1780" s="10">
        <f t="shared" si="137"/>
        <v>121.33416666666744</v>
      </c>
      <c r="L1780" s="1" t="str">
        <f t="shared" si="138"/>
        <v>OK</v>
      </c>
      <c r="M1780" s="1">
        <f t="shared" si="135"/>
        <v>1</v>
      </c>
      <c r="N1780" s="1">
        <f t="shared" si="136"/>
        <v>152</v>
      </c>
      <c r="O1780" s="10">
        <f t="shared" si="139"/>
        <v>121.33416666666744</v>
      </c>
    </row>
    <row r="1781" spans="1:15">
      <c r="A1781" s="1" t="s">
        <v>1886</v>
      </c>
      <c r="B1781" s="23">
        <v>45105.810416666667</v>
      </c>
      <c r="C1781" s="1" t="s">
        <v>16</v>
      </c>
      <c r="D1781" s="1" t="s">
        <v>12</v>
      </c>
      <c r="E1781" s="1" t="s">
        <v>13</v>
      </c>
      <c r="F1781" s="1" t="s">
        <v>94</v>
      </c>
      <c r="G1781" s="1">
        <v>34</v>
      </c>
      <c r="H1781" s="23">
        <v>45106.036990740744</v>
      </c>
      <c r="I1781" s="1" t="b">
        <v>0</v>
      </c>
      <c r="K1781" s="10">
        <f t="shared" si="137"/>
        <v>5.4377777778427117</v>
      </c>
      <c r="L1781" s="1" t="str">
        <f t="shared" si="138"/>
        <v>OK</v>
      </c>
      <c r="M1781" s="1">
        <f t="shared" si="135"/>
        <v>1</v>
      </c>
      <c r="N1781" s="1">
        <f t="shared" si="136"/>
        <v>34</v>
      </c>
      <c r="O1781" s="10">
        <f t="shared" si="139"/>
        <v>5.4377777778427117</v>
      </c>
    </row>
    <row r="1782" spans="1:15">
      <c r="A1782" s="1" t="s">
        <v>1887</v>
      </c>
      <c r="B1782" s="23">
        <v>45105.847222222219</v>
      </c>
      <c r="C1782" s="1" t="s">
        <v>25</v>
      </c>
      <c r="D1782" s="1" t="s">
        <v>17</v>
      </c>
      <c r="E1782" s="1" t="s">
        <v>13</v>
      </c>
      <c r="F1782" s="1" t="s">
        <v>259</v>
      </c>
      <c r="G1782" s="1">
        <v>76</v>
      </c>
      <c r="H1782" s="23">
        <v>45106.791006944448</v>
      </c>
      <c r="I1782" s="1" t="b">
        <v>1</v>
      </c>
      <c r="K1782" s="10">
        <f t="shared" si="137"/>
        <v>22.65083333349321</v>
      </c>
      <c r="L1782" s="1" t="str">
        <f t="shared" si="138"/>
        <v>OK</v>
      </c>
      <c r="M1782" s="1">
        <f t="shared" si="135"/>
        <v>1</v>
      </c>
      <c r="N1782" s="1">
        <f t="shared" si="136"/>
        <v>76</v>
      </c>
      <c r="O1782" s="10">
        <f t="shared" si="139"/>
        <v>22.65083333349321</v>
      </c>
    </row>
    <row r="1783" spans="1:15">
      <c r="A1783" s="1" t="s">
        <v>1888</v>
      </c>
      <c r="B1783" s="23">
        <v>45105.902777777781</v>
      </c>
      <c r="C1783" s="1" t="s">
        <v>16</v>
      </c>
      <c r="D1783" s="1" t="s">
        <v>21</v>
      </c>
      <c r="E1783" s="1" t="s">
        <v>22</v>
      </c>
      <c r="F1783" s="1" t="s">
        <v>96</v>
      </c>
      <c r="G1783" s="1">
        <v>21</v>
      </c>
      <c r="H1783" s="23">
        <v>45106.013321759259</v>
      </c>
      <c r="I1783" s="1" t="b">
        <v>0</v>
      </c>
      <c r="K1783" s="10">
        <f t="shared" si="137"/>
        <v>2.653055555478204</v>
      </c>
      <c r="L1783" s="1" t="str">
        <f t="shared" si="138"/>
        <v>OK</v>
      </c>
      <c r="M1783" s="1">
        <f t="shared" si="135"/>
        <v>1</v>
      </c>
      <c r="N1783" s="1">
        <f t="shared" si="136"/>
        <v>21</v>
      </c>
      <c r="O1783" s="10">
        <f t="shared" si="139"/>
        <v>2.653055555478204</v>
      </c>
    </row>
    <row r="1784" spans="1:15">
      <c r="A1784" s="1" t="s">
        <v>1889</v>
      </c>
      <c r="B1784" s="23">
        <v>45105.902777777781</v>
      </c>
      <c r="C1784" s="1" t="s">
        <v>25</v>
      </c>
      <c r="D1784" s="1" t="s">
        <v>59</v>
      </c>
      <c r="E1784" s="1" t="s">
        <v>18</v>
      </c>
      <c r="F1784" s="1" t="s">
        <v>86</v>
      </c>
      <c r="G1784" s="1">
        <v>169</v>
      </c>
      <c r="H1784" s="23">
        <v>45107.199479166666</v>
      </c>
      <c r="I1784" s="1" t="b">
        <v>0</v>
      </c>
      <c r="K1784" s="10">
        <f t="shared" si="137"/>
        <v>31.12083333323244</v>
      </c>
      <c r="L1784" s="1" t="str">
        <f t="shared" si="138"/>
        <v>OK</v>
      </c>
      <c r="M1784" s="1">
        <f t="shared" si="135"/>
        <v>1</v>
      </c>
      <c r="N1784" s="1">
        <f t="shared" si="136"/>
        <v>169</v>
      </c>
      <c r="O1784" s="10">
        <f t="shared" si="139"/>
        <v>31.12083333323244</v>
      </c>
    </row>
    <row r="1785" spans="1:15">
      <c r="A1785" s="1" t="s">
        <v>1890</v>
      </c>
      <c r="B1785" s="23">
        <v>45105.92083333333</v>
      </c>
      <c r="C1785" s="1" t="s">
        <v>16</v>
      </c>
      <c r="D1785" s="1" t="s">
        <v>59</v>
      </c>
      <c r="E1785" s="1" t="s">
        <v>33</v>
      </c>
      <c r="F1785" s="1" t="s">
        <v>159</v>
      </c>
      <c r="G1785" s="1">
        <v>343</v>
      </c>
      <c r="H1785" s="23">
        <v>45108.260358796295</v>
      </c>
      <c r="I1785" s="1" t="b">
        <v>0</v>
      </c>
      <c r="K1785" s="10">
        <f t="shared" si="137"/>
        <v>56.148611111158971</v>
      </c>
      <c r="L1785" s="1" t="str">
        <f t="shared" si="138"/>
        <v>OK</v>
      </c>
      <c r="M1785" s="1">
        <f t="shared" si="135"/>
        <v>1</v>
      </c>
      <c r="N1785" s="1">
        <f t="shared" si="136"/>
        <v>343</v>
      </c>
      <c r="O1785" s="10">
        <f t="shared" si="139"/>
        <v>56.148611111158971</v>
      </c>
    </row>
    <row r="1786" spans="1:15">
      <c r="A1786" s="1" t="s">
        <v>1891</v>
      </c>
      <c r="B1786" s="23">
        <v>45106.218055555553</v>
      </c>
      <c r="C1786" s="1" t="s">
        <v>16</v>
      </c>
      <c r="D1786" s="1" t="s">
        <v>59</v>
      </c>
      <c r="E1786" s="1" t="s">
        <v>18</v>
      </c>
      <c r="F1786" s="1" t="s">
        <v>186</v>
      </c>
      <c r="G1786" s="1">
        <v>128</v>
      </c>
      <c r="H1786" s="23">
        <v>45127.182893518519</v>
      </c>
      <c r="I1786" s="1" t="b">
        <v>0</v>
      </c>
      <c r="K1786" s="10">
        <f t="shared" si="137"/>
        <v>503.15611111116596</v>
      </c>
      <c r="L1786" s="1" t="str">
        <f t="shared" si="138"/>
        <v>OK</v>
      </c>
      <c r="M1786" s="1">
        <f t="shared" si="135"/>
        <v>1</v>
      </c>
      <c r="N1786" s="1">
        <f t="shared" si="136"/>
        <v>128</v>
      </c>
      <c r="O1786" s="10">
        <f t="shared" si="139"/>
        <v>503.15611111116596</v>
      </c>
    </row>
    <row r="1787" spans="1:15">
      <c r="A1787" s="1" t="s">
        <v>1892</v>
      </c>
      <c r="B1787" s="23">
        <v>45106.288888888892</v>
      </c>
      <c r="C1787" s="1" t="s">
        <v>43</v>
      </c>
      <c r="D1787" s="1" t="s">
        <v>21</v>
      </c>
      <c r="E1787" s="1" t="s">
        <v>22</v>
      </c>
      <c r="F1787" s="1" t="s">
        <v>37</v>
      </c>
      <c r="G1787" s="1">
        <v>52</v>
      </c>
      <c r="H1787" s="23">
        <v>45106.33353009259</v>
      </c>
      <c r="I1787" s="1" t="b">
        <v>0</v>
      </c>
      <c r="K1787" s="10">
        <f t="shared" si="137"/>
        <v>1.0713888887548819</v>
      </c>
      <c r="L1787" s="1" t="str">
        <f t="shared" si="138"/>
        <v>OK</v>
      </c>
      <c r="M1787" s="1">
        <f t="shared" si="135"/>
        <v>1</v>
      </c>
      <c r="N1787" s="1">
        <f t="shared" si="136"/>
        <v>52</v>
      </c>
      <c r="O1787" s="10">
        <f t="shared" si="139"/>
        <v>1.0713888887548819</v>
      </c>
    </row>
    <row r="1788" spans="1:15">
      <c r="A1788" s="1" t="s">
        <v>1893</v>
      </c>
      <c r="B1788" s="23">
        <v>45106.345833333333</v>
      </c>
      <c r="C1788" s="1" t="s">
        <v>16</v>
      </c>
      <c r="D1788" s="1" t="s">
        <v>17</v>
      </c>
      <c r="E1788" s="1" t="s">
        <v>18</v>
      </c>
      <c r="F1788" s="1" t="s">
        <v>120</v>
      </c>
      <c r="G1788" s="1">
        <v>77</v>
      </c>
      <c r="H1788" s="23">
        <v>45106.892280092594</v>
      </c>
      <c r="I1788" s="1" t="b">
        <v>0</v>
      </c>
      <c r="J1788" s="1">
        <v>2</v>
      </c>
      <c r="K1788" s="10">
        <f t="shared" si="137"/>
        <v>13.11472222226439</v>
      </c>
      <c r="L1788" s="1" t="str">
        <f t="shared" si="138"/>
        <v>OK</v>
      </c>
      <c r="M1788" s="1">
        <f t="shared" si="135"/>
        <v>1</v>
      </c>
      <c r="N1788" s="1">
        <f t="shared" si="136"/>
        <v>77</v>
      </c>
      <c r="O1788" s="10">
        <f t="shared" si="139"/>
        <v>13.11472222226439</v>
      </c>
    </row>
    <row r="1789" spans="1:15">
      <c r="A1789" s="1" t="s">
        <v>1894</v>
      </c>
      <c r="B1789" s="23">
        <v>45106.625</v>
      </c>
      <c r="C1789" s="1" t="s">
        <v>25</v>
      </c>
      <c r="D1789" s="1" t="s">
        <v>17</v>
      </c>
      <c r="E1789" s="1" t="s">
        <v>18</v>
      </c>
      <c r="F1789" s="1" t="s">
        <v>31</v>
      </c>
      <c r="H1789" s="23">
        <v>45107.026516203703</v>
      </c>
      <c r="I1789" s="1" t="b">
        <v>1</v>
      </c>
      <c r="J1789" s="1">
        <v>5</v>
      </c>
      <c r="K1789" s="10">
        <f t="shared" si="137"/>
        <v>9.6363888888736255</v>
      </c>
      <c r="L1789" s="1" t="str">
        <f t="shared" si="138"/>
        <v>Cannot check</v>
      </c>
      <c r="M1789" s="1">
        <f t="shared" si="135"/>
        <v>1</v>
      </c>
      <c r="N1789" s="1" t="str">
        <f t="shared" si="136"/>
        <v/>
      </c>
      <c r="O1789" s="10">
        <f t="shared" si="139"/>
        <v>9.6363888888736255</v>
      </c>
    </row>
    <row r="1790" spans="1:15">
      <c r="A1790" s="1" t="s">
        <v>1895</v>
      </c>
      <c r="B1790" s="23">
        <v>45106.915972222225</v>
      </c>
      <c r="C1790" s="1" t="s">
        <v>11</v>
      </c>
      <c r="D1790" s="1" t="s">
        <v>17</v>
      </c>
      <c r="E1790" s="1" t="s">
        <v>18</v>
      </c>
      <c r="F1790" s="1" t="s">
        <v>145</v>
      </c>
      <c r="G1790" s="1">
        <v>13</v>
      </c>
      <c r="H1790" s="23">
        <v>45107.644004629627</v>
      </c>
      <c r="I1790" s="1" t="b">
        <v>0</v>
      </c>
      <c r="K1790" s="10">
        <f t="shared" si="137"/>
        <v>17.472777777642477</v>
      </c>
      <c r="L1790" s="1" t="str">
        <f t="shared" si="138"/>
        <v>OK</v>
      </c>
      <c r="M1790" s="1">
        <f t="shared" si="135"/>
        <v>1</v>
      </c>
      <c r="N1790" s="1">
        <f t="shared" si="136"/>
        <v>13</v>
      </c>
      <c r="O1790" s="10">
        <f t="shared" si="139"/>
        <v>17.472777777642477</v>
      </c>
    </row>
    <row r="1791" spans="1:15">
      <c r="A1791" s="1" t="s">
        <v>1896</v>
      </c>
      <c r="B1791" s="23">
        <v>45106.955555555556</v>
      </c>
      <c r="C1791" s="1" t="s">
        <v>11</v>
      </c>
      <c r="D1791" s="1" t="s">
        <v>21</v>
      </c>
      <c r="E1791" s="1" t="s">
        <v>18</v>
      </c>
      <c r="F1791" s="1" t="s">
        <v>175</v>
      </c>
      <c r="G1791" s="1">
        <v>253</v>
      </c>
      <c r="H1791" s="23">
        <v>45107.849618055552</v>
      </c>
      <c r="I1791" s="1" t="b">
        <v>0</v>
      </c>
      <c r="K1791" s="10">
        <f t="shared" si="137"/>
        <v>21.457499999902211</v>
      </c>
      <c r="L1791" s="1" t="str">
        <f t="shared" si="138"/>
        <v>OK</v>
      </c>
      <c r="M1791" s="1">
        <f t="shared" si="135"/>
        <v>1</v>
      </c>
      <c r="N1791" s="1">
        <f t="shared" si="136"/>
        <v>253</v>
      </c>
      <c r="O1791" s="10">
        <f t="shared" si="139"/>
        <v>21.457499999902211</v>
      </c>
    </row>
    <row r="1792" spans="1:15">
      <c r="A1792" s="1" t="s">
        <v>1897</v>
      </c>
      <c r="B1792" s="23">
        <v>45106.993055555555</v>
      </c>
      <c r="C1792" s="1" t="s">
        <v>16</v>
      </c>
      <c r="D1792" s="1" t="s">
        <v>26</v>
      </c>
      <c r="E1792" s="1" t="s">
        <v>13</v>
      </c>
      <c r="F1792" s="1" t="s">
        <v>88</v>
      </c>
      <c r="H1792" s="23">
        <v>45115.296898148146</v>
      </c>
      <c r="I1792" s="1" t="b">
        <v>0</v>
      </c>
      <c r="K1792" s="10">
        <f t="shared" si="137"/>
        <v>199.29222222219687</v>
      </c>
      <c r="L1792" s="1" t="str">
        <f t="shared" si="138"/>
        <v>Cannot check</v>
      </c>
      <c r="M1792" s="1">
        <f t="shared" si="135"/>
        <v>1</v>
      </c>
      <c r="N1792" s="1" t="str">
        <f t="shared" si="136"/>
        <v/>
      </c>
      <c r="O1792" s="10">
        <f t="shared" si="139"/>
        <v>199.29222222219687</v>
      </c>
    </row>
    <row r="1793" spans="1:15">
      <c r="A1793" s="1" t="s">
        <v>1898</v>
      </c>
      <c r="B1793" s="23">
        <v>45107.04791666667</v>
      </c>
      <c r="C1793" s="1" t="s">
        <v>16</v>
      </c>
      <c r="D1793" s="1" t="s">
        <v>17</v>
      </c>
      <c r="E1793" s="1" t="s">
        <v>18</v>
      </c>
      <c r="F1793" s="1" t="s">
        <v>78</v>
      </c>
      <c r="G1793" s="1">
        <v>37</v>
      </c>
      <c r="H1793" s="23">
        <v>45107.540185185186</v>
      </c>
      <c r="I1793" s="1" t="b">
        <v>1</v>
      </c>
      <c r="K1793" s="10">
        <f t="shared" si="137"/>
        <v>11.814444444375113</v>
      </c>
      <c r="L1793" s="1" t="str">
        <f t="shared" si="138"/>
        <v>OK</v>
      </c>
      <c r="M1793" s="1">
        <f t="shared" si="135"/>
        <v>1</v>
      </c>
      <c r="N1793" s="1">
        <f t="shared" si="136"/>
        <v>37</v>
      </c>
      <c r="O1793" s="10">
        <f t="shared" si="139"/>
        <v>11.814444444375113</v>
      </c>
    </row>
    <row r="1794" spans="1:15">
      <c r="A1794" s="1" t="s">
        <v>1899</v>
      </c>
      <c r="B1794" s="23">
        <v>45107.117361111108</v>
      </c>
      <c r="C1794" s="1" t="s">
        <v>16</v>
      </c>
      <c r="D1794" s="1" t="s">
        <v>17</v>
      </c>
      <c r="E1794" s="1" t="s">
        <v>13</v>
      </c>
      <c r="F1794" s="1" t="s">
        <v>70</v>
      </c>
      <c r="G1794" s="1">
        <v>31</v>
      </c>
      <c r="H1794" s="23">
        <v>45112.79047453704</v>
      </c>
      <c r="I1794" s="1" t="b">
        <v>0</v>
      </c>
      <c r="K1794" s="10">
        <f t="shared" si="137"/>
        <v>136.15472222235985</v>
      </c>
      <c r="L1794" s="1" t="str">
        <f t="shared" si="138"/>
        <v>OK</v>
      </c>
      <c r="M1794" s="1">
        <f t="shared" ref="M1794:M1857" si="140">COUNTIF($A$2:$A$4001,A1794)</f>
        <v>1</v>
      </c>
      <c r="N1794" s="1">
        <f t="shared" ref="N1794:N1857" si="141">IF(OR(L1794="Review",G1794=""),"",G1794)</f>
        <v>31</v>
      </c>
      <c r="O1794" s="10">
        <f t="shared" si="139"/>
        <v>136.15472222235985</v>
      </c>
    </row>
    <row r="1795" spans="1:15">
      <c r="A1795" s="1" t="s">
        <v>1900</v>
      </c>
      <c r="B1795" s="23">
        <v>45107.14166666667</v>
      </c>
      <c r="C1795" s="1" t="s">
        <v>25</v>
      </c>
      <c r="D1795" s="1" t="s">
        <v>17</v>
      </c>
      <c r="E1795" s="1" t="s">
        <v>13</v>
      </c>
      <c r="F1795" s="1" t="s">
        <v>228</v>
      </c>
      <c r="G1795" s="1">
        <v>53</v>
      </c>
      <c r="H1795" s="23">
        <v>45108.206388888888</v>
      </c>
      <c r="I1795" s="1" t="b">
        <v>0</v>
      </c>
      <c r="K1795" s="10">
        <f t="shared" ref="K1795:K1858" si="142">IF(H1795="","",(H1795-B1795)*24)</f>
        <v>25.553333333227783</v>
      </c>
      <c r="L1795" s="1" t="str">
        <f t="shared" ref="L1795:L1858" si="143">IF(OR(G1795="",K1795=""),"Cannot check",IF(G1795&gt;K1795*60,"Review","OK"))</f>
        <v>OK</v>
      </c>
      <c r="M1795" s="1">
        <f t="shared" si="140"/>
        <v>1</v>
      </c>
      <c r="N1795" s="1">
        <f t="shared" si="141"/>
        <v>53</v>
      </c>
      <c r="O1795" s="10">
        <f t="shared" ref="O1795:O1858" si="144">IF(OR(L1795="Review",K1795=""),"",K1795)</f>
        <v>25.553333333227783</v>
      </c>
    </row>
    <row r="1796" spans="1:15">
      <c r="A1796" s="1" t="s">
        <v>1901</v>
      </c>
      <c r="B1796" s="23">
        <v>45107.15902777778</v>
      </c>
      <c r="C1796" s="1" t="s">
        <v>25</v>
      </c>
      <c r="D1796" s="1" t="s">
        <v>26</v>
      </c>
      <c r="E1796" s="1" t="s">
        <v>13</v>
      </c>
      <c r="F1796" s="1" t="s">
        <v>234</v>
      </c>
      <c r="G1796" s="1">
        <v>119</v>
      </c>
      <c r="I1796" s="1" t="b">
        <v>0</v>
      </c>
      <c r="K1796" s="10" t="str">
        <f t="shared" si="142"/>
        <v/>
      </c>
      <c r="L1796" s="1" t="str">
        <f t="shared" si="143"/>
        <v>Cannot check</v>
      </c>
      <c r="M1796" s="1">
        <f t="shared" si="140"/>
        <v>1</v>
      </c>
      <c r="N1796" s="1">
        <f t="shared" si="141"/>
        <v>119</v>
      </c>
      <c r="O1796" s="10" t="str">
        <f t="shared" si="144"/>
        <v/>
      </c>
    </row>
    <row r="1797" spans="1:15">
      <c r="A1797" s="1" t="s">
        <v>1902</v>
      </c>
      <c r="B1797" s="23">
        <v>45107.241666666669</v>
      </c>
      <c r="C1797" s="1" t="s">
        <v>16</v>
      </c>
      <c r="D1797" s="1" t="s">
        <v>21</v>
      </c>
      <c r="E1797" s="1" t="s">
        <v>33</v>
      </c>
      <c r="F1797" s="1" t="s">
        <v>48</v>
      </c>
      <c r="G1797" s="1">
        <v>164</v>
      </c>
      <c r="H1797" s="23">
        <v>45114.256192129629</v>
      </c>
      <c r="I1797" s="1" t="b">
        <v>0</v>
      </c>
      <c r="K1797" s="10">
        <f t="shared" si="142"/>
        <v>168.3486111110542</v>
      </c>
      <c r="L1797" s="1" t="str">
        <f t="shared" si="143"/>
        <v>OK</v>
      </c>
      <c r="M1797" s="1">
        <f t="shared" si="140"/>
        <v>1</v>
      </c>
      <c r="N1797" s="1">
        <f t="shared" si="141"/>
        <v>164</v>
      </c>
      <c r="O1797" s="10">
        <f t="shared" si="144"/>
        <v>168.3486111110542</v>
      </c>
    </row>
    <row r="1798" spans="1:15">
      <c r="A1798" s="1" t="s">
        <v>1903</v>
      </c>
      <c r="B1798" s="23">
        <v>45107.400694444441</v>
      </c>
      <c r="C1798" s="1" t="s">
        <v>25</v>
      </c>
      <c r="D1798" s="1" t="s">
        <v>26</v>
      </c>
      <c r="E1798" s="1" t="s">
        <v>13</v>
      </c>
      <c r="F1798" s="1" t="s">
        <v>102</v>
      </c>
      <c r="G1798" s="1">
        <v>184</v>
      </c>
      <c r="H1798" s="23">
        <v>45108.199699074074</v>
      </c>
      <c r="I1798" s="1" t="b">
        <v>0</v>
      </c>
      <c r="K1798" s="10">
        <f t="shared" si="142"/>
        <v>19.176111111184582</v>
      </c>
      <c r="L1798" s="1" t="str">
        <f t="shared" si="143"/>
        <v>OK</v>
      </c>
      <c r="M1798" s="1">
        <f t="shared" si="140"/>
        <v>1</v>
      </c>
      <c r="N1798" s="1">
        <f t="shared" si="141"/>
        <v>184</v>
      </c>
      <c r="O1798" s="10">
        <f t="shared" si="144"/>
        <v>19.176111111184582</v>
      </c>
    </row>
    <row r="1799" spans="1:15">
      <c r="A1799" s="1" t="s">
        <v>1904</v>
      </c>
      <c r="B1799" s="23">
        <v>45107.570138888892</v>
      </c>
      <c r="C1799" s="1" t="s">
        <v>25</v>
      </c>
      <c r="D1799" s="1" t="s">
        <v>12</v>
      </c>
      <c r="E1799" s="1" t="s">
        <v>18</v>
      </c>
      <c r="F1799" s="1" t="s">
        <v>80</v>
      </c>
      <c r="G1799" s="1">
        <v>117</v>
      </c>
      <c r="H1799" s="23">
        <v>45107.720879629633</v>
      </c>
      <c r="I1799" s="1" t="b">
        <v>0</v>
      </c>
      <c r="K1799" s="10">
        <f t="shared" si="142"/>
        <v>3.6177777777775191</v>
      </c>
      <c r="L1799" s="1" t="str">
        <f t="shared" si="143"/>
        <v>OK</v>
      </c>
      <c r="M1799" s="1">
        <f t="shared" si="140"/>
        <v>1</v>
      </c>
      <c r="N1799" s="1">
        <f t="shared" si="141"/>
        <v>117</v>
      </c>
      <c r="O1799" s="10">
        <f t="shared" si="144"/>
        <v>3.6177777777775191</v>
      </c>
    </row>
    <row r="1800" spans="1:15">
      <c r="A1800" s="1" t="s">
        <v>1905</v>
      </c>
      <c r="B1800" s="23">
        <v>45107.62777777778</v>
      </c>
      <c r="C1800" s="1" t="s">
        <v>25</v>
      </c>
      <c r="D1800" s="1" t="s">
        <v>26</v>
      </c>
      <c r="E1800" s="1" t="s">
        <v>18</v>
      </c>
      <c r="F1800" s="1" t="s">
        <v>88</v>
      </c>
      <c r="G1800" s="1">
        <v>23</v>
      </c>
      <c r="H1800" s="23">
        <v>45109.425625000003</v>
      </c>
      <c r="I1800" s="1" t="b">
        <v>0</v>
      </c>
      <c r="J1800" s="1">
        <v>5</v>
      </c>
      <c r="K1800" s="10">
        <f t="shared" si="142"/>
        <v>43.148333333374467</v>
      </c>
      <c r="L1800" s="1" t="str">
        <f t="shared" si="143"/>
        <v>OK</v>
      </c>
      <c r="M1800" s="1">
        <f t="shared" si="140"/>
        <v>1</v>
      </c>
      <c r="N1800" s="1">
        <f t="shared" si="141"/>
        <v>23</v>
      </c>
      <c r="O1800" s="10">
        <f t="shared" si="144"/>
        <v>43.148333333374467</v>
      </c>
    </row>
    <row r="1801" spans="1:15">
      <c r="A1801" s="1" t="s">
        <v>1906</v>
      </c>
      <c r="B1801" s="23">
        <v>45107.705555555556</v>
      </c>
      <c r="C1801" s="1" t="s">
        <v>11</v>
      </c>
      <c r="D1801" s="1" t="s">
        <v>21</v>
      </c>
      <c r="E1801" s="1" t="s">
        <v>18</v>
      </c>
      <c r="F1801" s="1" t="s">
        <v>274</v>
      </c>
      <c r="G1801" s="1">
        <v>115</v>
      </c>
      <c r="H1801" s="23">
        <v>45107.935613425929</v>
      </c>
      <c r="I1801" s="1" t="b">
        <v>0</v>
      </c>
      <c r="J1801" s="1">
        <v>2</v>
      </c>
      <c r="K1801" s="10">
        <f t="shared" si="142"/>
        <v>5.5213888889411464</v>
      </c>
      <c r="L1801" s="1" t="str">
        <f t="shared" si="143"/>
        <v>OK</v>
      </c>
      <c r="M1801" s="1">
        <f t="shared" si="140"/>
        <v>1</v>
      </c>
      <c r="N1801" s="1">
        <f t="shared" si="141"/>
        <v>115</v>
      </c>
      <c r="O1801" s="10">
        <f t="shared" si="144"/>
        <v>5.5213888889411464</v>
      </c>
    </row>
    <row r="1802" spans="1:15">
      <c r="A1802" s="1" t="s">
        <v>1907</v>
      </c>
      <c r="B1802" s="23">
        <v>45107.780555555553</v>
      </c>
      <c r="C1802" s="1" t="s">
        <v>11</v>
      </c>
      <c r="D1802" s="1" t="s">
        <v>12</v>
      </c>
      <c r="E1802" s="1" t="s">
        <v>33</v>
      </c>
      <c r="F1802" s="1" t="s">
        <v>167</v>
      </c>
      <c r="G1802" s="1">
        <v>94</v>
      </c>
      <c r="H1802" s="23">
        <v>45107.976307870369</v>
      </c>
      <c r="I1802" s="1" t="b">
        <v>0</v>
      </c>
      <c r="K1802" s="10">
        <f t="shared" si="142"/>
        <v>4.6980555555783212</v>
      </c>
      <c r="L1802" s="1" t="str">
        <f t="shared" si="143"/>
        <v>OK</v>
      </c>
      <c r="M1802" s="1">
        <f t="shared" si="140"/>
        <v>1</v>
      </c>
      <c r="N1802" s="1">
        <f t="shared" si="141"/>
        <v>94</v>
      </c>
      <c r="O1802" s="10">
        <f t="shared" si="144"/>
        <v>4.6980555555783212</v>
      </c>
    </row>
    <row r="1803" spans="1:15">
      <c r="A1803" s="1" t="s">
        <v>1908</v>
      </c>
      <c r="B1803" s="23">
        <v>45107.861111111109</v>
      </c>
      <c r="C1803" s="1" t="s">
        <v>25</v>
      </c>
      <c r="D1803" s="1" t="s">
        <v>17</v>
      </c>
      <c r="E1803" s="1" t="s">
        <v>18</v>
      </c>
      <c r="F1803" s="1" t="s">
        <v>367</v>
      </c>
      <c r="G1803" s="1">
        <v>65</v>
      </c>
      <c r="H1803" s="23">
        <v>45111.817349537036</v>
      </c>
      <c r="I1803" s="1" t="b">
        <v>0</v>
      </c>
      <c r="K1803" s="10">
        <f t="shared" si="142"/>
        <v>94.949722222227138</v>
      </c>
      <c r="L1803" s="1" t="str">
        <f t="shared" si="143"/>
        <v>OK</v>
      </c>
      <c r="M1803" s="1">
        <f t="shared" si="140"/>
        <v>1</v>
      </c>
      <c r="N1803" s="1">
        <f t="shared" si="141"/>
        <v>65</v>
      </c>
      <c r="O1803" s="10">
        <f t="shared" si="144"/>
        <v>94.949722222227138</v>
      </c>
    </row>
    <row r="1804" spans="1:15">
      <c r="A1804" s="1" t="s">
        <v>1909</v>
      </c>
      <c r="B1804" s="23">
        <v>45108.152777777781</v>
      </c>
      <c r="C1804" s="1" t="s">
        <v>43</v>
      </c>
      <c r="D1804" s="1" t="s">
        <v>12</v>
      </c>
      <c r="E1804" s="1" t="s">
        <v>18</v>
      </c>
      <c r="F1804" s="1" t="s">
        <v>198</v>
      </c>
      <c r="G1804" s="1">
        <v>141</v>
      </c>
      <c r="H1804" s="23">
        <v>45109.244155092594</v>
      </c>
      <c r="I1804" s="1" t="b">
        <v>0</v>
      </c>
      <c r="K1804" s="10">
        <f t="shared" si="142"/>
        <v>26.193055555515457</v>
      </c>
      <c r="L1804" s="1" t="str">
        <f t="shared" si="143"/>
        <v>OK</v>
      </c>
      <c r="M1804" s="1">
        <f t="shared" si="140"/>
        <v>1</v>
      </c>
      <c r="N1804" s="1">
        <f t="shared" si="141"/>
        <v>141</v>
      </c>
      <c r="O1804" s="10">
        <f t="shared" si="144"/>
        <v>26.193055555515457</v>
      </c>
    </row>
    <row r="1805" spans="1:15">
      <c r="A1805" s="1" t="s">
        <v>1910</v>
      </c>
      <c r="B1805" s="23">
        <v>45108.273611111108</v>
      </c>
      <c r="C1805" s="1" t="s">
        <v>11</v>
      </c>
      <c r="D1805" s="1" t="s">
        <v>59</v>
      </c>
      <c r="E1805" s="1" t="s">
        <v>33</v>
      </c>
      <c r="F1805" s="1" t="s">
        <v>54</v>
      </c>
      <c r="H1805" s="23">
        <v>45109.382164351853</v>
      </c>
      <c r="I1805" s="1" t="b">
        <v>0</v>
      </c>
      <c r="K1805" s="10">
        <f t="shared" si="142"/>
        <v>26.605277777882293</v>
      </c>
      <c r="L1805" s="1" t="str">
        <f t="shared" si="143"/>
        <v>Cannot check</v>
      </c>
      <c r="M1805" s="1">
        <f t="shared" si="140"/>
        <v>1</v>
      </c>
      <c r="N1805" s="1" t="str">
        <f t="shared" si="141"/>
        <v/>
      </c>
      <c r="O1805" s="10">
        <f t="shared" si="144"/>
        <v>26.605277777882293</v>
      </c>
    </row>
    <row r="1806" spans="1:15">
      <c r="A1806" s="1" t="s">
        <v>1911</v>
      </c>
      <c r="B1806" s="23">
        <v>45108.379861111112</v>
      </c>
      <c r="C1806" s="1" t="s">
        <v>16</v>
      </c>
      <c r="D1806" s="1" t="s">
        <v>17</v>
      </c>
      <c r="E1806" s="1" t="s">
        <v>33</v>
      </c>
      <c r="F1806" s="1" t="s">
        <v>108</v>
      </c>
      <c r="G1806" s="1">
        <v>162</v>
      </c>
      <c r="H1806" s="23">
        <v>45119.206712962965</v>
      </c>
      <c r="I1806" s="1" t="b">
        <v>0</v>
      </c>
      <c r="J1806" s="1">
        <v>5</v>
      </c>
      <c r="K1806" s="10">
        <f t="shared" si="142"/>
        <v>259.84444444446126</v>
      </c>
      <c r="L1806" s="1" t="str">
        <f t="shared" si="143"/>
        <v>OK</v>
      </c>
      <c r="M1806" s="1">
        <f t="shared" si="140"/>
        <v>1</v>
      </c>
      <c r="N1806" s="1">
        <f t="shared" si="141"/>
        <v>162</v>
      </c>
      <c r="O1806" s="10">
        <f t="shared" si="144"/>
        <v>259.84444444446126</v>
      </c>
    </row>
    <row r="1807" spans="1:15">
      <c r="A1807" s="1" t="s">
        <v>1912</v>
      </c>
      <c r="B1807" s="23">
        <v>45108.399305555555</v>
      </c>
      <c r="C1807" s="1" t="s">
        <v>11</v>
      </c>
      <c r="D1807" s="1" t="s">
        <v>17</v>
      </c>
      <c r="E1807" s="1" t="s">
        <v>33</v>
      </c>
      <c r="F1807" s="1" t="s">
        <v>64</v>
      </c>
      <c r="G1807" s="1">
        <v>644</v>
      </c>
      <c r="H1807" s="23">
        <v>45130.686354166668</v>
      </c>
      <c r="I1807" s="1" t="b">
        <v>0</v>
      </c>
      <c r="J1807" s="1">
        <v>5</v>
      </c>
      <c r="K1807" s="10">
        <f t="shared" si="142"/>
        <v>534.88916666671867</v>
      </c>
      <c r="L1807" s="1" t="str">
        <f t="shared" si="143"/>
        <v>OK</v>
      </c>
      <c r="M1807" s="1">
        <f t="shared" si="140"/>
        <v>1</v>
      </c>
      <c r="N1807" s="1">
        <f t="shared" si="141"/>
        <v>644</v>
      </c>
      <c r="O1807" s="10">
        <f t="shared" si="144"/>
        <v>534.88916666671867</v>
      </c>
    </row>
    <row r="1808" spans="1:15">
      <c r="A1808" s="1" t="s">
        <v>1913</v>
      </c>
      <c r="B1808" s="23">
        <v>45108.492361111108</v>
      </c>
      <c r="C1808" s="1" t="s">
        <v>16</v>
      </c>
      <c r="D1808" s="1" t="s">
        <v>21</v>
      </c>
      <c r="E1808" s="1" t="s">
        <v>13</v>
      </c>
      <c r="F1808" s="1" t="s">
        <v>54</v>
      </c>
      <c r="G1808" s="1">
        <v>14</v>
      </c>
      <c r="H1808" s="23">
        <v>45109.251620370371</v>
      </c>
      <c r="I1808" s="1" t="b">
        <v>0</v>
      </c>
      <c r="J1808" s="1">
        <v>3</v>
      </c>
      <c r="K1808" s="10">
        <f t="shared" si="142"/>
        <v>18.2222222223063</v>
      </c>
      <c r="L1808" s="1" t="str">
        <f t="shared" si="143"/>
        <v>OK</v>
      </c>
      <c r="M1808" s="1">
        <f t="shared" si="140"/>
        <v>1</v>
      </c>
      <c r="N1808" s="1">
        <f t="shared" si="141"/>
        <v>14</v>
      </c>
      <c r="O1808" s="10">
        <f t="shared" si="144"/>
        <v>18.2222222223063</v>
      </c>
    </row>
    <row r="1809" spans="1:15">
      <c r="A1809" s="1" t="s">
        <v>1914</v>
      </c>
      <c r="B1809" s="23">
        <v>45108.525694444441</v>
      </c>
      <c r="C1809" s="1" t="s">
        <v>25</v>
      </c>
      <c r="D1809" s="1" t="s">
        <v>21</v>
      </c>
      <c r="E1809" s="1" t="s">
        <v>33</v>
      </c>
      <c r="F1809" s="1" t="s">
        <v>68</v>
      </c>
      <c r="G1809" s="1">
        <v>105</v>
      </c>
      <c r="H1809" s="23">
        <v>45109.850856481484</v>
      </c>
      <c r="I1809" s="1" t="b">
        <v>0</v>
      </c>
      <c r="J1809" s="1">
        <v>5</v>
      </c>
      <c r="K1809" s="10">
        <f t="shared" si="142"/>
        <v>31.803888889029622</v>
      </c>
      <c r="L1809" s="1" t="str">
        <f t="shared" si="143"/>
        <v>OK</v>
      </c>
      <c r="M1809" s="1">
        <f t="shared" si="140"/>
        <v>1</v>
      </c>
      <c r="N1809" s="1">
        <f t="shared" si="141"/>
        <v>105</v>
      </c>
      <c r="O1809" s="10">
        <f t="shared" si="144"/>
        <v>31.803888889029622</v>
      </c>
    </row>
    <row r="1810" spans="1:15">
      <c r="A1810" s="1" t="s">
        <v>1915</v>
      </c>
      <c r="B1810" s="23">
        <v>45108.563888888886</v>
      </c>
      <c r="C1810" s="1" t="s">
        <v>16</v>
      </c>
      <c r="D1810" s="1" t="s">
        <v>21</v>
      </c>
      <c r="E1810" s="1" t="s">
        <v>33</v>
      </c>
      <c r="F1810" s="1" t="s">
        <v>31</v>
      </c>
      <c r="G1810" s="1">
        <v>1244</v>
      </c>
      <c r="H1810" s="23">
        <v>45109.130555555559</v>
      </c>
      <c r="I1810" s="1" t="b">
        <v>1</v>
      </c>
      <c r="K1810" s="10">
        <f t="shared" si="142"/>
        <v>13.60000000015134</v>
      </c>
      <c r="L1810" s="1" t="str">
        <f t="shared" si="143"/>
        <v>Review</v>
      </c>
      <c r="M1810" s="1">
        <f t="shared" si="140"/>
        <v>1</v>
      </c>
      <c r="N1810" s="1" t="str">
        <f t="shared" si="141"/>
        <v/>
      </c>
      <c r="O1810" s="10" t="str">
        <f t="shared" si="144"/>
        <v/>
      </c>
    </row>
    <row r="1811" spans="1:15">
      <c r="A1811" s="1" t="s">
        <v>1916</v>
      </c>
      <c r="B1811" s="23">
        <v>45108.798611111109</v>
      </c>
      <c r="C1811" s="1" t="s">
        <v>16</v>
      </c>
      <c r="D1811" s="1" t="s">
        <v>17</v>
      </c>
      <c r="E1811" s="1" t="s">
        <v>18</v>
      </c>
      <c r="F1811" s="1" t="s">
        <v>134</v>
      </c>
      <c r="G1811" s="1">
        <v>109</v>
      </c>
      <c r="H1811" s="23">
        <v>45110.209131944444</v>
      </c>
      <c r="I1811" s="1" t="b">
        <v>0</v>
      </c>
      <c r="K1811" s="10">
        <f t="shared" si="142"/>
        <v>33.852500000037253</v>
      </c>
      <c r="L1811" s="1" t="str">
        <f t="shared" si="143"/>
        <v>OK</v>
      </c>
      <c r="M1811" s="1">
        <f t="shared" si="140"/>
        <v>1</v>
      </c>
      <c r="N1811" s="1">
        <f t="shared" si="141"/>
        <v>109</v>
      </c>
      <c r="O1811" s="10">
        <f t="shared" si="144"/>
        <v>33.852500000037253</v>
      </c>
    </row>
    <row r="1812" spans="1:15">
      <c r="A1812" s="1" t="s">
        <v>1917</v>
      </c>
      <c r="B1812" s="23">
        <v>45108.829861111109</v>
      </c>
      <c r="C1812" s="1" t="s">
        <v>25</v>
      </c>
      <c r="D1812" s="1" t="s">
        <v>59</v>
      </c>
      <c r="E1812" s="1" t="s">
        <v>33</v>
      </c>
      <c r="F1812" s="1" t="s">
        <v>132</v>
      </c>
      <c r="G1812" s="1">
        <v>76</v>
      </c>
      <c r="H1812" s="23">
        <v>45109.318761574075</v>
      </c>
      <c r="I1812" s="1" t="b">
        <v>0</v>
      </c>
      <c r="K1812" s="10">
        <f t="shared" si="142"/>
        <v>11.733611111179926</v>
      </c>
      <c r="L1812" s="1" t="str">
        <f t="shared" si="143"/>
        <v>OK</v>
      </c>
      <c r="M1812" s="1">
        <f t="shared" si="140"/>
        <v>1</v>
      </c>
      <c r="N1812" s="1">
        <f t="shared" si="141"/>
        <v>76</v>
      </c>
      <c r="O1812" s="10">
        <f t="shared" si="144"/>
        <v>11.733611111179926</v>
      </c>
    </row>
    <row r="1813" spans="1:15">
      <c r="A1813" s="1" t="s">
        <v>1918</v>
      </c>
      <c r="B1813" s="23">
        <v>45108.878472222219</v>
      </c>
      <c r="C1813" s="1" t="s">
        <v>16</v>
      </c>
      <c r="D1813" s="1" t="s">
        <v>21</v>
      </c>
      <c r="E1813" s="1" t="s">
        <v>13</v>
      </c>
      <c r="F1813" s="1" t="s">
        <v>44</v>
      </c>
      <c r="H1813" s="23">
        <v>45110.103576388887</v>
      </c>
      <c r="I1813" s="1" t="b">
        <v>0</v>
      </c>
      <c r="K1813" s="10">
        <f t="shared" si="142"/>
        <v>29.402500000025611</v>
      </c>
      <c r="L1813" s="1" t="str">
        <f t="shared" si="143"/>
        <v>Cannot check</v>
      </c>
      <c r="M1813" s="1">
        <f t="shared" si="140"/>
        <v>1</v>
      </c>
      <c r="N1813" s="1" t="str">
        <f t="shared" si="141"/>
        <v/>
      </c>
      <c r="O1813" s="10">
        <f t="shared" si="144"/>
        <v>29.402500000025611</v>
      </c>
    </row>
    <row r="1814" spans="1:15">
      <c r="A1814" s="1" t="s">
        <v>1919</v>
      </c>
      <c r="B1814" s="23">
        <v>45108.888888888891</v>
      </c>
      <c r="C1814" s="1" t="s">
        <v>11</v>
      </c>
      <c r="D1814" s="1" t="s">
        <v>17</v>
      </c>
      <c r="E1814" s="1" t="s">
        <v>13</v>
      </c>
      <c r="F1814" s="1" t="s">
        <v>106</v>
      </c>
      <c r="G1814" s="1">
        <v>38</v>
      </c>
      <c r="H1814" s="23">
        <v>45109.05128472222</v>
      </c>
      <c r="I1814" s="1" t="b">
        <v>0</v>
      </c>
      <c r="K1814" s="10">
        <f t="shared" si="142"/>
        <v>3.8974999999045394</v>
      </c>
      <c r="L1814" s="1" t="str">
        <f t="shared" si="143"/>
        <v>OK</v>
      </c>
      <c r="M1814" s="1">
        <f t="shared" si="140"/>
        <v>1</v>
      </c>
      <c r="N1814" s="1">
        <f t="shared" si="141"/>
        <v>38</v>
      </c>
      <c r="O1814" s="10">
        <f t="shared" si="144"/>
        <v>3.8974999999045394</v>
      </c>
    </row>
    <row r="1815" spans="1:15">
      <c r="A1815" s="1" t="s">
        <v>1920</v>
      </c>
      <c r="B1815" s="23">
        <v>45108.92083333333</v>
      </c>
      <c r="C1815" s="1" t="s">
        <v>16</v>
      </c>
      <c r="D1815" s="1" t="s">
        <v>12</v>
      </c>
      <c r="E1815" s="1" t="s">
        <v>18</v>
      </c>
      <c r="F1815" s="1" t="s">
        <v>415</v>
      </c>
      <c r="G1815" s="1">
        <v>191</v>
      </c>
      <c r="H1815" s="23">
        <v>45109.219918981478</v>
      </c>
      <c r="I1815" s="1" t="b">
        <v>0</v>
      </c>
      <c r="J1815" s="1">
        <v>5</v>
      </c>
      <c r="K1815" s="10">
        <f t="shared" si="142"/>
        <v>7.1780555555596948</v>
      </c>
      <c r="L1815" s="1" t="str">
        <f t="shared" si="143"/>
        <v>OK</v>
      </c>
      <c r="M1815" s="1">
        <f t="shared" si="140"/>
        <v>1</v>
      </c>
      <c r="N1815" s="1">
        <f t="shared" si="141"/>
        <v>191</v>
      </c>
      <c r="O1815" s="10">
        <f t="shared" si="144"/>
        <v>7.1780555555596948</v>
      </c>
    </row>
    <row r="1816" spans="1:15">
      <c r="A1816" s="1" t="s">
        <v>1921</v>
      </c>
      <c r="B1816" s="23">
        <v>45108.927083333336</v>
      </c>
      <c r="C1816" s="1" t="s">
        <v>25</v>
      </c>
      <c r="D1816" s="1" t="s">
        <v>21</v>
      </c>
      <c r="E1816" s="1" t="s">
        <v>13</v>
      </c>
      <c r="F1816" s="1" t="s">
        <v>130</v>
      </c>
      <c r="G1816" s="1">
        <v>134</v>
      </c>
      <c r="H1816" s="23">
        <v>45109.01017361111</v>
      </c>
      <c r="I1816" s="1" t="b">
        <v>0</v>
      </c>
      <c r="K1816" s="10">
        <f t="shared" si="142"/>
        <v>1.9941666665836237</v>
      </c>
      <c r="L1816" s="1" t="str">
        <f t="shared" si="143"/>
        <v>Review</v>
      </c>
      <c r="M1816" s="1">
        <f t="shared" si="140"/>
        <v>1</v>
      </c>
      <c r="N1816" s="1" t="str">
        <f t="shared" si="141"/>
        <v/>
      </c>
      <c r="O1816" s="10" t="str">
        <f t="shared" si="144"/>
        <v/>
      </c>
    </row>
    <row r="1817" spans="1:15">
      <c r="A1817" s="1" t="s">
        <v>1922</v>
      </c>
      <c r="B1817" s="23">
        <v>45108.993055555555</v>
      </c>
      <c r="C1817" s="1" t="s">
        <v>16</v>
      </c>
      <c r="D1817" s="1" t="s">
        <v>12</v>
      </c>
      <c r="E1817" s="1" t="s">
        <v>18</v>
      </c>
      <c r="F1817" s="1" t="s">
        <v>345</v>
      </c>
      <c r="G1817" s="1">
        <v>6</v>
      </c>
      <c r="H1817" s="23">
        <v>45110.648263888892</v>
      </c>
      <c r="I1817" s="1" t="b">
        <v>0</v>
      </c>
      <c r="J1817" s="1">
        <v>4</v>
      </c>
      <c r="K1817" s="10">
        <f t="shared" si="142"/>
        <v>39.725000000093132</v>
      </c>
      <c r="L1817" s="1" t="str">
        <f t="shared" si="143"/>
        <v>OK</v>
      </c>
      <c r="M1817" s="1">
        <f t="shared" si="140"/>
        <v>1</v>
      </c>
      <c r="N1817" s="1">
        <f t="shared" si="141"/>
        <v>6</v>
      </c>
      <c r="O1817" s="10">
        <f t="shared" si="144"/>
        <v>39.725000000093132</v>
      </c>
    </row>
    <row r="1818" spans="1:15">
      <c r="A1818" s="1" t="s">
        <v>1923</v>
      </c>
      <c r="B1818" s="23">
        <v>45109.396527777775</v>
      </c>
      <c r="C1818" s="1" t="s">
        <v>16</v>
      </c>
      <c r="D1818" s="1" t="s">
        <v>12</v>
      </c>
      <c r="E1818" s="1" t="s">
        <v>13</v>
      </c>
      <c r="F1818" s="1" t="s">
        <v>326</v>
      </c>
      <c r="G1818" s="1">
        <v>22</v>
      </c>
      <c r="H1818" s="23">
        <v>45109.562997685185</v>
      </c>
      <c r="I1818" s="1" t="b">
        <v>0</v>
      </c>
      <c r="K1818" s="10">
        <f t="shared" si="142"/>
        <v>3.995277777838055</v>
      </c>
      <c r="L1818" s="1" t="str">
        <f t="shared" si="143"/>
        <v>OK</v>
      </c>
      <c r="M1818" s="1">
        <f t="shared" si="140"/>
        <v>1</v>
      </c>
      <c r="N1818" s="1">
        <f t="shared" si="141"/>
        <v>22</v>
      </c>
      <c r="O1818" s="10">
        <f t="shared" si="144"/>
        <v>3.995277777838055</v>
      </c>
    </row>
    <row r="1819" spans="1:15">
      <c r="A1819" s="1" t="s">
        <v>1924</v>
      </c>
      <c r="B1819" s="23">
        <v>45109.435416666667</v>
      </c>
      <c r="C1819" s="1" t="s">
        <v>11</v>
      </c>
      <c r="D1819" s="1" t="s">
        <v>17</v>
      </c>
      <c r="E1819" s="1" t="s">
        <v>18</v>
      </c>
      <c r="F1819" s="1" t="s">
        <v>206</v>
      </c>
      <c r="G1819" s="1">
        <v>44</v>
      </c>
      <c r="H1819" s="23">
        <v>45118.373090277775</v>
      </c>
      <c r="I1819" s="1" t="b">
        <v>0</v>
      </c>
      <c r="K1819" s="10">
        <f t="shared" si="142"/>
        <v>214.50416666659294</v>
      </c>
      <c r="L1819" s="1" t="str">
        <f t="shared" si="143"/>
        <v>OK</v>
      </c>
      <c r="M1819" s="1">
        <f t="shared" si="140"/>
        <v>1</v>
      </c>
      <c r="N1819" s="1">
        <f t="shared" si="141"/>
        <v>44</v>
      </c>
      <c r="O1819" s="10">
        <f t="shared" si="144"/>
        <v>214.50416666659294</v>
      </c>
    </row>
    <row r="1820" spans="1:15">
      <c r="A1820" s="1" t="s">
        <v>1925</v>
      </c>
      <c r="B1820" s="23">
        <v>45109.48541666667</v>
      </c>
      <c r="C1820" s="1" t="s">
        <v>11</v>
      </c>
      <c r="D1820" s="1" t="s">
        <v>21</v>
      </c>
      <c r="E1820" s="1" t="s">
        <v>18</v>
      </c>
      <c r="F1820" s="1" t="s">
        <v>317</v>
      </c>
      <c r="G1820" s="1">
        <v>90</v>
      </c>
      <c r="H1820" s="23">
        <v>45109.670428240737</v>
      </c>
      <c r="I1820" s="1" t="b">
        <v>0</v>
      </c>
      <c r="K1820" s="10">
        <f t="shared" si="142"/>
        <v>4.4402777776122093</v>
      </c>
      <c r="L1820" s="1" t="str">
        <f t="shared" si="143"/>
        <v>OK</v>
      </c>
      <c r="M1820" s="1">
        <f t="shared" si="140"/>
        <v>1</v>
      </c>
      <c r="N1820" s="1">
        <f t="shared" si="141"/>
        <v>90</v>
      </c>
      <c r="O1820" s="10">
        <f t="shared" si="144"/>
        <v>4.4402777776122093</v>
      </c>
    </row>
    <row r="1821" spans="1:15">
      <c r="A1821" s="1" t="s">
        <v>1926</v>
      </c>
      <c r="B1821" s="23">
        <v>45109.552777777775</v>
      </c>
      <c r="C1821" s="1" t="s">
        <v>16</v>
      </c>
      <c r="D1821" s="1" t="s">
        <v>59</v>
      </c>
      <c r="E1821" s="1" t="s">
        <v>18</v>
      </c>
      <c r="F1821" s="1" t="s">
        <v>29</v>
      </c>
      <c r="G1821" s="1">
        <v>95</v>
      </c>
      <c r="H1821" s="23">
        <v>45116.771874999999</v>
      </c>
      <c r="I1821" s="1" t="b">
        <v>0</v>
      </c>
      <c r="J1821" s="1">
        <v>1</v>
      </c>
      <c r="K1821" s="10">
        <f t="shared" si="142"/>
        <v>173.2583333333605</v>
      </c>
      <c r="L1821" s="1" t="str">
        <f t="shared" si="143"/>
        <v>OK</v>
      </c>
      <c r="M1821" s="1">
        <f t="shared" si="140"/>
        <v>1</v>
      </c>
      <c r="N1821" s="1">
        <f t="shared" si="141"/>
        <v>95</v>
      </c>
      <c r="O1821" s="10">
        <f t="shared" si="144"/>
        <v>173.2583333333605</v>
      </c>
    </row>
    <row r="1822" spans="1:15">
      <c r="A1822" s="1" t="s">
        <v>1927</v>
      </c>
      <c r="B1822" s="23">
        <v>45109.657638888886</v>
      </c>
      <c r="C1822" s="1" t="s">
        <v>43</v>
      </c>
      <c r="D1822" s="1" t="s">
        <v>17</v>
      </c>
      <c r="E1822" s="1" t="s">
        <v>33</v>
      </c>
      <c r="F1822" s="1" t="s">
        <v>57</v>
      </c>
      <c r="G1822" s="1">
        <v>640</v>
      </c>
      <c r="H1822" s="23">
        <v>45118.739166666666</v>
      </c>
      <c r="I1822" s="1" t="b">
        <v>0</v>
      </c>
      <c r="K1822" s="10">
        <f t="shared" si="142"/>
        <v>217.95666666672332</v>
      </c>
      <c r="L1822" s="1" t="str">
        <f t="shared" si="143"/>
        <v>OK</v>
      </c>
      <c r="M1822" s="1">
        <f t="shared" si="140"/>
        <v>1</v>
      </c>
      <c r="N1822" s="1">
        <f t="shared" si="141"/>
        <v>640</v>
      </c>
      <c r="O1822" s="10">
        <f t="shared" si="144"/>
        <v>217.95666666672332</v>
      </c>
    </row>
    <row r="1823" spans="1:15">
      <c r="A1823" s="1" t="s">
        <v>1928</v>
      </c>
      <c r="B1823" s="23">
        <v>45109.763888888891</v>
      </c>
      <c r="C1823" s="1" t="s">
        <v>16</v>
      </c>
      <c r="D1823" s="1" t="s">
        <v>21</v>
      </c>
      <c r="E1823" s="1" t="s">
        <v>22</v>
      </c>
      <c r="F1823" s="1" t="s">
        <v>50</v>
      </c>
      <c r="G1823" s="1">
        <v>20</v>
      </c>
      <c r="H1823" s="23">
        <v>45109.778506944444</v>
      </c>
      <c r="I1823" s="1" t="b">
        <v>0</v>
      </c>
      <c r="J1823" s="1">
        <v>5</v>
      </c>
      <c r="K1823" s="10">
        <f t="shared" si="142"/>
        <v>0.35083333327202126</v>
      </c>
      <c r="L1823" s="1" t="str">
        <f t="shared" si="143"/>
        <v>OK</v>
      </c>
      <c r="M1823" s="1">
        <f t="shared" si="140"/>
        <v>1</v>
      </c>
      <c r="N1823" s="1">
        <f t="shared" si="141"/>
        <v>20</v>
      </c>
      <c r="O1823" s="10">
        <f t="shared" si="144"/>
        <v>0.35083333327202126</v>
      </c>
    </row>
    <row r="1824" spans="1:15">
      <c r="A1824" s="1" t="s">
        <v>1929</v>
      </c>
      <c r="B1824" s="23">
        <v>45110.009027777778</v>
      </c>
      <c r="C1824" s="1" t="s">
        <v>11</v>
      </c>
      <c r="D1824" s="1" t="s">
        <v>59</v>
      </c>
      <c r="E1824" s="1" t="s">
        <v>33</v>
      </c>
      <c r="F1824" s="1" t="s">
        <v>88</v>
      </c>
      <c r="G1824" s="1">
        <v>204</v>
      </c>
      <c r="H1824" s="23">
        <v>45110.747928240744</v>
      </c>
      <c r="I1824" s="1" t="b">
        <v>0</v>
      </c>
      <c r="K1824" s="10">
        <f t="shared" si="142"/>
        <v>17.733611111179926</v>
      </c>
      <c r="L1824" s="1" t="str">
        <f t="shared" si="143"/>
        <v>OK</v>
      </c>
      <c r="M1824" s="1">
        <f t="shared" si="140"/>
        <v>1</v>
      </c>
      <c r="N1824" s="1">
        <f t="shared" si="141"/>
        <v>204</v>
      </c>
      <c r="O1824" s="10">
        <f t="shared" si="144"/>
        <v>17.733611111179926</v>
      </c>
    </row>
    <row r="1825" spans="1:15">
      <c r="A1825" s="1" t="s">
        <v>1930</v>
      </c>
      <c r="B1825" s="23">
        <v>45110.027083333334</v>
      </c>
      <c r="C1825" s="1" t="s">
        <v>11</v>
      </c>
      <c r="D1825" s="1" t="s">
        <v>26</v>
      </c>
      <c r="E1825" s="1" t="s">
        <v>18</v>
      </c>
      <c r="F1825" s="1" t="s">
        <v>201</v>
      </c>
      <c r="G1825" s="1">
        <v>54</v>
      </c>
      <c r="H1825" s="23">
        <v>45113.833587962959</v>
      </c>
      <c r="I1825" s="1" t="b">
        <v>0</v>
      </c>
      <c r="J1825" s="1">
        <v>1</v>
      </c>
      <c r="K1825" s="10">
        <f t="shared" si="142"/>
        <v>91.356111111002974</v>
      </c>
      <c r="L1825" s="1" t="str">
        <f t="shared" si="143"/>
        <v>OK</v>
      </c>
      <c r="M1825" s="1">
        <f t="shared" si="140"/>
        <v>1</v>
      </c>
      <c r="N1825" s="1">
        <f t="shared" si="141"/>
        <v>54</v>
      </c>
      <c r="O1825" s="10">
        <f t="shared" si="144"/>
        <v>91.356111111002974</v>
      </c>
    </row>
    <row r="1826" spans="1:15">
      <c r="A1826" s="1" t="s">
        <v>1931</v>
      </c>
      <c r="B1826" s="23">
        <v>45110.243750000001</v>
      </c>
      <c r="C1826" s="1" t="s">
        <v>16</v>
      </c>
      <c r="D1826" s="1" t="s">
        <v>17</v>
      </c>
      <c r="E1826" s="1" t="s">
        <v>18</v>
      </c>
      <c r="F1826" s="1" t="s">
        <v>224</v>
      </c>
      <c r="G1826" s="1">
        <v>105</v>
      </c>
      <c r="H1826" s="23">
        <v>45112.435393518521</v>
      </c>
      <c r="I1826" s="1" t="b">
        <v>0</v>
      </c>
      <c r="K1826" s="10">
        <f t="shared" si="142"/>
        <v>52.599444444465917</v>
      </c>
      <c r="L1826" s="1" t="str">
        <f t="shared" si="143"/>
        <v>OK</v>
      </c>
      <c r="M1826" s="1">
        <f t="shared" si="140"/>
        <v>1</v>
      </c>
      <c r="N1826" s="1">
        <f t="shared" si="141"/>
        <v>105</v>
      </c>
      <c r="O1826" s="10">
        <f t="shared" si="144"/>
        <v>52.599444444465917</v>
      </c>
    </row>
    <row r="1827" spans="1:15">
      <c r="A1827" s="1" t="s">
        <v>1932</v>
      </c>
      <c r="B1827" s="23">
        <v>45110.252083333333</v>
      </c>
      <c r="C1827" s="1" t="s">
        <v>25</v>
      </c>
      <c r="D1827" s="1" t="s">
        <v>26</v>
      </c>
      <c r="E1827" s="1" t="s">
        <v>18</v>
      </c>
      <c r="F1827" s="1" t="s">
        <v>256</v>
      </c>
      <c r="G1827" s="1">
        <v>416</v>
      </c>
      <c r="H1827" s="23">
        <v>45114.484918981485</v>
      </c>
      <c r="I1827" s="1" t="b">
        <v>0</v>
      </c>
      <c r="K1827" s="10">
        <f t="shared" si="142"/>
        <v>101.5880555556505</v>
      </c>
      <c r="L1827" s="1" t="str">
        <f t="shared" si="143"/>
        <v>OK</v>
      </c>
      <c r="M1827" s="1">
        <f t="shared" si="140"/>
        <v>1</v>
      </c>
      <c r="N1827" s="1">
        <f t="shared" si="141"/>
        <v>416</v>
      </c>
      <c r="O1827" s="10">
        <f t="shared" si="144"/>
        <v>101.5880555556505</v>
      </c>
    </row>
    <row r="1828" spans="1:15">
      <c r="A1828" s="1" t="s">
        <v>1933</v>
      </c>
      <c r="B1828" s="23">
        <v>45110.40902777778</v>
      </c>
      <c r="C1828" s="1" t="s">
        <v>25</v>
      </c>
      <c r="D1828" s="1" t="s">
        <v>17</v>
      </c>
      <c r="E1828" s="1" t="s">
        <v>18</v>
      </c>
      <c r="F1828" s="1" t="s">
        <v>198</v>
      </c>
      <c r="G1828" s="1">
        <v>36</v>
      </c>
      <c r="H1828" s="23">
        <v>45110.564791666664</v>
      </c>
      <c r="I1828" s="1" t="b">
        <v>1</v>
      </c>
      <c r="J1828" s="1">
        <v>5</v>
      </c>
      <c r="K1828" s="10">
        <f t="shared" si="142"/>
        <v>3.7383333332254551</v>
      </c>
      <c r="L1828" s="1" t="str">
        <f t="shared" si="143"/>
        <v>OK</v>
      </c>
      <c r="M1828" s="1">
        <f t="shared" si="140"/>
        <v>1</v>
      </c>
      <c r="N1828" s="1">
        <f t="shared" si="141"/>
        <v>36</v>
      </c>
      <c r="O1828" s="10">
        <f t="shared" si="144"/>
        <v>3.7383333332254551</v>
      </c>
    </row>
    <row r="1829" spans="1:15">
      <c r="A1829" s="1" t="s">
        <v>1934</v>
      </c>
      <c r="B1829" s="23">
        <v>45110.420138888891</v>
      </c>
      <c r="C1829" s="1" t="s">
        <v>43</v>
      </c>
      <c r="D1829" s="1" t="s">
        <v>17</v>
      </c>
      <c r="E1829" s="1" t="s">
        <v>33</v>
      </c>
      <c r="F1829" s="1" t="s">
        <v>46</v>
      </c>
      <c r="G1829" s="1">
        <v>165</v>
      </c>
      <c r="H1829" s="23">
        <v>45114.022152777776</v>
      </c>
      <c r="I1829" s="1" t="b">
        <v>0</v>
      </c>
      <c r="K1829" s="10">
        <f t="shared" si="142"/>
        <v>86.44833333324641</v>
      </c>
      <c r="L1829" s="1" t="str">
        <f t="shared" si="143"/>
        <v>OK</v>
      </c>
      <c r="M1829" s="1">
        <f t="shared" si="140"/>
        <v>1</v>
      </c>
      <c r="N1829" s="1">
        <f t="shared" si="141"/>
        <v>165</v>
      </c>
      <c r="O1829" s="10">
        <f t="shared" si="144"/>
        <v>86.44833333324641</v>
      </c>
    </row>
    <row r="1830" spans="1:15">
      <c r="A1830" s="1" t="s">
        <v>1935</v>
      </c>
      <c r="B1830" s="23">
        <v>45110.433333333334</v>
      </c>
      <c r="C1830" s="1" t="s">
        <v>11</v>
      </c>
      <c r="D1830" s="1" t="s">
        <v>17</v>
      </c>
      <c r="E1830" s="1" t="s">
        <v>18</v>
      </c>
      <c r="F1830" s="1" t="s">
        <v>86</v>
      </c>
      <c r="G1830" s="1">
        <v>35</v>
      </c>
      <c r="H1830" s="23">
        <v>45111.511435185188</v>
      </c>
      <c r="I1830" s="1" t="b">
        <v>0</v>
      </c>
      <c r="K1830" s="10">
        <f t="shared" si="142"/>
        <v>25.8744444444892</v>
      </c>
      <c r="L1830" s="1" t="str">
        <f t="shared" si="143"/>
        <v>OK</v>
      </c>
      <c r="M1830" s="1">
        <f t="shared" si="140"/>
        <v>1</v>
      </c>
      <c r="N1830" s="1">
        <f t="shared" si="141"/>
        <v>35</v>
      </c>
      <c r="O1830" s="10">
        <f t="shared" si="144"/>
        <v>25.8744444444892</v>
      </c>
    </row>
    <row r="1831" spans="1:15">
      <c r="A1831" s="1" t="s">
        <v>1936</v>
      </c>
      <c r="B1831" s="23">
        <v>45110.538194444445</v>
      </c>
      <c r="C1831" s="1" t="s">
        <v>11</v>
      </c>
      <c r="D1831" s="1" t="s">
        <v>17</v>
      </c>
      <c r="E1831" s="1" t="s">
        <v>18</v>
      </c>
      <c r="F1831" s="1" t="s">
        <v>88</v>
      </c>
      <c r="G1831" s="1">
        <v>180</v>
      </c>
      <c r="H1831" s="23">
        <v>45111.504143518519</v>
      </c>
      <c r="I1831" s="1" t="b">
        <v>0</v>
      </c>
      <c r="K1831" s="10">
        <f t="shared" si="142"/>
        <v>23.182777777779847</v>
      </c>
      <c r="L1831" s="1" t="str">
        <f t="shared" si="143"/>
        <v>OK</v>
      </c>
      <c r="M1831" s="1">
        <f t="shared" si="140"/>
        <v>1</v>
      </c>
      <c r="N1831" s="1">
        <f t="shared" si="141"/>
        <v>180</v>
      </c>
      <c r="O1831" s="10">
        <f t="shared" si="144"/>
        <v>23.182777777779847</v>
      </c>
    </row>
    <row r="1832" spans="1:15">
      <c r="A1832" s="1" t="s">
        <v>1937</v>
      </c>
      <c r="B1832" s="23">
        <v>45110.550694444442</v>
      </c>
      <c r="C1832" s="1" t="s">
        <v>25</v>
      </c>
      <c r="D1832" s="1" t="s">
        <v>21</v>
      </c>
      <c r="E1832" s="1" t="s">
        <v>18</v>
      </c>
      <c r="F1832" s="1" t="s">
        <v>100</v>
      </c>
      <c r="G1832" s="1">
        <v>64</v>
      </c>
      <c r="H1832" s="23">
        <v>45110.685069444444</v>
      </c>
      <c r="I1832" s="1" t="b">
        <v>0</v>
      </c>
      <c r="J1832" s="1">
        <v>4</v>
      </c>
      <c r="K1832" s="10">
        <f t="shared" si="142"/>
        <v>3.2250000000349246</v>
      </c>
      <c r="L1832" s="1" t="str">
        <f t="shared" si="143"/>
        <v>OK</v>
      </c>
      <c r="M1832" s="1">
        <f t="shared" si="140"/>
        <v>1</v>
      </c>
      <c r="N1832" s="1">
        <f t="shared" si="141"/>
        <v>64</v>
      </c>
      <c r="O1832" s="10">
        <f t="shared" si="144"/>
        <v>3.2250000000349246</v>
      </c>
    </row>
    <row r="1833" spans="1:15">
      <c r="A1833" s="1" t="s">
        <v>1938</v>
      </c>
      <c r="B1833" s="23">
        <v>45110.779166666667</v>
      </c>
      <c r="C1833" s="1" t="s">
        <v>25</v>
      </c>
      <c r="D1833" s="1" t="s">
        <v>17</v>
      </c>
      <c r="E1833" s="1" t="s">
        <v>33</v>
      </c>
      <c r="F1833" s="1" t="s">
        <v>145</v>
      </c>
      <c r="G1833" s="1">
        <v>110</v>
      </c>
      <c r="H1833" s="23">
        <v>45121.545624999999</v>
      </c>
      <c r="I1833" s="1" t="b">
        <v>0</v>
      </c>
      <c r="K1833" s="10">
        <f t="shared" si="142"/>
        <v>258.39499999996042</v>
      </c>
      <c r="L1833" s="1" t="str">
        <f t="shared" si="143"/>
        <v>OK</v>
      </c>
      <c r="M1833" s="1">
        <f t="shared" si="140"/>
        <v>1</v>
      </c>
      <c r="N1833" s="1">
        <f t="shared" si="141"/>
        <v>110</v>
      </c>
      <c r="O1833" s="10">
        <f t="shared" si="144"/>
        <v>258.39499999996042</v>
      </c>
    </row>
    <row r="1834" spans="1:15">
      <c r="A1834" s="1" t="s">
        <v>1939</v>
      </c>
      <c r="B1834" s="23">
        <v>45110.819444444445</v>
      </c>
      <c r="C1834" s="1" t="s">
        <v>25</v>
      </c>
      <c r="D1834" s="1" t="s">
        <v>21</v>
      </c>
      <c r="E1834" s="1" t="s">
        <v>22</v>
      </c>
      <c r="F1834" s="1" t="s">
        <v>76</v>
      </c>
      <c r="G1834" s="1">
        <v>3</v>
      </c>
      <c r="H1834" s="23">
        <v>45110.924490740741</v>
      </c>
      <c r="I1834" s="1" t="b">
        <v>0</v>
      </c>
      <c r="K1834" s="10">
        <f t="shared" si="142"/>
        <v>2.5211111110984348</v>
      </c>
      <c r="L1834" s="1" t="str">
        <f t="shared" si="143"/>
        <v>OK</v>
      </c>
      <c r="M1834" s="1">
        <f t="shared" si="140"/>
        <v>1</v>
      </c>
      <c r="N1834" s="1">
        <f t="shared" si="141"/>
        <v>3</v>
      </c>
      <c r="O1834" s="10">
        <f t="shared" si="144"/>
        <v>2.5211111110984348</v>
      </c>
    </row>
    <row r="1835" spans="1:15">
      <c r="A1835" s="1" t="s">
        <v>1940</v>
      </c>
      <c r="B1835" s="23">
        <v>45110.936111111114</v>
      </c>
      <c r="C1835" s="1" t="s">
        <v>11</v>
      </c>
      <c r="D1835" s="1" t="s">
        <v>12</v>
      </c>
      <c r="E1835" s="1" t="s">
        <v>13</v>
      </c>
      <c r="F1835" s="1" t="s">
        <v>112</v>
      </c>
      <c r="G1835" s="1">
        <v>184</v>
      </c>
      <c r="H1835" s="23">
        <v>45111.058587962965</v>
      </c>
      <c r="I1835" s="1" t="b">
        <v>0</v>
      </c>
      <c r="J1835" s="1">
        <v>3</v>
      </c>
      <c r="K1835" s="10">
        <f t="shared" si="142"/>
        <v>2.9394444444333203</v>
      </c>
      <c r="L1835" s="1" t="str">
        <f t="shared" si="143"/>
        <v>Review</v>
      </c>
      <c r="M1835" s="1">
        <f t="shared" si="140"/>
        <v>1</v>
      </c>
      <c r="N1835" s="1" t="str">
        <f t="shared" si="141"/>
        <v/>
      </c>
      <c r="O1835" s="10" t="str">
        <f t="shared" si="144"/>
        <v/>
      </c>
    </row>
    <row r="1836" spans="1:15">
      <c r="A1836" s="1" t="s">
        <v>1941</v>
      </c>
      <c r="B1836" s="23">
        <v>45110.944444444445</v>
      </c>
      <c r="C1836" s="1" t="s">
        <v>25</v>
      </c>
      <c r="D1836" s="1" t="s">
        <v>21</v>
      </c>
      <c r="E1836" s="1" t="s">
        <v>18</v>
      </c>
      <c r="F1836" s="1" t="s">
        <v>118</v>
      </c>
      <c r="G1836" s="1">
        <v>155</v>
      </c>
      <c r="H1836" s="23">
        <v>45114.628379629627</v>
      </c>
      <c r="I1836" s="1" t="b">
        <v>0</v>
      </c>
      <c r="K1836" s="10">
        <f t="shared" si="142"/>
        <v>88.41444444435183</v>
      </c>
      <c r="L1836" s="1" t="str">
        <f t="shared" si="143"/>
        <v>OK</v>
      </c>
      <c r="M1836" s="1">
        <f t="shared" si="140"/>
        <v>1</v>
      </c>
      <c r="N1836" s="1">
        <f t="shared" si="141"/>
        <v>155</v>
      </c>
      <c r="O1836" s="10">
        <f t="shared" si="144"/>
        <v>88.41444444435183</v>
      </c>
    </row>
    <row r="1837" spans="1:15">
      <c r="A1837" s="1" t="s">
        <v>1942</v>
      </c>
      <c r="B1837" s="23">
        <v>45110.958333333336</v>
      </c>
      <c r="C1837" s="1" t="s">
        <v>25</v>
      </c>
      <c r="D1837" s="1" t="s">
        <v>59</v>
      </c>
      <c r="E1837" s="1" t="s">
        <v>18</v>
      </c>
      <c r="F1837" s="1" t="s">
        <v>206</v>
      </c>
      <c r="G1837" s="1">
        <v>237</v>
      </c>
      <c r="H1837" s="23">
        <v>45111.736273148148</v>
      </c>
      <c r="I1837" s="1" t="b">
        <v>1</v>
      </c>
      <c r="K1837" s="10">
        <f t="shared" si="142"/>
        <v>18.670555555494502</v>
      </c>
      <c r="L1837" s="1" t="str">
        <f t="shared" si="143"/>
        <v>OK</v>
      </c>
      <c r="M1837" s="1">
        <f t="shared" si="140"/>
        <v>1</v>
      </c>
      <c r="N1837" s="1">
        <f t="shared" si="141"/>
        <v>237</v>
      </c>
      <c r="O1837" s="10">
        <f t="shared" si="144"/>
        <v>18.670555555494502</v>
      </c>
    </row>
    <row r="1838" spans="1:15">
      <c r="A1838" s="1" t="s">
        <v>1943</v>
      </c>
      <c r="B1838" s="23">
        <v>45111.3125</v>
      </c>
      <c r="C1838" s="1" t="s">
        <v>25</v>
      </c>
      <c r="D1838" s="1" t="s">
        <v>12</v>
      </c>
      <c r="E1838" s="1" t="s">
        <v>33</v>
      </c>
      <c r="F1838" s="1" t="s">
        <v>162</v>
      </c>
      <c r="G1838" s="1">
        <v>252</v>
      </c>
      <c r="H1838" s="23">
        <v>45112.923645833333</v>
      </c>
      <c r="I1838" s="1" t="b">
        <v>0</v>
      </c>
      <c r="J1838" s="1">
        <v>5</v>
      </c>
      <c r="K1838" s="10">
        <f t="shared" si="142"/>
        <v>38.667499999981374</v>
      </c>
      <c r="L1838" s="1" t="str">
        <f t="shared" si="143"/>
        <v>OK</v>
      </c>
      <c r="M1838" s="1">
        <f t="shared" si="140"/>
        <v>1</v>
      </c>
      <c r="N1838" s="1">
        <f t="shared" si="141"/>
        <v>252</v>
      </c>
      <c r="O1838" s="10">
        <f t="shared" si="144"/>
        <v>38.667499999981374</v>
      </c>
    </row>
    <row r="1839" spans="1:15">
      <c r="A1839" s="1" t="s">
        <v>1944</v>
      </c>
      <c r="B1839" s="23">
        <v>45111.445138888892</v>
      </c>
      <c r="C1839" s="1" t="s">
        <v>16</v>
      </c>
      <c r="D1839" s="1" t="s">
        <v>17</v>
      </c>
      <c r="E1839" s="1" t="s">
        <v>22</v>
      </c>
      <c r="F1839" s="1" t="s">
        <v>112</v>
      </c>
      <c r="G1839" s="1">
        <v>13</v>
      </c>
      <c r="H1839" s="23">
        <v>45111.711585648147</v>
      </c>
      <c r="I1839" s="1" t="b">
        <v>1</v>
      </c>
      <c r="J1839" s="1">
        <v>5</v>
      </c>
      <c r="K1839" s="10">
        <f t="shared" si="142"/>
        <v>6.3947222221177071</v>
      </c>
      <c r="L1839" s="1" t="str">
        <f t="shared" si="143"/>
        <v>OK</v>
      </c>
      <c r="M1839" s="1">
        <f t="shared" si="140"/>
        <v>1</v>
      </c>
      <c r="N1839" s="1">
        <f t="shared" si="141"/>
        <v>13</v>
      </c>
      <c r="O1839" s="10">
        <f t="shared" si="144"/>
        <v>6.3947222221177071</v>
      </c>
    </row>
    <row r="1840" spans="1:15">
      <c r="A1840" s="1" t="s">
        <v>1945</v>
      </c>
      <c r="B1840" s="23">
        <v>45111.805555555555</v>
      </c>
      <c r="C1840" s="1" t="s">
        <v>16</v>
      </c>
      <c r="D1840" s="1" t="s">
        <v>26</v>
      </c>
      <c r="E1840" s="1" t="s">
        <v>18</v>
      </c>
      <c r="F1840" s="1" t="s">
        <v>23</v>
      </c>
      <c r="H1840" s="23">
        <v>45121.441481481481</v>
      </c>
      <c r="I1840" s="1" t="b">
        <v>0</v>
      </c>
      <c r="K1840" s="10">
        <f t="shared" si="142"/>
        <v>231.26222222222714</v>
      </c>
      <c r="L1840" s="1" t="str">
        <f t="shared" si="143"/>
        <v>Cannot check</v>
      </c>
      <c r="M1840" s="1">
        <f t="shared" si="140"/>
        <v>1</v>
      </c>
      <c r="N1840" s="1" t="str">
        <f t="shared" si="141"/>
        <v/>
      </c>
      <c r="O1840" s="10">
        <f t="shared" si="144"/>
        <v>231.26222222222714</v>
      </c>
    </row>
    <row r="1841" spans="1:15">
      <c r="A1841" s="1" t="s">
        <v>1946</v>
      </c>
      <c r="B1841" s="23">
        <v>45111.824999999997</v>
      </c>
      <c r="C1841" s="1" t="s">
        <v>16</v>
      </c>
      <c r="D1841" s="1" t="s">
        <v>59</v>
      </c>
      <c r="E1841" s="1" t="s">
        <v>18</v>
      </c>
      <c r="F1841" s="1" t="s">
        <v>35</v>
      </c>
      <c r="G1841" s="1">
        <v>416</v>
      </c>
      <c r="H1841" s="23">
        <v>45119.658078703702</v>
      </c>
      <c r="I1841" s="1" t="b">
        <v>0</v>
      </c>
      <c r="K1841" s="10">
        <f t="shared" si="142"/>
        <v>187.99388888891554</v>
      </c>
      <c r="L1841" s="1" t="str">
        <f t="shared" si="143"/>
        <v>OK</v>
      </c>
      <c r="M1841" s="1">
        <f t="shared" si="140"/>
        <v>1</v>
      </c>
      <c r="N1841" s="1">
        <f t="shared" si="141"/>
        <v>416</v>
      </c>
      <c r="O1841" s="10">
        <f t="shared" si="144"/>
        <v>187.99388888891554</v>
      </c>
    </row>
    <row r="1842" spans="1:15">
      <c r="A1842" s="1" t="s">
        <v>1947</v>
      </c>
      <c r="B1842" s="23">
        <v>45112.074305555558</v>
      </c>
      <c r="C1842" s="1" t="s">
        <v>11</v>
      </c>
      <c r="D1842" s="1" t="s">
        <v>21</v>
      </c>
      <c r="E1842" s="1" t="s">
        <v>18</v>
      </c>
      <c r="F1842" s="1" t="s">
        <v>39</v>
      </c>
      <c r="G1842" s="1">
        <v>88</v>
      </c>
      <c r="H1842" s="23">
        <v>45113.369155092594</v>
      </c>
      <c r="I1842" s="1" t="b">
        <v>0</v>
      </c>
      <c r="K1842" s="10">
        <f t="shared" si="142"/>
        <v>31.076388888875954</v>
      </c>
      <c r="L1842" s="1" t="str">
        <f t="shared" si="143"/>
        <v>OK</v>
      </c>
      <c r="M1842" s="1">
        <f t="shared" si="140"/>
        <v>1</v>
      </c>
      <c r="N1842" s="1">
        <f t="shared" si="141"/>
        <v>88</v>
      </c>
      <c r="O1842" s="10">
        <f t="shared" si="144"/>
        <v>31.076388888875954</v>
      </c>
    </row>
    <row r="1843" spans="1:15">
      <c r="A1843" s="1" t="s">
        <v>1948</v>
      </c>
      <c r="B1843" s="23">
        <v>45112.1</v>
      </c>
      <c r="C1843" s="1" t="s">
        <v>16</v>
      </c>
      <c r="D1843" s="1" t="s">
        <v>17</v>
      </c>
      <c r="E1843" s="1" t="s">
        <v>33</v>
      </c>
      <c r="F1843" s="1" t="s">
        <v>57</v>
      </c>
      <c r="G1843" s="1">
        <v>562</v>
      </c>
      <c r="H1843" s="23">
        <v>45148.780277777776</v>
      </c>
      <c r="I1843" s="1" t="b">
        <v>0</v>
      </c>
      <c r="K1843" s="10">
        <f t="shared" si="142"/>
        <v>880.32666666666046</v>
      </c>
      <c r="L1843" s="1" t="str">
        <f t="shared" si="143"/>
        <v>OK</v>
      </c>
      <c r="M1843" s="1">
        <f t="shared" si="140"/>
        <v>1</v>
      </c>
      <c r="N1843" s="1">
        <f t="shared" si="141"/>
        <v>562</v>
      </c>
      <c r="O1843" s="10">
        <f t="shared" si="144"/>
        <v>880.32666666666046</v>
      </c>
    </row>
    <row r="1844" spans="1:15">
      <c r="A1844" s="1" t="s">
        <v>1949</v>
      </c>
      <c r="B1844" s="23">
        <v>45112.229166666664</v>
      </c>
      <c r="C1844" s="1" t="s">
        <v>11</v>
      </c>
      <c r="D1844" s="1" t="s">
        <v>17</v>
      </c>
      <c r="E1844" s="1" t="s">
        <v>13</v>
      </c>
      <c r="F1844" s="1" t="s">
        <v>167</v>
      </c>
      <c r="G1844" s="1">
        <v>29</v>
      </c>
      <c r="H1844" s="23">
        <v>45112.493437500001</v>
      </c>
      <c r="I1844" s="1" t="b">
        <v>0</v>
      </c>
      <c r="K1844" s="10">
        <f t="shared" si="142"/>
        <v>6.3425000000861473</v>
      </c>
      <c r="L1844" s="1" t="str">
        <f t="shared" si="143"/>
        <v>OK</v>
      </c>
      <c r="M1844" s="1">
        <f t="shared" si="140"/>
        <v>1</v>
      </c>
      <c r="N1844" s="1">
        <f t="shared" si="141"/>
        <v>29</v>
      </c>
      <c r="O1844" s="10">
        <f t="shared" si="144"/>
        <v>6.3425000000861473</v>
      </c>
    </row>
    <row r="1845" spans="1:15">
      <c r="A1845" s="1" t="s">
        <v>1950</v>
      </c>
      <c r="B1845" s="23">
        <v>45112.243750000001</v>
      </c>
      <c r="C1845" s="1" t="s">
        <v>16</v>
      </c>
      <c r="D1845" s="1" t="s">
        <v>59</v>
      </c>
      <c r="E1845" s="1" t="s">
        <v>18</v>
      </c>
      <c r="F1845" s="1" t="s">
        <v>709</v>
      </c>
      <c r="G1845" s="1">
        <v>107</v>
      </c>
      <c r="H1845" s="23">
        <v>45118.295266203706</v>
      </c>
      <c r="I1845" s="1" t="b">
        <v>0</v>
      </c>
      <c r="J1845" s="1">
        <v>5</v>
      </c>
      <c r="K1845" s="10">
        <f t="shared" si="142"/>
        <v>145.23638888890855</v>
      </c>
      <c r="L1845" s="1" t="str">
        <f t="shared" si="143"/>
        <v>OK</v>
      </c>
      <c r="M1845" s="1">
        <f t="shared" si="140"/>
        <v>1</v>
      </c>
      <c r="N1845" s="1">
        <f t="shared" si="141"/>
        <v>107</v>
      </c>
      <c r="O1845" s="10">
        <f t="shared" si="144"/>
        <v>145.23638888890855</v>
      </c>
    </row>
    <row r="1846" spans="1:15">
      <c r="A1846" s="1" t="s">
        <v>1951</v>
      </c>
      <c r="B1846" s="23">
        <v>45112.272222222222</v>
      </c>
      <c r="C1846" s="1" t="s">
        <v>43</v>
      </c>
      <c r="D1846" s="1" t="s">
        <v>17</v>
      </c>
      <c r="E1846" s="1" t="s">
        <v>33</v>
      </c>
      <c r="F1846" s="1" t="s">
        <v>198</v>
      </c>
      <c r="G1846" s="1">
        <v>119</v>
      </c>
      <c r="H1846" s="23">
        <v>45118.341180555559</v>
      </c>
      <c r="I1846" s="1" t="b">
        <v>0</v>
      </c>
      <c r="J1846" s="1">
        <v>4</v>
      </c>
      <c r="K1846" s="10">
        <f t="shared" si="142"/>
        <v>145.65500000008615</v>
      </c>
      <c r="L1846" s="1" t="str">
        <f t="shared" si="143"/>
        <v>OK</v>
      </c>
      <c r="M1846" s="1">
        <f t="shared" si="140"/>
        <v>1</v>
      </c>
      <c r="N1846" s="1">
        <f t="shared" si="141"/>
        <v>119</v>
      </c>
      <c r="O1846" s="10">
        <f t="shared" si="144"/>
        <v>145.65500000008615</v>
      </c>
    </row>
    <row r="1847" spans="1:15">
      <c r="A1847" s="1" t="s">
        <v>1952</v>
      </c>
      <c r="B1847" s="23">
        <v>45112.306944444441</v>
      </c>
      <c r="C1847" s="1" t="s">
        <v>25</v>
      </c>
      <c r="D1847" s="1" t="s">
        <v>17</v>
      </c>
      <c r="E1847" s="1" t="s">
        <v>13</v>
      </c>
      <c r="F1847" s="1" t="s">
        <v>100</v>
      </c>
      <c r="G1847" s="1">
        <v>19</v>
      </c>
      <c r="H1847" s="23">
        <v>45114.353668981479</v>
      </c>
      <c r="I1847" s="1" t="b">
        <v>0</v>
      </c>
      <c r="K1847" s="10">
        <f t="shared" si="142"/>
        <v>49.121388888917863</v>
      </c>
      <c r="L1847" s="1" t="str">
        <f t="shared" si="143"/>
        <v>OK</v>
      </c>
      <c r="M1847" s="1">
        <f t="shared" si="140"/>
        <v>1</v>
      </c>
      <c r="N1847" s="1">
        <f t="shared" si="141"/>
        <v>19</v>
      </c>
      <c r="O1847" s="10">
        <f t="shared" si="144"/>
        <v>49.121388888917863</v>
      </c>
    </row>
    <row r="1848" spans="1:15">
      <c r="A1848" s="1" t="s">
        <v>1953</v>
      </c>
      <c r="B1848" s="23">
        <v>45112.373611111114</v>
      </c>
      <c r="C1848" s="1" t="s">
        <v>11</v>
      </c>
      <c r="D1848" s="1" t="s">
        <v>17</v>
      </c>
      <c r="E1848" s="1" t="s">
        <v>13</v>
      </c>
      <c r="F1848" s="1" t="s">
        <v>19</v>
      </c>
      <c r="G1848" s="1">
        <v>17</v>
      </c>
      <c r="H1848" s="23">
        <v>45116.667303240742</v>
      </c>
      <c r="I1848" s="1" t="b">
        <v>0</v>
      </c>
      <c r="K1848" s="10">
        <f t="shared" si="142"/>
        <v>103.04861111106584</v>
      </c>
      <c r="L1848" s="1" t="str">
        <f t="shared" si="143"/>
        <v>OK</v>
      </c>
      <c r="M1848" s="1">
        <f t="shared" si="140"/>
        <v>1</v>
      </c>
      <c r="N1848" s="1">
        <f t="shared" si="141"/>
        <v>17</v>
      </c>
      <c r="O1848" s="10">
        <f t="shared" si="144"/>
        <v>103.04861111106584</v>
      </c>
    </row>
    <row r="1849" spans="1:15">
      <c r="A1849" s="1" t="s">
        <v>1954</v>
      </c>
      <c r="B1849" s="23">
        <v>45112.468055555553</v>
      </c>
      <c r="C1849" s="1" t="s">
        <v>25</v>
      </c>
      <c r="D1849" s="1" t="s">
        <v>17</v>
      </c>
      <c r="E1849" s="1" t="s">
        <v>33</v>
      </c>
      <c r="F1849" s="1" t="s">
        <v>709</v>
      </c>
      <c r="G1849" s="1">
        <v>355</v>
      </c>
      <c r="H1849" s="23">
        <v>45115.019629629627</v>
      </c>
      <c r="I1849" s="1" t="b">
        <v>0</v>
      </c>
      <c r="K1849" s="10">
        <f t="shared" si="142"/>
        <v>61.237777777772862</v>
      </c>
      <c r="L1849" s="1" t="str">
        <f t="shared" si="143"/>
        <v>OK</v>
      </c>
      <c r="M1849" s="1">
        <f t="shared" si="140"/>
        <v>1</v>
      </c>
      <c r="N1849" s="1">
        <f t="shared" si="141"/>
        <v>355</v>
      </c>
      <c r="O1849" s="10">
        <f t="shared" si="144"/>
        <v>61.237777777772862</v>
      </c>
    </row>
    <row r="1850" spans="1:15">
      <c r="A1850" s="1" t="s">
        <v>1955</v>
      </c>
      <c r="B1850" s="23">
        <v>45112.662499999999</v>
      </c>
      <c r="C1850" s="1" t="s">
        <v>16</v>
      </c>
      <c r="D1850" s="1" t="s">
        <v>26</v>
      </c>
      <c r="E1850" s="1" t="s">
        <v>18</v>
      </c>
      <c r="F1850" s="1" t="s">
        <v>106</v>
      </c>
      <c r="G1850" s="1">
        <v>353</v>
      </c>
      <c r="I1850" s="1" t="b">
        <v>0</v>
      </c>
      <c r="K1850" s="10" t="str">
        <f t="shared" si="142"/>
        <v/>
      </c>
      <c r="L1850" s="1" t="str">
        <f t="shared" si="143"/>
        <v>Cannot check</v>
      </c>
      <c r="M1850" s="1">
        <f t="shared" si="140"/>
        <v>1</v>
      </c>
      <c r="N1850" s="1">
        <f t="shared" si="141"/>
        <v>353</v>
      </c>
      <c r="O1850" s="10" t="str">
        <f t="shared" si="144"/>
        <v/>
      </c>
    </row>
    <row r="1851" spans="1:15">
      <c r="A1851" s="1" t="s">
        <v>1956</v>
      </c>
      <c r="B1851" s="23">
        <v>45112.677777777775</v>
      </c>
      <c r="C1851" s="1" t="s">
        <v>16</v>
      </c>
      <c r="D1851" s="1" t="s">
        <v>12</v>
      </c>
      <c r="E1851" s="1" t="s">
        <v>33</v>
      </c>
      <c r="F1851" s="1" t="s">
        <v>64</v>
      </c>
      <c r="G1851" s="1">
        <v>122</v>
      </c>
      <c r="H1851" s="23">
        <v>45119.102939814817</v>
      </c>
      <c r="I1851" s="1" t="b">
        <v>0</v>
      </c>
      <c r="K1851" s="10">
        <f t="shared" si="142"/>
        <v>154.2038888889947</v>
      </c>
      <c r="L1851" s="1" t="str">
        <f t="shared" si="143"/>
        <v>OK</v>
      </c>
      <c r="M1851" s="1">
        <f t="shared" si="140"/>
        <v>1</v>
      </c>
      <c r="N1851" s="1">
        <f t="shared" si="141"/>
        <v>122</v>
      </c>
      <c r="O1851" s="10">
        <f t="shared" si="144"/>
        <v>154.2038888889947</v>
      </c>
    </row>
    <row r="1852" spans="1:15">
      <c r="A1852" s="1" t="s">
        <v>1957</v>
      </c>
      <c r="B1852" s="23">
        <v>45112.686805555553</v>
      </c>
      <c r="C1852" s="1" t="s">
        <v>16</v>
      </c>
      <c r="D1852" s="1" t="s">
        <v>17</v>
      </c>
      <c r="E1852" s="1" t="s">
        <v>13</v>
      </c>
      <c r="F1852" s="1" t="s">
        <v>215</v>
      </c>
      <c r="G1852" s="1">
        <v>19</v>
      </c>
      <c r="H1852" s="23">
        <v>45117.44222222222</v>
      </c>
      <c r="I1852" s="1" t="b">
        <v>0</v>
      </c>
      <c r="K1852" s="10">
        <f t="shared" si="142"/>
        <v>114.13000000000466</v>
      </c>
      <c r="L1852" s="1" t="str">
        <f t="shared" si="143"/>
        <v>OK</v>
      </c>
      <c r="M1852" s="1">
        <f t="shared" si="140"/>
        <v>1</v>
      </c>
      <c r="N1852" s="1">
        <f t="shared" si="141"/>
        <v>19</v>
      </c>
      <c r="O1852" s="10">
        <f t="shared" si="144"/>
        <v>114.13000000000466</v>
      </c>
    </row>
    <row r="1853" spans="1:15">
      <c r="A1853" s="1" t="s">
        <v>1958</v>
      </c>
      <c r="B1853" s="23">
        <v>45112.946527777778</v>
      </c>
      <c r="C1853" s="1" t="s">
        <v>43</v>
      </c>
      <c r="D1853" s="1" t="s">
        <v>21</v>
      </c>
      <c r="E1853" s="1" t="s">
        <v>18</v>
      </c>
      <c r="F1853" s="1" t="s">
        <v>31</v>
      </c>
      <c r="G1853" s="1">
        <v>59</v>
      </c>
      <c r="H1853" s="23">
        <v>45113.093946759262</v>
      </c>
      <c r="I1853" s="1" t="b">
        <v>0</v>
      </c>
      <c r="K1853" s="10">
        <f t="shared" si="142"/>
        <v>3.5380555556039326</v>
      </c>
      <c r="L1853" s="1" t="str">
        <f t="shared" si="143"/>
        <v>OK</v>
      </c>
      <c r="M1853" s="1">
        <f t="shared" si="140"/>
        <v>1</v>
      </c>
      <c r="N1853" s="1">
        <f t="shared" si="141"/>
        <v>59</v>
      </c>
      <c r="O1853" s="10">
        <f t="shared" si="144"/>
        <v>3.5380555556039326</v>
      </c>
    </row>
    <row r="1854" spans="1:15">
      <c r="A1854" s="1" t="s">
        <v>1959</v>
      </c>
      <c r="B1854" s="23">
        <v>45113.135416666664</v>
      </c>
      <c r="C1854" s="1" t="s">
        <v>16</v>
      </c>
      <c r="D1854" s="1" t="s">
        <v>17</v>
      </c>
      <c r="E1854" s="1" t="s">
        <v>22</v>
      </c>
      <c r="F1854" s="1" t="s">
        <v>100</v>
      </c>
      <c r="G1854" s="1">
        <v>49</v>
      </c>
      <c r="I1854" s="1" t="b">
        <v>0</v>
      </c>
      <c r="K1854" s="10" t="str">
        <f t="shared" si="142"/>
        <v/>
      </c>
      <c r="L1854" s="1" t="str">
        <f t="shared" si="143"/>
        <v>Cannot check</v>
      </c>
      <c r="M1854" s="1">
        <f t="shared" si="140"/>
        <v>1</v>
      </c>
      <c r="N1854" s="1">
        <f t="shared" si="141"/>
        <v>49</v>
      </c>
      <c r="O1854" s="10" t="str">
        <f t="shared" si="144"/>
        <v/>
      </c>
    </row>
    <row r="1855" spans="1:15">
      <c r="A1855" s="1" t="s">
        <v>1960</v>
      </c>
      <c r="B1855" s="23">
        <v>45113.222222222219</v>
      </c>
      <c r="C1855" s="1" t="s">
        <v>43</v>
      </c>
      <c r="D1855" s="1" t="s">
        <v>17</v>
      </c>
      <c r="E1855" s="1" t="s">
        <v>13</v>
      </c>
      <c r="F1855" s="1" t="s">
        <v>132</v>
      </c>
      <c r="G1855" s="1">
        <v>15</v>
      </c>
      <c r="I1855" s="1" t="b">
        <v>0</v>
      </c>
      <c r="K1855" s="10" t="str">
        <f t="shared" si="142"/>
        <v/>
      </c>
      <c r="L1855" s="1" t="str">
        <f t="shared" si="143"/>
        <v>Cannot check</v>
      </c>
      <c r="M1855" s="1">
        <f t="shared" si="140"/>
        <v>1</v>
      </c>
      <c r="N1855" s="1">
        <f t="shared" si="141"/>
        <v>15</v>
      </c>
      <c r="O1855" s="10" t="str">
        <f t="shared" si="144"/>
        <v/>
      </c>
    </row>
    <row r="1856" spans="1:15">
      <c r="A1856" s="1" t="s">
        <v>1961</v>
      </c>
      <c r="B1856" s="23">
        <v>45113.247916666667</v>
      </c>
      <c r="C1856" s="1" t="s">
        <v>25</v>
      </c>
      <c r="D1856" s="1" t="s">
        <v>26</v>
      </c>
      <c r="E1856" s="1" t="s">
        <v>13</v>
      </c>
      <c r="F1856" s="1" t="s">
        <v>46</v>
      </c>
      <c r="G1856" s="1">
        <v>178</v>
      </c>
      <c r="H1856" s="23">
        <v>45115.32571759259</v>
      </c>
      <c r="I1856" s="1" t="b">
        <v>0</v>
      </c>
      <c r="K1856" s="10">
        <f t="shared" si="142"/>
        <v>49.867222222150303</v>
      </c>
      <c r="L1856" s="1" t="str">
        <f t="shared" si="143"/>
        <v>OK</v>
      </c>
      <c r="M1856" s="1">
        <f t="shared" si="140"/>
        <v>1</v>
      </c>
      <c r="N1856" s="1">
        <f t="shared" si="141"/>
        <v>178</v>
      </c>
      <c r="O1856" s="10">
        <f t="shared" si="144"/>
        <v>49.867222222150303</v>
      </c>
    </row>
    <row r="1857" spans="1:15">
      <c r="A1857" s="1" t="s">
        <v>1962</v>
      </c>
      <c r="B1857" s="23">
        <v>45113.352777777778</v>
      </c>
      <c r="C1857" s="1" t="s">
        <v>16</v>
      </c>
      <c r="D1857" s="1" t="s">
        <v>17</v>
      </c>
      <c r="E1857" s="1" t="s">
        <v>18</v>
      </c>
      <c r="F1857" s="1" t="s">
        <v>14</v>
      </c>
      <c r="G1857" s="1">
        <v>177</v>
      </c>
      <c r="H1857" s="23">
        <v>45116.208912037036</v>
      </c>
      <c r="I1857" s="1" t="b">
        <v>0</v>
      </c>
      <c r="K1857" s="10">
        <f t="shared" si="142"/>
        <v>68.547222222201526</v>
      </c>
      <c r="L1857" s="1" t="str">
        <f t="shared" si="143"/>
        <v>OK</v>
      </c>
      <c r="M1857" s="1">
        <f t="shared" si="140"/>
        <v>1</v>
      </c>
      <c r="N1857" s="1">
        <f t="shared" si="141"/>
        <v>177</v>
      </c>
      <c r="O1857" s="10">
        <f t="shared" si="144"/>
        <v>68.547222222201526</v>
      </c>
    </row>
    <row r="1858" spans="1:15">
      <c r="A1858" s="1" t="s">
        <v>1963</v>
      </c>
      <c r="B1858" s="23">
        <v>45113.434027777781</v>
      </c>
      <c r="C1858" s="1" t="s">
        <v>11</v>
      </c>
      <c r="D1858" s="1" t="s">
        <v>59</v>
      </c>
      <c r="E1858" s="1" t="s">
        <v>18</v>
      </c>
      <c r="F1858" s="1" t="s">
        <v>317</v>
      </c>
      <c r="G1858" s="1">
        <v>32</v>
      </c>
      <c r="H1858" s="23">
        <v>45114.104074074072</v>
      </c>
      <c r="I1858" s="1" t="b">
        <v>0</v>
      </c>
      <c r="K1858" s="10">
        <f t="shared" si="142"/>
        <v>16.081111110979691</v>
      </c>
      <c r="L1858" s="1" t="str">
        <f t="shared" si="143"/>
        <v>OK</v>
      </c>
      <c r="M1858" s="1">
        <f t="shared" ref="M1858:M1921" si="145">COUNTIF($A$2:$A$4001,A1858)</f>
        <v>1</v>
      </c>
      <c r="N1858" s="1">
        <f t="shared" ref="N1858:N1921" si="146">IF(OR(L1858="Review",G1858=""),"",G1858)</f>
        <v>32</v>
      </c>
      <c r="O1858" s="10">
        <f t="shared" si="144"/>
        <v>16.081111110979691</v>
      </c>
    </row>
    <row r="1859" spans="1:15">
      <c r="A1859" s="1" t="s">
        <v>1964</v>
      </c>
      <c r="B1859" s="23">
        <v>45113.675694444442</v>
      </c>
      <c r="C1859" s="1" t="s">
        <v>16</v>
      </c>
      <c r="D1859" s="1" t="s">
        <v>21</v>
      </c>
      <c r="E1859" s="1" t="s">
        <v>33</v>
      </c>
      <c r="F1859" s="1" t="s">
        <v>27</v>
      </c>
      <c r="H1859" s="23">
        <v>45116.224293981482</v>
      </c>
      <c r="I1859" s="1" t="b">
        <v>1</v>
      </c>
      <c r="J1859" s="1">
        <v>5</v>
      </c>
      <c r="K1859" s="10">
        <f t="shared" ref="K1859:K1922" si="147">IF(H1859="","",(H1859-B1859)*24)</f>
        <v>61.166388888959773</v>
      </c>
      <c r="L1859" s="1" t="str">
        <f t="shared" ref="L1859:L1922" si="148">IF(OR(G1859="",K1859=""),"Cannot check",IF(G1859&gt;K1859*60,"Review","OK"))</f>
        <v>Cannot check</v>
      </c>
      <c r="M1859" s="1">
        <f t="shared" si="145"/>
        <v>1</v>
      </c>
      <c r="N1859" s="1" t="str">
        <f t="shared" si="146"/>
        <v/>
      </c>
      <c r="O1859" s="10">
        <f t="shared" ref="O1859:O1922" si="149">IF(OR(L1859="Review",K1859=""),"",K1859)</f>
        <v>61.166388888959773</v>
      </c>
    </row>
    <row r="1860" spans="1:15">
      <c r="A1860" s="1" t="s">
        <v>1965</v>
      </c>
      <c r="B1860" s="23">
        <v>45113.747916666667</v>
      </c>
      <c r="C1860" s="1" t="s">
        <v>43</v>
      </c>
      <c r="D1860" s="1" t="s">
        <v>17</v>
      </c>
      <c r="E1860" s="1" t="s">
        <v>33</v>
      </c>
      <c r="F1860" s="1" t="s">
        <v>175</v>
      </c>
      <c r="G1860" s="1">
        <v>136</v>
      </c>
      <c r="H1860" s="23">
        <v>45117.934293981481</v>
      </c>
      <c r="I1860" s="1" t="b">
        <v>0</v>
      </c>
      <c r="K1860" s="10">
        <f t="shared" si="147"/>
        <v>100.4730555555434</v>
      </c>
      <c r="L1860" s="1" t="str">
        <f t="shared" si="148"/>
        <v>OK</v>
      </c>
      <c r="M1860" s="1">
        <f t="shared" si="145"/>
        <v>1</v>
      </c>
      <c r="N1860" s="1">
        <f t="shared" si="146"/>
        <v>136</v>
      </c>
      <c r="O1860" s="10">
        <f t="shared" si="149"/>
        <v>100.4730555555434</v>
      </c>
    </row>
    <row r="1861" spans="1:15">
      <c r="A1861" s="1" t="s">
        <v>1966</v>
      </c>
      <c r="B1861" s="23">
        <v>45113.887499999997</v>
      </c>
      <c r="C1861" s="1" t="s">
        <v>43</v>
      </c>
      <c r="D1861" s="1" t="s">
        <v>17</v>
      </c>
      <c r="E1861" s="1" t="s">
        <v>13</v>
      </c>
      <c r="F1861" s="1" t="s">
        <v>228</v>
      </c>
      <c r="G1861" s="1">
        <v>28</v>
      </c>
      <c r="H1861" s="23">
        <v>45114.4534375</v>
      </c>
      <c r="I1861" s="1" t="b">
        <v>0</v>
      </c>
      <c r="K1861" s="10">
        <f t="shared" si="147"/>
        <v>13.582500000076834</v>
      </c>
      <c r="L1861" s="1" t="str">
        <f t="shared" si="148"/>
        <v>OK</v>
      </c>
      <c r="M1861" s="1">
        <f t="shared" si="145"/>
        <v>1</v>
      </c>
      <c r="N1861" s="1">
        <f t="shared" si="146"/>
        <v>28</v>
      </c>
      <c r="O1861" s="10">
        <f t="shared" si="149"/>
        <v>13.582500000076834</v>
      </c>
    </row>
    <row r="1862" spans="1:15">
      <c r="A1862" s="1" t="s">
        <v>1967</v>
      </c>
      <c r="B1862" s="23">
        <v>45113.906944444447</v>
      </c>
      <c r="C1862" s="1" t="s">
        <v>43</v>
      </c>
      <c r="D1862" s="1" t="s">
        <v>17</v>
      </c>
      <c r="E1862" s="1" t="s">
        <v>33</v>
      </c>
      <c r="F1862" s="1" t="s">
        <v>274</v>
      </c>
      <c r="G1862" s="1">
        <v>1615</v>
      </c>
      <c r="I1862" s="1" t="b">
        <v>0</v>
      </c>
      <c r="K1862" s="10" t="str">
        <f t="shared" si="147"/>
        <v/>
      </c>
      <c r="L1862" s="1" t="str">
        <f t="shared" si="148"/>
        <v>Cannot check</v>
      </c>
      <c r="M1862" s="1">
        <f t="shared" si="145"/>
        <v>1</v>
      </c>
      <c r="N1862" s="1">
        <f t="shared" si="146"/>
        <v>1615</v>
      </c>
      <c r="O1862" s="10" t="str">
        <f t="shared" si="149"/>
        <v/>
      </c>
    </row>
    <row r="1863" spans="1:15">
      <c r="A1863" s="1" t="s">
        <v>1968</v>
      </c>
      <c r="B1863" s="23">
        <v>45113.941666666666</v>
      </c>
      <c r="C1863" s="1" t="s">
        <v>16</v>
      </c>
      <c r="D1863" s="1" t="s">
        <v>12</v>
      </c>
      <c r="E1863" s="1" t="s">
        <v>13</v>
      </c>
      <c r="F1863" s="1" t="s">
        <v>54</v>
      </c>
      <c r="G1863" s="1">
        <v>98</v>
      </c>
      <c r="H1863" s="23">
        <v>45115.196631944447</v>
      </c>
      <c r="I1863" s="1" t="b">
        <v>0</v>
      </c>
      <c r="J1863" s="1">
        <v>4</v>
      </c>
      <c r="K1863" s="10">
        <f t="shared" si="147"/>
        <v>30.119166666758247</v>
      </c>
      <c r="L1863" s="1" t="str">
        <f t="shared" si="148"/>
        <v>OK</v>
      </c>
      <c r="M1863" s="1">
        <f t="shared" si="145"/>
        <v>1</v>
      </c>
      <c r="N1863" s="1">
        <f t="shared" si="146"/>
        <v>98</v>
      </c>
      <c r="O1863" s="10">
        <f t="shared" si="149"/>
        <v>30.119166666758247</v>
      </c>
    </row>
    <row r="1864" spans="1:15">
      <c r="A1864" s="1" t="s">
        <v>1969</v>
      </c>
      <c r="B1864" s="23">
        <v>45113.951388888891</v>
      </c>
      <c r="C1864" s="1" t="s">
        <v>11</v>
      </c>
      <c r="D1864" s="1" t="s">
        <v>12</v>
      </c>
      <c r="E1864" s="1" t="s">
        <v>18</v>
      </c>
      <c r="F1864" s="1" t="s">
        <v>74</v>
      </c>
      <c r="G1864" s="1">
        <v>771</v>
      </c>
      <c r="H1864" s="23">
        <v>45113.966180555559</v>
      </c>
      <c r="I1864" s="1" t="b">
        <v>0</v>
      </c>
      <c r="J1864" s="1">
        <v>5</v>
      </c>
      <c r="K1864" s="10">
        <f t="shared" si="147"/>
        <v>0.35500000003958121</v>
      </c>
      <c r="L1864" s="1" t="str">
        <f t="shared" si="148"/>
        <v>Review</v>
      </c>
      <c r="M1864" s="1">
        <f t="shared" si="145"/>
        <v>1</v>
      </c>
      <c r="N1864" s="1" t="str">
        <f t="shared" si="146"/>
        <v/>
      </c>
      <c r="O1864" s="10" t="str">
        <f t="shared" si="149"/>
        <v/>
      </c>
    </row>
    <row r="1865" spans="1:15">
      <c r="A1865" s="1" t="s">
        <v>1970</v>
      </c>
      <c r="B1865" s="23">
        <v>45114.036805555559</v>
      </c>
      <c r="C1865" s="1" t="s">
        <v>25</v>
      </c>
      <c r="D1865" s="1" t="s">
        <v>17</v>
      </c>
      <c r="E1865" s="1" t="s">
        <v>18</v>
      </c>
      <c r="F1865" s="1" t="s">
        <v>102</v>
      </c>
      <c r="G1865" s="1">
        <v>66</v>
      </c>
      <c r="H1865" s="23">
        <v>45132.697881944441</v>
      </c>
      <c r="I1865" s="1" t="b">
        <v>0</v>
      </c>
      <c r="J1865" s="1">
        <v>4</v>
      </c>
      <c r="K1865" s="10">
        <f t="shared" si="147"/>
        <v>447.86583333316958</v>
      </c>
      <c r="L1865" s="1" t="str">
        <f t="shared" si="148"/>
        <v>OK</v>
      </c>
      <c r="M1865" s="1">
        <f t="shared" si="145"/>
        <v>1</v>
      </c>
      <c r="N1865" s="1">
        <f t="shared" si="146"/>
        <v>66</v>
      </c>
      <c r="O1865" s="10">
        <f t="shared" si="149"/>
        <v>447.86583333316958</v>
      </c>
    </row>
    <row r="1866" spans="1:15">
      <c r="A1866" s="1" t="s">
        <v>1971</v>
      </c>
      <c r="B1866" s="23">
        <v>45114.162499999999</v>
      </c>
      <c r="C1866" s="1" t="s">
        <v>25</v>
      </c>
      <c r="D1866" s="1" t="s">
        <v>26</v>
      </c>
      <c r="E1866" s="1" t="s">
        <v>18</v>
      </c>
      <c r="F1866" s="1" t="s">
        <v>60</v>
      </c>
      <c r="G1866" s="1">
        <v>63</v>
      </c>
      <c r="H1866" s="23">
        <v>45135.366724537038</v>
      </c>
      <c r="I1866" s="1" t="b">
        <v>1</v>
      </c>
      <c r="J1866" s="1">
        <v>5</v>
      </c>
      <c r="K1866" s="10">
        <f t="shared" si="147"/>
        <v>508.9013888889458</v>
      </c>
      <c r="L1866" s="1" t="str">
        <f t="shared" si="148"/>
        <v>OK</v>
      </c>
      <c r="M1866" s="1">
        <f t="shared" si="145"/>
        <v>1</v>
      </c>
      <c r="N1866" s="1">
        <f t="shared" si="146"/>
        <v>63</v>
      </c>
      <c r="O1866" s="10">
        <f t="shared" si="149"/>
        <v>508.9013888889458</v>
      </c>
    </row>
    <row r="1867" spans="1:15">
      <c r="A1867" s="1" t="s">
        <v>1972</v>
      </c>
      <c r="B1867" s="23">
        <v>45114.165277777778</v>
      </c>
      <c r="C1867" s="1" t="s">
        <v>16</v>
      </c>
      <c r="D1867" s="1" t="s">
        <v>26</v>
      </c>
      <c r="E1867" s="1" t="s">
        <v>22</v>
      </c>
      <c r="F1867" s="1" t="s">
        <v>70</v>
      </c>
      <c r="G1867" s="1">
        <v>5</v>
      </c>
      <c r="H1867" s="23">
        <v>45114.21671296296</v>
      </c>
      <c r="I1867" s="1" t="b">
        <v>0</v>
      </c>
      <c r="K1867" s="10">
        <f t="shared" si="147"/>
        <v>1.2344444443588145</v>
      </c>
      <c r="L1867" s="1" t="str">
        <f t="shared" si="148"/>
        <v>OK</v>
      </c>
      <c r="M1867" s="1">
        <f t="shared" si="145"/>
        <v>1</v>
      </c>
      <c r="N1867" s="1">
        <f t="shared" si="146"/>
        <v>5</v>
      </c>
      <c r="O1867" s="10">
        <f t="shared" si="149"/>
        <v>1.2344444443588145</v>
      </c>
    </row>
    <row r="1868" spans="1:15">
      <c r="A1868" s="1" t="s">
        <v>1973</v>
      </c>
      <c r="B1868" s="23">
        <v>45114.326388888891</v>
      </c>
      <c r="C1868" s="1" t="s">
        <v>11</v>
      </c>
      <c r="D1868" s="1" t="s">
        <v>21</v>
      </c>
      <c r="E1868" s="1" t="s">
        <v>13</v>
      </c>
      <c r="F1868" s="1" t="s">
        <v>145</v>
      </c>
      <c r="G1868" s="1">
        <v>8</v>
      </c>
      <c r="H1868" s="23">
        <v>45114.5862037037</v>
      </c>
      <c r="I1868" s="1" t="b">
        <v>0</v>
      </c>
      <c r="K1868" s="10">
        <f t="shared" si="147"/>
        <v>6.2355555554386228</v>
      </c>
      <c r="L1868" s="1" t="str">
        <f t="shared" si="148"/>
        <v>OK</v>
      </c>
      <c r="M1868" s="1">
        <f t="shared" si="145"/>
        <v>1</v>
      </c>
      <c r="N1868" s="1">
        <f t="shared" si="146"/>
        <v>8</v>
      </c>
      <c r="O1868" s="10">
        <f t="shared" si="149"/>
        <v>6.2355555554386228</v>
      </c>
    </row>
    <row r="1869" spans="1:15">
      <c r="A1869" s="1" t="s">
        <v>1974</v>
      </c>
      <c r="B1869" s="23">
        <v>45114.334027777775</v>
      </c>
      <c r="C1869" s="1" t="s">
        <v>11</v>
      </c>
      <c r="D1869" s="1" t="s">
        <v>59</v>
      </c>
      <c r="E1869" s="1" t="s">
        <v>33</v>
      </c>
      <c r="F1869" s="1" t="s">
        <v>106</v>
      </c>
      <c r="G1869" s="1">
        <v>350</v>
      </c>
      <c r="I1869" s="1" t="b">
        <v>0</v>
      </c>
      <c r="K1869" s="10" t="str">
        <f t="shared" si="147"/>
        <v/>
      </c>
      <c r="L1869" s="1" t="str">
        <f t="shared" si="148"/>
        <v>Cannot check</v>
      </c>
      <c r="M1869" s="1">
        <f t="shared" si="145"/>
        <v>1</v>
      </c>
      <c r="N1869" s="1">
        <f t="shared" si="146"/>
        <v>350</v>
      </c>
      <c r="O1869" s="10" t="str">
        <f t="shared" si="149"/>
        <v/>
      </c>
    </row>
    <row r="1870" spans="1:15">
      <c r="A1870" s="1" t="s">
        <v>1975</v>
      </c>
      <c r="B1870" s="23">
        <v>45114.401388888888</v>
      </c>
      <c r="C1870" s="1" t="s">
        <v>16</v>
      </c>
      <c r="D1870" s="1" t="s">
        <v>21</v>
      </c>
      <c r="E1870" s="1" t="s">
        <v>18</v>
      </c>
      <c r="F1870" s="1" t="s">
        <v>486</v>
      </c>
      <c r="G1870" s="1">
        <v>22</v>
      </c>
      <c r="H1870" s="23">
        <v>45114.463495370372</v>
      </c>
      <c r="I1870" s="1" t="b">
        <v>0</v>
      </c>
      <c r="K1870" s="10">
        <f t="shared" si="147"/>
        <v>1.4905555556179024</v>
      </c>
      <c r="L1870" s="1" t="str">
        <f t="shared" si="148"/>
        <v>OK</v>
      </c>
      <c r="M1870" s="1">
        <f t="shared" si="145"/>
        <v>1</v>
      </c>
      <c r="N1870" s="1">
        <f t="shared" si="146"/>
        <v>22</v>
      </c>
      <c r="O1870" s="10">
        <f t="shared" si="149"/>
        <v>1.4905555556179024</v>
      </c>
    </row>
    <row r="1871" spans="1:15">
      <c r="A1871" s="1" t="s">
        <v>1976</v>
      </c>
      <c r="B1871" s="23">
        <v>45114.429166666669</v>
      </c>
      <c r="C1871" s="1" t="s">
        <v>25</v>
      </c>
      <c r="D1871" s="1" t="s">
        <v>17</v>
      </c>
      <c r="E1871" s="1" t="s">
        <v>18</v>
      </c>
      <c r="F1871" s="1" t="s">
        <v>167</v>
      </c>
      <c r="G1871" s="1">
        <v>96</v>
      </c>
      <c r="H1871" s="23">
        <v>45127.660243055558</v>
      </c>
      <c r="I1871" s="1" t="b">
        <v>0</v>
      </c>
      <c r="K1871" s="10">
        <f t="shared" si="147"/>
        <v>317.54583333333721</v>
      </c>
      <c r="L1871" s="1" t="str">
        <f t="shared" si="148"/>
        <v>OK</v>
      </c>
      <c r="M1871" s="1">
        <f t="shared" si="145"/>
        <v>1</v>
      </c>
      <c r="N1871" s="1">
        <f t="shared" si="146"/>
        <v>96</v>
      </c>
      <c r="O1871" s="10">
        <f t="shared" si="149"/>
        <v>317.54583333333721</v>
      </c>
    </row>
    <row r="1872" spans="1:15">
      <c r="A1872" s="1" t="s">
        <v>1977</v>
      </c>
      <c r="B1872" s="23">
        <v>45114.486111111109</v>
      </c>
      <c r="C1872" s="1" t="s">
        <v>16</v>
      </c>
      <c r="D1872" s="1" t="s">
        <v>12</v>
      </c>
      <c r="E1872" s="1" t="s">
        <v>13</v>
      </c>
      <c r="F1872" s="1" t="s">
        <v>31</v>
      </c>
      <c r="G1872" s="1">
        <v>12</v>
      </c>
      <c r="H1872" s="23">
        <v>45114.697337962964</v>
      </c>
      <c r="I1872" s="1" t="b">
        <v>0</v>
      </c>
      <c r="J1872" s="1">
        <v>4</v>
      </c>
      <c r="K1872" s="10">
        <f t="shared" si="147"/>
        <v>5.0694444444961846</v>
      </c>
      <c r="L1872" s="1" t="str">
        <f t="shared" si="148"/>
        <v>OK</v>
      </c>
      <c r="M1872" s="1">
        <f t="shared" si="145"/>
        <v>1</v>
      </c>
      <c r="N1872" s="1">
        <f t="shared" si="146"/>
        <v>12</v>
      </c>
      <c r="O1872" s="10">
        <f t="shared" si="149"/>
        <v>5.0694444444961846</v>
      </c>
    </row>
    <row r="1873" spans="1:15">
      <c r="A1873" s="1" t="s">
        <v>1978</v>
      </c>
      <c r="B1873" s="23">
        <v>45114.55972222222</v>
      </c>
      <c r="C1873" s="1" t="s">
        <v>25</v>
      </c>
      <c r="D1873" s="1" t="s">
        <v>26</v>
      </c>
      <c r="E1873" s="1" t="s">
        <v>18</v>
      </c>
      <c r="F1873" s="1" t="s">
        <v>148</v>
      </c>
      <c r="G1873" s="1">
        <v>394</v>
      </c>
      <c r="H1873" s="23">
        <v>45117.747685185182</v>
      </c>
      <c r="I1873" s="1" t="b">
        <v>0</v>
      </c>
      <c r="J1873" s="1">
        <v>5</v>
      </c>
      <c r="K1873" s="10">
        <f t="shared" si="147"/>
        <v>76.511111111089122</v>
      </c>
      <c r="L1873" s="1" t="str">
        <f t="shared" si="148"/>
        <v>OK</v>
      </c>
      <c r="M1873" s="1">
        <f t="shared" si="145"/>
        <v>1</v>
      </c>
      <c r="N1873" s="1">
        <f t="shared" si="146"/>
        <v>394</v>
      </c>
      <c r="O1873" s="10">
        <f t="shared" si="149"/>
        <v>76.511111111089122</v>
      </c>
    </row>
    <row r="1874" spans="1:15">
      <c r="A1874" s="1" t="s">
        <v>1979</v>
      </c>
      <c r="B1874" s="23">
        <v>45114.786805555559</v>
      </c>
      <c r="C1874" s="1" t="s">
        <v>25</v>
      </c>
      <c r="D1874" s="1" t="s">
        <v>59</v>
      </c>
      <c r="E1874" s="1" t="s">
        <v>33</v>
      </c>
      <c r="F1874" s="1" t="s">
        <v>415</v>
      </c>
      <c r="G1874" s="1">
        <v>394</v>
      </c>
      <c r="H1874" s="23">
        <v>45115.955706018518</v>
      </c>
      <c r="I1874" s="1" t="b">
        <v>0</v>
      </c>
      <c r="J1874" s="1">
        <v>5</v>
      </c>
      <c r="K1874" s="10">
        <f t="shared" si="147"/>
        <v>28.053611111012287</v>
      </c>
      <c r="L1874" s="1" t="str">
        <f t="shared" si="148"/>
        <v>OK</v>
      </c>
      <c r="M1874" s="1">
        <f t="shared" si="145"/>
        <v>1</v>
      </c>
      <c r="N1874" s="1">
        <f t="shared" si="146"/>
        <v>394</v>
      </c>
      <c r="O1874" s="10">
        <f t="shared" si="149"/>
        <v>28.053611111012287</v>
      </c>
    </row>
    <row r="1875" spans="1:15">
      <c r="A1875" s="1" t="s">
        <v>1980</v>
      </c>
      <c r="B1875" s="23">
        <v>45114.795138888891</v>
      </c>
      <c r="C1875" s="1" t="s">
        <v>43</v>
      </c>
      <c r="D1875" s="1" t="s">
        <v>17</v>
      </c>
      <c r="E1875" s="1" t="s">
        <v>33</v>
      </c>
      <c r="F1875" s="1" t="s">
        <v>162</v>
      </c>
      <c r="G1875" s="1">
        <v>529</v>
      </c>
      <c r="H1875" s="23">
        <v>45120.480879629627</v>
      </c>
      <c r="I1875" s="1" t="b">
        <v>0</v>
      </c>
      <c r="K1875" s="10">
        <f t="shared" si="147"/>
        <v>136.45777777768672</v>
      </c>
      <c r="L1875" s="1" t="str">
        <f t="shared" si="148"/>
        <v>OK</v>
      </c>
      <c r="M1875" s="1">
        <f t="shared" si="145"/>
        <v>1</v>
      </c>
      <c r="N1875" s="1">
        <f t="shared" si="146"/>
        <v>529</v>
      </c>
      <c r="O1875" s="10">
        <f t="shared" si="149"/>
        <v>136.45777777768672</v>
      </c>
    </row>
    <row r="1876" spans="1:15">
      <c r="A1876" s="1" t="s">
        <v>1981</v>
      </c>
      <c r="B1876" s="23">
        <v>45115.088888888888</v>
      </c>
      <c r="C1876" s="1" t="s">
        <v>16</v>
      </c>
      <c r="D1876" s="1" t="s">
        <v>59</v>
      </c>
      <c r="E1876" s="1" t="s">
        <v>18</v>
      </c>
      <c r="F1876" s="1" t="s">
        <v>84</v>
      </c>
      <c r="G1876" s="1">
        <v>175</v>
      </c>
      <c r="H1876" s="23">
        <v>45115.202175925922</v>
      </c>
      <c r="I1876" s="1" t="b">
        <v>0</v>
      </c>
      <c r="J1876" s="1">
        <v>5</v>
      </c>
      <c r="K1876" s="10">
        <f t="shared" si="147"/>
        <v>2.7188888888340443</v>
      </c>
      <c r="L1876" s="1" t="str">
        <f t="shared" si="148"/>
        <v>Review</v>
      </c>
      <c r="M1876" s="1">
        <f t="shared" si="145"/>
        <v>1</v>
      </c>
      <c r="N1876" s="1" t="str">
        <f t="shared" si="146"/>
        <v/>
      </c>
      <c r="O1876" s="10" t="str">
        <f t="shared" si="149"/>
        <v/>
      </c>
    </row>
    <row r="1877" spans="1:15">
      <c r="A1877" s="1" t="s">
        <v>1982</v>
      </c>
      <c r="B1877" s="23">
        <v>45115.129166666666</v>
      </c>
      <c r="C1877" s="1" t="s">
        <v>16</v>
      </c>
      <c r="D1877" s="1" t="s">
        <v>26</v>
      </c>
      <c r="E1877" s="1" t="s">
        <v>18</v>
      </c>
      <c r="F1877" s="1" t="s">
        <v>132</v>
      </c>
      <c r="G1877" s="1">
        <v>138</v>
      </c>
      <c r="I1877" s="1" t="b">
        <v>0</v>
      </c>
      <c r="K1877" s="10" t="str">
        <f t="shared" si="147"/>
        <v/>
      </c>
      <c r="L1877" s="1" t="str">
        <f t="shared" si="148"/>
        <v>Cannot check</v>
      </c>
      <c r="M1877" s="1">
        <f t="shared" si="145"/>
        <v>1</v>
      </c>
      <c r="N1877" s="1">
        <f t="shared" si="146"/>
        <v>138</v>
      </c>
      <c r="O1877" s="10" t="str">
        <f t="shared" si="149"/>
        <v/>
      </c>
    </row>
    <row r="1878" spans="1:15">
      <c r="A1878" s="1" t="s">
        <v>1983</v>
      </c>
      <c r="B1878" s="23">
        <v>45115.186805555553</v>
      </c>
      <c r="C1878" s="1" t="s">
        <v>16</v>
      </c>
      <c r="D1878" s="1" t="s">
        <v>26</v>
      </c>
      <c r="E1878" s="1" t="s">
        <v>18</v>
      </c>
      <c r="F1878" s="1" t="s">
        <v>415</v>
      </c>
      <c r="G1878" s="1">
        <v>28</v>
      </c>
      <c r="H1878" s="23">
        <v>45117.317256944443</v>
      </c>
      <c r="I1878" s="1" t="b">
        <v>0</v>
      </c>
      <c r="K1878" s="10">
        <f t="shared" si="147"/>
        <v>51.130833333358169</v>
      </c>
      <c r="L1878" s="1" t="str">
        <f t="shared" si="148"/>
        <v>OK</v>
      </c>
      <c r="M1878" s="1">
        <f t="shared" si="145"/>
        <v>1</v>
      </c>
      <c r="N1878" s="1">
        <f t="shared" si="146"/>
        <v>28</v>
      </c>
      <c r="O1878" s="10">
        <f t="shared" si="149"/>
        <v>51.130833333358169</v>
      </c>
    </row>
    <row r="1879" spans="1:15">
      <c r="A1879" s="1" t="s">
        <v>1984</v>
      </c>
      <c r="B1879" s="23">
        <v>45115.246527777781</v>
      </c>
      <c r="C1879" s="1" t="s">
        <v>16</v>
      </c>
      <c r="D1879" s="1" t="s">
        <v>59</v>
      </c>
      <c r="E1879" s="1" t="s">
        <v>13</v>
      </c>
      <c r="F1879" s="1" t="s">
        <v>39</v>
      </c>
      <c r="G1879" s="1">
        <v>133</v>
      </c>
      <c r="H1879" s="23">
        <v>45115.272592592592</v>
      </c>
      <c r="I1879" s="1" t="b">
        <v>0</v>
      </c>
      <c r="K1879" s="10">
        <f t="shared" si="147"/>
        <v>0.62555555545259267</v>
      </c>
      <c r="L1879" s="1" t="str">
        <f t="shared" si="148"/>
        <v>Review</v>
      </c>
      <c r="M1879" s="1">
        <f t="shared" si="145"/>
        <v>1</v>
      </c>
      <c r="N1879" s="1" t="str">
        <f t="shared" si="146"/>
        <v/>
      </c>
      <c r="O1879" s="10" t="str">
        <f t="shared" si="149"/>
        <v/>
      </c>
    </row>
    <row r="1880" spans="1:15">
      <c r="A1880" s="1" t="s">
        <v>1985</v>
      </c>
      <c r="B1880" s="23">
        <v>45115.324999999997</v>
      </c>
      <c r="C1880" s="1" t="s">
        <v>16</v>
      </c>
      <c r="D1880" s="1" t="s">
        <v>59</v>
      </c>
      <c r="E1880" s="1" t="s">
        <v>13</v>
      </c>
      <c r="F1880" s="1" t="s">
        <v>60</v>
      </c>
      <c r="G1880" s="1">
        <v>245</v>
      </c>
      <c r="H1880" s="23">
        <v>45117.116388888891</v>
      </c>
      <c r="I1880" s="1" t="b">
        <v>0</v>
      </c>
      <c r="K1880" s="10">
        <f t="shared" si="147"/>
        <v>42.993333333462942</v>
      </c>
      <c r="L1880" s="1" t="str">
        <f t="shared" si="148"/>
        <v>OK</v>
      </c>
      <c r="M1880" s="1">
        <f t="shared" si="145"/>
        <v>1</v>
      </c>
      <c r="N1880" s="1">
        <f t="shared" si="146"/>
        <v>245</v>
      </c>
      <c r="O1880" s="10">
        <f t="shared" si="149"/>
        <v>42.993333333462942</v>
      </c>
    </row>
    <row r="1881" spans="1:15">
      <c r="A1881" s="1" t="s">
        <v>1986</v>
      </c>
      <c r="B1881" s="23">
        <v>45115.57916666667</v>
      </c>
      <c r="C1881" s="1" t="s">
        <v>43</v>
      </c>
      <c r="D1881" s="1" t="s">
        <v>59</v>
      </c>
      <c r="E1881" s="1" t="s">
        <v>18</v>
      </c>
      <c r="F1881" s="1" t="s">
        <v>100</v>
      </c>
      <c r="G1881" s="1">
        <v>242</v>
      </c>
      <c r="H1881" s="23">
        <v>45117.46297453704</v>
      </c>
      <c r="I1881" s="1" t="b">
        <v>0</v>
      </c>
      <c r="K1881" s="10">
        <f t="shared" si="147"/>
        <v>45.211388888885267</v>
      </c>
      <c r="L1881" s="1" t="str">
        <f t="shared" si="148"/>
        <v>OK</v>
      </c>
      <c r="M1881" s="1">
        <f t="shared" si="145"/>
        <v>1</v>
      </c>
      <c r="N1881" s="1">
        <f t="shared" si="146"/>
        <v>242</v>
      </c>
      <c r="O1881" s="10">
        <f t="shared" si="149"/>
        <v>45.211388888885267</v>
      </c>
    </row>
    <row r="1882" spans="1:15">
      <c r="A1882" s="1" t="s">
        <v>1987</v>
      </c>
      <c r="B1882" s="23">
        <v>45115.604166666664</v>
      </c>
      <c r="C1882" s="1" t="s">
        <v>25</v>
      </c>
      <c r="D1882" s="1" t="s">
        <v>12</v>
      </c>
      <c r="E1882" s="1" t="s">
        <v>18</v>
      </c>
      <c r="F1882" s="1" t="s">
        <v>367</v>
      </c>
      <c r="G1882" s="1">
        <v>114</v>
      </c>
      <c r="H1882" s="23">
        <v>45116.237488425926</v>
      </c>
      <c r="I1882" s="1" t="b">
        <v>0</v>
      </c>
      <c r="K1882" s="10">
        <f t="shared" si="147"/>
        <v>15.199722222285345</v>
      </c>
      <c r="L1882" s="1" t="str">
        <f t="shared" si="148"/>
        <v>OK</v>
      </c>
      <c r="M1882" s="1">
        <f t="shared" si="145"/>
        <v>1</v>
      </c>
      <c r="N1882" s="1">
        <f t="shared" si="146"/>
        <v>114</v>
      </c>
      <c r="O1882" s="10">
        <f t="shared" si="149"/>
        <v>15.199722222285345</v>
      </c>
    </row>
    <row r="1883" spans="1:15">
      <c r="A1883" s="1" t="s">
        <v>1988</v>
      </c>
      <c r="B1883" s="23">
        <v>45115.631249999999</v>
      </c>
      <c r="C1883" s="1" t="s">
        <v>11</v>
      </c>
      <c r="D1883" s="1" t="s">
        <v>59</v>
      </c>
      <c r="E1883" s="1" t="s">
        <v>22</v>
      </c>
      <c r="F1883" s="1" t="s">
        <v>96</v>
      </c>
      <c r="G1883" s="1">
        <v>74</v>
      </c>
      <c r="H1883" s="23">
        <v>45116.595636574071</v>
      </c>
      <c r="I1883" s="1" t="b">
        <v>0</v>
      </c>
      <c r="K1883" s="10">
        <f t="shared" si="147"/>
        <v>23.145277777744923</v>
      </c>
      <c r="L1883" s="1" t="str">
        <f t="shared" si="148"/>
        <v>OK</v>
      </c>
      <c r="M1883" s="1">
        <f t="shared" si="145"/>
        <v>1</v>
      </c>
      <c r="N1883" s="1">
        <f t="shared" si="146"/>
        <v>74</v>
      </c>
      <c r="O1883" s="10">
        <f t="shared" si="149"/>
        <v>23.145277777744923</v>
      </c>
    </row>
    <row r="1884" spans="1:15">
      <c r="A1884" s="1" t="s">
        <v>1989</v>
      </c>
      <c r="B1884" s="23">
        <v>45115.72152777778</v>
      </c>
      <c r="C1884" s="1" t="s">
        <v>43</v>
      </c>
      <c r="D1884" s="1" t="s">
        <v>59</v>
      </c>
      <c r="E1884" s="1" t="s">
        <v>33</v>
      </c>
      <c r="F1884" s="1" t="s">
        <v>132</v>
      </c>
      <c r="G1884" s="1">
        <v>106</v>
      </c>
      <c r="H1884" s="23">
        <v>45120.659675925926</v>
      </c>
      <c r="I1884" s="1" t="b">
        <v>0</v>
      </c>
      <c r="J1884" s="1">
        <v>1</v>
      </c>
      <c r="K1884" s="10">
        <f t="shared" si="147"/>
        <v>118.51555555552477</v>
      </c>
      <c r="L1884" s="1" t="str">
        <f t="shared" si="148"/>
        <v>OK</v>
      </c>
      <c r="M1884" s="1">
        <f t="shared" si="145"/>
        <v>1</v>
      </c>
      <c r="N1884" s="1">
        <f t="shared" si="146"/>
        <v>106</v>
      </c>
      <c r="O1884" s="10">
        <f t="shared" si="149"/>
        <v>118.51555555552477</v>
      </c>
    </row>
    <row r="1885" spans="1:15">
      <c r="A1885" s="1" t="s">
        <v>1990</v>
      </c>
      <c r="B1885" s="23">
        <v>45115.830555555556</v>
      </c>
      <c r="C1885" s="1" t="s">
        <v>43</v>
      </c>
      <c r="D1885" s="1" t="s">
        <v>17</v>
      </c>
      <c r="E1885" s="1" t="s">
        <v>13</v>
      </c>
      <c r="F1885" s="1" t="s">
        <v>130</v>
      </c>
      <c r="G1885" s="1">
        <v>72</v>
      </c>
      <c r="H1885" s="23">
        <v>45118.174328703702</v>
      </c>
      <c r="I1885" s="1" t="b">
        <v>0</v>
      </c>
      <c r="J1885" s="1">
        <v>5</v>
      </c>
      <c r="K1885" s="10">
        <f t="shared" si="147"/>
        <v>56.2505555555108</v>
      </c>
      <c r="L1885" s="1" t="str">
        <f t="shared" si="148"/>
        <v>OK</v>
      </c>
      <c r="M1885" s="1">
        <f t="shared" si="145"/>
        <v>1</v>
      </c>
      <c r="N1885" s="1">
        <f t="shared" si="146"/>
        <v>72</v>
      </c>
      <c r="O1885" s="10">
        <f t="shared" si="149"/>
        <v>56.2505555555108</v>
      </c>
    </row>
    <row r="1886" spans="1:15">
      <c r="A1886" s="1" t="s">
        <v>1991</v>
      </c>
      <c r="B1886" s="23">
        <v>45115.901388888888</v>
      </c>
      <c r="C1886" s="1" t="s">
        <v>25</v>
      </c>
      <c r="D1886" s="1" t="s">
        <v>21</v>
      </c>
      <c r="E1886" s="1" t="s">
        <v>13</v>
      </c>
      <c r="F1886" s="1" t="s">
        <v>317</v>
      </c>
      <c r="H1886" s="23">
        <v>45116.906747685185</v>
      </c>
      <c r="I1886" s="1" t="b">
        <v>0</v>
      </c>
      <c r="J1886" s="1">
        <v>4</v>
      </c>
      <c r="K1886" s="10">
        <f t="shared" si="147"/>
        <v>24.128611111140344</v>
      </c>
      <c r="L1886" s="1" t="str">
        <f t="shared" si="148"/>
        <v>Cannot check</v>
      </c>
      <c r="M1886" s="1">
        <f t="shared" si="145"/>
        <v>1</v>
      </c>
      <c r="N1886" s="1" t="str">
        <f t="shared" si="146"/>
        <v/>
      </c>
      <c r="O1886" s="10">
        <f t="shared" si="149"/>
        <v>24.128611111140344</v>
      </c>
    </row>
    <row r="1887" spans="1:15">
      <c r="A1887" s="1" t="s">
        <v>1992</v>
      </c>
      <c r="B1887" s="23">
        <v>45115.948611111111</v>
      </c>
      <c r="C1887" s="1" t="s">
        <v>16</v>
      </c>
      <c r="D1887" s="1" t="s">
        <v>17</v>
      </c>
      <c r="E1887" s="1" t="s">
        <v>18</v>
      </c>
      <c r="F1887" s="1" t="s">
        <v>76</v>
      </c>
      <c r="G1887" s="1">
        <v>35</v>
      </c>
      <c r="H1887" s="23">
        <v>45116.804340277777</v>
      </c>
      <c r="I1887" s="1" t="b">
        <v>0</v>
      </c>
      <c r="J1887" s="1">
        <v>5</v>
      </c>
      <c r="K1887" s="10">
        <f t="shared" si="147"/>
        <v>20.537499999976717</v>
      </c>
      <c r="L1887" s="1" t="str">
        <f t="shared" si="148"/>
        <v>OK</v>
      </c>
      <c r="M1887" s="1">
        <f t="shared" si="145"/>
        <v>1</v>
      </c>
      <c r="N1887" s="1">
        <f t="shared" si="146"/>
        <v>35</v>
      </c>
      <c r="O1887" s="10">
        <f t="shared" si="149"/>
        <v>20.537499999976717</v>
      </c>
    </row>
    <row r="1888" spans="1:15">
      <c r="A1888" s="1" t="s">
        <v>1993</v>
      </c>
      <c r="B1888" s="23">
        <v>45116.009027777778</v>
      </c>
      <c r="C1888" s="1" t="s">
        <v>25</v>
      </c>
      <c r="D1888" s="1" t="s">
        <v>12</v>
      </c>
      <c r="E1888" s="1" t="s">
        <v>22</v>
      </c>
      <c r="F1888" s="1" t="s">
        <v>39</v>
      </c>
      <c r="G1888" s="1">
        <v>9</v>
      </c>
      <c r="H1888" s="23">
        <v>45116.083043981482</v>
      </c>
      <c r="I1888" s="1" t="b">
        <v>0</v>
      </c>
      <c r="K1888" s="10">
        <f t="shared" si="147"/>
        <v>1.7763888888875954</v>
      </c>
      <c r="L1888" s="1" t="str">
        <f t="shared" si="148"/>
        <v>OK</v>
      </c>
      <c r="M1888" s="1">
        <f t="shared" si="145"/>
        <v>1</v>
      </c>
      <c r="N1888" s="1">
        <f t="shared" si="146"/>
        <v>9</v>
      </c>
      <c r="O1888" s="10">
        <f t="shared" si="149"/>
        <v>1.7763888888875954</v>
      </c>
    </row>
    <row r="1889" spans="1:15">
      <c r="A1889" s="1" t="s">
        <v>1994</v>
      </c>
      <c r="B1889" s="23">
        <v>45116.01458333333</v>
      </c>
      <c r="C1889" s="1" t="s">
        <v>16</v>
      </c>
      <c r="D1889" s="1" t="s">
        <v>12</v>
      </c>
      <c r="E1889" s="1" t="s">
        <v>33</v>
      </c>
      <c r="F1889" s="1" t="s">
        <v>709</v>
      </c>
      <c r="G1889" s="1">
        <v>217</v>
      </c>
      <c r="H1889" s="23">
        <v>45116.177766203706</v>
      </c>
      <c r="I1889" s="1" t="b">
        <v>0</v>
      </c>
      <c r="K1889" s="10">
        <f t="shared" si="147"/>
        <v>3.9163888890179805</v>
      </c>
      <c r="L1889" s="1" t="str">
        <f t="shared" si="148"/>
        <v>OK</v>
      </c>
      <c r="M1889" s="1">
        <f t="shared" si="145"/>
        <v>1</v>
      </c>
      <c r="N1889" s="1">
        <f t="shared" si="146"/>
        <v>217</v>
      </c>
      <c r="O1889" s="10">
        <f t="shared" si="149"/>
        <v>3.9163888890179805</v>
      </c>
    </row>
    <row r="1890" spans="1:15">
      <c r="A1890" s="1" t="s">
        <v>1995</v>
      </c>
      <c r="B1890" s="23">
        <v>45116.049305555556</v>
      </c>
      <c r="C1890" s="1" t="s">
        <v>11</v>
      </c>
      <c r="D1890" s="1" t="s">
        <v>12</v>
      </c>
      <c r="E1890" s="1" t="s">
        <v>33</v>
      </c>
      <c r="F1890" s="1" t="s">
        <v>116</v>
      </c>
      <c r="G1890" s="1">
        <v>126</v>
      </c>
      <c r="H1890" s="23">
        <v>45118.277743055558</v>
      </c>
      <c r="I1890" s="1" t="b">
        <v>0</v>
      </c>
      <c r="J1890" s="1">
        <v>5</v>
      </c>
      <c r="K1890" s="10">
        <f t="shared" si="147"/>
        <v>53.48250000004191</v>
      </c>
      <c r="L1890" s="1" t="str">
        <f t="shared" si="148"/>
        <v>OK</v>
      </c>
      <c r="M1890" s="1">
        <f t="shared" si="145"/>
        <v>1</v>
      </c>
      <c r="N1890" s="1">
        <f t="shared" si="146"/>
        <v>126</v>
      </c>
      <c r="O1890" s="10">
        <f t="shared" si="149"/>
        <v>53.48250000004191</v>
      </c>
    </row>
    <row r="1891" spans="1:15">
      <c r="A1891" s="1" t="s">
        <v>1996</v>
      </c>
      <c r="B1891" s="23">
        <v>45116.280555555553</v>
      </c>
      <c r="C1891" s="1" t="s">
        <v>16</v>
      </c>
      <c r="D1891" s="1" t="s">
        <v>21</v>
      </c>
      <c r="E1891" s="1" t="s">
        <v>18</v>
      </c>
      <c r="F1891" s="1" t="s">
        <v>44</v>
      </c>
      <c r="G1891" s="1">
        <v>79</v>
      </c>
      <c r="H1891" s="23">
        <v>45118.695428240739</v>
      </c>
      <c r="I1891" s="1" t="b">
        <v>0</v>
      </c>
      <c r="K1891" s="10">
        <f t="shared" si="147"/>
        <v>57.956944444449618</v>
      </c>
      <c r="L1891" s="1" t="str">
        <f t="shared" si="148"/>
        <v>OK</v>
      </c>
      <c r="M1891" s="1">
        <f t="shared" si="145"/>
        <v>1</v>
      </c>
      <c r="N1891" s="1">
        <f t="shared" si="146"/>
        <v>79</v>
      </c>
      <c r="O1891" s="10">
        <f t="shared" si="149"/>
        <v>57.956944444449618</v>
      </c>
    </row>
    <row r="1892" spans="1:15">
      <c r="A1892" s="1" t="s">
        <v>1997</v>
      </c>
      <c r="B1892" s="23">
        <v>45116.343055555553</v>
      </c>
      <c r="C1892" s="1" t="s">
        <v>25</v>
      </c>
      <c r="D1892" s="1" t="s">
        <v>21</v>
      </c>
      <c r="E1892" s="1" t="s">
        <v>18</v>
      </c>
      <c r="F1892" s="1" t="s">
        <v>228</v>
      </c>
      <c r="G1892" s="1">
        <v>117</v>
      </c>
      <c r="H1892" s="23">
        <v>45118.222222222219</v>
      </c>
      <c r="I1892" s="1" t="b">
        <v>1</v>
      </c>
      <c r="J1892" s="1">
        <v>5</v>
      </c>
      <c r="K1892" s="10">
        <f t="shared" si="147"/>
        <v>45.099999999976717</v>
      </c>
      <c r="L1892" s="1" t="str">
        <f t="shared" si="148"/>
        <v>OK</v>
      </c>
      <c r="M1892" s="1">
        <f t="shared" si="145"/>
        <v>1</v>
      </c>
      <c r="N1892" s="1">
        <f t="shared" si="146"/>
        <v>117</v>
      </c>
      <c r="O1892" s="10">
        <f t="shared" si="149"/>
        <v>45.099999999976717</v>
      </c>
    </row>
    <row r="1893" spans="1:15">
      <c r="A1893" s="1" t="s">
        <v>1998</v>
      </c>
      <c r="B1893" s="23">
        <v>45116.534722222219</v>
      </c>
      <c r="C1893" s="1" t="s">
        <v>25</v>
      </c>
      <c r="D1893" s="1" t="s">
        <v>12</v>
      </c>
      <c r="E1893" s="1" t="s">
        <v>18</v>
      </c>
      <c r="F1893" s="1" t="s">
        <v>178</v>
      </c>
      <c r="G1893" s="1">
        <v>126</v>
      </c>
      <c r="H1893" s="23">
        <v>45117.710300925923</v>
      </c>
      <c r="I1893" s="1" t="b">
        <v>0</v>
      </c>
      <c r="K1893" s="10">
        <f t="shared" si="147"/>
        <v>28.213888888887595</v>
      </c>
      <c r="L1893" s="1" t="str">
        <f t="shared" si="148"/>
        <v>OK</v>
      </c>
      <c r="M1893" s="1">
        <f t="shared" si="145"/>
        <v>1</v>
      </c>
      <c r="N1893" s="1">
        <f t="shared" si="146"/>
        <v>126</v>
      </c>
      <c r="O1893" s="10">
        <f t="shared" si="149"/>
        <v>28.213888888887595</v>
      </c>
    </row>
    <row r="1894" spans="1:15">
      <c r="A1894" s="1" t="s">
        <v>1999</v>
      </c>
      <c r="B1894" s="23">
        <v>45116.538888888892</v>
      </c>
      <c r="C1894" s="1" t="s">
        <v>25</v>
      </c>
      <c r="D1894" s="1" t="s">
        <v>59</v>
      </c>
      <c r="E1894" s="1" t="s">
        <v>13</v>
      </c>
      <c r="F1894" s="1" t="s">
        <v>48</v>
      </c>
      <c r="G1894" s="1">
        <v>55</v>
      </c>
      <c r="H1894" s="23">
        <v>45116.609791666669</v>
      </c>
      <c r="I1894" s="1" t="b">
        <v>0</v>
      </c>
      <c r="K1894" s="10">
        <f t="shared" si="147"/>
        <v>1.7016666666604578</v>
      </c>
      <c r="L1894" s="1" t="str">
        <f t="shared" si="148"/>
        <v>OK</v>
      </c>
      <c r="M1894" s="1">
        <f t="shared" si="145"/>
        <v>1</v>
      </c>
      <c r="N1894" s="1">
        <f t="shared" si="146"/>
        <v>55</v>
      </c>
      <c r="O1894" s="10">
        <f t="shared" si="149"/>
        <v>1.7016666666604578</v>
      </c>
    </row>
    <row r="1895" spans="1:15">
      <c r="A1895" s="1" t="s">
        <v>2000</v>
      </c>
      <c r="B1895" s="23">
        <v>45116.597222222219</v>
      </c>
      <c r="C1895" s="1" t="s">
        <v>25</v>
      </c>
      <c r="D1895" s="1" t="s">
        <v>17</v>
      </c>
      <c r="E1895" s="1" t="s">
        <v>18</v>
      </c>
      <c r="F1895" s="1" t="s">
        <v>256</v>
      </c>
      <c r="G1895" s="1">
        <v>102</v>
      </c>
      <c r="H1895" s="23">
        <v>45117.004803240743</v>
      </c>
      <c r="I1895" s="1" t="b">
        <v>0</v>
      </c>
      <c r="K1895" s="10">
        <f t="shared" si="147"/>
        <v>9.7819444445776753</v>
      </c>
      <c r="L1895" s="1" t="str">
        <f t="shared" si="148"/>
        <v>OK</v>
      </c>
      <c r="M1895" s="1">
        <f t="shared" si="145"/>
        <v>1</v>
      </c>
      <c r="N1895" s="1">
        <f t="shared" si="146"/>
        <v>102</v>
      </c>
      <c r="O1895" s="10">
        <f t="shared" si="149"/>
        <v>9.7819444445776753</v>
      </c>
    </row>
    <row r="1896" spans="1:15">
      <c r="A1896" s="1" t="s">
        <v>2001</v>
      </c>
      <c r="B1896" s="23">
        <v>45116.632638888892</v>
      </c>
      <c r="C1896" s="1" t="s">
        <v>25</v>
      </c>
      <c r="D1896" s="1" t="s">
        <v>17</v>
      </c>
      <c r="E1896" s="1" t="s">
        <v>13</v>
      </c>
      <c r="F1896" s="1" t="s">
        <v>94</v>
      </c>
      <c r="G1896" s="1">
        <v>56</v>
      </c>
      <c r="H1896" s="23">
        <v>45117.521516203706</v>
      </c>
      <c r="I1896" s="1" t="b">
        <v>0</v>
      </c>
      <c r="K1896" s="10">
        <f t="shared" si="147"/>
        <v>21.333055555529427</v>
      </c>
      <c r="L1896" s="1" t="str">
        <f t="shared" si="148"/>
        <v>OK</v>
      </c>
      <c r="M1896" s="1">
        <f t="shared" si="145"/>
        <v>1</v>
      </c>
      <c r="N1896" s="1">
        <f t="shared" si="146"/>
        <v>56</v>
      </c>
      <c r="O1896" s="10">
        <f t="shared" si="149"/>
        <v>21.333055555529427</v>
      </c>
    </row>
    <row r="1897" spans="1:15">
      <c r="A1897" s="1" t="s">
        <v>2002</v>
      </c>
      <c r="B1897" s="23">
        <v>45117.006249999999</v>
      </c>
      <c r="C1897" s="1" t="s">
        <v>16</v>
      </c>
      <c r="D1897" s="1" t="s">
        <v>59</v>
      </c>
      <c r="E1897" s="1" t="s">
        <v>18</v>
      </c>
      <c r="F1897" s="1" t="s">
        <v>14</v>
      </c>
      <c r="G1897" s="1">
        <v>76</v>
      </c>
      <c r="H1897" s="23">
        <v>45120.329953703702</v>
      </c>
      <c r="I1897" s="1" t="b">
        <v>0</v>
      </c>
      <c r="K1897" s="10">
        <f t="shared" si="147"/>
        <v>79.76888888888061</v>
      </c>
      <c r="L1897" s="1" t="str">
        <f t="shared" si="148"/>
        <v>OK</v>
      </c>
      <c r="M1897" s="1">
        <f t="shared" si="145"/>
        <v>1</v>
      </c>
      <c r="N1897" s="1">
        <f t="shared" si="146"/>
        <v>76</v>
      </c>
      <c r="O1897" s="10">
        <f t="shared" si="149"/>
        <v>79.76888888888061</v>
      </c>
    </row>
    <row r="1898" spans="1:15">
      <c r="A1898" s="1" t="s">
        <v>2003</v>
      </c>
      <c r="B1898" s="23">
        <v>45117.27847222222</v>
      </c>
      <c r="C1898" s="1" t="s">
        <v>43</v>
      </c>
      <c r="D1898" s="1" t="s">
        <v>17</v>
      </c>
      <c r="E1898" s="1" t="s">
        <v>13</v>
      </c>
      <c r="F1898" s="1" t="s">
        <v>41</v>
      </c>
      <c r="G1898" s="1">
        <v>32</v>
      </c>
      <c r="H1898" s="23">
        <v>45117.704652777778</v>
      </c>
      <c r="I1898" s="1" t="b">
        <v>0</v>
      </c>
      <c r="K1898" s="10">
        <f t="shared" si="147"/>
        <v>10.228333333390765</v>
      </c>
      <c r="L1898" s="1" t="str">
        <f t="shared" si="148"/>
        <v>OK</v>
      </c>
      <c r="M1898" s="1">
        <f t="shared" si="145"/>
        <v>1</v>
      </c>
      <c r="N1898" s="1">
        <f t="shared" si="146"/>
        <v>32</v>
      </c>
      <c r="O1898" s="10">
        <f t="shared" si="149"/>
        <v>10.228333333390765</v>
      </c>
    </row>
    <row r="1899" spans="1:15">
      <c r="A1899" s="1" t="s">
        <v>2004</v>
      </c>
      <c r="B1899" s="23">
        <v>45117.62222222222</v>
      </c>
      <c r="C1899" s="1" t="s">
        <v>25</v>
      </c>
      <c r="D1899" s="1" t="s">
        <v>59</v>
      </c>
      <c r="E1899" s="1" t="s">
        <v>33</v>
      </c>
      <c r="F1899" s="1" t="s">
        <v>167</v>
      </c>
      <c r="G1899" s="1">
        <v>114</v>
      </c>
      <c r="H1899" s="23">
        <v>45119.57534722222</v>
      </c>
      <c r="I1899" s="1" t="b">
        <v>0</v>
      </c>
      <c r="K1899" s="10">
        <f t="shared" si="147"/>
        <v>46.875</v>
      </c>
      <c r="L1899" s="1" t="str">
        <f t="shared" si="148"/>
        <v>OK</v>
      </c>
      <c r="M1899" s="1">
        <f t="shared" si="145"/>
        <v>1</v>
      </c>
      <c r="N1899" s="1">
        <f t="shared" si="146"/>
        <v>114</v>
      </c>
      <c r="O1899" s="10">
        <f t="shared" si="149"/>
        <v>46.875</v>
      </c>
    </row>
    <row r="1900" spans="1:15">
      <c r="A1900" s="1" t="s">
        <v>2005</v>
      </c>
      <c r="B1900" s="23">
        <v>45117.640972222223</v>
      </c>
      <c r="C1900" s="1" t="s">
        <v>16</v>
      </c>
      <c r="D1900" s="1" t="s">
        <v>59</v>
      </c>
      <c r="E1900" s="1" t="s">
        <v>18</v>
      </c>
      <c r="F1900" s="1" t="s">
        <v>92</v>
      </c>
      <c r="G1900" s="1">
        <v>119</v>
      </c>
      <c r="H1900" s="23">
        <v>45118.027916666666</v>
      </c>
      <c r="I1900" s="1" t="b">
        <v>0</v>
      </c>
      <c r="J1900" s="1">
        <v>5</v>
      </c>
      <c r="K1900" s="10">
        <f t="shared" si="147"/>
        <v>9.2866666666232049</v>
      </c>
      <c r="L1900" s="1" t="str">
        <f t="shared" si="148"/>
        <v>OK</v>
      </c>
      <c r="M1900" s="1">
        <f t="shared" si="145"/>
        <v>1</v>
      </c>
      <c r="N1900" s="1">
        <f t="shared" si="146"/>
        <v>119</v>
      </c>
      <c r="O1900" s="10">
        <f t="shared" si="149"/>
        <v>9.2866666666232049</v>
      </c>
    </row>
    <row r="1901" spans="1:15">
      <c r="A1901" s="1" t="s">
        <v>2006</v>
      </c>
      <c r="B1901" s="23">
        <v>45117.643055555556</v>
      </c>
      <c r="C1901" s="1" t="s">
        <v>16</v>
      </c>
      <c r="D1901" s="1" t="s">
        <v>12</v>
      </c>
      <c r="E1901" s="1" t="s">
        <v>13</v>
      </c>
      <c r="F1901" s="1" t="s">
        <v>134</v>
      </c>
      <c r="G1901" s="1">
        <v>18</v>
      </c>
      <c r="H1901" s="23">
        <v>45117.72792824074</v>
      </c>
      <c r="I1901" s="1" t="b">
        <v>1</v>
      </c>
      <c r="K1901" s="10">
        <f t="shared" si="147"/>
        <v>2.0369444444077089</v>
      </c>
      <c r="L1901" s="1" t="str">
        <f t="shared" si="148"/>
        <v>OK</v>
      </c>
      <c r="M1901" s="1">
        <f t="shared" si="145"/>
        <v>1</v>
      </c>
      <c r="N1901" s="1">
        <f t="shared" si="146"/>
        <v>18</v>
      </c>
      <c r="O1901" s="10">
        <f t="shared" si="149"/>
        <v>2.0369444444077089</v>
      </c>
    </row>
    <row r="1902" spans="1:15">
      <c r="A1902" s="1" t="s">
        <v>2007</v>
      </c>
      <c r="B1902" s="23">
        <v>45117.743750000001</v>
      </c>
      <c r="C1902" s="1" t="s">
        <v>11</v>
      </c>
      <c r="D1902" s="1" t="s">
        <v>17</v>
      </c>
      <c r="E1902" s="1" t="s">
        <v>33</v>
      </c>
      <c r="F1902" s="1" t="s">
        <v>23</v>
      </c>
      <c r="G1902" s="1">
        <v>106</v>
      </c>
      <c r="H1902" s="23">
        <v>45121.914386574077</v>
      </c>
      <c r="I1902" s="1" t="b">
        <v>0</v>
      </c>
      <c r="J1902" s="1">
        <v>4</v>
      </c>
      <c r="K1902" s="10">
        <f t="shared" si="147"/>
        <v>100.09527777781477</v>
      </c>
      <c r="L1902" s="1" t="str">
        <f t="shared" si="148"/>
        <v>OK</v>
      </c>
      <c r="M1902" s="1">
        <f t="shared" si="145"/>
        <v>1</v>
      </c>
      <c r="N1902" s="1">
        <f t="shared" si="146"/>
        <v>106</v>
      </c>
      <c r="O1902" s="10">
        <f t="shared" si="149"/>
        <v>100.09527777781477</v>
      </c>
    </row>
    <row r="1903" spans="1:15">
      <c r="A1903" s="1" t="s">
        <v>2008</v>
      </c>
      <c r="B1903" s="23">
        <v>45117.865972222222</v>
      </c>
      <c r="C1903" s="1" t="s">
        <v>16</v>
      </c>
      <c r="D1903" s="1" t="s">
        <v>17</v>
      </c>
      <c r="E1903" s="1" t="s">
        <v>13</v>
      </c>
      <c r="F1903" s="1" t="s">
        <v>110</v>
      </c>
      <c r="G1903" s="1">
        <v>109</v>
      </c>
      <c r="H1903" s="23">
        <v>45122.104074074072</v>
      </c>
      <c r="I1903" s="1" t="b">
        <v>0</v>
      </c>
      <c r="J1903" s="1">
        <v>5</v>
      </c>
      <c r="K1903" s="10">
        <f t="shared" si="147"/>
        <v>101.7144444443984</v>
      </c>
      <c r="L1903" s="1" t="str">
        <f t="shared" si="148"/>
        <v>OK</v>
      </c>
      <c r="M1903" s="1">
        <f t="shared" si="145"/>
        <v>1</v>
      </c>
      <c r="N1903" s="1">
        <f t="shared" si="146"/>
        <v>109</v>
      </c>
      <c r="O1903" s="10">
        <f t="shared" si="149"/>
        <v>101.7144444443984</v>
      </c>
    </row>
    <row r="1904" spans="1:15">
      <c r="A1904" s="1" t="s">
        <v>2009</v>
      </c>
      <c r="B1904" s="23">
        <v>45118.395138888889</v>
      </c>
      <c r="C1904" s="1" t="s">
        <v>11</v>
      </c>
      <c r="D1904" s="1" t="s">
        <v>17</v>
      </c>
      <c r="E1904" s="1" t="s">
        <v>18</v>
      </c>
      <c r="F1904" s="1" t="s">
        <v>245</v>
      </c>
      <c r="G1904" s="1">
        <v>64</v>
      </c>
      <c r="H1904" s="23">
        <v>45119.408460648148</v>
      </c>
      <c r="I1904" s="1" t="b">
        <v>0</v>
      </c>
      <c r="K1904" s="10">
        <f t="shared" si="147"/>
        <v>24.319722222222481</v>
      </c>
      <c r="L1904" s="1" t="str">
        <f t="shared" si="148"/>
        <v>OK</v>
      </c>
      <c r="M1904" s="1">
        <f t="shared" si="145"/>
        <v>1</v>
      </c>
      <c r="N1904" s="1">
        <f t="shared" si="146"/>
        <v>64</v>
      </c>
      <c r="O1904" s="10">
        <f t="shared" si="149"/>
        <v>24.319722222222481</v>
      </c>
    </row>
    <row r="1905" spans="1:15">
      <c r="A1905" s="1" t="s">
        <v>2010</v>
      </c>
      <c r="B1905" s="23">
        <v>45118.432638888888</v>
      </c>
      <c r="C1905" s="1" t="s">
        <v>43</v>
      </c>
      <c r="D1905" s="1" t="s">
        <v>17</v>
      </c>
      <c r="E1905" s="1" t="s">
        <v>13</v>
      </c>
      <c r="F1905" s="1" t="s">
        <v>709</v>
      </c>
      <c r="G1905" s="1">
        <v>12</v>
      </c>
      <c r="H1905" s="23">
        <v>45120.003425925926</v>
      </c>
      <c r="I1905" s="1" t="b">
        <v>0</v>
      </c>
      <c r="K1905" s="10">
        <f t="shared" si="147"/>
        <v>37.698888888931833</v>
      </c>
      <c r="L1905" s="1" t="str">
        <f t="shared" si="148"/>
        <v>OK</v>
      </c>
      <c r="M1905" s="1">
        <f t="shared" si="145"/>
        <v>1</v>
      </c>
      <c r="N1905" s="1">
        <f t="shared" si="146"/>
        <v>12</v>
      </c>
      <c r="O1905" s="10">
        <f t="shared" si="149"/>
        <v>37.698888888931833</v>
      </c>
    </row>
    <row r="1906" spans="1:15">
      <c r="A1906" s="1" t="s">
        <v>2011</v>
      </c>
      <c r="B1906" s="23">
        <v>45118.519444444442</v>
      </c>
      <c r="C1906" s="1" t="s">
        <v>11</v>
      </c>
      <c r="D1906" s="1" t="s">
        <v>21</v>
      </c>
      <c r="E1906" s="1" t="s">
        <v>18</v>
      </c>
      <c r="F1906" s="1" t="s">
        <v>130</v>
      </c>
      <c r="G1906" s="1">
        <v>39</v>
      </c>
      <c r="H1906" s="23">
        <v>45118.663726851853</v>
      </c>
      <c r="I1906" s="1" t="b">
        <v>0</v>
      </c>
      <c r="K1906" s="10">
        <f t="shared" si="147"/>
        <v>3.4627777778659947</v>
      </c>
      <c r="L1906" s="1" t="str">
        <f t="shared" si="148"/>
        <v>OK</v>
      </c>
      <c r="M1906" s="1">
        <f t="shared" si="145"/>
        <v>1</v>
      </c>
      <c r="N1906" s="1">
        <f t="shared" si="146"/>
        <v>39</v>
      </c>
      <c r="O1906" s="10">
        <f t="shared" si="149"/>
        <v>3.4627777778659947</v>
      </c>
    </row>
    <row r="1907" spans="1:15">
      <c r="A1907" s="1" t="s">
        <v>2012</v>
      </c>
      <c r="B1907" s="23">
        <v>45118.750694444447</v>
      </c>
      <c r="C1907" s="1" t="s">
        <v>25</v>
      </c>
      <c r="D1907" s="1" t="s">
        <v>59</v>
      </c>
      <c r="E1907" s="1" t="s">
        <v>18</v>
      </c>
      <c r="F1907" s="1" t="s">
        <v>64</v>
      </c>
      <c r="G1907" s="1">
        <v>80</v>
      </c>
      <c r="H1907" s="23">
        <v>45119.054097222222</v>
      </c>
      <c r="I1907" s="1" t="b">
        <v>0</v>
      </c>
      <c r="K1907" s="10">
        <f t="shared" si="147"/>
        <v>7.2816666666185483</v>
      </c>
      <c r="L1907" s="1" t="str">
        <f t="shared" si="148"/>
        <v>OK</v>
      </c>
      <c r="M1907" s="1">
        <f t="shared" si="145"/>
        <v>1</v>
      </c>
      <c r="N1907" s="1">
        <f t="shared" si="146"/>
        <v>80</v>
      </c>
      <c r="O1907" s="10">
        <f t="shared" si="149"/>
        <v>7.2816666666185483</v>
      </c>
    </row>
    <row r="1908" spans="1:15">
      <c r="A1908" s="1" t="s">
        <v>2013</v>
      </c>
      <c r="B1908" s="23">
        <v>45118.900694444441</v>
      </c>
      <c r="C1908" s="1" t="s">
        <v>11</v>
      </c>
      <c r="D1908" s="1" t="s">
        <v>17</v>
      </c>
      <c r="E1908" s="1" t="s">
        <v>33</v>
      </c>
      <c r="F1908" s="1" t="s">
        <v>709</v>
      </c>
      <c r="G1908" s="1">
        <v>84</v>
      </c>
      <c r="H1908" s="23">
        <v>45122.660173611112</v>
      </c>
      <c r="I1908" s="1" t="b">
        <v>0</v>
      </c>
      <c r="J1908" s="1">
        <v>4</v>
      </c>
      <c r="K1908" s="10">
        <f t="shared" si="147"/>
        <v>90.227500000095461</v>
      </c>
      <c r="L1908" s="1" t="str">
        <f t="shared" si="148"/>
        <v>OK</v>
      </c>
      <c r="M1908" s="1">
        <f t="shared" si="145"/>
        <v>1</v>
      </c>
      <c r="N1908" s="1">
        <f t="shared" si="146"/>
        <v>84</v>
      </c>
      <c r="O1908" s="10">
        <f t="shared" si="149"/>
        <v>90.227500000095461</v>
      </c>
    </row>
    <row r="1909" spans="1:15">
      <c r="A1909" s="1" t="s">
        <v>2014</v>
      </c>
      <c r="B1909" s="23">
        <v>45119.175694444442</v>
      </c>
      <c r="C1909" s="1" t="s">
        <v>25</v>
      </c>
      <c r="D1909" s="1" t="s">
        <v>59</v>
      </c>
      <c r="E1909" s="1" t="s">
        <v>13</v>
      </c>
      <c r="F1909" s="1" t="s">
        <v>92</v>
      </c>
      <c r="G1909" s="1">
        <v>14</v>
      </c>
      <c r="H1909" s="23">
        <v>45119.590798611112</v>
      </c>
      <c r="I1909" s="1" t="b">
        <v>0</v>
      </c>
      <c r="K1909" s="10">
        <f t="shared" si="147"/>
        <v>9.9625000000814907</v>
      </c>
      <c r="L1909" s="1" t="str">
        <f t="shared" si="148"/>
        <v>OK</v>
      </c>
      <c r="M1909" s="1">
        <f t="shared" si="145"/>
        <v>1</v>
      </c>
      <c r="N1909" s="1">
        <f t="shared" si="146"/>
        <v>14</v>
      </c>
      <c r="O1909" s="10">
        <f t="shared" si="149"/>
        <v>9.9625000000814907</v>
      </c>
    </row>
    <row r="1910" spans="1:15">
      <c r="A1910" s="1" t="s">
        <v>2015</v>
      </c>
      <c r="B1910" s="23">
        <v>45119.20416666667</v>
      </c>
      <c r="C1910" s="1" t="s">
        <v>16</v>
      </c>
      <c r="D1910" s="1" t="s">
        <v>17</v>
      </c>
      <c r="E1910" s="1" t="s">
        <v>18</v>
      </c>
      <c r="F1910" s="1" t="s">
        <v>226</v>
      </c>
      <c r="G1910" s="1">
        <v>7</v>
      </c>
      <c r="H1910" s="23">
        <v>45124.299837962964</v>
      </c>
      <c r="I1910" s="1" t="b">
        <v>0</v>
      </c>
      <c r="K1910" s="10">
        <f t="shared" si="147"/>
        <v>122.29611111106351</v>
      </c>
      <c r="L1910" s="1" t="str">
        <f t="shared" si="148"/>
        <v>OK</v>
      </c>
      <c r="M1910" s="1">
        <f t="shared" si="145"/>
        <v>1</v>
      </c>
      <c r="N1910" s="1">
        <f t="shared" si="146"/>
        <v>7</v>
      </c>
      <c r="O1910" s="10">
        <f t="shared" si="149"/>
        <v>122.29611111106351</v>
      </c>
    </row>
    <row r="1911" spans="1:15">
      <c r="A1911" s="1" t="s">
        <v>2016</v>
      </c>
      <c r="B1911" s="23">
        <v>45119.238888888889</v>
      </c>
      <c r="C1911" s="1" t="s">
        <v>25</v>
      </c>
      <c r="D1911" s="1" t="s">
        <v>17</v>
      </c>
      <c r="E1911" s="1" t="s">
        <v>18</v>
      </c>
      <c r="F1911" s="1" t="s">
        <v>37</v>
      </c>
      <c r="G1911" s="1">
        <v>213</v>
      </c>
      <c r="I1911" s="1" t="b">
        <v>0</v>
      </c>
      <c r="K1911" s="10" t="str">
        <f t="shared" si="147"/>
        <v/>
      </c>
      <c r="L1911" s="1" t="str">
        <f t="shared" si="148"/>
        <v>Cannot check</v>
      </c>
      <c r="M1911" s="1">
        <f t="shared" si="145"/>
        <v>1</v>
      </c>
      <c r="N1911" s="1">
        <f t="shared" si="146"/>
        <v>213</v>
      </c>
      <c r="O1911" s="10" t="str">
        <f t="shared" si="149"/>
        <v/>
      </c>
    </row>
    <row r="1912" spans="1:15">
      <c r="A1912" s="1" t="s">
        <v>2017</v>
      </c>
      <c r="B1912" s="23">
        <v>45119.28402777778</v>
      </c>
      <c r="C1912" s="1" t="s">
        <v>25</v>
      </c>
      <c r="D1912" s="1" t="s">
        <v>59</v>
      </c>
      <c r="E1912" s="1" t="s">
        <v>18</v>
      </c>
      <c r="F1912" s="1" t="s">
        <v>114</v>
      </c>
      <c r="G1912" s="1">
        <v>45</v>
      </c>
      <c r="H1912" s="23">
        <v>45122.201539351852</v>
      </c>
      <c r="I1912" s="1" t="b">
        <v>0</v>
      </c>
      <c r="K1912" s="10">
        <f t="shared" si="147"/>
        <v>70.020277777744923</v>
      </c>
      <c r="L1912" s="1" t="str">
        <f t="shared" si="148"/>
        <v>OK</v>
      </c>
      <c r="M1912" s="1">
        <f t="shared" si="145"/>
        <v>1</v>
      </c>
      <c r="N1912" s="1">
        <f t="shared" si="146"/>
        <v>45</v>
      </c>
      <c r="O1912" s="10">
        <f t="shared" si="149"/>
        <v>70.020277777744923</v>
      </c>
    </row>
    <row r="1913" spans="1:15">
      <c r="A1913" s="1" t="s">
        <v>2018</v>
      </c>
      <c r="B1913" s="23">
        <v>45119.288194444445</v>
      </c>
      <c r="C1913" s="1" t="s">
        <v>11</v>
      </c>
      <c r="D1913" s="1" t="s">
        <v>17</v>
      </c>
      <c r="E1913" s="1" t="s">
        <v>18</v>
      </c>
      <c r="F1913" s="1" t="s">
        <v>78</v>
      </c>
      <c r="G1913" s="1">
        <v>34</v>
      </c>
      <c r="H1913" s="23">
        <v>45119.914918981478</v>
      </c>
      <c r="I1913" s="1" t="b">
        <v>0</v>
      </c>
      <c r="K1913" s="10">
        <f t="shared" si="147"/>
        <v>15.04138888878515</v>
      </c>
      <c r="L1913" s="1" t="str">
        <f t="shared" si="148"/>
        <v>OK</v>
      </c>
      <c r="M1913" s="1">
        <f t="shared" si="145"/>
        <v>1</v>
      </c>
      <c r="N1913" s="1">
        <f t="shared" si="146"/>
        <v>34</v>
      </c>
      <c r="O1913" s="10">
        <f t="shared" si="149"/>
        <v>15.04138888878515</v>
      </c>
    </row>
    <row r="1914" spans="1:15">
      <c r="A1914" s="1" t="s">
        <v>2019</v>
      </c>
      <c r="B1914" s="23">
        <v>45119.308333333334</v>
      </c>
      <c r="C1914" s="1" t="s">
        <v>11</v>
      </c>
      <c r="D1914" s="1" t="s">
        <v>21</v>
      </c>
      <c r="E1914" s="1" t="s">
        <v>33</v>
      </c>
      <c r="F1914" s="1" t="s">
        <v>167</v>
      </c>
      <c r="H1914" s="23">
        <v>45121.707256944443</v>
      </c>
      <c r="I1914" s="1" t="b">
        <v>0</v>
      </c>
      <c r="K1914" s="10">
        <f t="shared" si="147"/>
        <v>57.574166666599922</v>
      </c>
      <c r="L1914" s="1" t="str">
        <f t="shared" si="148"/>
        <v>Cannot check</v>
      </c>
      <c r="M1914" s="1">
        <f t="shared" si="145"/>
        <v>1</v>
      </c>
      <c r="N1914" s="1" t="str">
        <f t="shared" si="146"/>
        <v/>
      </c>
      <c r="O1914" s="10">
        <f t="shared" si="149"/>
        <v>57.574166666599922</v>
      </c>
    </row>
    <row r="1915" spans="1:15">
      <c r="A1915" s="1" t="s">
        <v>2020</v>
      </c>
      <c r="B1915" s="23">
        <v>45119.430555555555</v>
      </c>
      <c r="C1915" s="1" t="s">
        <v>25</v>
      </c>
      <c r="D1915" s="1" t="s">
        <v>59</v>
      </c>
      <c r="E1915" s="1" t="s">
        <v>13</v>
      </c>
      <c r="F1915" s="1" t="s">
        <v>237</v>
      </c>
      <c r="G1915" s="1">
        <v>290</v>
      </c>
      <c r="H1915" s="23">
        <v>45119.818564814814</v>
      </c>
      <c r="I1915" s="1" t="b">
        <v>0</v>
      </c>
      <c r="J1915" s="1">
        <v>5</v>
      </c>
      <c r="K1915" s="10">
        <f t="shared" si="147"/>
        <v>9.312222222215496</v>
      </c>
      <c r="L1915" s="1" t="str">
        <f t="shared" si="148"/>
        <v>OK</v>
      </c>
      <c r="M1915" s="1">
        <f t="shared" si="145"/>
        <v>1</v>
      </c>
      <c r="N1915" s="1">
        <f t="shared" si="146"/>
        <v>290</v>
      </c>
      <c r="O1915" s="10">
        <f t="shared" si="149"/>
        <v>9.312222222215496</v>
      </c>
    </row>
    <row r="1916" spans="1:15">
      <c r="A1916" s="1" t="s">
        <v>2021</v>
      </c>
      <c r="B1916" s="23">
        <v>45119.469444444447</v>
      </c>
      <c r="C1916" s="1" t="s">
        <v>43</v>
      </c>
      <c r="D1916" s="1" t="s">
        <v>59</v>
      </c>
      <c r="E1916" s="1" t="s">
        <v>18</v>
      </c>
      <c r="F1916" s="1" t="s">
        <v>224</v>
      </c>
      <c r="G1916" s="1">
        <v>49</v>
      </c>
      <c r="H1916" s="23">
        <v>45122.81890046296</v>
      </c>
      <c r="I1916" s="1" t="b">
        <v>0</v>
      </c>
      <c r="K1916" s="10">
        <f t="shared" si="147"/>
        <v>80.386944444326218</v>
      </c>
      <c r="L1916" s="1" t="str">
        <f t="shared" si="148"/>
        <v>OK</v>
      </c>
      <c r="M1916" s="1">
        <f t="shared" si="145"/>
        <v>1</v>
      </c>
      <c r="N1916" s="1">
        <f t="shared" si="146"/>
        <v>49</v>
      </c>
      <c r="O1916" s="10">
        <f t="shared" si="149"/>
        <v>80.386944444326218</v>
      </c>
    </row>
    <row r="1917" spans="1:15">
      <c r="A1917" s="1" t="s">
        <v>2022</v>
      </c>
      <c r="B1917" s="23">
        <v>45119.511111111111</v>
      </c>
      <c r="C1917" s="1" t="s">
        <v>16</v>
      </c>
      <c r="D1917" s="1" t="s">
        <v>12</v>
      </c>
      <c r="E1917" s="1" t="s">
        <v>13</v>
      </c>
      <c r="F1917" s="1" t="s">
        <v>48</v>
      </c>
      <c r="G1917" s="1">
        <v>46</v>
      </c>
      <c r="H1917" s="23">
        <v>45119.550162037034</v>
      </c>
      <c r="I1917" s="1" t="b">
        <v>1</v>
      </c>
      <c r="K1917" s="10">
        <f t="shared" si="147"/>
        <v>0.93722222215728834</v>
      </c>
      <c r="L1917" s="1" t="str">
        <f t="shared" si="148"/>
        <v>OK</v>
      </c>
      <c r="M1917" s="1">
        <f t="shared" si="145"/>
        <v>1</v>
      </c>
      <c r="N1917" s="1">
        <f t="shared" si="146"/>
        <v>46</v>
      </c>
      <c r="O1917" s="10">
        <f t="shared" si="149"/>
        <v>0.93722222215728834</v>
      </c>
    </row>
    <row r="1918" spans="1:15">
      <c r="A1918" s="1" t="s">
        <v>2023</v>
      </c>
      <c r="B1918" s="23">
        <v>45119.51666666667</v>
      </c>
      <c r="C1918" s="1" t="s">
        <v>43</v>
      </c>
      <c r="D1918" s="1" t="s">
        <v>17</v>
      </c>
      <c r="E1918" s="1" t="s">
        <v>33</v>
      </c>
      <c r="F1918" s="1" t="s">
        <v>76</v>
      </c>
      <c r="G1918" s="1">
        <v>179</v>
      </c>
      <c r="H1918" s="23">
        <v>45131.140821759262</v>
      </c>
      <c r="I1918" s="1" t="b">
        <v>0</v>
      </c>
      <c r="K1918" s="10">
        <f t="shared" si="147"/>
        <v>278.97972222219687</v>
      </c>
      <c r="L1918" s="1" t="str">
        <f t="shared" si="148"/>
        <v>OK</v>
      </c>
      <c r="M1918" s="1">
        <f t="shared" si="145"/>
        <v>1</v>
      </c>
      <c r="N1918" s="1">
        <f t="shared" si="146"/>
        <v>179</v>
      </c>
      <c r="O1918" s="10">
        <f t="shared" si="149"/>
        <v>278.97972222219687</v>
      </c>
    </row>
    <row r="1919" spans="1:15">
      <c r="A1919" s="1" t="s">
        <v>2024</v>
      </c>
      <c r="B1919" s="23">
        <v>45119.685416666667</v>
      </c>
      <c r="C1919" s="1" t="s">
        <v>25</v>
      </c>
      <c r="D1919" s="1" t="s">
        <v>12</v>
      </c>
      <c r="E1919" s="1" t="s">
        <v>18</v>
      </c>
      <c r="F1919" s="1" t="s">
        <v>39</v>
      </c>
      <c r="G1919" s="1">
        <v>125</v>
      </c>
      <c r="H1919" s="23">
        <v>45124.851377314815</v>
      </c>
      <c r="I1919" s="1" t="b">
        <v>1</v>
      </c>
      <c r="K1919" s="10">
        <f t="shared" si="147"/>
        <v>123.98305555555271</v>
      </c>
      <c r="L1919" s="1" t="str">
        <f t="shared" si="148"/>
        <v>OK</v>
      </c>
      <c r="M1919" s="1">
        <f t="shared" si="145"/>
        <v>1</v>
      </c>
      <c r="N1919" s="1">
        <f t="shared" si="146"/>
        <v>125</v>
      </c>
      <c r="O1919" s="10">
        <f t="shared" si="149"/>
        <v>123.98305555555271</v>
      </c>
    </row>
    <row r="1920" spans="1:15">
      <c r="A1920" s="1" t="s">
        <v>2025</v>
      </c>
      <c r="B1920" s="23">
        <v>45119.830555555556</v>
      </c>
      <c r="C1920" s="1" t="s">
        <v>16</v>
      </c>
      <c r="D1920" s="1" t="s">
        <v>17</v>
      </c>
      <c r="E1920" s="1" t="s">
        <v>33</v>
      </c>
      <c r="F1920" s="1" t="s">
        <v>41</v>
      </c>
      <c r="H1920" s="23">
        <v>45120.866886574076</v>
      </c>
      <c r="I1920" s="1" t="b">
        <v>0</v>
      </c>
      <c r="K1920" s="10">
        <f t="shared" si="147"/>
        <v>24.871944444486871</v>
      </c>
      <c r="L1920" s="1" t="str">
        <f t="shared" si="148"/>
        <v>Cannot check</v>
      </c>
      <c r="M1920" s="1">
        <f t="shared" si="145"/>
        <v>1</v>
      </c>
      <c r="N1920" s="1" t="str">
        <f t="shared" si="146"/>
        <v/>
      </c>
      <c r="O1920" s="10">
        <f t="shared" si="149"/>
        <v>24.871944444486871</v>
      </c>
    </row>
    <row r="1921" spans="1:15">
      <c r="A1921" s="1" t="s">
        <v>2026</v>
      </c>
      <c r="B1921" s="23">
        <v>45119.835416666669</v>
      </c>
      <c r="C1921" s="1" t="s">
        <v>25</v>
      </c>
      <c r="D1921" s="1" t="s">
        <v>12</v>
      </c>
      <c r="E1921" s="1" t="s">
        <v>18</v>
      </c>
      <c r="F1921" s="1" t="s">
        <v>256</v>
      </c>
      <c r="G1921" s="1">
        <v>117</v>
      </c>
      <c r="H1921" s="23">
        <v>45120.49423611111</v>
      </c>
      <c r="I1921" s="1" t="b">
        <v>0</v>
      </c>
      <c r="J1921" s="1">
        <v>5</v>
      </c>
      <c r="K1921" s="10">
        <f t="shared" si="147"/>
        <v>15.81166666658828</v>
      </c>
      <c r="L1921" s="1" t="str">
        <f t="shared" si="148"/>
        <v>OK</v>
      </c>
      <c r="M1921" s="1">
        <f t="shared" si="145"/>
        <v>1</v>
      </c>
      <c r="N1921" s="1">
        <f t="shared" si="146"/>
        <v>117</v>
      </c>
      <c r="O1921" s="10">
        <f t="shared" si="149"/>
        <v>15.81166666658828</v>
      </c>
    </row>
    <row r="1922" spans="1:15">
      <c r="A1922" s="1" t="s">
        <v>2027</v>
      </c>
      <c r="B1922" s="23">
        <v>45119.957638888889</v>
      </c>
      <c r="C1922" s="1" t="s">
        <v>43</v>
      </c>
      <c r="D1922" s="1" t="s">
        <v>12</v>
      </c>
      <c r="E1922" s="1" t="s">
        <v>18</v>
      </c>
      <c r="F1922" s="1" t="s">
        <v>415</v>
      </c>
      <c r="G1922" s="1">
        <v>42</v>
      </c>
      <c r="H1922" s="23">
        <v>45121.790868055556</v>
      </c>
      <c r="I1922" s="1" t="b">
        <v>0</v>
      </c>
      <c r="K1922" s="10">
        <f t="shared" si="147"/>
        <v>43.997499999997672</v>
      </c>
      <c r="L1922" s="1" t="str">
        <f t="shared" si="148"/>
        <v>OK</v>
      </c>
      <c r="M1922" s="1">
        <f t="shared" ref="M1922:M1985" si="150">COUNTIF($A$2:$A$4001,A1922)</f>
        <v>1</v>
      </c>
      <c r="N1922" s="1">
        <f t="shared" ref="N1922:N1985" si="151">IF(OR(L1922="Review",G1922=""),"",G1922)</f>
        <v>42</v>
      </c>
      <c r="O1922" s="10">
        <f t="shared" si="149"/>
        <v>43.997499999997672</v>
      </c>
    </row>
    <row r="1923" spans="1:15">
      <c r="A1923" s="1" t="s">
        <v>2028</v>
      </c>
      <c r="B1923" s="23">
        <v>45120.004861111112</v>
      </c>
      <c r="C1923" s="1" t="s">
        <v>25</v>
      </c>
      <c r="D1923" s="1" t="s">
        <v>17</v>
      </c>
      <c r="E1923" s="1" t="s">
        <v>13</v>
      </c>
      <c r="F1923" s="1" t="s">
        <v>52</v>
      </c>
      <c r="G1923" s="1">
        <v>79</v>
      </c>
      <c r="H1923" s="23">
        <v>45120.557974537034</v>
      </c>
      <c r="I1923" s="1" t="b">
        <v>0</v>
      </c>
      <c r="K1923" s="10">
        <f t="shared" ref="K1923:K1986" si="152">IF(H1923="","",(H1923-B1923)*24)</f>
        <v>13.274722222122364</v>
      </c>
      <c r="L1923" s="1" t="str">
        <f t="shared" ref="L1923:L1986" si="153">IF(OR(G1923="",K1923=""),"Cannot check",IF(G1923&gt;K1923*60,"Review","OK"))</f>
        <v>OK</v>
      </c>
      <c r="M1923" s="1">
        <f t="shared" si="150"/>
        <v>1</v>
      </c>
      <c r="N1923" s="1">
        <f t="shared" si="151"/>
        <v>79</v>
      </c>
      <c r="O1923" s="10">
        <f t="shared" ref="O1923:O1986" si="154">IF(OR(L1923="Review",K1923=""),"",K1923)</f>
        <v>13.274722222122364</v>
      </c>
    </row>
    <row r="1924" spans="1:15">
      <c r="A1924" s="1" t="s">
        <v>2029</v>
      </c>
      <c r="B1924" s="23">
        <v>45120.150694444441</v>
      </c>
      <c r="C1924" s="1" t="s">
        <v>25</v>
      </c>
      <c r="D1924" s="1" t="s">
        <v>12</v>
      </c>
      <c r="E1924" s="1" t="s">
        <v>33</v>
      </c>
      <c r="F1924" s="1" t="s">
        <v>167</v>
      </c>
      <c r="G1924" s="1">
        <v>161</v>
      </c>
      <c r="H1924" s="23">
        <v>45122.377199074072</v>
      </c>
      <c r="I1924" s="1" t="b">
        <v>0</v>
      </c>
      <c r="K1924" s="10">
        <f t="shared" si="152"/>
        <v>53.436111111135688</v>
      </c>
      <c r="L1924" s="1" t="str">
        <f t="shared" si="153"/>
        <v>OK</v>
      </c>
      <c r="M1924" s="1">
        <f t="shared" si="150"/>
        <v>1</v>
      </c>
      <c r="N1924" s="1">
        <f t="shared" si="151"/>
        <v>161</v>
      </c>
      <c r="O1924" s="10">
        <f t="shared" si="154"/>
        <v>53.436111111135688</v>
      </c>
    </row>
    <row r="1925" spans="1:15">
      <c r="A1925" s="1" t="s">
        <v>2030</v>
      </c>
      <c r="B1925" s="23">
        <v>45120.218055555553</v>
      </c>
      <c r="C1925" s="1" t="s">
        <v>16</v>
      </c>
      <c r="D1925" s="1" t="s">
        <v>17</v>
      </c>
      <c r="E1925" s="1" t="s">
        <v>18</v>
      </c>
      <c r="F1925" s="1" t="s">
        <v>86</v>
      </c>
      <c r="G1925" s="1">
        <v>40</v>
      </c>
      <c r="H1925" s="23">
        <v>45121.40320601852</v>
      </c>
      <c r="I1925" s="1" t="b">
        <v>0</v>
      </c>
      <c r="K1925" s="10">
        <f t="shared" si="152"/>
        <v>28.44361111120088</v>
      </c>
      <c r="L1925" s="1" t="str">
        <f t="shared" si="153"/>
        <v>OK</v>
      </c>
      <c r="M1925" s="1">
        <f t="shared" si="150"/>
        <v>1</v>
      </c>
      <c r="N1925" s="1">
        <f t="shared" si="151"/>
        <v>40</v>
      </c>
      <c r="O1925" s="10">
        <f t="shared" si="154"/>
        <v>28.44361111120088</v>
      </c>
    </row>
    <row r="1926" spans="1:15">
      <c r="A1926" s="1" t="s">
        <v>2031</v>
      </c>
      <c r="B1926" s="23">
        <v>45120.244444444441</v>
      </c>
      <c r="C1926" s="1" t="s">
        <v>43</v>
      </c>
      <c r="D1926" s="1" t="s">
        <v>17</v>
      </c>
      <c r="E1926" s="1" t="s">
        <v>13</v>
      </c>
      <c r="F1926" s="1" t="s">
        <v>80</v>
      </c>
      <c r="G1926" s="1">
        <v>4</v>
      </c>
      <c r="H1926" s="23">
        <v>45120.498518518521</v>
      </c>
      <c r="I1926" s="1" t="b">
        <v>0</v>
      </c>
      <c r="J1926" s="1">
        <v>5</v>
      </c>
      <c r="K1926" s="10">
        <f t="shared" si="152"/>
        <v>6.0977777779335156</v>
      </c>
      <c r="L1926" s="1" t="str">
        <f t="shared" si="153"/>
        <v>OK</v>
      </c>
      <c r="M1926" s="1">
        <f t="shared" si="150"/>
        <v>1</v>
      </c>
      <c r="N1926" s="1">
        <f t="shared" si="151"/>
        <v>4</v>
      </c>
      <c r="O1926" s="10">
        <f t="shared" si="154"/>
        <v>6.0977777779335156</v>
      </c>
    </row>
    <row r="1927" spans="1:15">
      <c r="A1927" s="1" t="s">
        <v>2032</v>
      </c>
      <c r="B1927" s="23">
        <v>45120.268055555556</v>
      </c>
      <c r="C1927" s="1" t="s">
        <v>11</v>
      </c>
      <c r="D1927" s="1" t="s">
        <v>59</v>
      </c>
      <c r="E1927" s="1" t="s">
        <v>18</v>
      </c>
      <c r="F1927" s="1" t="s">
        <v>104</v>
      </c>
      <c r="G1927" s="1">
        <v>293</v>
      </c>
      <c r="H1927" s="23">
        <v>45126.997094907405</v>
      </c>
      <c r="I1927" s="1" t="b">
        <v>0</v>
      </c>
      <c r="K1927" s="10">
        <f t="shared" si="152"/>
        <v>161.49694444437046</v>
      </c>
      <c r="L1927" s="1" t="str">
        <f t="shared" si="153"/>
        <v>OK</v>
      </c>
      <c r="M1927" s="1">
        <f t="shared" si="150"/>
        <v>1</v>
      </c>
      <c r="N1927" s="1">
        <f t="shared" si="151"/>
        <v>293</v>
      </c>
      <c r="O1927" s="10">
        <f t="shared" si="154"/>
        <v>161.49694444437046</v>
      </c>
    </row>
    <row r="1928" spans="1:15">
      <c r="A1928" s="1" t="s">
        <v>2033</v>
      </c>
      <c r="B1928" s="23">
        <v>45120.337500000001</v>
      </c>
      <c r="C1928" s="1" t="s">
        <v>25</v>
      </c>
      <c r="D1928" s="1" t="s">
        <v>12</v>
      </c>
      <c r="E1928" s="1" t="s">
        <v>18</v>
      </c>
      <c r="F1928" s="1" t="s">
        <v>64</v>
      </c>
      <c r="G1928" s="1">
        <v>89</v>
      </c>
      <c r="H1928" s="23">
        <v>45120.818356481483</v>
      </c>
      <c r="I1928" s="1" t="b">
        <v>0</v>
      </c>
      <c r="J1928" s="1">
        <v>2</v>
      </c>
      <c r="K1928" s="10">
        <f t="shared" si="152"/>
        <v>11.540555555548053</v>
      </c>
      <c r="L1928" s="1" t="str">
        <f t="shared" si="153"/>
        <v>OK</v>
      </c>
      <c r="M1928" s="1">
        <f t="shared" si="150"/>
        <v>1</v>
      </c>
      <c r="N1928" s="1">
        <f t="shared" si="151"/>
        <v>89</v>
      </c>
      <c r="O1928" s="10">
        <f t="shared" si="154"/>
        <v>11.540555555548053</v>
      </c>
    </row>
    <row r="1929" spans="1:15">
      <c r="A1929" s="1" t="s">
        <v>2034</v>
      </c>
      <c r="B1929" s="23">
        <v>45120.661805555559</v>
      </c>
      <c r="C1929" s="1" t="s">
        <v>16</v>
      </c>
      <c r="D1929" s="1" t="s">
        <v>26</v>
      </c>
      <c r="E1929" s="1" t="s">
        <v>33</v>
      </c>
      <c r="F1929" s="1" t="s">
        <v>29</v>
      </c>
      <c r="G1929" s="1">
        <v>246</v>
      </c>
      <c r="H1929" s="23">
        <v>45121.429594907408</v>
      </c>
      <c r="I1929" s="1" t="b">
        <v>0</v>
      </c>
      <c r="J1929" s="1">
        <v>5</v>
      </c>
      <c r="K1929" s="10">
        <f t="shared" si="152"/>
        <v>18.426944444363471</v>
      </c>
      <c r="L1929" s="1" t="str">
        <f t="shared" si="153"/>
        <v>OK</v>
      </c>
      <c r="M1929" s="1">
        <f t="shared" si="150"/>
        <v>1</v>
      </c>
      <c r="N1929" s="1">
        <f t="shared" si="151"/>
        <v>246</v>
      </c>
      <c r="O1929" s="10">
        <f t="shared" si="154"/>
        <v>18.426944444363471</v>
      </c>
    </row>
    <row r="1930" spans="1:15">
      <c r="A1930" s="1" t="s">
        <v>2035</v>
      </c>
      <c r="B1930" s="23">
        <v>45120.701388888891</v>
      </c>
      <c r="C1930" s="1" t="s">
        <v>16</v>
      </c>
      <c r="D1930" s="1" t="s">
        <v>17</v>
      </c>
      <c r="E1930" s="1" t="s">
        <v>18</v>
      </c>
      <c r="F1930" s="1" t="s">
        <v>66</v>
      </c>
      <c r="G1930" s="1">
        <v>205</v>
      </c>
      <c r="H1930" s="23">
        <v>45124.114444444444</v>
      </c>
      <c r="I1930" s="1" t="b">
        <v>1</v>
      </c>
      <c r="K1930" s="10">
        <f t="shared" si="152"/>
        <v>81.913333333272021</v>
      </c>
      <c r="L1930" s="1" t="str">
        <f t="shared" si="153"/>
        <v>OK</v>
      </c>
      <c r="M1930" s="1">
        <f t="shared" si="150"/>
        <v>1</v>
      </c>
      <c r="N1930" s="1">
        <f t="shared" si="151"/>
        <v>205</v>
      </c>
      <c r="O1930" s="10">
        <f t="shared" si="154"/>
        <v>81.913333333272021</v>
      </c>
    </row>
    <row r="1931" spans="1:15">
      <c r="A1931" s="1" t="s">
        <v>2036</v>
      </c>
      <c r="B1931" s="23">
        <v>45120.783333333333</v>
      </c>
      <c r="C1931" s="1" t="s">
        <v>16</v>
      </c>
      <c r="D1931" s="1" t="s">
        <v>17</v>
      </c>
      <c r="E1931" s="1" t="s">
        <v>18</v>
      </c>
      <c r="F1931" s="1" t="s">
        <v>224</v>
      </c>
      <c r="G1931" s="1">
        <v>273</v>
      </c>
      <c r="H1931" s="23">
        <v>45123.882025462961</v>
      </c>
      <c r="I1931" s="1" t="b">
        <v>0</v>
      </c>
      <c r="K1931" s="10">
        <f t="shared" si="152"/>
        <v>74.368611111072823</v>
      </c>
      <c r="L1931" s="1" t="str">
        <f t="shared" si="153"/>
        <v>OK</v>
      </c>
      <c r="M1931" s="1">
        <f t="shared" si="150"/>
        <v>1</v>
      </c>
      <c r="N1931" s="1">
        <f t="shared" si="151"/>
        <v>273</v>
      </c>
      <c r="O1931" s="10">
        <f t="shared" si="154"/>
        <v>74.368611111072823</v>
      </c>
    </row>
    <row r="1932" spans="1:15">
      <c r="A1932" s="1" t="s">
        <v>2037</v>
      </c>
      <c r="B1932" s="23">
        <v>45120.788194444445</v>
      </c>
      <c r="C1932" s="1" t="s">
        <v>43</v>
      </c>
      <c r="D1932" s="1" t="s">
        <v>59</v>
      </c>
      <c r="E1932" s="1" t="s">
        <v>13</v>
      </c>
      <c r="F1932" s="1" t="s">
        <v>228</v>
      </c>
      <c r="G1932" s="1">
        <v>212</v>
      </c>
      <c r="H1932" s="23">
        <v>45121.328564814816</v>
      </c>
      <c r="I1932" s="1" t="b">
        <v>0</v>
      </c>
      <c r="J1932" s="1">
        <v>4</v>
      </c>
      <c r="K1932" s="10">
        <f t="shared" si="152"/>
        <v>12.968888888892252</v>
      </c>
      <c r="L1932" s="1" t="str">
        <f t="shared" si="153"/>
        <v>OK</v>
      </c>
      <c r="M1932" s="1">
        <f t="shared" si="150"/>
        <v>1</v>
      </c>
      <c r="N1932" s="1">
        <f t="shared" si="151"/>
        <v>212</v>
      </c>
      <c r="O1932" s="10">
        <f t="shared" si="154"/>
        <v>12.968888888892252</v>
      </c>
    </row>
    <row r="1933" spans="1:15">
      <c r="A1933" s="1" t="s">
        <v>2038</v>
      </c>
      <c r="B1933" s="23">
        <v>45120.831944444442</v>
      </c>
      <c r="C1933" s="1" t="s">
        <v>11</v>
      </c>
      <c r="D1933" s="1" t="s">
        <v>17</v>
      </c>
      <c r="E1933" s="1" t="s">
        <v>33</v>
      </c>
      <c r="F1933" s="1" t="s">
        <v>29</v>
      </c>
      <c r="G1933" s="1">
        <v>126</v>
      </c>
      <c r="H1933" s="23">
        <v>45123.963055555556</v>
      </c>
      <c r="I1933" s="1" t="b">
        <v>0</v>
      </c>
      <c r="K1933" s="10">
        <f t="shared" si="152"/>
        <v>75.14666666672565</v>
      </c>
      <c r="L1933" s="1" t="str">
        <f t="shared" si="153"/>
        <v>OK</v>
      </c>
      <c r="M1933" s="1">
        <f t="shared" si="150"/>
        <v>1</v>
      </c>
      <c r="N1933" s="1">
        <f t="shared" si="151"/>
        <v>126</v>
      </c>
      <c r="O1933" s="10">
        <f t="shared" si="154"/>
        <v>75.14666666672565</v>
      </c>
    </row>
    <row r="1934" spans="1:15">
      <c r="A1934" s="1" t="s">
        <v>2039</v>
      </c>
      <c r="B1934" s="23">
        <v>45120.927777777775</v>
      </c>
      <c r="C1934" s="1" t="s">
        <v>25</v>
      </c>
      <c r="D1934" s="1" t="s">
        <v>17</v>
      </c>
      <c r="E1934" s="1" t="s">
        <v>18</v>
      </c>
      <c r="F1934" s="1" t="s">
        <v>118</v>
      </c>
      <c r="G1934" s="1">
        <v>209</v>
      </c>
      <c r="H1934" s="23">
        <v>45125.033715277779</v>
      </c>
      <c r="I1934" s="1" t="b">
        <v>0</v>
      </c>
      <c r="K1934" s="10">
        <f t="shared" si="152"/>
        <v>98.542500000097789</v>
      </c>
      <c r="L1934" s="1" t="str">
        <f t="shared" si="153"/>
        <v>OK</v>
      </c>
      <c r="M1934" s="1">
        <f t="shared" si="150"/>
        <v>1</v>
      </c>
      <c r="N1934" s="1">
        <f t="shared" si="151"/>
        <v>209</v>
      </c>
      <c r="O1934" s="10">
        <f t="shared" si="154"/>
        <v>98.542500000097789</v>
      </c>
    </row>
    <row r="1935" spans="1:15">
      <c r="A1935" s="1" t="s">
        <v>2040</v>
      </c>
      <c r="B1935" s="23">
        <v>45121.119444444441</v>
      </c>
      <c r="C1935" s="1" t="s">
        <v>16</v>
      </c>
      <c r="D1935" s="1" t="s">
        <v>12</v>
      </c>
      <c r="E1935" s="1" t="s">
        <v>33</v>
      </c>
      <c r="F1935" s="1" t="s">
        <v>134</v>
      </c>
      <c r="G1935" s="1">
        <v>727</v>
      </c>
      <c r="H1935" s="23">
        <v>45121.55537037037</v>
      </c>
      <c r="I1935" s="1" t="b">
        <v>1</v>
      </c>
      <c r="K1935" s="10">
        <f t="shared" si="152"/>
        <v>10.462222222296987</v>
      </c>
      <c r="L1935" s="1" t="str">
        <f t="shared" si="153"/>
        <v>Review</v>
      </c>
      <c r="M1935" s="1">
        <f t="shared" si="150"/>
        <v>1</v>
      </c>
      <c r="N1935" s="1" t="str">
        <f t="shared" si="151"/>
        <v/>
      </c>
      <c r="O1935" s="10" t="str">
        <f t="shared" si="154"/>
        <v/>
      </c>
    </row>
    <row r="1936" spans="1:15">
      <c r="A1936" s="1" t="s">
        <v>2041</v>
      </c>
      <c r="B1936" s="23">
        <v>45121.21597222222</v>
      </c>
      <c r="C1936" s="1" t="s">
        <v>43</v>
      </c>
      <c r="D1936" s="1" t="s">
        <v>21</v>
      </c>
      <c r="E1936" s="1" t="s">
        <v>33</v>
      </c>
      <c r="F1936" s="1" t="s">
        <v>62</v>
      </c>
      <c r="G1936" s="1">
        <v>306</v>
      </c>
      <c r="H1936" s="23">
        <v>45122.805254629631</v>
      </c>
      <c r="I1936" s="1" t="b">
        <v>0</v>
      </c>
      <c r="K1936" s="10">
        <f t="shared" si="152"/>
        <v>38.14277777785901</v>
      </c>
      <c r="L1936" s="1" t="str">
        <f t="shared" si="153"/>
        <v>OK</v>
      </c>
      <c r="M1936" s="1">
        <f t="shared" si="150"/>
        <v>1</v>
      </c>
      <c r="N1936" s="1">
        <f t="shared" si="151"/>
        <v>306</v>
      </c>
      <c r="O1936" s="10">
        <f t="shared" si="154"/>
        <v>38.14277777785901</v>
      </c>
    </row>
    <row r="1937" spans="1:15">
      <c r="A1937" s="1" t="s">
        <v>2042</v>
      </c>
      <c r="B1937" s="23">
        <v>45121.458333333336</v>
      </c>
      <c r="C1937" s="1" t="s">
        <v>11</v>
      </c>
      <c r="D1937" s="1" t="s">
        <v>12</v>
      </c>
      <c r="E1937" s="1" t="s">
        <v>33</v>
      </c>
      <c r="F1937" s="1" t="s">
        <v>31</v>
      </c>
      <c r="G1937" s="1">
        <v>400</v>
      </c>
      <c r="H1937" s="23">
        <v>45131.507395833331</v>
      </c>
      <c r="I1937" s="1" t="b">
        <v>0</v>
      </c>
      <c r="J1937" s="1">
        <v>3</v>
      </c>
      <c r="K1937" s="10">
        <f t="shared" si="152"/>
        <v>241.17749999987427</v>
      </c>
      <c r="L1937" s="1" t="str">
        <f t="shared" si="153"/>
        <v>OK</v>
      </c>
      <c r="M1937" s="1">
        <f t="shared" si="150"/>
        <v>1</v>
      </c>
      <c r="N1937" s="1">
        <f t="shared" si="151"/>
        <v>400</v>
      </c>
      <c r="O1937" s="10">
        <f t="shared" si="154"/>
        <v>241.17749999987427</v>
      </c>
    </row>
    <row r="1938" spans="1:15">
      <c r="A1938" s="1" t="s">
        <v>2043</v>
      </c>
      <c r="B1938" s="23">
        <v>45121.709027777775</v>
      </c>
      <c r="C1938" s="1" t="s">
        <v>25</v>
      </c>
      <c r="D1938" s="1" t="s">
        <v>12</v>
      </c>
      <c r="E1938" s="1" t="s">
        <v>33</v>
      </c>
      <c r="F1938" s="1" t="s">
        <v>345</v>
      </c>
      <c r="G1938" s="1">
        <v>66</v>
      </c>
      <c r="H1938" s="23">
        <v>45122.243692129632</v>
      </c>
      <c r="I1938" s="1" t="b">
        <v>0</v>
      </c>
      <c r="K1938" s="10">
        <f t="shared" si="152"/>
        <v>12.831944444566034</v>
      </c>
      <c r="L1938" s="1" t="str">
        <f t="shared" si="153"/>
        <v>OK</v>
      </c>
      <c r="M1938" s="1">
        <f t="shared" si="150"/>
        <v>1</v>
      </c>
      <c r="N1938" s="1">
        <f t="shared" si="151"/>
        <v>66</v>
      </c>
      <c r="O1938" s="10">
        <f t="shared" si="154"/>
        <v>12.831944444566034</v>
      </c>
    </row>
    <row r="1939" spans="1:15">
      <c r="A1939" s="1" t="s">
        <v>2044</v>
      </c>
      <c r="B1939" s="23">
        <v>45121.749305555553</v>
      </c>
      <c r="C1939" s="1" t="s">
        <v>11</v>
      </c>
      <c r="D1939" s="1" t="s">
        <v>17</v>
      </c>
      <c r="E1939" s="1" t="s">
        <v>13</v>
      </c>
      <c r="F1939" s="1" t="s">
        <v>84</v>
      </c>
      <c r="H1939" s="23">
        <v>45122.996261574073</v>
      </c>
      <c r="I1939" s="1" t="b">
        <v>0</v>
      </c>
      <c r="K1939" s="10">
        <f t="shared" si="152"/>
        <v>29.926944444479886</v>
      </c>
      <c r="L1939" s="1" t="str">
        <f t="shared" si="153"/>
        <v>Cannot check</v>
      </c>
      <c r="M1939" s="1">
        <f t="shared" si="150"/>
        <v>1</v>
      </c>
      <c r="N1939" s="1" t="str">
        <f t="shared" si="151"/>
        <v/>
      </c>
      <c r="O1939" s="10">
        <f t="shared" si="154"/>
        <v>29.926944444479886</v>
      </c>
    </row>
    <row r="1940" spans="1:15">
      <c r="A1940" s="1" t="s">
        <v>2045</v>
      </c>
      <c r="B1940" s="23">
        <v>45121.826388888891</v>
      </c>
      <c r="C1940" s="1" t="s">
        <v>11</v>
      </c>
      <c r="D1940" s="1" t="s">
        <v>26</v>
      </c>
      <c r="E1940" s="1" t="s">
        <v>33</v>
      </c>
      <c r="F1940" s="1" t="s">
        <v>186</v>
      </c>
      <c r="G1940" s="1">
        <v>175</v>
      </c>
      <c r="H1940" s="23">
        <v>45124.198611111111</v>
      </c>
      <c r="I1940" s="1" t="b">
        <v>0</v>
      </c>
      <c r="K1940" s="10">
        <f t="shared" si="152"/>
        <v>56.933333333290648</v>
      </c>
      <c r="L1940" s="1" t="str">
        <f t="shared" si="153"/>
        <v>OK</v>
      </c>
      <c r="M1940" s="1">
        <f t="shared" si="150"/>
        <v>1</v>
      </c>
      <c r="N1940" s="1">
        <f t="shared" si="151"/>
        <v>175</v>
      </c>
      <c r="O1940" s="10">
        <f t="shared" si="154"/>
        <v>56.933333333290648</v>
      </c>
    </row>
    <row r="1941" spans="1:15">
      <c r="A1941" s="1" t="s">
        <v>2046</v>
      </c>
      <c r="B1941" s="23">
        <v>45121.901388888888</v>
      </c>
      <c r="C1941" s="1" t="s">
        <v>11</v>
      </c>
      <c r="D1941" s="1" t="s">
        <v>21</v>
      </c>
      <c r="E1941" s="1" t="s">
        <v>33</v>
      </c>
      <c r="F1941" s="1" t="s">
        <v>70</v>
      </c>
      <c r="G1941" s="1">
        <v>117</v>
      </c>
      <c r="H1941" s="23">
        <v>45123.194490740738</v>
      </c>
      <c r="I1941" s="1" t="b">
        <v>0</v>
      </c>
      <c r="K1941" s="10">
        <f t="shared" si="152"/>
        <v>31.034444444405381</v>
      </c>
      <c r="L1941" s="1" t="str">
        <f t="shared" si="153"/>
        <v>OK</v>
      </c>
      <c r="M1941" s="1">
        <f t="shared" si="150"/>
        <v>1</v>
      </c>
      <c r="N1941" s="1">
        <f t="shared" si="151"/>
        <v>117</v>
      </c>
      <c r="O1941" s="10">
        <f t="shared" si="154"/>
        <v>31.034444444405381</v>
      </c>
    </row>
    <row r="1942" spans="1:15">
      <c r="A1942" s="1" t="s">
        <v>2047</v>
      </c>
      <c r="B1942" s="23">
        <v>45121.942361111112</v>
      </c>
      <c r="C1942" s="1" t="s">
        <v>16</v>
      </c>
      <c r="D1942" s="1" t="s">
        <v>21</v>
      </c>
      <c r="E1942" s="1" t="s">
        <v>18</v>
      </c>
      <c r="F1942" s="1" t="s">
        <v>100</v>
      </c>
      <c r="G1942" s="1">
        <v>83</v>
      </c>
      <c r="H1942" s="23">
        <v>45122.087476851855</v>
      </c>
      <c r="I1942" s="1" t="b">
        <v>0</v>
      </c>
      <c r="J1942" s="1">
        <v>1</v>
      </c>
      <c r="K1942" s="10">
        <f t="shared" si="152"/>
        <v>3.4827777778264135</v>
      </c>
      <c r="L1942" s="1" t="str">
        <f t="shared" si="153"/>
        <v>OK</v>
      </c>
      <c r="M1942" s="1">
        <f t="shared" si="150"/>
        <v>1</v>
      </c>
      <c r="N1942" s="1">
        <f t="shared" si="151"/>
        <v>83</v>
      </c>
      <c r="O1942" s="10">
        <f t="shared" si="154"/>
        <v>3.4827777778264135</v>
      </c>
    </row>
    <row r="1943" spans="1:15">
      <c r="A1943" s="1" t="s">
        <v>2048</v>
      </c>
      <c r="B1943" s="23">
        <v>45122.01458333333</v>
      </c>
      <c r="C1943" s="1" t="s">
        <v>11</v>
      </c>
      <c r="D1943" s="1" t="s">
        <v>21</v>
      </c>
      <c r="E1943" s="1" t="s">
        <v>33</v>
      </c>
      <c r="F1943" s="1" t="s">
        <v>60</v>
      </c>
      <c r="G1943" s="1">
        <v>63</v>
      </c>
      <c r="H1943" s="23">
        <v>45122.874432870369</v>
      </c>
      <c r="I1943" s="1" t="b">
        <v>0</v>
      </c>
      <c r="K1943" s="10">
        <f t="shared" si="152"/>
        <v>20.636388888931833</v>
      </c>
      <c r="L1943" s="1" t="str">
        <f t="shared" si="153"/>
        <v>OK</v>
      </c>
      <c r="M1943" s="1">
        <f t="shared" si="150"/>
        <v>1</v>
      </c>
      <c r="N1943" s="1">
        <f t="shared" si="151"/>
        <v>63</v>
      </c>
      <c r="O1943" s="10">
        <f t="shared" si="154"/>
        <v>20.636388888931833</v>
      </c>
    </row>
    <row r="1944" spans="1:15">
      <c r="A1944" s="1" t="s">
        <v>2049</v>
      </c>
      <c r="B1944" s="23">
        <v>45122.127083333333</v>
      </c>
      <c r="C1944" s="1" t="s">
        <v>11</v>
      </c>
      <c r="D1944" s="1" t="s">
        <v>17</v>
      </c>
      <c r="E1944" s="1" t="s">
        <v>22</v>
      </c>
      <c r="F1944" s="1" t="s">
        <v>41</v>
      </c>
      <c r="G1944" s="1">
        <v>18</v>
      </c>
      <c r="H1944" s="23">
        <v>45123.165000000001</v>
      </c>
      <c r="I1944" s="1" t="b">
        <v>0</v>
      </c>
      <c r="J1944" s="1">
        <v>5</v>
      </c>
      <c r="K1944" s="10">
        <f t="shared" si="152"/>
        <v>24.910000000032596</v>
      </c>
      <c r="L1944" s="1" t="str">
        <f t="shared" si="153"/>
        <v>OK</v>
      </c>
      <c r="M1944" s="1">
        <f t="shared" si="150"/>
        <v>1</v>
      </c>
      <c r="N1944" s="1">
        <f t="shared" si="151"/>
        <v>18</v>
      </c>
      <c r="O1944" s="10">
        <f t="shared" si="154"/>
        <v>24.910000000032596</v>
      </c>
    </row>
    <row r="1945" spans="1:15">
      <c r="A1945" s="1" t="s">
        <v>2050</v>
      </c>
      <c r="B1945" s="23">
        <v>45122.175000000003</v>
      </c>
      <c r="C1945" s="1" t="s">
        <v>11</v>
      </c>
      <c r="D1945" s="1" t="s">
        <v>59</v>
      </c>
      <c r="E1945" s="1" t="s">
        <v>13</v>
      </c>
      <c r="F1945" s="1" t="s">
        <v>302</v>
      </c>
      <c r="G1945" s="1">
        <v>237</v>
      </c>
      <c r="H1945" s="23">
        <v>45123.706805555557</v>
      </c>
      <c r="I1945" s="1" t="b">
        <v>0</v>
      </c>
      <c r="K1945" s="10">
        <f t="shared" si="152"/>
        <v>36.763333333306946</v>
      </c>
      <c r="L1945" s="1" t="str">
        <f t="shared" si="153"/>
        <v>OK</v>
      </c>
      <c r="M1945" s="1">
        <f t="shared" si="150"/>
        <v>1</v>
      </c>
      <c r="N1945" s="1">
        <f t="shared" si="151"/>
        <v>237</v>
      </c>
      <c r="O1945" s="10">
        <f t="shared" si="154"/>
        <v>36.763333333306946</v>
      </c>
    </row>
    <row r="1946" spans="1:15">
      <c r="A1946" s="1" t="s">
        <v>2051</v>
      </c>
      <c r="B1946" s="23">
        <v>45122.213194444441</v>
      </c>
      <c r="C1946" s="1" t="s">
        <v>25</v>
      </c>
      <c r="D1946" s="1" t="s">
        <v>12</v>
      </c>
      <c r="E1946" s="1" t="s">
        <v>33</v>
      </c>
      <c r="F1946" s="1" t="s">
        <v>128</v>
      </c>
      <c r="G1946" s="1">
        <v>45</v>
      </c>
      <c r="H1946" s="23">
        <v>45122.509409722225</v>
      </c>
      <c r="I1946" s="1" t="b">
        <v>0</v>
      </c>
      <c r="K1946" s="10">
        <f t="shared" si="152"/>
        <v>7.1091666668071412</v>
      </c>
      <c r="L1946" s="1" t="str">
        <f t="shared" si="153"/>
        <v>OK</v>
      </c>
      <c r="M1946" s="1">
        <f t="shared" si="150"/>
        <v>1</v>
      </c>
      <c r="N1946" s="1">
        <f t="shared" si="151"/>
        <v>45</v>
      </c>
      <c r="O1946" s="10">
        <f t="shared" si="154"/>
        <v>7.1091666668071412</v>
      </c>
    </row>
    <row r="1947" spans="1:15">
      <c r="A1947" s="1" t="s">
        <v>2052</v>
      </c>
      <c r="B1947" s="23">
        <v>45122.21875</v>
      </c>
      <c r="C1947" s="1" t="s">
        <v>16</v>
      </c>
      <c r="D1947" s="1" t="s">
        <v>26</v>
      </c>
      <c r="E1947" s="1" t="s">
        <v>13</v>
      </c>
      <c r="F1947" s="1" t="s">
        <v>37</v>
      </c>
      <c r="G1947" s="1">
        <v>13</v>
      </c>
      <c r="H1947" s="23">
        <v>45123.168576388889</v>
      </c>
      <c r="I1947" s="1" t="b">
        <v>0</v>
      </c>
      <c r="J1947" s="1">
        <v>3</v>
      </c>
      <c r="K1947" s="10">
        <f t="shared" si="152"/>
        <v>22.795833333337214</v>
      </c>
      <c r="L1947" s="1" t="str">
        <f t="shared" si="153"/>
        <v>OK</v>
      </c>
      <c r="M1947" s="1">
        <f t="shared" si="150"/>
        <v>1</v>
      </c>
      <c r="N1947" s="1">
        <f t="shared" si="151"/>
        <v>13</v>
      </c>
      <c r="O1947" s="10">
        <f t="shared" si="154"/>
        <v>22.795833333337214</v>
      </c>
    </row>
    <row r="1948" spans="1:15">
      <c r="A1948" s="1" t="s">
        <v>2053</v>
      </c>
      <c r="B1948" s="23">
        <v>45122.336805555555</v>
      </c>
      <c r="C1948" s="1" t="s">
        <v>16</v>
      </c>
      <c r="D1948" s="1" t="s">
        <v>59</v>
      </c>
      <c r="E1948" s="1" t="s">
        <v>18</v>
      </c>
      <c r="F1948" s="1" t="s">
        <v>100</v>
      </c>
      <c r="G1948" s="1">
        <v>1054</v>
      </c>
      <c r="H1948" s="23">
        <v>45122.626273148147</v>
      </c>
      <c r="I1948" s="1" t="b">
        <v>0</v>
      </c>
      <c r="K1948" s="10">
        <f t="shared" si="152"/>
        <v>6.9472222222248092</v>
      </c>
      <c r="L1948" s="1" t="str">
        <f t="shared" si="153"/>
        <v>Review</v>
      </c>
      <c r="M1948" s="1">
        <f t="shared" si="150"/>
        <v>1</v>
      </c>
      <c r="N1948" s="1" t="str">
        <f t="shared" si="151"/>
        <v/>
      </c>
      <c r="O1948" s="10" t="str">
        <f t="shared" si="154"/>
        <v/>
      </c>
    </row>
    <row r="1949" spans="1:15">
      <c r="A1949" s="1" t="s">
        <v>2054</v>
      </c>
      <c r="B1949" s="23">
        <v>45122.429861111108</v>
      </c>
      <c r="C1949" s="1" t="s">
        <v>25</v>
      </c>
      <c r="D1949" s="1" t="s">
        <v>21</v>
      </c>
      <c r="E1949" s="1" t="s">
        <v>33</v>
      </c>
      <c r="F1949" s="1" t="s">
        <v>159</v>
      </c>
      <c r="G1949" s="1">
        <v>707</v>
      </c>
      <c r="H1949" s="23">
        <v>45124.108738425923</v>
      </c>
      <c r="I1949" s="1" t="b">
        <v>0</v>
      </c>
      <c r="K1949" s="10">
        <f t="shared" si="152"/>
        <v>40.293055555550382</v>
      </c>
      <c r="L1949" s="1" t="str">
        <f t="shared" si="153"/>
        <v>OK</v>
      </c>
      <c r="M1949" s="1">
        <f t="shared" si="150"/>
        <v>1</v>
      </c>
      <c r="N1949" s="1">
        <f t="shared" si="151"/>
        <v>707</v>
      </c>
      <c r="O1949" s="10">
        <f t="shared" si="154"/>
        <v>40.293055555550382</v>
      </c>
    </row>
    <row r="1950" spans="1:15">
      <c r="A1950" s="1" t="s">
        <v>2055</v>
      </c>
      <c r="B1950" s="23">
        <v>45122.550694444442</v>
      </c>
      <c r="C1950" s="1" t="s">
        <v>11</v>
      </c>
      <c r="D1950" s="1" t="s">
        <v>21</v>
      </c>
      <c r="E1950" s="1" t="s">
        <v>33</v>
      </c>
      <c r="F1950" s="1" t="s">
        <v>57</v>
      </c>
      <c r="G1950" s="1">
        <v>256</v>
      </c>
      <c r="H1950" s="23">
        <v>45127.439687500002</v>
      </c>
      <c r="I1950" s="1" t="b">
        <v>0</v>
      </c>
      <c r="K1950" s="10">
        <f t="shared" si="152"/>
        <v>117.33583333343267</v>
      </c>
      <c r="L1950" s="1" t="str">
        <f t="shared" si="153"/>
        <v>OK</v>
      </c>
      <c r="M1950" s="1">
        <f t="shared" si="150"/>
        <v>1</v>
      </c>
      <c r="N1950" s="1">
        <f t="shared" si="151"/>
        <v>256</v>
      </c>
      <c r="O1950" s="10">
        <f t="shared" si="154"/>
        <v>117.33583333343267</v>
      </c>
    </row>
    <row r="1951" spans="1:15">
      <c r="A1951" s="1" t="s">
        <v>2056</v>
      </c>
      <c r="B1951" s="23">
        <v>45122.566666666666</v>
      </c>
      <c r="C1951" s="1" t="s">
        <v>11</v>
      </c>
      <c r="D1951" s="1" t="s">
        <v>59</v>
      </c>
      <c r="E1951" s="1" t="s">
        <v>13</v>
      </c>
      <c r="F1951" s="1" t="s">
        <v>226</v>
      </c>
      <c r="G1951" s="1">
        <v>304</v>
      </c>
      <c r="H1951" s="23">
        <v>45123.607048611113</v>
      </c>
      <c r="I1951" s="1" t="b">
        <v>0</v>
      </c>
      <c r="K1951" s="10">
        <f t="shared" si="152"/>
        <v>24.969166666734964</v>
      </c>
      <c r="L1951" s="1" t="str">
        <f t="shared" si="153"/>
        <v>OK</v>
      </c>
      <c r="M1951" s="1">
        <f t="shared" si="150"/>
        <v>1</v>
      </c>
      <c r="N1951" s="1">
        <f t="shared" si="151"/>
        <v>304</v>
      </c>
      <c r="O1951" s="10">
        <f t="shared" si="154"/>
        <v>24.969166666734964</v>
      </c>
    </row>
    <row r="1952" spans="1:15">
      <c r="A1952" s="1" t="s">
        <v>2057</v>
      </c>
      <c r="B1952" s="23">
        <v>45122.773611111108</v>
      </c>
      <c r="C1952" s="1" t="s">
        <v>16</v>
      </c>
      <c r="D1952" s="1" t="s">
        <v>17</v>
      </c>
      <c r="E1952" s="1" t="s">
        <v>18</v>
      </c>
      <c r="F1952" s="1" t="s">
        <v>118</v>
      </c>
      <c r="G1952" s="1">
        <v>603</v>
      </c>
      <c r="H1952" s="23">
        <v>45124.815023148149</v>
      </c>
      <c r="I1952" s="1" t="b">
        <v>0</v>
      </c>
      <c r="K1952" s="10">
        <f t="shared" si="152"/>
        <v>48.993888888973743</v>
      </c>
      <c r="L1952" s="1" t="str">
        <f t="shared" si="153"/>
        <v>OK</v>
      </c>
      <c r="M1952" s="1">
        <f t="shared" si="150"/>
        <v>1</v>
      </c>
      <c r="N1952" s="1">
        <f t="shared" si="151"/>
        <v>603</v>
      </c>
      <c r="O1952" s="10">
        <f t="shared" si="154"/>
        <v>48.993888888973743</v>
      </c>
    </row>
    <row r="1953" spans="1:15">
      <c r="A1953" s="1" t="s">
        <v>2058</v>
      </c>
      <c r="B1953" s="23">
        <v>45122.947916666664</v>
      </c>
      <c r="C1953" s="1" t="s">
        <v>25</v>
      </c>
      <c r="D1953" s="1" t="s">
        <v>17</v>
      </c>
      <c r="E1953" s="1" t="s">
        <v>18</v>
      </c>
      <c r="F1953" s="1" t="s">
        <v>228</v>
      </c>
      <c r="G1953" s="1">
        <v>48</v>
      </c>
      <c r="H1953" s="23">
        <v>45126.833796296298</v>
      </c>
      <c r="I1953" s="1" t="b">
        <v>0</v>
      </c>
      <c r="K1953" s="10">
        <f t="shared" si="152"/>
        <v>93.261111111205537</v>
      </c>
      <c r="L1953" s="1" t="str">
        <f t="shared" si="153"/>
        <v>OK</v>
      </c>
      <c r="M1953" s="1">
        <f t="shared" si="150"/>
        <v>1</v>
      </c>
      <c r="N1953" s="1">
        <f t="shared" si="151"/>
        <v>48</v>
      </c>
      <c r="O1953" s="10">
        <f t="shared" si="154"/>
        <v>93.261111111205537</v>
      </c>
    </row>
    <row r="1954" spans="1:15">
      <c r="A1954" s="1" t="s">
        <v>2059</v>
      </c>
      <c r="B1954" s="23">
        <v>45123.013194444444</v>
      </c>
      <c r="C1954" s="1" t="s">
        <v>43</v>
      </c>
      <c r="D1954" s="1" t="s">
        <v>17</v>
      </c>
      <c r="E1954" s="1" t="s">
        <v>22</v>
      </c>
      <c r="F1954" s="1" t="s">
        <v>198</v>
      </c>
      <c r="G1954" s="1">
        <v>23</v>
      </c>
      <c r="H1954" s="23">
        <v>45123.440775462965</v>
      </c>
      <c r="I1954" s="1" t="b">
        <v>0</v>
      </c>
      <c r="K1954" s="10">
        <f t="shared" si="152"/>
        <v>10.261944444500841</v>
      </c>
      <c r="L1954" s="1" t="str">
        <f t="shared" si="153"/>
        <v>OK</v>
      </c>
      <c r="M1954" s="1">
        <f t="shared" si="150"/>
        <v>1</v>
      </c>
      <c r="N1954" s="1">
        <f t="shared" si="151"/>
        <v>23</v>
      </c>
      <c r="O1954" s="10">
        <f t="shared" si="154"/>
        <v>10.261944444500841</v>
      </c>
    </row>
    <row r="1955" spans="1:15">
      <c r="A1955" s="1" t="s">
        <v>2060</v>
      </c>
      <c r="B1955" s="23">
        <v>45123.068749999999</v>
      </c>
      <c r="C1955" s="1" t="s">
        <v>16</v>
      </c>
      <c r="D1955" s="1" t="s">
        <v>12</v>
      </c>
      <c r="E1955" s="1" t="s">
        <v>18</v>
      </c>
      <c r="F1955" s="1" t="s">
        <v>224</v>
      </c>
      <c r="G1955" s="1">
        <v>67</v>
      </c>
      <c r="H1955" s="23">
        <v>45123.879201388889</v>
      </c>
      <c r="I1955" s="1" t="b">
        <v>0</v>
      </c>
      <c r="K1955" s="10">
        <f t="shared" si="152"/>
        <v>19.450833333365154</v>
      </c>
      <c r="L1955" s="1" t="str">
        <f t="shared" si="153"/>
        <v>OK</v>
      </c>
      <c r="M1955" s="1">
        <f t="shared" si="150"/>
        <v>1</v>
      </c>
      <c r="N1955" s="1">
        <f t="shared" si="151"/>
        <v>67</v>
      </c>
      <c r="O1955" s="10">
        <f t="shared" si="154"/>
        <v>19.450833333365154</v>
      </c>
    </row>
    <row r="1956" spans="1:15">
      <c r="A1956" s="1" t="s">
        <v>2061</v>
      </c>
      <c r="B1956" s="23">
        <v>45123.222916666666</v>
      </c>
      <c r="C1956" s="1" t="s">
        <v>25</v>
      </c>
      <c r="D1956" s="1" t="s">
        <v>17</v>
      </c>
      <c r="E1956" s="1" t="s">
        <v>18</v>
      </c>
      <c r="F1956" s="1" t="s">
        <v>239</v>
      </c>
      <c r="G1956" s="1">
        <v>155</v>
      </c>
      <c r="H1956" s="23">
        <v>45123.348645833335</v>
      </c>
      <c r="I1956" s="1" t="b">
        <v>0</v>
      </c>
      <c r="J1956" s="1">
        <v>5</v>
      </c>
      <c r="K1956" s="10">
        <f t="shared" si="152"/>
        <v>3.0175000000745058</v>
      </c>
      <c r="L1956" s="1" t="str">
        <f t="shared" si="153"/>
        <v>OK</v>
      </c>
      <c r="M1956" s="1">
        <f t="shared" si="150"/>
        <v>1</v>
      </c>
      <c r="N1956" s="1">
        <f t="shared" si="151"/>
        <v>155</v>
      </c>
      <c r="O1956" s="10">
        <f t="shared" si="154"/>
        <v>3.0175000000745058</v>
      </c>
    </row>
    <row r="1957" spans="1:15">
      <c r="A1957" s="1" t="s">
        <v>2062</v>
      </c>
      <c r="B1957" s="23">
        <v>45123.331250000003</v>
      </c>
      <c r="C1957" s="1" t="s">
        <v>43</v>
      </c>
      <c r="D1957" s="1" t="s">
        <v>21</v>
      </c>
      <c r="E1957" s="1" t="s">
        <v>22</v>
      </c>
      <c r="F1957" s="1" t="s">
        <v>120</v>
      </c>
      <c r="G1957" s="1">
        <v>17</v>
      </c>
      <c r="H1957" s="23">
        <v>45123.37604166667</v>
      </c>
      <c r="I1957" s="1" t="b">
        <v>0</v>
      </c>
      <c r="K1957" s="10">
        <f t="shared" si="152"/>
        <v>1.0750000000116415</v>
      </c>
      <c r="L1957" s="1" t="str">
        <f t="shared" si="153"/>
        <v>OK</v>
      </c>
      <c r="M1957" s="1">
        <f t="shared" si="150"/>
        <v>1</v>
      </c>
      <c r="N1957" s="1">
        <f t="shared" si="151"/>
        <v>17</v>
      </c>
      <c r="O1957" s="10">
        <f t="shared" si="154"/>
        <v>1.0750000000116415</v>
      </c>
    </row>
    <row r="1958" spans="1:15">
      <c r="A1958" s="1" t="s">
        <v>2063</v>
      </c>
      <c r="B1958" s="23">
        <v>45123.518750000003</v>
      </c>
      <c r="C1958" s="1" t="s">
        <v>16</v>
      </c>
      <c r="D1958" s="1" t="s">
        <v>17</v>
      </c>
      <c r="E1958" s="1" t="s">
        <v>13</v>
      </c>
      <c r="F1958" s="1" t="s">
        <v>392</v>
      </c>
      <c r="G1958" s="1">
        <v>76</v>
      </c>
      <c r="H1958" s="23">
        <v>45124.367696759262</v>
      </c>
      <c r="I1958" s="1" t="b">
        <v>0</v>
      </c>
      <c r="K1958" s="10">
        <f t="shared" si="152"/>
        <v>20.374722222215496</v>
      </c>
      <c r="L1958" s="1" t="str">
        <f t="shared" si="153"/>
        <v>OK</v>
      </c>
      <c r="M1958" s="1">
        <f t="shared" si="150"/>
        <v>1</v>
      </c>
      <c r="N1958" s="1">
        <f t="shared" si="151"/>
        <v>76</v>
      </c>
      <c r="O1958" s="10">
        <f t="shared" si="154"/>
        <v>20.374722222215496</v>
      </c>
    </row>
    <row r="1959" spans="1:15">
      <c r="A1959" s="1" t="s">
        <v>2064</v>
      </c>
      <c r="B1959" s="23">
        <v>45123.549305555556</v>
      </c>
      <c r="C1959" s="1" t="s">
        <v>11</v>
      </c>
      <c r="D1959" s="1" t="s">
        <v>21</v>
      </c>
      <c r="E1959" s="1" t="s">
        <v>13</v>
      </c>
      <c r="F1959" s="1" t="s">
        <v>54</v>
      </c>
      <c r="G1959" s="1">
        <v>57</v>
      </c>
      <c r="H1959" s="23">
        <v>45123.587002314816</v>
      </c>
      <c r="I1959" s="1" t="b">
        <v>0</v>
      </c>
      <c r="K1959" s="10">
        <f t="shared" si="152"/>
        <v>0.90472222224343568</v>
      </c>
      <c r="L1959" s="1" t="str">
        <f t="shared" si="153"/>
        <v>Review</v>
      </c>
      <c r="M1959" s="1">
        <f t="shared" si="150"/>
        <v>1</v>
      </c>
      <c r="N1959" s="1" t="str">
        <f t="shared" si="151"/>
        <v/>
      </c>
      <c r="O1959" s="10" t="str">
        <f t="shared" si="154"/>
        <v/>
      </c>
    </row>
    <row r="1960" spans="1:15">
      <c r="A1960" s="1" t="s">
        <v>2065</v>
      </c>
      <c r="B1960" s="23">
        <v>45123.634722222225</v>
      </c>
      <c r="C1960" s="1" t="s">
        <v>25</v>
      </c>
      <c r="D1960" s="1" t="s">
        <v>17</v>
      </c>
      <c r="E1960" s="1" t="s">
        <v>18</v>
      </c>
      <c r="F1960" s="1" t="s">
        <v>102</v>
      </c>
      <c r="G1960" s="1">
        <v>10</v>
      </c>
      <c r="H1960" s="23">
        <v>45125.564062500001</v>
      </c>
      <c r="I1960" s="1" t="b">
        <v>0</v>
      </c>
      <c r="J1960" s="1">
        <v>2</v>
      </c>
      <c r="K1960" s="10">
        <f t="shared" si="152"/>
        <v>46.304166666639503</v>
      </c>
      <c r="L1960" s="1" t="str">
        <f t="shared" si="153"/>
        <v>OK</v>
      </c>
      <c r="M1960" s="1">
        <f t="shared" si="150"/>
        <v>1</v>
      </c>
      <c r="N1960" s="1">
        <f t="shared" si="151"/>
        <v>10</v>
      </c>
      <c r="O1960" s="10">
        <f t="shared" si="154"/>
        <v>46.304166666639503</v>
      </c>
    </row>
    <row r="1961" spans="1:15">
      <c r="A1961" s="1" t="s">
        <v>2066</v>
      </c>
      <c r="B1961" s="23">
        <v>45123.705555555556</v>
      </c>
      <c r="C1961" s="1" t="s">
        <v>11</v>
      </c>
      <c r="D1961" s="1" t="s">
        <v>17</v>
      </c>
      <c r="E1961" s="1" t="s">
        <v>33</v>
      </c>
      <c r="F1961" s="1" t="s">
        <v>60</v>
      </c>
      <c r="G1961" s="1">
        <v>868</v>
      </c>
      <c r="H1961" s="23">
        <v>45125.78396990741</v>
      </c>
      <c r="I1961" s="1" t="b">
        <v>0</v>
      </c>
      <c r="J1961" s="1">
        <v>5</v>
      </c>
      <c r="K1961" s="10">
        <f t="shared" si="152"/>
        <v>49.881944444496185</v>
      </c>
      <c r="L1961" s="1" t="str">
        <f t="shared" si="153"/>
        <v>OK</v>
      </c>
      <c r="M1961" s="1">
        <f t="shared" si="150"/>
        <v>1</v>
      </c>
      <c r="N1961" s="1">
        <f t="shared" si="151"/>
        <v>868</v>
      </c>
      <c r="O1961" s="10">
        <f t="shared" si="154"/>
        <v>49.881944444496185</v>
      </c>
    </row>
    <row r="1962" spans="1:15">
      <c r="A1962" s="1" t="s">
        <v>2067</v>
      </c>
      <c r="B1962" s="23">
        <v>45123.893055555556</v>
      </c>
      <c r="C1962" s="1" t="s">
        <v>25</v>
      </c>
      <c r="D1962" s="1" t="s">
        <v>17</v>
      </c>
      <c r="E1962" s="1" t="s">
        <v>13</v>
      </c>
      <c r="F1962" s="1" t="s">
        <v>118</v>
      </c>
      <c r="G1962" s="1">
        <v>32</v>
      </c>
      <c r="H1962" s="23">
        <v>45124.746180555558</v>
      </c>
      <c r="I1962" s="1" t="b">
        <v>0</v>
      </c>
      <c r="K1962" s="10">
        <f t="shared" si="152"/>
        <v>20.475000000034925</v>
      </c>
      <c r="L1962" s="1" t="str">
        <f t="shared" si="153"/>
        <v>OK</v>
      </c>
      <c r="M1962" s="1">
        <f t="shared" si="150"/>
        <v>1</v>
      </c>
      <c r="N1962" s="1">
        <f t="shared" si="151"/>
        <v>32</v>
      </c>
      <c r="O1962" s="10">
        <f t="shared" si="154"/>
        <v>20.475000000034925</v>
      </c>
    </row>
    <row r="1963" spans="1:15">
      <c r="A1963" s="1" t="s">
        <v>2068</v>
      </c>
      <c r="B1963" s="23">
        <v>45123.925000000003</v>
      </c>
      <c r="C1963" s="1" t="s">
        <v>16</v>
      </c>
      <c r="D1963" s="1" t="s">
        <v>26</v>
      </c>
      <c r="E1963" s="1" t="s">
        <v>33</v>
      </c>
      <c r="F1963" s="1" t="s">
        <v>29</v>
      </c>
      <c r="G1963" s="1">
        <v>104</v>
      </c>
      <c r="H1963" s="23">
        <v>45145.569074074076</v>
      </c>
      <c r="I1963" s="1" t="b">
        <v>0</v>
      </c>
      <c r="K1963" s="10">
        <f t="shared" si="152"/>
        <v>519.45777777774492</v>
      </c>
      <c r="L1963" s="1" t="str">
        <f t="shared" si="153"/>
        <v>OK</v>
      </c>
      <c r="M1963" s="1">
        <f t="shared" si="150"/>
        <v>1</v>
      </c>
      <c r="N1963" s="1">
        <f t="shared" si="151"/>
        <v>104</v>
      </c>
      <c r="O1963" s="10">
        <f t="shared" si="154"/>
        <v>519.45777777774492</v>
      </c>
    </row>
    <row r="1964" spans="1:15">
      <c r="A1964" s="1" t="s">
        <v>2069</v>
      </c>
      <c r="B1964" s="23">
        <v>45124.029861111114</v>
      </c>
      <c r="C1964" s="1" t="s">
        <v>16</v>
      </c>
      <c r="D1964" s="1" t="s">
        <v>59</v>
      </c>
      <c r="E1964" s="1" t="s">
        <v>18</v>
      </c>
      <c r="F1964" s="1" t="s">
        <v>80</v>
      </c>
      <c r="G1964" s="1">
        <v>53</v>
      </c>
      <c r="H1964" s="23">
        <v>45124.409884259258</v>
      </c>
      <c r="I1964" s="1" t="b">
        <v>0</v>
      </c>
      <c r="K1964" s="10">
        <f t="shared" si="152"/>
        <v>9.1205555554479361</v>
      </c>
      <c r="L1964" s="1" t="str">
        <f t="shared" si="153"/>
        <v>OK</v>
      </c>
      <c r="M1964" s="1">
        <f t="shared" si="150"/>
        <v>1</v>
      </c>
      <c r="N1964" s="1">
        <f t="shared" si="151"/>
        <v>53</v>
      </c>
      <c r="O1964" s="10">
        <f t="shared" si="154"/>
        <v>9.1205555554479361</v>
      </c>
    </row>
    <row r="1965" spans="1:15">
      <c r="A1965" s="1" t="s">
        <v>2070</v>
      </c>
      <c r="B1965" s="23">
        <v>45124.04791666667</v>
      </c>
      <c r="C1965" s="1" t="s">
        <v>16</v>
      </c>
      <c r="D1965" s="1" t="s">
        <v>21</v>
      </c>
      <c r="E1965" s="1" t="s">
        <v>18</v>
      </c>
      <c r="F1965" s="1" t="s">
        <v>392</v>
      </c>
      <c r="G1965" s="1">
        <v>73</v>
      </c>
      <c r="H1965" s="23">
        <v>45124.262361111112</v>
      </c>
      <c r="I1965" s="1" t="b">
        <v>0</v>
      </c>
      <c r="K1965" s="10">
        <f t="shared" si="152"/>
        <v>5.1466666666092351</v>
      </c>
      <c r="L1965" s="1" t="str">
        <f t="shared" si="153"/>
        <v>OK</v>
      </c>
      <c r="M1965" s="1">
        <f t="shared" si="150"/>
        <v>1</v>
      </c>
      <c r="N1965" s="1">
        <f t="shared" si="151"/>
        <v>73</v>
      </c>
      <c r="O1965" s="10">
        <f t="shared" si="154"/>
        <v>5.1466666666092351</v>
      </c>
    </row>
    <row r="1966" spans="1:15">
      <c r="A1966" s="1" t="s">
        <v>2071</v>
      </c>
      <c r="B1966" s="23">
        <v>45124.052777777775</v>
      </c>
      <c r="C1966" s="1" t="s">
        <v>16</v>
      </c>
      <c r="D1966" s="1" t="s">
        <v>26</v>
      </c>
      <c r="E1966" s="1" t="s">
        <v>22</v>
      </c>
      <c r="F1966" s="1" t="s">
        <v>54</v>
      </c>
      <c r="G1966" s="1">
        <v>17</v>
      </c>
      <c r="H1966" s="23">
        <v>45124.204571759263</v>
      </c>
      <c r="I1966" s="1" t="b">
        <v>0</v>
      </c>
      <c r="K1966" s="10">
        <f t="shared" si="152"/>
        <v>3.6430555557017215</v>
      </c>
      <c r="L1966" s="1" t="str">
        <f t="shared" si="153"/>
        <v>OK</v>
      </c>
      <c r="M1966" s="1">
        <f t="shared" si="150"/>
        <v>1</v>
      </c>
      <c r="N1966" s="1">
        <f t="shared" si="151"/>
        <v>17</v>
      </c>
      <c r="O1966" s="10">
        <f t="shared" si="154"/>
        <v>3.6430555557017215</v>
      </c>
    </row>
    <row r="1967" spans="1:15">
      <c r="A1967" s="1" t="s">
        <v>2072</v>
      </c>
      <c r="B1967" s="23">
        <v>45124.302777777775</v>
      </c>
      <c r="C1967" s="1" t="s">
        <v>25</v>
      </c>
      <c r="D1967" s="1" t="s">
        <v>26</v>
      </c>
      <c r="E1967" s="1" t="s">
        <v>13</v>
      </c>
      <c r="F1967" s="1" t="s">
        <v>23</v>
      </c>
      <c r="G1967" s="1">
        <v>29</v>
      </c>
      <c r="H1967" s="23">
        <v>45124.349328703705</v>
      </c>
      <c r="I1967" s="1" t="b">
        <v>0</v>
      </c>
      <c r="K1967" s="10">
        <f t="shared" si="152"/>
        <v>1.1172222223249264</v>
      </c>
      <c r="L1967" s="1" t="str">
        <f t="shared" si="153"/>
        <v>OK</v>
      </c>
      <c r="M1967" s="1">
        <f t="shared" si="150"/>
        <v>1</v>
      </c>
      <c r="N1967" s="1">
        <f t="shared" si="151"/>
        <v>29</v>
      </c>
      <c r="O1967" s="10">
        <f t="shared" si="154"/>
        <v>1.1172222223249264</v>
      </c>
    </row>
    <row r="1968" spans="1:15">
      <c r="A1968" s="1" t="s">
        <v>2073</v>
      </c>
      <c r="B1968" s="23">
        <v>45124.345138888886</v>
      </c>
      <c r="C1968" s="1" t="s">
        <v>25</v>
      </c>
      <c r="D1968" s="1" t="s">
        <v>26</v>
      </c>
      <c r="E1968" s="1" t="s">
        <v>33</v>
      </c>
      <c r="F1968" s="1" t="s">
        <v>37</v>
      </c>
      <c r="G1968" s="1">
        <v>1074</v>
      </c>
      <c r="H1968" s="23">
        <v>45126.047430555554</v>
      </c>
      <c r="I1968" s="1" t="b">
        <v>0</v>
      </c>
      <c r="K1968" s="10">
        <f t="shared" si="152"/>
        <v>40.855000000039581</v>
      </c>
      <c r="L1968" s="1" t="str">
        <f t="shared" si="153"/>
        <v>OK</v>
      </c>
      <c r="M1968" s="1">
        <f t="shared" si="150"/>
        <v>1</v>
      </c>
      <c r="N1968" s="1">
        <f t="shared" si="151"/>
        <v>1074</v>
      </c>
      <c r="O1968" s="10">
        <f t="shared" si="154"/>
        <v>40.855000000039581</v>
      </c>
    </row>
    <row r="1969" spans="1:15">
      <c r="A1969" s="1" t="s">
        <v>2074</v>
      </c>
      <c r="B1969" s="23">
        <v>45124.78125</v>
      </c>
      <c r="C1969" s="1" t="s">
        <v>16</v>
      </c>
      <c r="D1969" s="1" t="s">
        <v>12</v>
      </c>
      <c r="E1969" s="1" t="s">
        <v>13</v>
      </c>
      <c r="F1969" s="1" t="s">
        <v>367</v>
      </c>
      <c r="G1969" s="1">
        <v>33</v>
      </c>
      <c r="H1969" s="23">
        <v>45133.543055555558</v>
      </c>
      <c r="I1969" s="1" t="b">
        <v>0</v>
      </c>
      <c r="J1969" s="1">
        <v>5</v>
      </c>
      <c r="K1969" s="10">
        <f t="shared" si="152"/>
        <v>210.28333333338378</v>
      </c>
      <c r="L1969" s="1" t="str">
        <f t="shared" si="153"/>
        <v>OK</v>
      </c>
      <c r="M1969" s="1">
        <f t="shared" si="150"/>
        <v>1</v>
      </c>
      <c r="N1969" s="1">
        <f t="shared" si="151"/>
        <v>33</v>
      </c>
      <c r="O1969" s="10">
        <f t="shared" si="154"/>
        <v>210.28333333338378</v>
      </c>
    </row>
    <row r="1970" spans="1:15">
      <c r="A1970" s="1" t="s">
        <v>2075</v>
      </c>
      <c r="B1970" s="23">
        <v>45124.913194444445</v>
      </c>
      <c r="C1970" s="1" t="s">
        <v>43</v>
      </c>
      <c r="D1970" s="1" t="s">
        <v>21</v>
      </c>
      <c r="E1970" s="1" t="s">
        <v>18</v>
      </c>
      <c r="F1970" s="1" t="s">
        <v>367</v>
      </c>
      <c r="G1970" s="1">
        <v>65</v>
      </c>
      <c r="H1970" s="23">
        <v>45125.399293981478</v>
      </c>
      <c r="I1970" s="1" t="b">
        <v>0</v>
      </c>
      <c r="K1970" s="10">
        <f t="shared" si="152"/>
        <v>11.66638888878515</v>
      </c>
      <c r="L1970" s="1" t="str">
        <f t="shared" si="153"/>
        <v>OK</v>
      </c>
      <c r="M1970" s="1">
        <f t="shared" si="150"/>
        <v>1</v>
      </c>
      <c r="N1970" s="1">
        <f t="shared" si="151"/>
        <v>65</v>
      </c>
      <c r="O1970" s="10">
        <f t="shared" si="154"/>
        <v>11.66638888878515</v>
      </c>
    </row>
    <row r="1971" spans="1:15">
      <c r="A1971" s="1" t="s">
        <v>2076</v>
      </c>
      <c r="B1971" s="23">
        <v>45124.947916666664</v>
      </c>
      <c r="C1971" s="1" t="s">
        <v>11</v>
      </c>
      <c r="D1971" s="1" t="s">
        <v>26</v>
      </c>
      <c r="E1971" s="1" t="s">
        <v>33</v>
      </c>
      <c r="F1971" s="1" t="s">
        <v>92</v>
      </c>
      <c r="G1971" s="1">
        <v>306</v>
      </c>
      <c r="H1971" s="23">
        <v>45127.899016203701</v>
      </c>
      <c r="I1971" s="1" t="b">
        <v>0</v>
      </c>
      <c r="K1971" s="10">
        <f t="shared" si="152"/>
        <v>70.826388888875954</v>
      </c>
      <c r="L1971" s="1" t="str">
        <f t="shared" si="153"/>
        <v>OK</v>
      </c>
      <c r="M1971" s="1">
        <f t="shared" si="150"/>
        <v>1</v>
      </c>
      <c r="N1971" s="1">
        <f t="shared" si="151"/>
        <v>306</v>
      </c>
      <c r="O1971" s="10">
        <f t="shared" si="154"/>
        <v>70.826388888875954</v>
      </c>
    </row>
    <row r="1972" spans="1:15">
      <c r="A1972" s="1" t="s">
        <v>2077</v>
      </c>
      <c r="B1972" s="23">
        <v>45125.009027777778</v>
      </c>
      <c r="C1972" s="1" t="s">
        <v>11</v>
      </c>
      <c r="D1972" s="1" t="s">
        <v>21</v>
      </c>
      <c r="E1972" s="1" t="s">
        <v>18</v>
      </c>
      <c r="F1972" s="1" t="s">
        <v>39</v>
      </c>
      <c r="G1972" s="1">
        <v>133</v>
      </c>
      <c r="H1972" s="23">
        <v>45125.298819444448</v>
      </c>
      <c r="I1972" s="1" t="b">
        <v>0</v>
      </c>
      <c r="K1972" s="10">
        <f t="shared" si="152"/>
        <v>6.9550000000745058</v>
      </c>
      <c r="L1972" s="1" t="str">
        <f t="shared" si="153"/>
        <v>OK</v>
      </c>
      <c r="M1972" s="1">
        <f t="shared" si="150"/>
        <v>1</v>
      </c>
      <c r="N1972" s="1">
        <f t="shared" si="151"/>
        <v>133</v>
      </c>
      <c r="O1972" s="10">
        <f t="shared" si="154"/>
        <v>6.9550000000745058</v>
      </c>
    </row>
    <row r="1973" spans="1:15">
      <c r="A1973" s="1" t="s">
        <v>2078</v>
      </c>
      <c r="B1973" s="23">
        <v>45125.095833333333</v>
      </c>
      <c r="C1973" s="1" t="s">
        <v>16</v>
      </c>
      <c r="D1973" s="1" t="s">
        <v>26</v>
      </c>
      <c r="E1973" s="1" t="s">
        <v>18</v>
      </c>
      <c r="F1973" s="1" t="s">
        <v>94</v>
      </c>
      <c r="G1973" s="1">
        <v>148</v>
      </c>
      <c r="H1973" s="23">
        <v>45127.778101851851</v>
      </c>
      <c r="I1973" s="1" t="b">
        <v>0</v>
      </c>
      <c r="K1973" s="10">
        <f t="shared" si="152"/>
        <v>64.374444444430992</v>
      </c>
      <c r="L1973" s="1" t="str">
        <f t="shared" si="153"/>
        <v>OK</v>
      </c>
      <c r="M1973" s="1">
        <f t="shared" si="150"/>
        <v>1</v>
      </c>
      <c r="N1973" s="1">
        <f t="shared" si="151"/>
        <v>148</v>
      </c>
      <c r="O1973" s="10">
        <f t="shared" si="154"/>
        <v>64.374444444430992</v>
      </c>
    </row>
    <row r="1974" spans="1:15">
      <c r="A1974" s="1" t="s">
        <v>2079</v>
      </c>
      <c r="B1974" s="23">
        <v>45125.130555555559</v>
      </c>
      <c r="C1974" s="1" t="s">
        <v>16</v>
      </c>
      <c r="D1974" s="1" t="s">
        <v>21</v>
      </c>
      <c r="E1974" s="1" t="s">
        <v>18</v>
      </c>
      <c r="F1974" s="1" t="s">
        <v>486</v>
      </c>
      <c r="H1974" s="23">
        <v>45125.819421296299</v>
      </c>
      <c r="I1974" s="1" t="b">
        <v>0</v>
      </c>
      <c r="K1974" s="10">
        <f t="shared" si="152"/>
        <v>16.532777777756564</v>
      </c>
      <c r="L1974" s="1" t="str">
        <f t="shared" si="153"/>
        <v>Cannot check</v>
      </c>
      <c r="M1974" s="1">
        <f t="shared" si="150"/>
        <v>1</v>
      </c>
      <c r="N1974" s="1" t="str">
        <f t="shared" si="151"/>
        <v/>
      </c>
      <c r="O1974" s="10">
        <f t="shared" si="154"/>
        <v>16.532777777756564</v>
      </c>
    </row>
    <row r="1975" spans="1:15">
      <c r="A1975" s="1" t="s">
        <v>2080</v>
      </c>
      <c r="B1975" s="23">
        <v>45125.470833333333</v>
      </c>
      <c r="C1975" s="1" t="s">
        <v>25</v>
      </c>
      <c r="D1975" s="1" t="s">
        <v>12</v>
      </c>
      <c r="E1975" s="1" t="s">
        <v>18</v>
      </c>
      <c r="F1975" s="1" t="s">
        <v>31</v>
      </c>
      <c r="G1975" s="1">
        <v>137</v>
      </c>
      <c r="H1975" s="23">
        <v>45129.08929398148</v>
      </c>
      <c r="I1975" s="1" t="b">
        <v>0</v>
      </c>
      <c r="K1975" s="10">
        <f t="shared" si="152"/>
        <v>86.84305555553874</v>
      </c>
      <c r="L1975" s="1" t="str">
        <f t="shared" si="153"/>
        <v>OK</v>
      </c>
      <c r="M1975" s="1">
        <f t="shared" si="150"/>
        <v>1</v>
      </c>
      <c r="N1975" s="1">
        <f t="shared" si="151"/>
        <v>137</v>
      </c>
      <c r="O1975" s="10">
        <f t="shared" si="154"/>
        <v>86.84305555553874</v>
      </c>
    </row>
    <row r="1976" spans="1:15">
      <c r="A1976" s="1" t="s">
        <v>2081</v>
      </c>
      <c r="B1976" s="23">
        <v>45125.496527777781</v>
      </c>
      <c r="C1976" s="1" t="s">
        <v>11</v>
      </c>
      <c r="D1976" s="1" t="s">
        <v>26</v>
      </c>
      <c r="E1976" s="1" t="s">
        <v>18</v>
      </c>
      <c r="F1976" s="1" t="s">
        <v>259</v>
      </c>
      <c r="G1976" s="1">
        <v>133</v>
      </c>
      <c r="H1976" s="23">
        <v>45128.005127314813</v>
      </c>
      <c r="I1976" s="1" t="b">
        <v>0</v>
      </c>
      <c r="K1976" s="10">
        <f t="shared" si="152"/>
        <v>60.206388888764195</v>
      </c>
      <c r="L1976" s="1" t="str">
        <f t="shared" si="153"/>
        <v>OK</v>
      </c>
      <c r="M1976" s="1">
        <f t="shared" si="150"/>
        <v>1</v>
      </c>
      <c r="N1976" s="1">
        <f t="shared" si="151"/>
        <v>133</v>
      </c>
      <c r="O1976" s="10">
        <f t="shared" si="154"/>
        <v>60.206388888764195</v>
      </c>
    </row>
    <row r="1977" spans="1:15">
      <c r="A1977" s="1" t="s">
        <v>2082</v>
      </c>
      <c r="B1977" s="23">
        <v>45125.619444444441</v>
      </c>
      <c r="C1977" s="1" t="s">
        <v>11</v>
      </c>
      <c r="D1977" s="1" t="s">
        <v>26</v>
      </c>
      <c r="E1977" s="1" t="s">
        <v>18</v>
      </c>
      <c r="F1977" s="1" t="s">
        <v>112</v>
      </c>
      <c r="G1977" s="1">
        <v>88</v>
      </c>
      <c r="H1977" s="23">
        <v>45125.871979166666</v>
      </c>
      <c r="I1977" s="1" t="b">
        <v>0</v>
      </c>
      <c r="J1977" s="1">
        <v>4</v>
      </c>
      <c r="K1977" s="10">
        <f t="shared" si="152"/>
        <v>6.0608333334093913</v>
      </c>
      <c r="L1977" s="1" t="str">
        <f t="shared" si="153"/>
        <v>OK</v>
      </c>
      <c r="M1977" s="1">
        <f t="shared" si="150"/>
        <v>1</v>
      </c>
      <c r="N1977" s="1">
        <f t="shared" si="151"/>
        <v>88</v>
      </c>
      <c r="O1977" s="10">
        <f t="shared" si="154"/>
        <v>6.0608333334093913</v>
      </c>
    </row>
    <row r="1978" spans="1:15">
      <c r="A1978" s="1" t="s">
        <v>2083</v>
      </c>
      <c r="B1978" s="23">
        <v>45125.620833333334</v>
      </c>
      <c r="C1978" s="1" t="s">
        <v>16</v>
      </c>
      <c r="D1978" s="1" t="s">
        <v>12</v>
      </c>
      <c r="E1978" s="1" t="s">
        <v>18</v>
      </c>
      <c r="F1978" s="1" t="s">
        <v>88</v>
      </c>
      <c r="G1978" s="1">
        <v>21</v>
      </c>
      <c r="H1978" s="23">
        <v>45126.370370370372</v>
      </c>
      <c r="I1978" s="1" t="b">
        <v>0</v>
      </c>
      <c r="K1978" s="10">
        <f t="shared" si="152"/>
        <v>17.988888888910878</v>
      </c>
      <c r="L1978" s="1" t="str">
        <f t="shared" si="153"/>
        <v>OK</v>
      </c>
      <c r="M1978" s="1">
        <f t="shared" si="150"/>
        <v>1</v>
      </c>
      <c r="N1978" s="1">
        <f t="shared" si="151"/>
        <v>21</v>
      </c>
      <c r="O1978" s="10">
        <f t="shared" si="154"/>
        <v>17.988888888910878</v>
      </c>
    </row>
    <row r="1979" spans="1:15">
      <c r="A1979" s="1" t="s">
        <v>2084</v>
      </c>
      <c r="B1979" s="23">
        <v>45125.662499999999</v>
      </c>
      <c r="C1979" s="1" t="s">
        <v>25</v>
      </c>
      <c r="D1979" s="1" t="s">
        <v>59</v>
      </c>
      <c r="E1979" s="1" t="s">
        <v>33</v>
      </c>
      <c r="F1979" s="1" t="s">
        <v>120</v>
      </c>
      <c r="G1979" s="1">
        <v>59</v>
      </c>
      <c r="H1979" s="23">
        <v>45130.364120370374</v>
      </c>
      <c r="I1979" s="1" t="b">
        <v>0</v>
      </c>
      <c r="K1979" s="10">
        <f t="shared" si="152"/>
        <v>112.83888888900401</v>
      </c>
      <c r="L1979" s="1" t="str">
        <f t="shared" si="153"/>
        <v>OK</v>
      </c>
      <c r="M1979" s="1">
        <f t="shared" si="150"/>
        <v>1</v>
      </c>
      <c r="N1979" s="1">
        <f t="shared" si="151"/>
        <v>59</v>
      </c>
      <c r="O1979" s="10">
        <f t="shared" si="154"/>
        <v>112.83888888900401</v>
      </c>
    </row>
    <row r="1980" spans="1:15">
      <c r="A1980" s="1" t="s">
        <v>2085</v>
      </c>
      <c r="B1980" s="23">
        <v>45125.774305555555</v>
      </c>
      <c r="C1980" s="1" t="s">
        <v>16</v>
      </c>
      <c r="D1980" s="1" t="s">
        <v>17</v>
      </c>
      <c r="E1980" s="1" t="s">
        <v>33</v>
      </c>
      <c r="F1980" s="1" t="s">
        <v>201</v>
      </c>
      <c r="H1980" s="23">
        <v>45132.692175925928</v>
      </c>
      <c r="I1980" s="1" t="b">
        <v>0</v>
      </c>
      <c r="K1980" s="10">
        <f t="shared" si="152"/>
        <v>166.02888888894813</v>
      </c>
      <c r="L1980" s="1" t="str">
        <f t="shared" si="153"/>
        <v>Cannot check</v>
      </c>
      <c r="M1980" s="1">
        <f t="shared" si="150"/>
        <v>1</v>
      </c>
      <c r="N1980" s="1" t="str">
        <f t="shared" si="151"/>
        <v/>
      </c>
      <c r="O1980" s="10">
        <f t="shared" si="154"/>
        <v>166.02888888894813</v>
      </c>
    </row>
    <row r="1981" spans="1:15">
      <c r="A1981" s="1" t="s">
        <v>2086</v>
      </c>
      <c r="B1981" s="23">
        <v>45125.870833333334</v>
      </c>
      <c r="C1981" s="1" t="s">
        <v>43</v>
      </c>
      <c r="D1981" s="1" t="s">
        <v>12</v>
      </c>
      <c r="E1981" s="1" t="s">
        <v>13</v>
      </c>
      <c r="F1981" s="1" t="s">
        <v>14</v>
      </c>
      <c r="G1981" s="1">
        <v>59</v>
      </c>
      <c r="H1981" s="23">
        <v>45126.334409722222</v>
      </c>
      <c r="I1981" s="1" t="b">
        <v>1</v>
      </c>
      <c r="K1981" s="10">
        <f t="shared" si="152"/>
        <v>11.125833333295304</v>
      </c>
      <c r="L1981" s="1" t="str">
        <f t="shared" si="153"/>
        <v>OK</v>
      </c>
      <c r="M1981" s="1">
        <f t="shared" si="150"/>
        <v>1</v>
      </c>
      <c r="N1981" s="1">
        <f t="shared" si="151"/>
        <v>59</v>
      </c>
      <c r="O1981" s="10">
        <f t="shared" si="154"/>
        <v>11.125833333295304</v>
      </c>
    </row>
    <row r="1982" spans="1:15">
      <c r="A1982" s="1" t="s">
        <v>2087</v>
      </c>
      <c r="B1982" s="23">
        <v>45125.925694444442</v>
      </c>
      <c r="C1982" s="1" t="s">
        <v>25</v>
      </c>
      <c r="D1982" s="1" t="s">
        <v>17</v>
      </c>
      <c r="E1982" s="1" t="s">
        <v>33</v>
      </c>
      <c r="F1982" s="1" t="s">
        <v>50</v>
      </c>
      <c r="G1982" s="1">
        <v>21</v>
      </c>
      <c r="H1982" s="23">
        <v>45131.235891203702</v>
      </c>
      <c r="I1982" s="1" t="b">
        <v>0</v>
      </c>
      <c r="K1982" s="10">
        <f t="shared" si="152"/>
        <v>127.44472222222248</v>
      </c>
      <c r="L1982" s="1" t="str">
        <f t="shared" si="153"/>
        <v>OK</v>
      </c>
      <c r="M1982" s="1">
        <f t="shared" si="150"/>
        <v>1</v>
      </c>
      <c r="N1982" s="1">
        <f t="shared" si="151"/>
        <v>21</v>
      </c>
      <c r="O1982" s="10">
        <f t="shared" si="154"/>
        <v>127.44472222222248</v>
      </c>
    </row>
    <row r="1983" spans="1:15">
      <c r="A1983" s="1" t="s">
        <v>2088</v>
      </c>
      <c r="B1983" s="23">
        <v>45126.172222222223</v>
      </c>
      <c r="C1983" s="1" t="s">
        <v>16</v>
      </c>
      <c r="D1983" s="1" t="s">
        <v>17</v>
      </c>
      <c r="E1983" s="1" t="s">
        <v>13</v>
      </c>
      <c r="F1983" s="1" t="s">
        <v>486</v>
      </c>
      <c r="G1983" s="1">
        <v>69</v>
      </c>
      <c r="H1983" s="23">
        <v>45127.885358796295</v>
      </c>
      <c r="I1983" s="1" t="b">
        <v>1</v>
      </c>
      <c r="K1983" s="10">
        <f t="shared" si="152"/>
        <v>41.115277777716983</v>
      </c>
      <c r="L1983" s="1" t="str">
        <f t="shared" si="153"/>
        <v>OK</v>
      </c>
      <c r="M1983" s="1">
        <f t="shared" si="150"/>
        <v>1</v>
      </c>
      <c r="N1983" s="1">
        <f t="shared" si="151"/>
        <v>69</v>
      </c>
      <c r="O1983" s="10">
        <f t="shared" si="154"/>
        <v>41.115277777716983</v>
      </c>
    </row>
    <row r="1984" spans="1:15">
      <c r="A1984" s="1" t="s">
        <v>2089</v>
      </c>
      <c r="B1984" s="23">
        <v>45126.452777777777</v>
      </c>
      <c r="C1984" s="1" t="s">
        <v>16</v>
      </c>
      <c r="D1984" s="1" t="s">
        <v>17</v>
      </c>
      <c r="E1984" s="1" t="s">
        <v>13</v>
      </c>
      <c r="F1984" s="1" t="s">
        <v>234</v>
      </c>
      <c r="G1984" s="1">
        <v>481</v>
      </c>
      <c r="H1984" s="23">
        <v>45126.692129629628</v>
      </c>
      <c r="I1984" s="1" t="b">
        <v>0</v>
      </c>
      <c r="J1984" s="1">
        <v>5</v>
      </c>
      <c r="K1984" s="10">
        <f t="shared" si="152"/>
        <v>5.7444444444263354</v>
      </c>
      <c r="L1984" s="1" t="str">
        <f t="shared" si="153"/>
        <v>Review</v>
      </c>
      <c r="M1984" s="1">
        <f t="shared" si="150"/>
        <v>1</v>
      </c>
      <c r="N1984" s="1" t="str">
        <f t="shared" si="151"/>
        <v/>
      </c>
      <c r="O1984" s="10" t="str">
        <f t="shared" si="154"/>
        <v/>
      </c>
    </row>
    <row r="1985" spans="1:15">
      <c r="A1985" s="1" t="s">
        <v>2090</v>
      </c>
      <c r="B1985" s="23">
        <v>45126.603472222225</v>
      </c>
      <c r="C1985" s="1" t="s">
        <v>43</v>
      </c>
      <c r="D1985" s="1" t="s">
        <v>21</v>
      </c>
      <c r="E1985" s="1" t="s">
        <v>18</v>
      </c>
      <c r="F1985" s="1" t="s">
        <v>345</v>
      </c>
      <c r="G1985" s="1">
        <v>135</v>
      </c>
      <c r="H1985" s="23">
        <v>45126.982777777775</v>
      </c>
      <c r="I1985" s="1" t="b">
        <v>0</v>
      </c>
      <c r="J1985" s="1">
        <v>1</v>
      </c>
      <c r="K1985" s="10">
        <f t="shared" si="152"/>
        <v>9.1033333332161419</v>
      </c>
      <c r="L1985" s="1" t="str">
        <f t="shared" si="153"/>
        <v>OK</v>
      </c>
      <c r="M1985" s="1">
        <f t="shared" si="150"/>
        <v>1</v>
      </c>
      <c r="N1985" s="1">
        <f t="shared" si="151"/>
        <v>135</v>
      </c>
      <c r="O1985" s="10">
        <f t="shared" si="154"/>
        <v>9.1033333332161419</v>
      </c>
    </row>
    <row r="1986" spans="1:15">
      <c r="A1986" s="1" t="s">
        <v>2091</v>
      </c>
      <c r="B1986" s="23">
        <v>45126.658333333333</v>
      </c>
      <c r="C1986" s="1" t="s">
        <v>16</v>
      </c>
      <c r="D1986" s="1" t="s">
        <v>17</v>
      </c>
      <c r="E1986" s="1" t="s">
        <v>13</v>
      </c>
      <c r="F1986" s="1" t="s">
        <v>70</v>
      </c>
      <c r="G1986" s="1">
        <v>50</v>
      </c>
      <c r="H1986" s="23">
        <v>45127.158067129632</v>
      </c>
      <c r="I1986" s="1" t="b">
        <v>0</v>
      </c>
      <c r="K1986" s="10">
        <f t="shared" si="152"/>
        <v>11.993611111189239</v>
      </c>
      <c r="L1986" s="1" t="str">
        <f t="shared" si="153"/>
        <v>OK</v>
      </c>
      <c r="M1986" s="1">
        <f t="shared" ref="M1986:M2049" si="155">COUNTIF($A$2:$A$4001,A1986)</f>
        <v>1</v>
      </c>
      <c r="N1986" s="1">
        <f t="shared" ref="N1986:N2049" si="156">IF(OR(L1986="Review",G1986=""),"",G1986)</f>
        <v>50</v>
      </c>
      <c r="O1986" s="10">
        <f t="shared" si="154"/>
        <v>11.993611111189239</v>
      </c>
    </row>
    <row r="1987" spans="1:15">
      <c r="A1987" s="1" t="s">
        <v>2092</v>
      </c>
      <c r="B1987" s="23">
        <v>45126.665972222225</v>
      </c>
      <c r="C1987" s="1" t="s">
        <v>11</v>
      </c>
      <c r="D1987" s="1" t="s">
        <v>17</v>
      </c>
      <c r="E1987" s="1" t="s">
        <v>33</v>
      </c>
      <c r="F1987" s="1" t="s">
        <v>345</v>
      </c>
      <c r="G1987" s="1">
        <v>483</v>
      </c>
      <c r="H1987" s="23">
        <v>45132.593657407408</v>
      </c>
      <c r="I1987" s="1" t="b">
        <v>1</v>
      </c>
      <c r="J1987" s="1">
        <v>2</v>
      </c>
      <c r="K1987" s="10">
        <f t="shared" ref="K1987:K2050" si="157">IF(H1987="","",(H1987-B1987)*24)</f>
        <v>142.26444444438675</v>
      </c>
      <c r="L1987" s="1" t="str">
        <f t="shared" ref="L1987:L2050" si="158">IF(OR(G1987="",K1987=""),"Cannot check",IF(G1987&gt;K1987*60,"Review","OK"))</f>
        <v>OK</v>
      </c>
      <c r="M1987" s="1">
        <f t="shared" si="155"/>
        <v>1</v>
      </c>
      <c r="N1987" s="1">
        <f t="shared" si="156"/>
        <v>483</v>
      </c>
      <c r="O1987" s="10">
        <f t="shared" ref="O1987:O2050" si="159">IF(OR(L1987="Review",K1987=""),"",K1987)</f>
        <v>142.26444444438675</v>
      </c>
    </row>
    <row r="1988" spans="1:15">
      <c r="A1988" s="1" t="s">
        <v>2093</v>
      </c>
      <c r="B1988" s="23">
        <v>45126.67291666667</v>
      </c>
      <c r="C1988" s="1" t="s">
        <v>11</v>
      </c>
      <c r="D1988" s="1" t="s">
        <v>17</v>
      </c>
      <c r="E1988" s="1" t="s">
        <v>13</v>
      </c>
      <c r="F1988" s="1" t="s">
        <v>709</v>
      </c>
      <c r="G1988" s="1">
        <v>10</v>
      </c>
      <c r="H1988" s="23">
        <v>45128.737673611111</v>
      </c>
      <c r="I1988" s="1" t="b">
        <v>0</v>
      </c>
      <c r="K1988" s="10">
        <f t="shared" si="157"/>
        <v>49.554166666581295</v>
      </c>
      <c r="L1988" s="1" t="str">
        <f t="shared" si="158"/>
        <v>OK</v>
      </c>
      <c r="M1988" s="1">
        <f t="shared" si="155"/>
        <v>1</v>
      </c>
      <c r="N1988" s="1">
        <f t="shared" si="156"/>
        <v>10</v>
      </c>
      <c r="O1988" s="10">
        <f t="shared" si="159"/>
        <v>49.554166666581295</v>
      </c>
    </row>
    <row r="1989" spans="1:15">
      <c r="A1989" s="1" t="s">
        <v>2094</v>
      </c>
      <c r="B1989" s="23">
        <v>45126.761111111111</v>
      </c>
      <c r="C1989" s="1" t="s">
        <v>16</v>
      </c>
      <c r="D1989" s="1" t="s">
        <v>17</v>
      </c>
      <c r="E1989" s="1" t="s">
        <v>33</v>
      </c>
      <c r="F1989" s="1" t="s">
        <v>392</v>
      </c>
      <c r="G1989" s="1">
        <v>473</v>
      </c>
      <c r="H1989" s="23">
        <v>45129.554965277777</v>
      </c>
      <c r="I1989" s="1" t="b">
        <v>0</v>
      </c>
      <c r="K1989" s="10">
        <f t="shared" si="157"/>
        <v>67.052499999990687</v>
      </c>
      <c r="L1989" s="1" t="str">
        <f t="shared" si="158"/>
        <v>OK</v>
      </c>
      <c r="M1989" s="1">
        <f t="shared" si="155"/>
        <v>1</v>
      </c>
      <c r="N1989" s="1">
        <f t="shared" si="156"/>
        <v>473</v>
      </c>
      <c r="O1989" s="10">
        <f t="shared" si="159"/>
        <v>67.052499999990687</v>
      </c>
    </row>
    <row r="1990" spans="1:15">
      <c r="A1990" s="1" t="s">
        <v>2095</v>
      </c>
      <c r="B1990" s="23">
        <v>45126.862500000003</v>
      </c>
      <c r="C1990" s="1" t="s">
        <v>11</v>
      </c>
      <c r="D1990" s="1" t="s">
        <v>59</v>
      </c>
      <c r="E1990" s="1" t="s">
        <v>18</v>
      </c>
      <c r="F1990" s="1" t="s">
        <v>108</v>
      </c>
      <c r="G1990" s="1">
        <v>63</v>
      </c>
      <c r="H1990" s="23">
        <v>45127.439826388887</v>
      </c>
      <c r="I1990" s="1" t="b">
        <v>0</v>
      </c>
      <c r="K1990" s="10">
        <f t="shared" si="157"/>
        <v>13.85583333321847</v>
      </c>
      <c r="L1990" s="1" t="str">
        <f t="shared" si="158"/>
        <v>OK</v>
      </c>
      <c r="M1990" s="1">
        <f t="shared" si="155"/>
        <v>1</v>
      </c>
      <c r="N1990" s="1">
        <f t="shared" si="156"/>
        <v>63</v>
      </c>
      <c r="O1990" s="10">
        <f t="shared" si="159"/>
        <v>13.85583333321847</v>
      </c>
    </row>
    <row r="1991" spans="1:15">
      <c r="A1991" s="1" t="s">
        <v>2096</v>
      </c>
      <c r="B1991" s="23">
        <v>45126.868055555555</v>
      </c>
      <c r="C1991" s="1" t="s">
        <v>11</v>
      </c>
      <c r="D1991" s="1" t="s">
        <v>17</v>
      </c>
      <c r="E1991" s="1" t="s">
        <v>18</v>
      </c>
      <c r="F1991" s="1" t="s">
        <v>37</v>
      </c>
      <c r="G1991" s="1">
        <v>82</v>
      </c>
      <c r="H1991" s="23">
        <v>45127.079375000001</v>
      </c>
      <c r="I1991" s="1" t="b">
        <v>0</v>
      </c>
      <c r="K1991" s="10">
        <f t="shared" si="157"/>
        <v>5.0716666667140089</v>
      </c>
      <c r="L1991" s="1" t="str">
        <f t="shared" si="158"/>
        <v>OK</v>
      </c>
      <c r="M1991" s="1">
        <f t="shared" si="155"/>
        <v>1</v>
      </c>
      <c r="N1991" s="1">
        <f t="shared" si="156"/>
        <v>82</v>
      </c>
      <c r="O1991" s="10">
        <f t="shared" si="159"/>
        <v>5.0716666667140089</v>
      </c>
    </row>
    <row r="1992" spans="1:15">
      <c r="A1992" s="1" t="s">
        <v>2097</v>
      </c>
      <c r="B1992" s="23">
        <v>45126.907638888886</v>
      </c>
      <c r="C1992" s="1" t="s">
        <v>11</v>
      </c>
      <c r="D1992" s="1" t="s">
        <v>21</v>
      </c>
      <c r="E1992" s="1" t="s">
        <v>18</v>
      </c>
      <c r="F1992" s="1" t="s">
        <v>132</v>
      </c>
      <c r="G1992" s="1">
        <v>20</v>
      </c>
      <c r="H1992" s="23">
        <v>45130.759513888886</v>
      </c>
      <c r="I1992" s="1" t="b">
        <v>0</v>
      </c>
      <c r="K1992" s="10">
        <f t="shared" si="157"/>
        <v>92.445000000006985</v>
      </c>
      <c r="L1992" s="1" t="str">
        <f t="shared" si="158"/>
        <v>OK</v>
      </c>
      <c r="M1992" s="1">
        <f t="shared" si="155"/>
        <v>1</v>
      </c>
      <c r="N1992" s="1">
        <f t="shared" si="156"/>
        <v>20</v>
      </c>
      <c r="O1992" s="10">
        <f t="shared" si="159"/>
        <v>92.445000000006985</v>
      </c>
    </row>
    <row r="1993" spans="1:15">
      <c r="A1993" s="1" t="s">
        <v>2098</v>
      </c>
      <c r="B1993" s="23">
        <v>45126.925694444442</v>
      </c>
      <c r="C1993" s="1" t="s">
        <v>25</v>
      </c>
      <c r="D1993" s="1" t="s">
        <v>17</v>
      </c>
      <c r="E1993" s="1" t="s">
        <v>13</v>
      </c>
      <c r="F1993" s="1" t="s">
        <v>102</v>
      </c>
      <c r="G1993" s="1">
        <v>57</v>
      </c>
      <c r="H1993" s="23">
        <v>45130.445150462961</v>
      </c>
      <c r="I1993" s="1" t="b">
        <v>0</v>
      </c>
      <c r="K1993" s="10">
        <f t="shared" si="157"/>
        <v>84.466944444458932</v>
      </c>
      <c r="L1993" s="1" t="str">
        <f t="shared" si="158"/>
        <v>OK</v>
      </c>
      <c r="M1993" s="1">
        <f t="shared" si="155"/>
        <v>1</v>
      </c>
      <c r="N1993" s="1">
        <f t="shared" si="156"/>
        <v>57</v>
      </c>
      <c r="O1993" s="10">
        <f t="shared" si="159"/>
        <v>84.466944444458932</v>
      </c>
    </row>
    <row r="1994" spans="1:15">
      <c r="A1994" s="1" t="s">
        <v>2099</v>
      </c>
      <c r="B1994" s="23">
        <v>45127.23333333333</v>
      </c>
      <c r="C1994" s="1" t="s">
        <v>25</v>
      </c>
      <c r="D1994" s="1" t="s">
        <v>26</v>
      </c>
      <c r="E1994" s="1" t="s">
        <v>18</v>
      </c>
      <c r="F1994" s="1" t="s">
        <v>128</v>
      </c>
      <c r="G1994" s="1">
        <v>84</v>
      </c>
      <c r="I1994" s="1" t="b">
        <v>0</v>
      </c>
      <c r="K1994" s="10" t="str">
        <f t="shared" si="157"/>
        <v/>
      </c>
      <c r="L1994" s="1" t="str">
        <f t="shared" si="158"/>
        <v>Cannot check</v>
      </c>
      <c r="M1994" s="1">
        <f t="shared" si="155"/>
        <v>1</v>
      </c>
      <c r="N1994" s="1">
        <f t="shared" si="156"/>
        <v>84</v>
      </c>
      <c r="O1994" s="10" t="str">
        <f t="shared" si="159"/>
        <v/>
      </c>
    </row>
    <row r="1995" spans="1:15">
      <c r="A1995" s="1" t="s">
        <v>2100</v>
      </c>
      <c r="B1995" s="23">
        <v>45127.288888888892</v>
      </c>
      <c r="C1995" s="1" t="s">
        <v>16</v>
      </c>
      <c r="D1995" s="1" t="s">
        <v>17</v>
      </c>
      <c r="E1995" s="1" t="s">
        <v>18</v>
      </c>
      <c r="F1995" s="1" t="s">
        <v>167</v>
      </c>
      <c r="G1995" s="1">
        <v>366</v>
      </c>
      <c r="H1995" s="23">
        <v>45128.093587962961</v>
      </c>
      <c r="I1995" s="1" t="b">
        <v>0</v>
      </c>
      <c r="K1995" s="10">
        <f t="shared" si="157"/>
        <v>19.312777777668089</v>
      </c>
      <c r="L1995" s="1" t="str">
        <f t="shared" si="158"/>
        <v>OK</v>
      </c>
      <c r="M1995" s="1">
        <f t="shared" si="155"/>
        <v>1</v>
      </c>
      <c r="N1995" s="1">
        <f t="shared" si="156"/>
        <v>366</v>
      </c>
      <c r="O1995" s="10">
        <f t="shared" si="159"/>
        <v>19.312777777668089</v>
      </c>
    </row>
    <row r="1996" spans="1:15">
      <c r="A1996" s="1" t="s">
        <v>2101</v>
      </c>
      <c r="B1996" s="23">
        <v>45127.29583333333</v>
      </c>
      <c r="C1996" s="1" t="s">
        <v>43</v>
      </c>
      <c r="D1996" s="1" t="s">
        <v>59</v>
      </c>
      <c r="E1996" s="1" t="s">
        <v>18</v>
      </c>
      <c r="F1996" s="1" t="s">
        <v>19</v>
      </c>
      <c r="G1996" s="1">
        <v>34</v>
      </c>
      <c r="H1996" s="23">
        <v>45127.89875</v>
      </c>
      <c r="I1996" s="1" t="b">
        <v>0</v>
      </c>
      <c r="J1996" s="1">
        <v>2</v>
      </c>
      <c r="K1996" s="10">
        <f t="shared" si="157"/>
        <v>14.470000000088476</v>
      </c>
      <c r="L1996" s="1" t="str">
        <f t="shared" si="158"/>
        <v>OK</v>
      </c>
      <c r="M1996" s="1">
        <f t="shared" si="155"/>
        <v>1</v>
      </c>
      <c r="N1996" s="1">
        <f t="shared" si="156"/>
        <v>34</v>
      </c>
      <c r="O1996" s="10">
        <f t="shared" si="159"/>
        <v>14.470000000088476</v>
      </c>
    </row>
    <row r="1997" spans="1:15">
      <c r="A1997" s="1" t="s">
        <v>2102</v>
      </c>
      <c r="B1997" s="23">
        <v>45127.324305555558</v>
      </c>
      <c r="C1997" s="1" t="s">
        <v>43</v>
      </c>
      <c r="D1997" s="1" t="s">
        <v>17</v>
      </c>
      <c r="E1997" s="1" t="s">
        <v>18</v>
      </c>
      <c r="F1997" s="1" t="s">
        <v>94</v>
      </c>
      <c r="G1997" s="1">
        <v>78</v>
      </c>
      <c r="H1997" s="23">
        <v>45127.562060185184</v>
      </c>
      <c r="I1997" s="1" t="b">
        <v>0</v>
      </c>
      <c r="J1997" s="1">
        <v>4</v>
      </c>
      <c r="K1997" s="10">
        <f t="shared" si="157"/>
        <v>5.7061111110378988</v>
      </c>
      <c r="L1997" s="1" t="str">
        <f t="shared" si="158"/>
        <v>OK</v>
      </c>
      <c r="M1997" s="1">
        <f t="shared" si="155"/>
        <v>1</v>
      </c>
      <c r="N1997" s="1">
        <f t="shared" si="156"/>
        <v>78</v>
      </c>
      <c r="O1997" s="10">
        <f t="shared" si="159"/>
        <v>5.7061111110378988</v>
      </c>
    </row>
    <row r="1998" spans="1:15">
      <c r="A1998" s="1" t="s">
        <v>2103</v>
      </c>
      <c r="B1998" s="23">
        <v>45127.50277777778</v>
      </c>
      <c r="C1998" s="1" t="s">
        <v>16</v>
      </c>
      <c r="D1998" s="1" t="s">
        <v>59</v>
      </c>
      <c r="E1998" s="1" t="s">
        <v>22</v>
      </c>
      <c r="F1998" s="1" t="s">
        <v>19</v>
      </c>
      <c r="G1998" s="1">
        <v>9</v>
      </c>
      <c r="H1998" s="23">
        <v>45127.601238425923</v>
      </c>
      <c r="I1998" s="1" t="b">
        <v>0</v>
      </c>
      <c r="K1998" s="10">
        <f t="shared" si="157"/>
        <v>2.3630555554409511</v>
      </c>
      <c r="L1998" s="1" t="str">
        <f t="shared" si="158"/>
        <v>OK</v>
      </c>
      <c r="M1998" s="1">
        <f t="shared" si="155"/>
        <v>1</v>
      </c>
      <c r="N1998" s="1">
        <f t="shared" si="156"/>
        <v>9</v>
      </c>
      <c r="O1998" s="10">
        <f t="shared" si="159"/>
        <v>2.3630555554409511</v>
      </c>
    </row>
    <row r="1999" spans="1:15">
      <c r="A1999" s="1" t="s">
        <v>2104</v>
      </c>
      <c r="B1999" s="23">
        <v>45127.506944444445</v>
      </c>
      <c r="C1999" s="1" t="s">
        <v>25</v>
      </c>
      <c r="D1999" s="1" t="s">
        <v>12</v>
      </c>
      <c r="E1999" s="1" t="s">
        <v>18</v>
      </c>
      <c r="F1999" s="1" t="s">
        <v>256</v>
      </c>
      <c r="G1999" s="1">
        <v>270</v>
      </c>
      <c r="H1999" s="23">
        <v>45127.584548611114</v>
      </c>
      <c r="I1999" s="1" t="b">
        <v>0</v>
      </c>
      <c r="K1999" s="10">
        <f t="shared" si="157"/>
        <v>1.8625000000465661</v>
      </c>
      <c r="L1999" s="1" t="str">
        <f t="shared" si="158"/>
        <v>Review</v>
      </c>
      <c r="M1999" s="1">
        <f t="shared" si="155"/>
        <v>1</v>
      </c>
      <c r="N1999" s="1" t="str">
        <f t="shared" si="156"/>
        <v/>
      </c>
      <c r="O1999" s="10" t="str">
        <f t="shared" si="159"/>
        <v/>
      </c>
    </row>
    <row r="2000" spans="1:15">
      <c r="A2000" s="1" t="s">
        <v>2105</v>
      </c>
      <c r="B2000" s="23">
        <v>45127.511805555558</v>
      </c>
      <c r="C2000" s="1" t="s">
        <v>11</v>
      </c>
      <c r="D2000" s="1" t="s">
        <v>17</v>
      </c>
      <c r="E2000" s="1" t="s">
        <v>18</v>
      </c>
      <c r="F2000" s="1" t="s">
        <v>64</v>
      </c>
      <c r="G2000" s="1">
        <v>102</v>
      </c>
      <c r="H2000" s="23">
        <v>45128.303819444445</v>
      </c>
      <c r="I2000" s="1" t="b">
        <v>0</v>
      </c>
      <c r="K2000" s="10">
        <f t="shared" si="157"/>
        <v>19.008333333302289</v>
      </c>
      <c r="L2000" s="1" t="str">
        <f t="shared" si="158"/>
        <v>OK</v>
      </c>
      <c r="M2000" s="1">
        <f t="shared" si="155"/>
        <v>1</v>
      </c>
      <c r="N2000" s="1">
        <f t="shared" si="156"/>
        <v>102</v>
      </c>
      <c r="O2000" s="10">
        <f t="shared" si="159"/>
        <v>19.008333333302289</v>
      </c>
    </row>
    <row r="2001" spans="1:15">
      <c r="A2001" s="1" t="s">
        <v>2106</v>
      </c>
      <c r="B2001" s="23">
        <v>45127.640277777777</v>
      </c>
      <c r="C2001" s="1" t="s">
        <v>16</v>
      </c>
      <c r="D2001" s="1" t="s">
        <v>21</v>
      </c>
      <c r="E2001" s="1" t="s">
        <v>22</v>
      </c>
      <c r="F2001" s="1" t="s">
        <v>57</v>
      </c>
      <c r="G2001" s="1">
        <v>4</v>
      </c>
      <c r="H2001" s="23">
        <v>45127.873969907407</v>
      </c>
      <c r="I2001" s="1" t="b">
        <v>0</v>
      </c>
      <c r="K2001" s="10">
        <f t="shared" si="157"/>
        <v>5.6086111111217178</v>
      </c>
      <c r="L2001" s="1" t="str">
        <f t="shared" si="158"/>
        <v>OK</v>
      </c>
      <c r="M2001" s="1">
        <f t="shared" si="155"/>
        <v>1</v>
      </c>
      <c r="N2001" s="1">
        <f t="shared" si="156"/>
        <v>4</v>
      </c>
      <c r="O2001" s="10">
        <f t="shared" si="159"/>
        <v>5.6086111111217178</v>
      </c>
    </row>
    <row r="2002" spans="1:15">
      <c r="A2002" s="1" t="s">
        <v>2107</v>
      </c>
      <c r="B2002" s="23">
        <v>45127.756944444445</v>
      </c>
      <c r="C2002" s="1" t="s">
        <v>16</v>
      </c>
      <c r="D2002" s="1" t="s">
        <v>17</v>
      </c>
      <c r="E2002" s="1" t="s">
        <v>18</v>
      </c>
      <c r="F2002" s="1" t="s">
        <v>128</v>
      </c>
      <c r="G2002" s="1">
        <v>41</v>
      </c>
      <c r="H2002" s="23">
        <v>45129.696736111109</v>
      </c>
      <c r="I2002" s="1" t="b">
        <v>0</v>
      </c>
      <c r="J2002" s="1">
        <v>5</v>
      </c>
      <c r="K2002" s="10">
        <f t="shared" si="157"/>
        <v>46.554999999934807</v>
      </c>
      <c r="L2002" s="1" t="str">
        <f t="shared" si="158"/>
        <v>OK</v>
      </c>
      <c r="M2002" s="1">
        <f t="shared" si="155"/>
        <v>1</v>
      </c>
      <c r="N2002" s="1">
        <f t="shared" si="156"/>
        <v>41</v>
      </c>
      <c r="O2002" s="10">
        <f t="shared" si="159"/>
        <v>46.554999999934807</v>
      </c>
    </row>
    <row r="2003" spans="1:15">
      <c r="A2003" s="1" t="s">
        <v>2108</v>
      </c>
      <c r="B2003" s="23">
        <v>45127.815972222219</v>
      </c>
      <c r="C2003" s="1" t="s">
        <v>25</v>
      </c>
      <c r="D2003" s="1" t="s">
        <v>21</v>
      </c>
      <c r="E2003" s="1" t="s">
        <v>13</v>
      </c>
      <c r="F2003" s="1" t="s">
        <v>102</v>
      </c>
      <c r="G2003" s="1">
        <v>81</v>
      </c>
      <c r="I2003" s="1" t="b">
        <v>0</v>
      </c>
      <c r="K2003" s="10" t="str">
        <f t="shared" si="157"/>
        <v/>
      </c>
      <c r="L2003" s="1" t="str">
        <f t="shared" si="158"/>
        <v>Cannot check</v>
      </c>
      <c r="M2003" s="1">
        <f t="shared" si="155"/>
        <v>1</v>
      </c>
      <c r="N2003" s="1">
        <f t="shared" si="156"/>
        <v>81</v>
      </c>
      <c r="O2003" s="10" t="str">
        <f t="shared" si="159"/>
        <v/>
      </c>
    </row>
    <row r="2004" spans="1:15">
      <c r="A2004" s="1" t="s">
        <v>2109</v>
      </c>
      <c r="B2004" s="23">
        <v>45127.963888888888</v>
      </c>
      <c r="C2004" s="1" t="s">
        <v>43</v>
      </c>
      <c r="D2004" s="1" t="s">
        <v>12</v>
      </c>
      <c r="E2004" s="1" t="s">
        <v>18</v>
      </c>
      <c r="F2004" s="1" t="s">
        <v>118</v>
      </c>
      <c r="G2004" s="1">
        <v>59</v>
      </c>
      <c r="H2004" s="23">
        <v>45128.191655092596</v>
      </c>
      <c r="I2004" s="1" t="b">
        <v>0</v>
      </c>
      <c r="K2004" s="10">
        <f t="shared" si="157"/>
        <v>5.466388889006339</v>
      </c>
      <c r="L2004" s="1" t="str">
        <f t="shared" si="158"/>
        <v>OK</v>
      </c>
      <c r="M2004" s="1">
        <f t="shared" si="155"/>
        <v>1</v>
      </c>
      <c r="N2004" s="1">
        <f t="shared" si="156"/>
        <v>59</v>
      </c>
      <c r="O2004" s="10">
        <f t="shared" si="159"/>
        <v>5.466388889006339</v>
      </c>
    </row>
    <row r="2005" spans="1:15">
      <c r="A2005" s="1" t="s">
        <v>2110</v>
      </c>
      <c r="B2005" s="23">
        <v>45127.970138888886</v>
      </c>
      <c r="C2005" s="1" t="s">
        <v>43</v>
      </c>
      <c r="D2005" s="1" t="s">
        <v>12</v>
      </c>
      <c r="E2005" s="1" t="s">
        <v>13</v>
      </c>
      <c r="F2005" s="1" t="s">
        <v>116</v>
      </c>
      <c r="G2005" s="1">
        <v>37</v>
      </c>
      <c r="H2005" s="23">
        <v>45128.374351851853</v>
      </c>
      <c r="I2005" s="1" t="b">
        <v>0</v>
      </c>
      <c r="K2005" s="10">
        <f t="shared" si="157"/>
        <v>9.7011111112078652</v>
      </c>
      <c r="L2005" s="1" t="str">
        <f t="shared" si="158"/>
        <v>OK</v>
      </c>
      <c r="M2005" s="1">
        <f t="shared" si="155"/>
        <v>1</v>
      </c>
      <c r="N2005" s="1">
        <f t="shared" si="156"/>
        <v>37</v>
      </c>
      <c r="O2005" s="10">
        <f t="shared" si="159"/>
        <v>9.7011111112078652</v>
      </c>
    </row>
    <row r="2006" spans="1:15">
      <c r="A2006" s="1" t="s">
        <v>2111</v>
      </c>
      <c r="B2006" s="23">
        <v>45127.984722222223</v>
      </c>
      <c r="C2006" s="1" t="s">
        <v>16</v>
      </c>
      <c r="D2006" s="1" t="s">
        <v>59</v>
      </c>
      <c r="E2006" s="1" t="s">
        <v>13</v>
      </c>
      <c r="F2006" s="1" t="s">
        <v>23</v>
      </c>
      <c r="G2006" s="1">
        <v>16</v>
      </c>
      <c r="H2006" s="23">
        <v>45128.755162037036</v>
      </c>
      <c r="I2006" s="1" t="b">
        <v>0</v>
      </c>
      <c r="K2006" s="10">
        <f t="shared" si="157"/>
        <v>18.490555555501487</v>
      </c>
      <c r="L2006" s="1" t="str">
        <f t="shared" si="158"/>
        <v>OK</v>
      </c>
      <c r="M2006" s="1">
        <f t="shared" si="155"/>
        <v>1</v>
      </c>
      <c r="N2006" s="1">
        <f t="shared" si="156"/>
        <v>16</v>
      </c>
      <c r="O2006" s="10">
        <f t="shared" si="159"/>
        <v>18.490555555501487</v>
      </c>
    </row>
    <row r="2007" spans="1:15">
      <c r="A2007" s="1" t="s">
        <v>2112</v>
      </c>
      <c r="B2007" s="23">
        <v>45128.209027777775</v>
      </c>
      <c r="C2007" s="1" t="s">
        <v>16</v>
      </c>
      <c r="D2007" s="1" t="s">
        <v>17</v>
      </c>
      <c r="E2007" s="1" t="s">
        <v>18</v>
      </c>
      <c r="F2007" s="1" t="s">
        <v>64</v>
      </c>
      <c r="G2007" s="1">
        <v>39</v>
      </c>
      <c r="H2007" s="23">
        <v>45128.54991898148</v>
      </c>
      <c r="I2007" s="1" t="b">
        <v>0</v>
      </c>
      <c r="J2007" s="1">
        <v>5</v>
      </c>
      <c r="K2007" s="10">
        <f t="shared" si="157"/>
        <v>8.1813888889155351</v>
      </c>
      <c r="L2007" s="1" t="str">
        <f t="shared" si="158"/>
        <v>OK</v>
      </c>
      <c r="M2007" s="1">
        <f t="shared" si="155"/>
        <v>1</v>
      </c>
      <c r="N2007" s="1">
        <f t="shared" si="156"/>
        <v>39</v>
      </c>
      <c r="O2007" s="10">
        <f t="shared" si="159"/>
        <v>8.1813888889155351</v>
      </c>
    </row>
    <row r="2008" spans="1:15">
      <c r="A2008" s="1" t="s">
        <v>2113</v>
      </c>
      <c r="B2008" s="23">
        <v>45128.337500000001</v>
      </c>
      <c r="C2008" s="1" t="s">
        <v>25</v>
      </c>
      <c r="D2008" s="1" t="s">
        <v>17</v>
      </c>
      <c r="E2008" s="1" t="s">
        <v>18</v>
      </c>
      <c r="F2008" s="1" t="s">
        <v>128</v>
      </c>
      <c r="G2008" s="1">
        <v>9</v>
      </c>
      <c r="H2008" s="23">
        <v>45136.823148148149</v>
      </c>
      <c r="I2008" s="1" t="b">
        <v>0</v>
      </c>
      <c r="K2008" s="10">
        <f t="shared" si="157"/>
        <v>203.65555555553874</v>
      </c>
      <c r="L2008" s="1" t="str">
        <f t="shared" si="158"/>
        <v>OK</v>
      </c>
      <c r="M2008" s="1">
        <f t="shared" si="155"/>
        <v>1</v>
      </c>
      <c r="N2008" s="1">
        <f t="shared" si="156"/>
        <v>9</v>
      </c>
      <c r="O2008" s="10">
        <f t="shared" si="159"/>
        <v>203.65555555553874</v>
      </c>
    </row>
    <row r="2009" spans="1:15">
      <c r="A2009" s="1" t="s">
        <v>2114</v>
      </c>
      <c r="B2009" s="23">
        <v>45128.673611111109</v>
      </c>
      <c r="C2009" s="1" t="s">
        <v>43</v>
      </c>
      <c r="D2009" s="1" t="s">
        <v>12</v>
      </c>
      <c r="E2009" s="1" t="s">
        <v>22</v>
      </c>
      <c r="F2009" s="1" t="s">
        <v>201</v>
      </c>
      <c r="G2009" s="1">
        <v>24</v>
      </c>
      <c r="H2009" s="23">
        <v>45128.738287037035</v>
      </c>
      <c r="I2009" s="1" t="b">
        <v>0</v>
      </c>
      <c r="J2009" s="1">
        <v>3</v>
      </c>
      <c r="K2009" s="10">
        <f t="shared" si="157"/>
        <v>1.5522222222061828</v>
      </c>
      <c r="L2009" s="1" t="str">
        <f t="shared" si="158"/>
        <v>OK</v>
      </c>
      <c r="M2009" s="1">
        <f t="shared" si="155"/>
        <v>1</v>
      </c>
      <c r="N2009" s="1">
        <f t="shared" si="156"/>
        <v>24</v>
      </c>
      <c r="O2009" s="10">
        <f t="shared" si="159"/>
        <v>1.5522222222061828</v>
      </c>
    </row>
    <row r="2010" spans="1:15">
      <c r="A2010" s="1" t="s">
        <v>2115</v>
      </c>
      <c r="B2010" s="23">
        <v>45128.678472222222</v>
      </c>
      <c r="C2010" s="1" t="s">
        <v>25</v>
      </c>
      <c r="D2010" s="1" t="s">
        <v>21</v>
      </c>
      <c r="E2010" s="1" t="s">
        <v>13</v>
      </c>
      <c r="F2010" s="1" t="s">
        <v>29</v>
      </c>
      <c r="G2010" s="1">
        <v>83</v>
      </c>
      <c r="H2010" s="23">
        <v>45128.956608796296</v>
      </c>
      <c r="I2010" s="1" t="b">
        <v>1</v>
      </c>
      <c r="K2010" s="10">
        <f t="shared" si="157"/>
        <v>6.6752777777728625</v>
      </c>
      <c r="L2010" s="1" t="str">
        <f t="shared" si="158"/>
        <v>OK</v>
      </c>
      <c r="M2010" s="1">
        <f t="shared" si="155"/>
        <v>1</v>
      </c>
      <c r="N2010" s="1">
        <f t="shared" si="156"/>
        <v>83</v>
      </c>
      <c r="O2010" s="10">
        <f t="shared" si="159"/>
        <v>6.6752777777728625</v>
      </c>
    </row>
    <row r="2011" spans="1:15">
      <c r="A2011" s="1" t="s">
        <v>2116</v>
      </c>
      <c r="B2011" s="23">
        <v>45128.807638888888</v>
      </c>
      <c r="C2011" s="1" t="s">
        <v>25</v>
      </c>
      <c r="D2011" s="1" t="s">
        <v>17</v>
      </c>
      <c r="E2011" s="1" t="s">
        <v>33</v>
      </c>
      <c r="F2011" s="1" t="s">
        <v>19</v>
      </c>
      <c r="G2011" s="1">
        <v>506</v>
      </c>
      <c r="H2011" s="23">
        <v>45135.010115740741</v>
      </c>
      <c r="I2011" s="1" t="b">
        <v>0</v>
      </c>
      <c r="K2011" s="10">
        <f t="shared" si="157"/>
        <v>148.85944444447523</v>
      </c>
      <c r="L2011" s="1" t="str">
        <f t="shared" si="158"/>
        <v>OK</v>
      </c>
      <c r="M2011" s="1">
        <f t="shared" si="155"/>
        <v>1</v>
      </c>
      <c r="N2011" s="1">
        <f t="shared" si="156"/>
        <v>506</v>
      </c>
      <c r="O2011" s="10">
        <f t="shared" si="159"/>
        <v>148.85944444447523</v>
      </c>
    </row>
    <row r="2012" spans="1:15">
      <c r="A2012" s="1" t="s">
        <v>2117</v>
      </c>
      <c r="B2012" s="23">
        <v>45128.826388888891</v>
      </c>
      <c r="C2012" s="1" t="s">
        <v>16</v>
      </c>
      <c r="D2012" s="1" t="s">
        <v>21</v>
      </c>
      <c r="E2012" s="1" t="s">
        <v>18</v>
      </c>
      <c r="F2012" s="1" t="s">
        <v>110</v>
      </c>
      <c r="G2012" s="1">
        <v>321</v>
      </c>
      <c r="H2012" s="23">
        <v>45129.031493055554</v>
      </c>
      <c r="I2012" s="1" t="b">
        <v>0</v>
      </c>
      <c r="J2012" s="1">
        <v>5</v>
      </c>
      <c r="K2012" s="10">
        <f t="shared" si="157"/>
        <v>4.9224999999278225</v>
      </c>
      <c r="L2012" s="1" t="str">
        <f t="shared" si="158"/>
        <v>Review</v>
      </c>
      <c r="M2012" s="1">
        <f t="shared" si="155"/>
        <v>1</v>
      </c>
      <c r="N2012" s="1" t="str">
        <f t="shared" si="156"/>
        <v/>
      </c>
      <c r="O2012" s="10" t="str">
        <f t="shared" si="159"/>
        <v/>
      </c>
    </row>
    <row r="2013" spans="1:15">
      <c r="A2013" s="1" t="s">
        <v>2118</v>
      </c>
      <c r="B2013" s="23">
        <v>45128.84375</v>
      </c>
      <c r="C2013" s="1" t="s">
        <v>11</v>
      </c>
      <c r="D2013" s="1" t="s">
        <v>17</v>
      </c>
      <c r="E2013" s="1" t="s">
        <v>13</v>
      </c>
      <c r="F2013" s="1" t="s">
        <v>167</v>
      </c>
      <c r="G2013" s="1">
        <v>78</v>
      </c>
      <c r="H2013" s="23">
        <v>45129.902187500003</v>
      </c>
      <c r="I2013" s="1" t="b">
        <v>0</v>
      </c>
      <c r="K2013" s="10">
        <f t="shared" si="157"/>
        <v>25.402500000083819</v>
      </c>
      <c r="L2013" s="1" t="str">
        <f t="shared" si="158"/>
        <v>OK</v>
      </c>
      <c r="M2013" s="1">
        <f t="shared" si="155"/>
        <v>1</v>
      </c>
      <c r="N2013" s="1">
        <f t="shared" si="156"/>
        <v>78</v>
      </c>
      <c r="O2013" s="10">
        <f t="shared" si="159"/>
        <v>25.402500000083819</v>
      </c>
    </row>
    <row r="2014" spans="1:15">
      <c r="A2014" s="1" t="s">
        <v>2119</v>
      </c>
      <c r="B2014" s="23">
        <v>45129.074305555558</v>
      </c>
      <c r="C2014" s="1" t="s">
        <v>16</v>
      </c>
      <c r="D2014" s="1" t="s">
        <v>59</v>
      </c>
      <c r="E2014" s="1" t="s">
        <v>18</v>
      </c>
      <c r="F2014" s="1" t="s">
        <v>35</v>
      </c>
      <c r="G2014" s="1">
        <v>93</v>
      </c>
      <c r="H2014" s="23">
        <v>45129.667372685188</v>
      </c>
      <c r="I2014" s="1" t="b">
        <v>0</v>
      </c>
      <c r="J2014" s="1">
        <v>5</v>
      </c>
      <c r="K2014" s="10">
        <f t="shared" si="157"/>
        <v>14.233611111121718</v>
      </c>
      <c r="L2014" s="1" t="str">
        <f t="shared" si="158"/>
        <v>OK</v>
      </c>
      <c r="M2014" s="1">
        <f t="shared" si="155"/>
        <v>1</v>
      </c>
      <c r="N2014" s="1">
        <f t="shared" si="156"/>
        <v>93</v>
      </c>
      <c r="O2014" s="10">
        <f t="shared" si="159"/>
        <v>14.233611111121718</v>
      </c>
    </row>
    <row r="2015" spans="1:15">
      <c r="A2015" s="1" t="s">
        <v>2120</v>
      </c>
      <c r="B2015" s="23">
        <v>45129.120833333334</v>
      </c>
      <c r="C2015" s="1" t="s">
        <v>16</v>
      </c>
      <c r="D2015" s="1" t="s">
        <v>26</v>
      </c>
      <c r="E2015" s="1" t="s">
        <v>13</v>
      </c>
      <c r="F2015" s="1" t="s">
        <v>486</v>
      </c>
      <c r="G2015" s="1">
        <v>107</v>
      </c>
      <c r="H2015" s="23">
        <v>45131.481157407405</v>
      </c>
      <c r="I2015" s="1" t="b">
        <v>0</v>
      </c>
      <c r="K2015" s="10">
        <f t="shared" si="157"/>
        <v>56.647777777689043</v>
      </c>
      <c r="L2015" s="1" t="str">
        <f t="shared" si="158"/>
        <v>OK</v>
      </c>
      <c r="M2015" s="1">
        <f t="shared" si="155"/>
        <v>1</v>
      </c>
      <c r="N2015" s="1">
        <f t="shared" si="156"/>
        <v>107</v>
      </c>
      <c r="O2015" s="10">
        <f t="shared" si="159"/>
        <v>56.647777777689043</v>
      </c>
    </row>
    <row r="2016" spans="1:15">
      <c r="A2016" s="1" t="s">
        <v>2121</v>
      </c>
      <c r="B2016" s="23">
        <v>45129.402777777781</v>
      </c>
      <c r="C2016" s="1" t="s">
        <v>16</v>
      </c>
      <c r="D2016" s="1" t="s">
        <v>17</v>
      </c>
      <c r="E2016" s="1" t="s">
        <v>33</v>
      </c>
      <c r="F2016" s="1" t="s">
        <v>108</v>
      </c>
      <c r="G2016" s="1">
        <v>131</v>
      </c>
      <c r="H2016" s="23">
        <v>45131.120613425926</v>
      </c>
      <c r="I2016" s="1" t="b">
        <v>0</v>
      </c>
      <c r="K2016" s="10">
        <f t="shared" si="157"/>
        <v>41.228055555489846</v>
      </c>
      <c r="L2016" s="1" t="str">
        <f t="shared" si="158"/>
        <v>OK</v>
      </c>
      <c r="M2016" s="1">
        <f t="shared" si="155"/>
        <v>1</v>
      </c>
      <c r="N2016" s="1">
        <f t="shared" si="156"/>
        <v>131</v>
      </c>
      <c r="O2016" s="10">
        <f t="shared" si="159"/>
        <v>41.228055555489846</v>
      </c>
    </row>
    <row r="2017" spans="1:15">
      <c r="A2017" s="1" t="s">
        <v>2122</v>
      </c>
      <c r="B2017" s="23">
        <v>45129.525000000001</v>
      </c>
      <c r="C2017" s="1" t="s">
        <v>43</v>
      </c>
      <c r="D2017" s="1" t="s">
        <v>21</v>
      </c>
      <c r="E2017" s="1" t="s">
        <v>18</v>
      </c>
      <c r="F2017" s="1" t="s">
        <v>76</v>
      </c>
      <c r="G2017" s="1">
        <v>132</v>
      </c>
      <c r="H2017" s="23">
        <v>45130.082812499997</v>
      </c>
      <c r="I2017" s="1" t="b">
        <v>0</v>
      </c>
      <c r="K2017" s="10">
        <f t="shared" si="157"/>
        <v>13.387499999895226</v>
      </c>
      <c r="L2017" s="1" t="str">
        <f t="shared" si="158"/>
        <v>OK</v>
      </c>
      <c r="M2017" s="1">
        <f t="shared" si="155"/>
        <v>1</v>
      </c>
      <c r="N2017" s="1">
        <f t="shared" si="156"/>
        <v>132</v>
      </c>
      <c r="O2017" s="10">
        <f t="shared" si="159"/>
        <v>13.387499999895226</v>
      </c>
    </row>
    <row r="2018" spans="1:15">
      <c r="A2018" s="1" t="s">
        <v>2123</v>
      </c>
      <c r="B2018" s="23">
        <v>45129.612500000003</v>
      </c>
      <c r="C2018" s="1" t="s">
        <v>11</v>
      </c>
      <c r="D2018" s="1" t="s">
        <v>59</v>
      </c>
      <c r="E2018" s="1" t="s">
        <v>18</v>
      </c>
      <c r="F2018" s="1" t="s">
        <v>86</v>
      </c>
      <c r="H2018" s="23">
        <v>45130.579745370371</v>
      </c>
      <c r="I2018" s="1" t="b">
        <v>1</v>
      </c>
      <c r="K2018" s="10">
        <f t="shared" si="157"/>
        <v>23.213888888829388</v>
      </c>
      <c r="L2018" s="1" t="str">
        <f t="shared" si="158"/>
        <v>Cannot check</v>
      </c>
      <c r="M2018" s="1">
        <f t="shared" si="155"/>
        <v>1</v>
      </c>
      <c r="N2018" s="1" t="str">
        <f t="shared" si="156"/>
        <v/>
      </c>
      <c r="O2018" s="10">
        <f t="shared" si="159"/>
        <v>23.213888888829388</v>
      </c>
    </row>
    <row r="2019" spans="1:15">
      <c r="A2019" s="1" t="s">
        <v>2124</v>
      </c>
      <c r="B2019" s="23">
        <v>45129.626388888886</v>
      </c>
      <c r="C2019" s="1" t="s">
        <v>11</v>
      </c>
      <c r="D2019" s="1" t="s">
        <v>17</v>
      </c>
      <c r="E2019" s="1" t="s">
        <v>13</v>
      </c>
      <c r="F2019" s="1" t="s">
        <v>41</v>
      </c>
      <c r="G2019" s="1">
        <v>70</v>
      </c>
      <c r="I2019" s="1" t="b">
        <v>0</v>
      </c>
      <c r="K2019" s="10" t="str">
        <f t="shared" si="157"/>
        <v/>
      </c>
      <c r="L2019" s="1" t="str">
        <f t="shared" si="158"/>
        <v>Cannot check</v>
      </c>
      <c r="M2019" s="1">
        <f t="shared" si="155"/>
        <v>1</v>
      </c>
      <c r="N2019" s="1">
        <f t="shared" si="156"/>
        <v>70</v>
      </c>
      <c r="O2019" s="10" t="str">
        <f t="shared" si="159"/>
        <v/>
      </c>
    </row>
    <row r="2020" spans="1:15">
      <c r="A2020" s="1" t="s">
        <v>2125</v>
      </c>
      <c r="B2020" s="23">
        <v>45129.819444444445</v>
      </c>
      <c r="C2020" s="1" t="s">
        <v>16</v>
      </c>
      <c r="D2020" s="1" t="s">
        <v>21</v>
      </c>
      <c r="E2020" s="1" t="s">
        <v>18</v>
      </c>
      <c r="F2020" s="1" t="s">
        <v>72</v>
      </c>
      <c r="G2020" s="1">
        <v>361</v>
      </c>
      <c r="H2020" s="23">
        <v>45148.596643518518</v>
      </c>
      <c r="I2020" s="1" t="b">
        <v>0</v>
      </c>
      <c r="K2020" s="10">
        <f t="shared" si="157"/>
        <v>450.65277777775191</v>
      </c>
      <c r="L2020" s="1" t="str">
        <f t="shared" si="158"/>
        <v>OK</v>
      </c>
      <c r="M2020" s="1">
        <f t="shared" si="155"/>
        <v>1</v>
      </c>
      <c r="N2020" s="1">
        <f t="shared" si="156"/>
        <v>361</v>
      </c>
      <c r="O2020" s="10">
        <f t="shared" si="159"/>
        <v>450.65277777775191</v>
      </c>
    </row>
    <row r="2021" spans="1:15">
      <c r="A2021" s="1" t="s">
        <v>2126</v>
      </c>
      <c r="B2021" s="23">
        <v>45130.031944444447</v>
      </c>
      <c r="C2021" s="1" t="s">
        <v>25</v>
      </c>
      <c r="D2021" s="1" t="s">
        <v>12</v>
      </c>
      <c r="E2021" s="1" t="s">
        <v>18</v>
      </c>
      <c r="F2021" s="1" t="s">
        <v>104</v>
      </c>
      <c r="G2021" s="1">
        <v>45</v>
      </c>
      <c r="H2021" s="23">
        <v>45131.603425925925</v>
      </c>
      <c r="I2021" s="1" t="b">
        <v>0</v>
      </c>
      <c r="K2021" s="10">
        <f t="shared" si="157"/>
        <v>37.715555555478204</v>
      </c>
      <c r="L2021" s="1" t="str">
        <f t="shared" si="158"/>
        <v>OK</v>
      </c>
      <c r="M2021" s="1">
        <f t="shared" si="155"/>
        <v>1</v>
      </c>
      <c r="N2021" s="1">
        <f t="shared" si="156"/>
        <v>45</v>
      </c>
      <c r="O2021" s="10">
        <f t="shared" si="159"/>
        <v>37.715555555478204</v>
      </c>
    </row>
    <row r="2022" spans="1:15">
      <c r="A2022" s="1" t="s">
        <v>2127</v>
      </c>
      <c r="B2022" s="23">
        <v>45130.164583333331</v>
      </c>
      <c r="C2022" s="1" t="s">
        <v>16</v>
      </c>
      <c r="D2022" s="1" t="s">
        <v>12</v>
      </c>
      <c r="E2022" s="1" t="s">
        <v>22</v>
      </c>
      <c r="F2022" s="1" t="s">
        <v>62</v>
      </c>
      <c r="G2022" s="1">
        <v>160</v>
      </c>
      <c r="H2022" s="23">
        <v>45130.797094907408</v>
      </c>
      <c r="I2022" s="1" t="b">
        <v>0</v>
      </c>
      <c r="J2022" s="1">
        <v>5</v>
      </c>
      <c r="K2022" s="10">
        <f t="shared" si="157"/>
        <v>15.180277777835727</v>
      </c>
      <c r="L2022" s="1" t="str">
        <f t="shared" si="158"/>
        <v>OK</v>
      </c>
      <c r="M2022" s="1">
        <f t="shared" si="155"/>
        <v>1</v>
      </c>
      <c r="N2022" s="1">
        <f t="shared" si="156"/>
        <v>160</v>
      </c>
      <c r="O2022" s="10">
        <f t="shared" si="159"/>
        <v>15.180277777835727</v>
      </c>
    </row>
    <row r="2023" spans="1:15">
      <c r="A2023" s="1" t="s">
        <v>2128</v>
      </c>
      <c r="B2023" s="23">
        <v>45130.217361111114</v>
      </c>
      <c r="C2023" s="1" t="s">
        <v>11</v>
      </c>
      <c r="D2023" s="1" t="s">
        <v>12</v>
      </c>
      <c r="E2023" s="1" t="s">
        <v>13</v>
      </c>
      <c r="F2023" s="1" t="s">
        <v>206</v>
      </c>
      <c r="G2023" s="1">
        <v>51</v>
      </c>
      <c r="H2023" s="23">
        <v>45130.39640046296</v>
      </c>
      <c r="I2023" s="1" t="b">
        <v>0</v>
      </c>
      <c r="J2023" s="1">
        <v>5</v>
      </c>
      <c r="K2023" s="10">
        <f t="shared" si="157"/>
        <v>4.2969444443006068</v>
      </c>
      <c r="L2023" s="1" t="str">
        <f t="shared" si="158"/>
        <v>OK</v>
      </c>
      <c r="M2023" s="1">
        <f t="shared" si="155"/>
        <v>1</v>
      </c>
      <c r="N2023" s="1">
        <f t="shared" si="156"/>
        <v>51</v>
      </c>
      <c r="O2023" s="10">
        <f t="shared" si="159"/>
        <v>4.2969444443006068</v>
      </c>
    </row>
    <row r="2024" spans="1:15">
      <c r="A2024" s="1" t="s">
        <v>2129</v>
      </c>
      <c r="B2024" s="23">
        <v>45130.432638888888</v>
      </c>
      <c r="C2024" s="1" t="s">
        <v>25</v>
      </c>
      <c r="D2024" s="1" t="s">
        <v>17</v>
      </c>
      <c r="E2024" s="1" t="s">
        <v>13</v>
      </c>
      <c r="F2024" s="1" t="s">
        <v>259</v>
      </c>
      <c r="G2024" s="1">
        <v>40</v>
      </c>
      <c r="H2024" s="23">
        <v>45132.165300925924</v>
      </c>
      <c r="I2024" s="1" t="b">
        <v>0</v>
      </c>
      <c r="K2024" s="10">
        <f t="shared" si="157"/>
        <v>41.583888888882939</v>
      </c>
      <c r="L2024" s="1" t="str">
        <f t="shared" si="158"/>
        <v>OK</v>
      </c>
      <c r="M2024" s="1">
        <f t="shared" si="155"/>
        <v>1</v>
      </c>
      <c r="N2024" s="1">
        <f t="shared" si="156"/>
        <v>40</v>
      </c>
      <c r="O2024" s="10">
        <f t="shared" si="159"/>
        <v>41.583888888882939</v>
      </c>
    </row>
    <row r="2025" spans="1:15">
      <c r="A2025" s="1" t="s">
        <v>2130</v>
      </c>
      <c r="B2025" s="23">
        <v>45130.45416666667</v>
      </c>
      <c r="C2025" s="1" t="s">
        <v>11</v>
      </c>
      <c r="D2025" s="1" t="s">
        <v>12</v>
      </c>
      <c r="E2025" s="1" t="s">
        <v>18</v>
      </c>
      <c r="F2025" s="1" t="s">
        <v>62</v>
      </c>
      <c r="G2025" s="1">
        <v>34</v>
      </c>
      <c r="I2025" s="1" t="b">
        <v>0</v>
      </c>
      <c r="K2025" s="10" t="str">
        <f t="shared" si="157"/>
        <v/>
      </c>
      <c r="L2025" s="1" t="str">
        <f t="shared" si="158"/>
        <v>Cannot check</v>
      </c>
      <c r="M2025" s="1">
        <f t="shared" si="155"/>
        <v>1</v>
      </c>
      <c r="N2025" s="1">
        <f t="shared" si="156"/>
        <v>34</v>
      </c>
      <c r="O2025" s="10" t="str">
        <f t="shared" si="159"/>
        <v/>
      </c>
    </row>
    <row r="2026" spans="1:15">
      <c r="A2026" s="1" t="s">
        <v>2131</v>
      </c>
      <c r="B2026" s="23">
        <v>45130.648611111108</v>
      </c>
      <c r="C2026" s="1" t="s">
        <v>25</v>
      </c>
      <c r="D2026" s="1" t="s">
        <v>59</v>
      </c>
      <c r="E2026" s="1" t="s">
        <v>18</v>
      </c>
      <c r="F2026" s="1" t="s">
        <v>175</v>
      </c>
      <c r="G2026" s="1">
        <v>142</v>
      </c>
      <c r="H2026" s="23">
        <v>45131.013935185183</v>
      </c>
      <c r="I2026" s="1" t="b">
        <v>0</v>
      </c>
      <c r="K2026" s="10">
        <f t="shared" si="157"/>
        <v>8.7677777778008021</v>
      </c>
      <c r="L2026" s="1" t="str">
        <f t="shared" si="158"/>
        <v>OK</v>
      </c>
      <c r="M2026" s="1">
        <f t="shared" si="155"/>
        <v>1</v>
      </c>
      <c r="N2026" s="1">
        <f t="shared" si="156"/>
        <v>142</v>
      </c>
      <c r="O2026" s="10">
        <f t="shared" si="159"/>
        <v>8.7677777778008021</v>
      </c>
    </row>
    <row r="2027" spans="1:15">
      <c r="A2027" s="1" t="s">
        <v>2132</v>
      </c>
      <c r="B2027" s="23">
        <v>45130.68472222222</v>
      </c>
      <c r="C2027" s="1" t="s">
        <v>16</v>
      </c>
      <c r="D2027" s="1" t="s">
        <v>17</v>
      </c>
      <c r="E2027" s="1" t="s">
        <v>18</v>
      </c>
      <c r="F2027" s="1" t="s">
        <v>206</v>
      </c>
      <c r="G2027" s="1">
        <v>76</v>
      </c>
      <c r="H2027" s="23">
        <v>45130.94290509259</v>
      </c>
      <c r="I2027" s="1" t="b">
        <v>0</v>
      </c>
      <c r="K2027" s="10">
        <f t="shared" si="157"/>
        <v>6.1963888888712972</v>
      </c>
      <c r="L2027" s="1" t="str">
        <f t="shared" si="158"/>
        <v>OK</v>
      </c>
      <c r="M2027" s="1">
        <f t="shared" si="155"/>
        <v>1</v>
      </c>
      <c r="N2027" s="1">
        <f t="shared" si="156"/>
        <v>76</v>
      </c>
      <c r="O2027" s="10">
        <f t="shared" si="159"/>
        <v>6.1963888888712972</v>
      </c>
    </row>
    <row r="2028" spans="1:15">
      <c r="A2028" s="1" t="s">
        <v>2133</v>
      </c>
      <c r="B2028" s="23">
        <v>45130.698611111111</v>
      </c>
      <c r="C2028" s="1" t="s">
        <v>16</v>
      </c>
      <c r="D2028" s="1" t="s">
        <v>17</v>
      </c>
      <c r="E2028" s="1" t="s">
        <v>18</v>
      </c>
      <c r="F2028" s="1" t="s">
        <v>19</v>
      </c>
      <c r="G2028" s="1">
        <v>24</v>
      </c>
      <c r="H2028" s="23">
        <v>45132.913865740738</v>
      </c>
      <c r="I2028" s="1" t="b">
        <v>0</v>
      </c>
      <c r="J2028" s="1">
        <v>4</v>
      </c>
      <c r="K2028" s="10">
        <f t="shared" si="157"/>
        <v>53.166111111058854</v>
      </c>
      <c r="L2028" s="1" t="str">
        <f t="shared" si="158"/>
        <v>OK</v>
      </c>
      <c r="M2028" s="1">
        <f t="shared" si="155"/>
        <v>1</v>
      </c>
      <c r="N2028" s="1">
        <f t="shared" si="156"/>
        <v>24</v>
      </c>
      <c r="O2028" s="10">
        <f t="shared" si="159"/>
        <v>53.166111111058854</v>
      </c>
    </row>
    <row r="2029" spans="1:15">
      <c r="A2029" s="1" t="s">
        <v>2134</v>
      </c>
      <c r="B2029" s="23">
        <v>45130.777777777781</v>
      </c>
      <c r="C2029" s="1" t="s">
        <v>11</v>
      </c>
      <c r="D2029" s="1" t="s">
        <v>12</v>
      </c>
      <c r="E2029" s="1" t="s">
        <v>18</v>
      </c>
      <c r="F2029" s="1" t="s">
        <v>118</v>
      </c>
      <c r="G2029" s="1">
        <v>27</v>
      </c>
      <c r="H2029" s="23">
        <v>45136.441782407404</v>
      </c>
      <c r="I2029" s="1" t="b">
        <v>0</v>
      </c>
      <c r="K2029" s="10">
        <f t="shared" si="157"/>
        <v>135.93611111096106</v>
      </c>
      <c r="L2029" s="1" t="str">
        <f t="shared" si="158"/>
        <v>OK</v>
      </c>
      <c r="M2029" s="1">
        <f t="shared" si="155"/>
        <v>1</v>
      </c>
      <c r="N2029" s="1">
        <f t="shared" si="156"/>
        <v>27</v>
      </c>
      <c r="O2029" s="10">
        <f t="shared" si="159"/>
        <v>135.93611111096106</v>
      </c>
    </row>
    <row r="2030" spans="1:15">
      <c r="A2030" s="1" t="s">
        <v>2135</v>
      </c>
      <c r="B2030" s="23">
        <v>45130.956250000003</v>
      </c>
      <c r="C2030" s="1" t="s">
        <v>25</v>
      </c>
      <c r="D2030" s="1" t="s">
        <v>17</v>
      </c>
      <c r="E2030" s="1" t="s">
        <v>18</v>
      </c>
      <c r="F2030" s="1" t="s">
        <v>35</v>
      </c>
      <c r="G2030" s="1">
        <v>53</v>
      </c>
      <c r="H2030" s="23">
        <v>45135.082997685182</v>
      </c>
      <c r="I2030" s="1" t="b">
        <v>0</v>
      </c>
      <c r="K2030" s="10">
        <f t="shared" si="157"/>
        <v>99.04194444429595</v>
      </c>
      <c r="L2030" s="1" t="str">
        <f t="shared" si="158"/>
        <v>OK</v>
      </c>
      <c r="M2030" s="1">
        <f t="shared" si="155"/>
        <v>1</v>
      </c>
      <c r="N2030" s="1">
        <f t="shared" si="156"/>
        <v>53</v>
      </c>
      <c r="O2030" s="10">
        <f t="shared" si="159"/>
        <v>99.04194444429595</v>
      </c>
    </row>
    <row r="2031" spans="1:15">
      <c r="A2031" s="1" t="s">
        <v>2136</v>
      </c>
      <c r="B2031" s="23">
        <v>45131</v>
      </c>
      <c r="C2031" s="1" t="s">
        <v>25</v>
      </c>
      <c r="D2031" s="1" t="s">
        <v>59</v>
      </c>
      <c r="E2031" s="1" t="s">
        <v>18</v>
      </c>
      <c r="F2031" s="1" t="s">
        <v>259</v>
      </c>
      <c r="G2031" s="1">
        <v>77</v>
      </c>
      <c r="H2031" s="23">
        <v>45131.104942129627</v>
      </c>
      <c r="I2031" s="1" t="b">
        <v>0</v>
      </c>
      <c r="K2031" s="10">
        <f t="shared" si="157"/>
        <v>2.5186111110378988</v>
      </c>
      <c r="L2031" s="1" t="str">
        <f t="shared" si="158"/>
        <v>OK</v>
      </c>
      <c r="M2031" s="1">
        <f t="shared" si="155"/>
        <v>1</v>
      </c>
      <c r="N2031" s="1">
        <f t="shared" si="156"/>
        <v>77</v>
      </c>
      <c r="O2031" s="10">
        <f t="shared" si="159"/>
        <v>2.5186111110378988</v>
      </c>
    </row>
    <row r="2032" spans="1:15">
      <c r="A2032" s="1" t="s">
        <v>2137</v>
      </c>
      <c r="B2032" s="23">
        <v>45131.150694444441</v>
      </c>
      <c r="C2032" s="1" t="s">
        <v>11</v>
      </c>
      <c r="D2032" s="1" t="s">
        <v>26</v>
      </c>
      <c r="E2032" s="1" t="s">
        <v>22</v>
      </c>
      <c r="F2032" s="1" t="s">
        <v>108</v>
      </c>
      <c r="G2032" s="1">
        <v>21</v>
      </c>
      <c r="H2032" s="23">
        <v>45131.694594907407</v>
      </c>
      <c r="I2032" s="1" t="b">
        <v>0</v>
      </c>
      <c r="K2032" s="10">
        <f t="shared" si="157"/>
        <v>13.05361111118691</v>
      </c>
      <c r="L2032" s="1" t="str">
        <f t="shared" si="158"/>
        <v>OK</v>
      </c>
      <c r="M2032" s="1">
        <f t="shared" si="155"/>
        <v>1</v>
      </c>
      <c r="N2032" s="1">
        <f t="shared" si="156"/>
        <v>21</v>
      </c>
      <c r="O2032" s="10">
        <f t="shared" si="159"/>
        <v>13.05361111118691</v>
      </c>
    </row>
    <row r="2033" spans="1:15">
      <c r="A2033" s="1" t="s">
        <v>2138</v>
      </c>
      <c r="B2033" s="23">
        <v>45131.225694444445</v>
      </c>
      <c r="C2033" s="1" t="s">
        <v>43</v>
      </c>
      <c r="D2033" s="1" t="s">
        <v>21</v>
      </c>
      <c r="E2033" s="1" t="s">
        <v>18</v>
      </c>
      <c r="F2033" s="1" t="s">
        <v>23</v>
      </c>
      <c r="G2033" s="1">
        <v>129</v>
      </c>
      <c r="H2033" s="23">
        <v>45139.568668981483</v>
      </c>
      <c r="I2033" s="1" t="b">
        <v>1</v>
      </c>
      <c r="J2033" s="1">
        <v>5</v>
      </c>
      <c r="K2033" s="10">
        <f t="shared" si="157"/>
        <v>200.23138888890389</v>
      </c>
      <c r="L2033" s="1" t="str">
        <f t="shared" si="158"/>
        <v>OK</v>
      </c>
      <c r="M2033" s="1">
        <f t="shared" si="155"/>
        <v>1</v>
      </c>
      <c r="N2033" s="1">
        <f t="shared" si="156"/>
        <v>129</v>
      </c>
      <c r="O2033" s="10">
        <f t="shared" si="159"/>
        <v>200.23138888890389</v>
      </c>
    </row>
    <row r="2034" spans="1:15">
      <c r="A2034" s="1" t="s">
        <v>2139</v>
      </c>
      <c r="B2034" s="23">
        <v>45131.32916666667</v>
      </c>
      <c r="C2034" s="1" t="s">
        <v>16</v>
      </c>
      <c r="D2034" s="1" t="s">
        <v>26</v>
      </c>
      <c r="E2034" s="1" t="s">
        <v>22</v>
      </c>
      <c r="F2034" s="1" t="s">
        <v>128</v>
      </c>
      <c r="G2034" s="1">
        <v>41</v>
      </c>
      <c r="H2034" s="23">
        <v>45131.807546296295</v>
      </c>
      <c r="I2034" s="1" t="b">
        <v>0</v>
      </c>
      <c r="K2034" s="10">
        <f t="shared" si="157"/>
        <v>11.481111111002974</v>
      </c>
      <c r="L2034" s="1" t="str">
        <f t="shared" si="158"/>
        <v>OK</v>
      </c>
      <c r="M2034" s="1">
        <f t="shared" si="155"/>
        <v>1</v>
      </c>
      <c r="N2034" s="1">
        <f t="shared" si="156"/>
        <v>41</v>
      </c>
      <c r="O2034" s="10">
        <f t="shared" si="159"/>
        <v>11.481111111002974</v>
      </c>
    </row>
    <row r="2035" spans="1:15">
      <c r="A2035" s="1" t="s">
        <v>2140</v>
      </c>
      <c r="B2035" s="23">
        <v>45131.370833333334</v>
      </c>
      <c r="C2035" s="1" t="s">
        <v>25</v>
      </c>
      <c r="D2035" s="1" t="s">
        <v>17</v>
      </c>
      <c r="E2035" s="1" t="s">
        <v>22</v>
      </c>
      <c r="F2035" s="1" t="s">
        <v>128</v>
      </c>
      <c r="G2035" s="1">
        <v>58</v>
      </c>
      <c r="H2035" s="23">
        <v>45131.518414351849</v>
      </c>
      <c r="I2035" s="1" t="b">
        <v>0</v>
      </c>
      <c r="J2035" s="1">
        <v>5</v>
      </c>
      <c r="K2035" s="10">
        <f t="shared" si="157"/>
        <v>3.5419444443541579</v>
      </c>
      <c r="L2035" s="1" t="str">
        <f t="shared" si="158"/>
        <v>OK</v>
      </c>
      <c r="M2035" s="1">
        <f t="shared" si="155"/>
        <v>1</v>
      </c>
      <c r="N2035" s="1">
        <f t="shared" si="156"/>
        <v>58</v>
      </c>
      <c r="O2035" s="10">
        <f t="shared" si="159"/>
        <v>3.5419444443541579</v>
      </c>
    </row>
    <row r="2036" spans="1:15">
      <c r="A2036" s="1" t="s">
        <v>2141</v>
      </c>
      <c r="B2036" s="23">
        <v>45131.61041666667</v>
      </c>
      <c r="C2036" s="1" t="s">
        <v>11</v>
      </c>
      <c r="D2036" s="1" t="s">
        <v>12</v>
      </c>
      <c r="E2036" s="1" t="s">
        <v>18</v>
      </c>
      <c r="F2036" s="1" t="s">
        <v>162</v>
      </c>
      <c r="G2036" s="1">
        <v>94</v>
      </c>
      <c r="H2036" s="23">
        <v>45135.332708333335</v>
      </c>
      <c r="I2036" s="1" t="b">
        <v>0</v>
      </c>
      <c r="K2036" s="10">
        <f t="shared" si="157"/>
        <v>89.334999999962747</v>
      </c>
      <c r="L2036" s="1" t="str">
        <f t="shared" si="158"/>
        <v>OK</v>
      </c>
      <c r="M2036" s="1">
        <f t="shared" si="155"/>
        <v>1</v>
      </c>
      <c r="N2036" s="1">
        <f t="shared" si="156"/>
        <v>94</v>
      </c>
      <c r="O2036" s="10">
        <f t="shared" si="159"/>
        <v>89.334999999962747</v>
      </c>
    </row>
    <row r="2037" spans="1:15">
      <c r="A2037" s="1" t="s">
        <v>2142</v>
      </c>
      <c r="B2037" s="23">
        <v>45131.698611111111</v>
      </c>
      <c r="C2037" s="1" t="s">
        <v>25</v>
      </c>
      <c r="D2037" s="1" t="s">
        <v>21</v>
      </c>
      <c r="E2037" s="1" t="s">
        <v>18</v>
      </c>
      <c r="F2037" s="1" t="s">
        <v>106</v>
      </c>
      <c r="G2037" s="1">
        <v>356</v>
      </c>
      <c r="H2037" s="23">
        <v>45133.032847222225</v>
      </c>
      <c r="I2037" s="1" t="b">
        <v>0</v>
      </c>
      <c r="K2037" s="10">
        <f t="shared" si="157"/>
        <v>32.02166666672565</v>
      </c>
      <c r="L2037" s="1" t="str">
        <f t="shared" si="158"/>
        <v>OK</v>
      </c>
      <c r="M2037" s="1">
        <f t="shared" si="155"/>
        <v>1</v>
      </c>
      <c r="N2037" s="1">
        <f t="shared" si="156"/>
        <v>356</v>
      </c>
      <c r="O2037" s="10">
        <f t="shared" si="159"/>
        <v>32.02166666672565</v>
      </c>
    </row>
    <row r="2038" spans="1:15">
      <c r="A2038" s="1" t="s">
        <v>2143</v>
      </c>
      <c r="B2038" s="23">
        <v>45131.857638888891</v>
      </c>
      <c r="C2038" s="1" t="s">
        <v>16</v>
      </c>
      <c r="D2038" s="1" t="s">
        <v>59</v>
      </c>
      <c r="E2038" s="1" t="s">
        <v>18</v>
      </c>
      <c r="F2038" s="1" t="s">
        <v>178</v>
      </c>
      <c r="G2038" s="1">
        <v>18</v>
      </c>
      <c r="H2038" s="23">
        <v>45132.901493055557</v>
      </c>
      <c r="I2038" s="1" t="b">
        <v>0</v>
      </c>
      <c r="K2038" s="10">
        <f t="shared" si="157"/>
        <v>25.052499999990687</v>
      </c>
      <c r="L2038" s="1" t="str">
        <f t="shared" si="158"/>
        <v>OK</v>
      </c>
      <c r="M2038" s="1">
        <f t="shared" si="155"/>
        <v>1</v>
      </c>
      <c r="N2038" s="1">
        <f t="shared" si="156"/>
        <v>18</v>
      </c>
      <c r="O2038" s="10">
        <f t="shared" si="159"/>
        <v>25.052499999990687</v>
      </c>
    </row>
    <row r="2039" spans="1:15">
      <c r="A2039" s="1" t="s">
        <v>2144</v>
      </c>
      <c r="B2039" s="23">
        <v>45131.859722222223</v>
      </c>
      <c r="C2039" s="1" t="s">
        <v>25</v>
      </c>
      <c r="D2039" s="1" t="s">
        <v>17</v>
      </c>
      <c r="E2039" s="1" t="s">
        <v>18</v>
      </c>
      <c r="F2039" s="1" t="s">
        <v>23</v>
      </c>
      <c r="G2039" s="1">
        <v>217</v>
      </c>
      <c r="H2039" s="23">
        <v>45132.818194444444</v>
      </c>
      <c r="I2039" s="1" t="b">
        <v>0</v>
      </c>
      <c r="K2039" s="10">
        <f t="shared" si="157"/>
        <v>23.003333333297633</v>
      </c>
      <c r="L2039" s="1" t="str">
        <f t="shared" si="158"/>
        <v>OK</v>
      </c>
      <c r="M2039" s="1">
        <f t="shared" si="155"/>
        <v>1</v>
      </c>
      <c r="N2039" s="1">
        <f t="shared" si="156"/>
        <v>217</v>
      </c>
      <c r="O2039" s="10">
        <f t="shared" si="159"/>
        <v>23.003333333297633</v>
      </c>
    </row>
    <row r="2040" spans="1:15">
      <c r="A2040" s="1" t="s">
        <v>2145</v>
      </c>
      <c r="B2040" s="23">
        <v>45131.87777777778</v>
      </c>
      <c r="C2040" s="1" t="s">
        <v>16</v>
      </c>
      <c r="D2040" s="1" t="s">
        <v>21</v>
      </c>
      <c r="E2040" s="1" t="s">
        <v>18</v>
      </c>
      <c r="F2040" s="1" t="s">
        <v>64</v>
      </c>
      <c r="G2040" s="1">
        <v>25</v>
      </c>
      <c r="H2040" s="23">
        <v>45132.33053240741</v>
      </c>
      <c r="I2040" s="1" t="b">
        <v>0</v>
      </c>
      <c r="K2040" s="10">
        <f t="shared" si="157"/>
        <v>10.866111111128703</v>
      </c>
      <c r="L2040" s="1" t="str">
        <f t="shared" si="158"/>
        <v>OK</v>
      </c>
      <c r="M2040" s="1">
        <f t="shared" si="155"/>
        <v>1</v>
      </c>
      <c r="N2040" s="1">
        <f t="shared" si="156"/>
        <v>25</v>
      </c>
      <c r="O2040" s="10">
        <f t="shared" si="159"/>
        <v>10.866111111128703</v>
      </c>
    </row>
    <row r="2041" spans="1:15">
      <c r="A2041" s="1" t="s">
        <v>2146</v>
      </c>
      <c r="B2041" s="23">
        <v>45131.96597222222</v>
      </c>
      <c r="C2041" s="1" t="s">
        <v>25</v>
      </c>
      <c r="D2041" s="1" t="s">
        <v>21</v>
      </c>
      <c r="E2041" s="1" t="s">
        <v>22</v>
      </c>
      <c r="F2041" s="1" t="s">
        <v>54</v>
      </c>
      <c r="G2041" s="1">
        <v>44</v>
      </c>
      <c r="H2041" s="23">
        <v>45131.99759259259</v>
      </c>
      <c r="I2041" s="1" t="b">
        <v>0</v>
      </c>
      <c r="K2041" s="10">
        <f t="shared" si="157"/>
        <v>0.75888888887129724</v>
      </c>
      <c r="L2041" s="1" t="str">
        <f t="shared" si="158"/>
        <v>OK</v>
      </c>
      <c r="M2041" s="1">
        <f t="shared" si="155"/>
        <v>1</v>
      </c>
      <c r="N2041" s="1">
        <f t="shared" si="156"/>
        <v>44</v>
      </c>
      <c r="O2041" s="10">
        <f t="shared" si="159"/>
        <v>0.75888888887129724</v>
      </c>
    </row>
    <row r="2042" spans="1:15">
      <c r="A2042" s="1" t="s">
        <v>2147</v>
      </c>
      <c r="B2042" s="23">
        <v>45132.292361111111</v>
      </c>
      <c r="C2042" s="1" t="s">
        <v>25</v>
      </c>
      <c r="D2042" s="1" t="s">
        <v>12</v>
      </c>
      <c r="E2042" s="1" t="s">
        <v>13</v>
      </c>
      <c r="F2042" s="1" t="s">
        <v>106</v>
      </c>
      <c r="G2042" s="1">
        <v>14</v>
      </c>
      <c r="I2042" s="1" t="b">
        <v>0</v>
      </c>
      <c r="K2042" s="10" t="str">
        <f t="shared" si="157"/>
        <v/>
      </c>
      <c r="L2042" s="1" t="str">
        <f t="shared" si="158"/>
        <v>Cannot check</v>
      </c>
      <c r="M2042" s="1">
        <f t="shared" si="155"/>
        <v>1</v>
      </c>
      <c r="N2042" s="1">
        <f t="shared" si="156"/>
        <v>14</v>
      </c>
      <c r="O2042" s="10" t="str">
        <f t="shared" si="159"/>
        <v/>
      </c>
    </row>
    <row r="2043" spans="1:15">
      <c r="A2043" s="1" t="s">
        <v>2148</v>
      </c>
      <c r="B2043" s="23">
        <v>45132.435416666667</v>
      </c>
      <c r="C2043" s="1" t="s">
        <v>11</v>
      </c>
      <c r="D2043" s="1" t="s">
        <v>59</v>
      </c>
      <c r="E2043" s="1" t="s">
        <v>18</v>
      </c>
      <c r="F2043" s="1" t="s">
        <v>145</v>
      </c>
      <c r="G2043" s="1">
        <v>582</v>
      </c>
      <c r="H2043" s="23">
        <v>45133.825370370374</v>
      </c>
      <c r="I2043" s="1" t="b">
        <v>0</v>
      </c>
      <c r="K2043" s="10">
        <f t="shared" si="157"/>
        <v>33.358888888964429</v>
      </c>
      <c r="L2043" s="1" t="str">
        <f t="shared" si="158"/>
        <v>OK</v>
      </c>
      <c r="M2043" s="1">
        <f t="shared" si="155"/>
        <v>1</v>
      </c>
      <c r="N2043" s="1">
        <f t="shared" si="156"/>
        <v>582</v>
      </c>
      <c r="O2043" s="10">
        <f t="shared" si="159"/>
        <v>33.358888888964429</v>
      </c>
    </row>
    <row r="2044" spans="1:15">
      <c r="A2044" s="1" t="s">
        <v>2149</v>
      </c>
      <c r="B2044" s="23">
        <v>45132.486805555556</v>
      </c>
      <c r="C2044" s="1" t="s">
        <v>25</v>
      </c>
      <c r="D2044" s="1" t="s">
        <v>59</v>
      </c>
      <c r="E2044" s="1" t="s">
        <v>13</v>
      </c>
      <c r="F2044" s="1" t="s">
        <v>68</v>
      </c>
      <c r="G2044" s="1">
        <v>101</v>
      </c>
      <c r="H2044" s="23">
        <v>45132.629212962966</v>
      </c>
      <c r="I2044" s="1" t="b">
        <v>0</v>
      </c>
      <c r="J2044" s="1">
        <v>4</v>
      </c>
      <c r="K2044" s="10">
        <f t="shared" si="157"/>
        <v>3.4177777778240852</v>
      </c>
      <c r="L2044" s="1" t="str">
        <f t="shared" si="158"/>
        <v>OK</v>
      </c>
      <c r="M2044" s="1">
        <f t="shared" si="155"/>
        <v>1</v>
      </c>
      <c r="N2044" s="1">
        <f t="shared" si="156"/>
        <v>101</v>
      </c>
      <c r="O2044" s="10">
        <f t="shared" si="159"/>
        <v>3.4177777778240852</v>
      </c>
    </row>
    <row r="2045" spans="1:15">
      <c r="A2045" s="1" t="s">
        <v>2150</v>
      </c>
      <c r="B2045" s="23">
        <v>45132.633333333331</v>
      </c>
      <c r="C2045" s="1" t="s">
        <v>43</v>
      </c>
      <c r="D2045" s="1" t="s">
        <v>21</v>
      </c>
      <c r="E2045" s="1" t="s">
        <v>18</v>
      </c>
      <c r="F2045" s="1" t="s">
        <v>234</v>
      </c>
      <c r="G2045" s="1">
        <v>62</v>
      </c>
      <c r="H2045" s="23">
        <v>45134.679918981485</v>
      </c>
      <c r="I2045" s="1" t="b">
        <v>0</v>
      </c>
      <c r="J2045" s="1">
        <v>5</v>
      </c>
      <c r="K2045" s="10">
        <f t="shared" si="157"/>
        <v>49.118055555678438</v>
      </c>
      <c r="L2045" s="1" t="str">
        <f t="shared" si="158"/>
        <v>OK</v>
      </c>
      <c r="M2045" s="1">
        <f t="shared" si="155"/>
        <v>1</v>
      </c>
      <c r="N2045" s="1">
        <f t="shared" si="156"/>
        <v>62</v>
      </c>
      <c r="O2045" s="10">
        <f t="shared" si="159"/>
        <v>49.118055555678438</v>
      </c>
    </row>
    <row r="2046" spans="1:15">
      <c r="A2046" s="1" t="s">
        <v>2151</v>
      </c>
      <c r="B2046" s="23">
        <v>45132.645833333336</v>
      </c>
      <c r="C2046" s="1" t="s">
        <v>11</v>
      </c>
      <c r="D2046" s="1" t="s">
        <v>59</v>
      </c>
      <c r="E2046" s="1" t="s">
        <v>18</v>
      </c>
      <c r="F2046" s="1" t="s">
        <v>239</v>
      </c>
      <c r="G2046" s="1">
        <v>123</v>
      </c>
      <c r="H2046" s="23">
        <v>45134.829513888886</v>
      </c>
      <c r="I2046" s="1" t="b">
        <v>0</v>
      </c>
      <c r="J2046" s="1">
        <v>5</v>
      </c>
      <c r="K2046" s="10">
        <f t="shared" si="157"/>
        <v>52.408333333209157</v>
      </c>
      <c r="L2046" s="1" t="str">
        <f t="shared" si="158"/>
        <v>OK</v>
      </c>
      <c r="M2046" s="1">
        <f t="shared" si="155"/>
        <v>1</v>
      </c>
      <c r="N2046" s="1">
        <f t="shared" si="156"/>
        <v>123</v>
      </c>
      <c r="O2046" s="10">
        <f t="shared" si="159"/>
        <v>52.408333333209157</v>
      </c>
    </row>
    <row r="2047" spans="1:15">
      <c r="A2047" s="1" t="s">
        <v>2152</v>
      </c>
      <c r="B2047" s="23">
        <v>45132.739583333336</v>
      </c>
      <c r="C2047" s="1" t="s">
        <v>25</v>
      </c>
      <c r="D2047" s="1" t="s">
        <v>17</v>
      </c>
      <c r="E2047" s="1" t="s">
        <v>18</v>
      </c>
      <c r="F2047" s="1" t="s">
        <v>46</v>
      </c>
      <c r="G2047" s="1">
        <v>338</v>
      </c>
      <c r="H2047" s="23">
        <v>45133.807627314818</v>
      </c>
      <c r="I2047" s="1" t="b">
        <v>0</v>
      </c>
      <c r="J2047" s="1">
        <v>5</v>
      </c>
      <c r="K2047" s="10">
        <f t="shared" si="157"/>
        <v>25.633055555575993</v>
      </c>
      <c r="L2047" s="1" t="str">
        <f t="shared" si="158"/>
        <v>OK</v>
      </c>
      <c r="M2047" s="1">
        <f t="shared" si="155"/>
        <v>1</v>
      </c>
      <c r="N2047" s="1">
        <f t="shared" si="156"/>
        <v>338</v>
      </c>
      <c r="O2047" s="10">
        <f t="shared" si="159"/>
        <v>25.633055555575993</v>
      </c>
    </row>
    <row r="2048" spans="1:15">
      <c r="A2048" s="1" t="s">
        <v>2153</v>
      </c>
      <c r="B2048" s="23">
        <v>45132.762499999997</v>
      </c>
      <c r="C2048" s="1" t="s">
        <v>11</v>
      </c>
      <c r="D2048" s="1" t="s">
        <v>12</v>
      </c>
      <c r="E2048" s="1" t="s">
        <v>18</v>
      </c>
      <c r="F2048" s="1" t="s">
        <v>102</v>
      </c>
      <c r="G2048" s="1">
        <v>26</v>
      </c>
      <c r="H2048" s="23">
        <v>45134.925578703704</v>
      </c>
      <c r="I2048" s="1" t="b">
        <v>0</v>
      </c>
      <c r="K2048" s="10">
        <f t="shared" si="157"/>
        <v>51.913888888957445</v>
      </c>
      <c r="L2048" s="1" t="str">
        <f t="shared" si="158"/>
        <v>OK</v>
      </c>
      <c r="M2048" s="1">
        <f t="shared" si="155"/>
        <v>1</v>
      </c>
      <c r="N2048" s="1">
        <f t="shared" si="156"/>
        <v>26</v>
      </c>
      <c r="O2048" s="10">
        <f t="shared" si="159"/>
        <v>51.913888888957445</v>
      </c>
    </row>
    <row r="2049" spans="1:15">
      <c r="A2049" s="1" t="s">
        <v>2154</v>
      </c>
      <c r="B2049" s="23">
        <v>45132.803472222222</v>
      </c>
      <c r="C2049" s="1" t="s">
        <v>25</v>
      </c>
      <c r="D2049" s="1" t="s">
        <v>59</v>
      </c>
      <c r="E2049" s="1" t="s">
        <v>18</v>
      </c>
      <c r="F2049" s="1" t="s">
        <v>326</v>
      </c>
      <c r="G2049" s="1">
        <v>167</v>
      </c>
      <c r="H2049" s="23">
        <v>45133.451597222222</v>
      </c>
      <c r="I2049" s="1" t="b">
        <v>0</v>
      </c>
      <c r="K2049" s="10">
        <f t="shared" si="157"/>
        <v>15.554999999993015</v>
      </c>
      <c r="L2049" s="1" t="str">
        <f t="shared" si="158"/>
        <v>OK</v>
      </c>
      <c r="M2049" s="1">
        <f t="shared" si="155"/>
        <v>1</v>
      </c>
      <c r="N2049" s="1">
        <f t="shared" si="156"/>
        <v>167</v>
      </c>
      <c r="O2049" s="10">
        <f t="shared" si="159"/>
        <v>15.554999999993015</v>
      </c>
    </row>
    <row r="2050" spans="1:15">
      <c r="A2050" s="1" t="s">
        <v>2155</v>
      </c>
      <c r="B2050" s="23">
        <v>45132.866666666669</v>
      </c>
      <c r="C2050" s="1" t="s">
        <v>25</v>
      </c>
      <c r="D2050" s="1" t="s">
        <v>17</v>
      </c>
      <c r="E2050" s="1" t="s">
        <v>33</v>
      </c>
      <c r="F2050" s="1" t="s">
        <v>162</v>
      </c>
      <c r="G2050" s="1">
        <v>61</v>
      </c>
      <c r="H2050" s="23">
        <v>45135.845023148147</v>
      </c>
      <c r="I2050" s="1" t="b">
        <v>0</v>
      </c>
      <c r="K2050" s="10">
        <f t="shared" si="157"/>
        <v>71.480555555492174</v>
      </c>
      <c r="L2050" s="1" t="str">
        <f t="shared" si="158"/>
        <v>OK</v>
      </c>
      <c r="M2050" s="1">
        <f t="shared" ref="M2050:M2113" si="160">COUNTIF($A$2:$A$4001,A2050)</f>
        <v>1</v>
      </c>
      <c r="N2050" s="1">
        <f t="shared" ref="N2050:N2113" si="161">IF(OR(L2050="Review",G2050=""),"",G2050)</f>
        <v>61</v>
      </c>
      <c r="O2050" s="10">
        <f t="shared" si="159"/>
        <v>71.480555555492174</v>
      </c>
    </row>
    <row r="2051" spans="1:15">
      <c r="A2051" s="1" t="s">
        <v>2156</v>
      </c>
      <c r="B2051" s="23">
        <v>45132.913888888892</v>
      </c>
      <c r="C2051" s="1" t="s">
        <v>16</v>
      </c>
      <c r="D2051" s="1" t="s">
        <v>17</v>
      </c>
      <c r="E2051" s="1" t="s">
        <v>33</v>
      </c>
      <c r="F2051" s="1" t="s">
        <v>224</v>
      </c>
      <c r="H2051" s="23">
        <v>45141.889398148145</v>
      </c>
      <c r="I2051" s="1" t="b">
        <v>0</v>
      </c>
      <c r="K2051" s="10">
        <f t="shared" ref="K2051:K2114" si="162">IF(H2051="","",(H2051-B2051)*24)</f>
        <v>215.4122222220758</v>
      </c>
      <c r="L2051" s="1" t="str">
        <f t="shared" ref="L2051:L2114" si="163">IF(OR(G2051="",K2051=""),"Cannot check",IF(G2051&gt;K2051*60,"Review","OK"))</f>
        <v>Cannot check</v>
      </c>
      <c r="M2051" s="1">
        <f t="shared" si="160"/>
        <v>1</v>
      </c>
      <c r="N2051" s="1" t="str">
        <f t="shared" si="161"/>
        <v/>
      </c>
      <c r="O2051" s="10">
        <f t="shared" ref="O2051:O2114" si="164">IF(OR(L2051="Review",K2051=""),"",K2051)</f>
        <v>215.4122222220758</v>
      </c>
    </row>
    <row r="2052" spans="1:15">
      <c r="A2052" s="1" t="s">
        <v>2157</v>
      </c>
      <c r="B2052" s="23">
        <v>45132.976388888892</v>
      </c>
      <c r="C2052" s="1" t="s">
        <v>25</v>
      </c>
      <c r="D2052" s="1" t="s">
        <v>12</v>
      </c>
      <c r="E2052" s="1" t="s">
        <v>13</v>
      </c>
      <c r="F2052" s="1" t="s">
        <v>68</v>
      </c>
      <c r="G2052" s="1">
        <v>34</v>
      </c>
      <c r="H2052" s="23">
        <v>45133.1874537037</v>
      </c>
      <c r="I2052" s="1" t="b">
        <v>0</v>
      </c>
      <c r="K2052" s="10">
        <f t="shared" si="162"/>
        <v>5.0655555553967133</v>
      </c>
      <c r="L2052" s="1" t="str">
        <f t="shared" si="163"/>
        <v>OK</v>
      </c>
      <c r="M2052" s="1">
        <f t="shared" si="160"/>
        <v>1</v>
      </c>
      <c r="N2052" s="1">
        <f t="shared" si="161"/>
        <v>34</v>
      </c>
      <c r="O2052" s="10">
        <f t="shared" si="164"/>
        <v>5.0655555553967133</v>
      </c>
    </row>
    <row r="2053" spans="1:15">
      <c r="A2053" s="1" t="s">
        <v>2158</v>
      </c>
      <c r="B2053" s="23">
        <v>45132.986111111109</v>
      </c>
      <c r="C2053" s="1" t="s">
        <v>11</v>
      </c>
      <c r="D2053" s="1" t="s">
        <v>12</v>
      </c>
      <c r="E2053" s="1" t="s">
        <v>13</v>
      </c>
      <c r="F2053" s="1" t="s">
        <v>14</v>
      </c>
      <c r="G2053" s="1">
        <v>22</v>
      </c>
      <c r="H2053" s="23">
        <v>45133.985694444447</v>
      </c>
      <c r="I2053" s="1" t="b">
        <v>0</v>
      </c>
      <c r="J2053" s="1">
        <v>4</v>
      </c>
      <c r="K2053" s="10">
        <f t="shared" si="162"/>
        <v>23.990000000107102</v>
      </c>
      <c r="L2053" s="1" t="str">
        <f t="shared" si="163"/>
        <v>OK</v>
      </c>
      <c r="M2053" s="1">
        <f t="shared" si="160"/>
        <v>1</v>
      </c>
      <c r="N2053" s="1">
        <f t="shared" si="161"/>
        <v>22</v>
      </c>
      <c r="O2053" s="10">
        <f t="shared" si="164"/>
        <v>23.990000000107102</v>
      </c>
    </row>
    <row r="2054" spans="1:15">
      <c r="A2054" s="1" t="s">
        <v>2159</v>
      </c>
      <c r="B2054" s="23">
        <v>45133.018055555556</v>
      </c>
      <c r="C2054" s="1" t="s">
        <v>25</v>
      </c>
      <c r="D2054" s="1" t="s">
        <v>59</v>
      </c>
      <c r="E2054" s="1" t="s">
        <v>18</v>
      </c>
      <c r="F2054" s="1" t="s">
        <v>68</v>
      </c>
      <c r="G2054" s="1">
        <v>74</v>
      </c>
      <c r="H2054" s="23">
        <v>45133.278692129628</v>
      </c>
      <c r="I2054" s="1" t="b">
        <v>0</v>
      </c>
      <c r="K2054" s="10">
        <f t="shared" si="162"/>
        <v>6.2552777777309529</v>
      </c>
      <c r="L2054" s="1" t="str">
        <f t="shared" si="163"/>
        <v>OK</v>
      </c>
      <c r="M2054" s="1">
        <f t="shared" si="160"/>
        <v>1</v>
      </c>
      <c r="N2054" s="1">
        <f t="shared" si="161"/>
        <v>74</v>
      </c>
      <c r="O2054" s="10">
        <f t="shared" si="164"/>
        <v>6.2552777777309529</v>
      </c>
    </row>
    <row r="2055" spans="1:15">
      <c r="A2055" s="1" t="s">
        <v>2160</v>
      </c>
      <c r="B2055" s="23">
        <v>45133.033333333333</v>
      </c>
      <c r="C2055" s="1" t="s">
        <v>16</v>
      </c>
      <c r="D2055" s="1" t="s">
        <v>26</v>
      </c>
      <c r="E2055" s="1" t="s">
        <v>22</v>
      </c>
      <c r="F2055" s="1" t="s">
        <v>114</v>
      </c>
      <c r="G2055" s="1">
        <v>21</v>
      </c>
      <c r="H2055" s="23">
        <v>45133.523182870369</v>
      </c>
      <c r="I2055" s="1" t="b">
        <v>0</v>
      </c>
      <c r="J2055" s="1">
        <v>5</v>
      </c>
      <c r="K2055" s="10">
        <f t="shared" si="162"/>
        <v>11.756388888868969</v>
      </c>
      <c r="L2055" s="1" t="str">
        <f t="shared" si="163"/>
        <v>OK</v>
      </c>
      <c r="M2055" s="1">
        <f t="shared" si="160"/>
        <v>1</v>
      </c>
      <c r="N2055" s="1">
        <f t="shared" si="161"/>
        <v>21</v>
      </c>
      <c r="O2055" s="10">
        <f t="shared" si="164"/>
        <v>11.756388888868969</v>
      </c>
    </row>
    <row r="2056" spans="1:15">
      <c r="A2056" s="1" t="s">
        <v>2161</v>
      </c>
      <c r="B2056" s="23">
        <v>45133.172222222223</v>
      </c>
      <c r="C2056" s="1" t="s">
        <v>16</v>
      </c>
      <c r="D2056" s="1" t="s">
        <v>59</v>
      </c>
      <c r="E2056" s="1" t="s">
        <v>18</v>
      </c>
      <c r="F2056" s="1" t="s">
        <v>88</v>
      </c>
      <c r="G2056" s="1">
        <v>89</v>
      </c>
      <c r="H2056" s="23">
        <v>45133.320173611108</v>
      </c>
      <c r="I2056" s="1" t="b">
        <v>0</v>
      </c>
      <c r="K2056" s="10">
        <f t="shared" si="162"/>
        <v>3.5508333332254551</v>
      </c>
      <c r="L2056" s="1" t="str">
        <f t="shared" si="163"/>
        <v>OK</v>
      </c>
      <c r="M2056" s="1">
        <f t="shared" si="160"/>
        <v>1</v>
      </c>
      <c r="N2056" s="1">
        <f t="shared" si="161"/>
        <v>89</v>
      </c>
      <c r="O2056" s="10">
        <f t="shared" si="164"/>
        <v>3.5508333332254551</v>
      </c>
    </row>
    <row r="2057" spans="1:15">
      <c r="A2057" s="1" t="s">
        <v>2162</v>
      </c>
      <c r="B2057" s="23">
        <v>45133.355555555558</v>
      </c>
      <c r="C2057" s="1" t="s">
        <v>43</v>
      </c>
      <c r="D2057" s="1" t="s">
        <v>59</v>
      </c>
      <c r="E2057" s="1" t="s">
        <v>33</v>
      </c>
      <c r="F2057" s="1" t="s">
        <v>178</v>
      </c>
      <c r="G2057" s="1">
        <v>70</v>
      </c>
      <c r="H2057" s="23">
        <v>45133.770277777781</v>
      </c>
      <c r="I2057" s="1" t="b">
        <v>0</v>
      </c>
      <c r="J2057" s="1">
        <v>4</v>
      </c>
      <c r="K2057" s="10">
        <f t="shared" si="162"/>
        <v>9.9533333333674818</v>
      </c>
      <c r="L2057" s="1" t="str">
        <f t="shared" si="163"/>
        <v>OK</v>
      </c>
      <c r="M2057" s="1">
        <f t="shared" si="160"/>
        <v>1</v>
      </c>
      <c r="N2057" s="1">
        <f t="shared" si="161"/>
        <v>70</v>
      </c>
      <c r="O2057" s="10">
        <f t="shared" si="164"/>
        <v>9.9533333333674818</v>
      </c>
    </row>
    <row r="2058" spans="1:15">
      <c r="A2058" s="1" t="s">
        <v>2163</v>
      </c>
      <c r="B2058" s="23">
        <v>45133.381249999999</v>
      </c>
      <c r="C2058" s="1" t="s">
        <v>43</v>
      </c>
      <c r="D2058" s="1" t="s">
        <v>59</v>
      </c>
      <c r="E2058" s="1" t="s">
        <v>33</v>
      </c>
      <c r="F2058" s="1" t="s">
        <v>175</v>
      </c>
      <c r="G2058" s="1">
        <v>186</v>
      </c>
      <c r="H2058" s="23">
        <v>45134.130150462966</v>
      </c>
      <c r="I2058" s="1" t="b">
        <v>0</v>
      </c>
      <c r="K2058" s="10">
        <f t="shared" si="162"/>
        <v>17.97361111122882</v>
      </c>
      <c r="L2058" s="1" t="str">
        <f t="shared" si="163"/>
        <v>OK</v>
      </c>
      <c r="M2058" s="1">
        <f t="shared" si="160"/>
        <v>1</v>
      </c>
      <c r="N2058" s="1">
        <f t="shared" si="161"/>
        <v>186</v>
      </c>
      <c r="O2058" s="10">
        <f t="shared" si="164"/>
        <v>17.97361111122882</v>
      </c>
    </row>
    <row r="2059" spans="1:15">
      <c r="A2059" s="1" t="s">
        <v>2164</v>
      </c>
      <c r="B2059" s="23">
        <v>45133.518750000003</v>
      </c>
      <c r="C2059" s="1" t="s">
        <v>11</v>
      </c>
      <c r="D2059" s="1" t="s">
        <v>17</v>
      </c>
      <c r="E2059" s="1" t="s">
        <v>18</v>
      </c>
      <c r="F2059" s="1" t="s">
        <v>72</v>
      </c>
      <c r="G2059" s="1">
        <v>23</v>
      </c>
      <c r="H2059" s="23">
        <v>45135.690567129626</v>
      </c>
      <c r="I2059" s="1" t="b">
        <v>0</v>
      </c>
      <c r="K2059" s="10">
        <f t="shared" si="162"/>
        <v>52.123611110961065</v>
      </c>
      <c r="L2059" s="1" t="str">
        <f t="shared" si="163"/>
        <v>OK</v>
      </c>
      <c r="M2059" s="1">
        <f t="shared" si="160"/>
        <v>1</v>
      </c>
      <c r="N2059" s="1">
        <f t="shared" si="161"/>
        <v>23</v>
      </c>
      <c r="O2059" s="10">
        <f t="shared" si="164"/>
        <v>52.123611110961065</v>
      </c>
    </row>
    <row r="2060" spans="1:15">
      <c r="A2060" s="1" t="s">
        <v>2165</v>
      </c>
      <c r="B2060" s="23">
        <v>45133.574999999997</v>
      </c>
      <c r="C2060" s="1" t="s">
        <v>43</v>
      </c>
      <c r="D2060" s="1" t="s">
        <v>17</v>
      </c>
      <c r="E2060" s="1" t="s">
        <v>13</v>
      </c>
      <c r="F2060" s="1" t="s">
        <v>239</v>
      </c>
      <c r="G2060" s="1">
        <v>25</v>
      </c>
      <c r="H2060" s="23">
        <v>45133.732407407406</v>
      </c>
      <c r="I2060" s="1" t="b">
        <v>0</v>
      </c>
      <c r="K2060" s="10">
        <f t="shared" si="162"/>
        <v>3.7777777778101154</v>
      </c>
      <c r="L2060" s="1" t="str">
        <f t="shared" si="163"/>
        <v>OK</v>
      </c>
      <c r="M2060" s="1">
        <f t="shared" si="160"/>
        <v>1</v>
      </c>
      <c r="N2060" s="1">
        <f t="shared" si="161"/>
        <v>25</v>
      </c>
      <c r="O2060" s="10">
        <f t="shared" si="164"/>
        <v>3.7777777778101154</v>
      </c>
    </row>
    <row r="2061" spans="1:15">
      <c r="A2061" s="1" t="s">
        <v>2166</v>
      </c>
      <c r="B2061" s="23">
        <v>45133.814583333333</v>
      </c>
      <c r="C2061" s="1" t="s">
        <v>43</v>
      </c>
      <c r="D2061" s="1" t="s">
        <v>59</v>
      </c>
      <c r="E2061" s="1" t="s">
        <v>18</v>
      </c>
      <c r="F2061" s="1" t="s">
        <v>54</v>
      </c>
      <c r="G2061" s="1">
        <v>47</v>
      </c>
      <c r="H2061" s="23">
        <v>45136.102337962962</v>
      </c>
      <c r="I2061" s="1" t="b">
        <v>0</v>
      </c>
      <c r="K2061" s="10">
        <f t="shared" si="162"/>
        <v>54.906111111107748</v>
      </c>
      <c r="L2061" s="1" t="str">
        <f t="shared" si="163"/>
        <v>OK</v>
      </c>
      <c r="M2061" s="1">
        <f t="shared" si="160"/>
        <v>1</v>
      </c>
      <c r="N2061" s="1">
        <f t="shared" si="161"/>
        <v>47</v>
      </c>
      <c r="O2061" s="10">
        <f t="shared" si="164"/>
        <v>54.906111111107748</v>
      </c>
    </row>
    <row r="2062" spans="1:15">
      <c r="A2062" s="1" t="s">
        <v>2167</v>
      </c>
      <c r="B2062" s="23">
        <v>45133.845833333333</v>
      </c>
      <c r="C2062" s="1" t="s">
        <v>25</v>
      </c>
      <c r="D2062" s="1" t="s">
        <v>17</v>
      </c>
      <c r="E2062" s="1" t="s">
        <v>18</v>
      </c>
      <c r="F2062" s="1" t="s">
        <v>108</v>
      </c>
      <c r="G2062" s="1">
        <v>69</v>
      </c>
      <c r="H2062" s="23">
        <v>45136.351574074077</v>
      </c>
      <c r="I2062" s="1" t="b">
        <v>0</v>
      </c>
      <c r="K2062" s="10">
        <f t="shared" si="162"/>
        <v>60.137777777854353</v>
      </c>
      <c r="L2062" s="1" t="str">
        <f t="shared" si="163"/>
        <v>OK</v>
      </c>
      <c r="M2062" s="1">
        <f t="shared" si="160"/>
        <v>1</v>
      </c>
      <c r="N2062" s="1">
        <f t="shared" si="161"/>
        <v>69</v>
      </c>
      <c r="O2062" s="10">
        <f t="shared" si="164"/>
        <v>60.137777777854353</v>
      </c>
    </row>
    <row r="2063" spans="1:15">
      <c r="A2063" s="1" t="s">
        <v>2168</v>
      </c>
      <c r="B2063" s="23">
        <v>45133.861111111109</v>
      </c>
      <c r="C2063" s="1" t="s">
        <v>16</v>
      </c>
      <c r="D2063" s="1" t="s">
        <v>17</v>
      </c>
      <c r="E2063" s="1" t="s">
        <v>13</v>
      </c>
      <c r="F2063" s="1" t="s">
        <v>68</v>
      </c>
      <c r="G2063" s="1">
        <v>76</v>
      </c>
      <c r="H2063" s="23">
        <v>45134.117604166669</v>
      </c>
      <c r="I2063" s="1" t="b">
        <v>0</v>
      </c>
      <c r="K2063" s="10">
        <f t="shared" si="162"/>
        <v>6.1558333334396593</v>
      </c>
      <c r="L2063" s="1" t="str">
        <f t="shared" si="163"/>
        <v>OK</v>
      </c>
      <c r="M2063" s="1">
        <f t="shared" si="160"/>
        <v>1</v>
      </c>
      <c r="N2063" s="1">
        <f t="shared" si="161"/>
        <v>76</v>
      </c>
      <c r="O2063" s="10">
        <f t="shared" si="164"/>
        <v>6.1558333334396593</v>
      </c>
    </row>
    <row r="2064" spans="1:15">
      <c r="A2064" s="1" t="s">
        <v>2169</v>
      </c>
      <c r="B2064" s="23">
        <v>45134.061111111114</v>
      </c>
      <c r="C2064" s="1" t="s">
        <v>25</v>
      </c>
      <c r="D2064" s="1" t="s">
        <v>17</v>
      </c>
      <c r="E2064" s="1" t="s">
        <v>33</v>
      </c>
      <c r="F2064" s="1" t="s">
        <v>326</v>
      </c>
      <c r="G2064" s="1">
        <v>470</v>
      </c>
      <c r="H2064" s="23">
        <v>45135.271018518521</v>
      </c>
      <c r="I2064" s="1" t="b">
        <v>0</v>
      </c>
      <c r="J2064" s="1">
        <v>5</v>
      </c>
      <c r="K2064" s="10">
        <f t="shared" si="162"/>
        <v>29.037777777761221</v>
      </c>
      <c r="L2064" s="1" t="str">
        <f t="shared" si="163"/>
        <v>OK</v>
      </c>
      <c r="M2064" s="1">
        <f t="shared" si="160"/>
        <v>1</v>
      </c>
      <c r="N2064" s="1">
        <f t="shared" si="161"/>
        <v>470</v>
      </c>
      <c r="O2064" s="10">
        <f t="shared" si="164"/>
        <v>29.037777777761221</v>
      </c>
    </row>
    <row r="2065" spans="1:15">
      <c r="A2065" s="1" t="s">
        <v>2170</v>
      </c>
      <c r="B2065" s="23">
        <v>45134.13958333333</v>
      </c>
      <c r="C2065" s="1" t="s">
        <v>16</v>
      </c>
      <c r="D2065" s="1" t="s">
        <v>59</v>
      </c>
      <c r="E2065" s="1" t="s">
        <v>18</v>
      </c>
      <c r="F2065" s="1" t="s">
        <v>57</v>
      </c>
      <c r="G2065" s="1">
        <v>65</v>
      </c>
      <c r="H2065" s="23">
        <v>45137.494976851849</v>
      </c>
      <c r="I2065" s="1" t="b">
        <v>0</v>
      </c>
      <c r="K2065" s="10">
        <f t="shared" si="162"/>
        <v>80.529444444458932</v>
      </c>
      <c r="L2065" s="1" t="str">
        <f t="shared" si="163"/>
        <v>OK</v>
      </c>
      <c r="M2065" s="1">
        <f t="shared" si="160"/>
        <v>1</v>
      </c>
      <c r="N2065" s="1">
        <f t="shared" si="161"/>
        <v>65</v>
      </c>
      <c r="O2065" s="10">
        <f t="shared" si="164"/>
        <v>80.529444444458932</v>
      </c>
    </row>
    <row r="2066" spans="1:15">
      <c r="A2066" s="1" t="s">
        <v>2171</v>
      </c>
      <c r="B2066" s="23">
        <v>45134.425694444442</v>
      </c>
      <c r="C2066" s="1" t="s">
        <v>11</v>
      </c>
      <c r="D2066" s="1" t="s">
        <v>17</v>
      </c>
      <c r="E2066" s="1" t="s">
        <v>13</v>
      </c>
      <c r="F2066" s="1" t="s">
        <v>44</v>
      </c>
      <c r="G2066" s="1">
        <v>66</v>
      </c>
      <c r="H2066" s="23">
        <v>45134.852314814816</v>
      </c>
      <c r="I2066" s="1" t="b">
        <v>0</v>
      </c>
      <c r="K2066" s="10">
        <f t="shared" si="162"/>
        <v>10.238888888969086</v>
      </c>
      <c r="L2066" s="1" t="str">
        <f t="shared" si="163"/>
        <v>OK</v>
      </c>
      <c r="M2066" s="1">
        <f t="shared" si="160"/>
        <v>1</v>
      </c>
      <c r="N2066" s="1">
        <f t="shared" si="161"/>
        <v>66</v>
      </c>
      <c r="O2066" s="10">
        <f t="shared" si="164"/>
        <v>10.238888888969086</v>
      </c>
    </row>
    <row r="2067" spans="1:15">
      <c r="A2067" s="1" t="s">
        <v>2172</v>
      </c>
      <c r="B2067" s="23">
        <v>45134.645138888889</v>
      </c>
      <c r="C2067" s="1" t="s">
        <v>25</v>
      </c>
      <c r="D2067" s="1" t="s">
        <v>59</v>
      </c>
      <c r="E2067" s="1" t="s">
        <v>13</v>
      </c>
      <c r="F2067" s="1" t="s">
        <v>64</v>
      </c>
      <c r="G2067" s="1">
        <v>29</v>
      </c>
      <c r="H2067" s="23">
        <v>45135.132951388892</v>
      </c>
      <c r="I2067" s="1" t="b">
        <v>1</v>
      </c>
      <c r="K2067" s="10">
        <f t="shared" si="162"/>
        <v>11.707500000076834</v>
      </c>
      <c r="L2067" s="1" t="str">
        <f t="shared" si="163"/>
        <v>OK</v>
      </c>
      <c r="M2067" s="1">
        <f t="shared" si="160"/>
        <v>1</v>
      </c>
      <c r="N2067" s="1">
        <f t="shared" si="161"/>
        <v>29</v>
      </c>
      <c r="O2067" s="10">
        <f t="shared" si="164"/>
        <v>11.707500000076834</v>
      </c>
    </row>
    <row r="2068" spans="1:15">
      <c r="A2068" s="1" t="s">
        <v>2173</v>
      </c>
      <c r="B2068" s="23">
        <v>45134.663888888892</v>
      </c>
      <c r="C2068" s="1" t="s">
        <v>43</v>
      </c>
      <c r="D2068" s="1" t="s">
        <v>59</v>
      </c>
      <c r="E2068" s="1" t="s">
        <v>18</v>
      </c>
      <c r="F2068" s="1" t="s">
        <v>54</v>
      </c>
      <c r="G2068" s="1">
        <v>296</v>
      </c>
      <c r="H2068" s="23">
        <v>45137.285821759258</v>
      </c>
      <c r="I2068" s="1" t="b">
        <v>0</v>
      </c>
      <c r="K2068" s="10">
        <f t="shared" si="162"/>
        <v>62.926388888794463</v>
      </c>
      <c r="L2068" s="1" t="str">
        <f t="shared" si="163"/>
        <v>OK</v>
      </c>
      <c r="M2068" s="1">
        <f t="shared" si="160"/>
        <v>1</v>
      </c>
      <c r="N2068" s="1">
        <f t="shared" si="161"/>
        <v>296</v>
      </c>
      <c r="O2068" s="10">
        <f t="shared" si="164"/>
        <v>62.926388888794463</v>
      </c>
    </row>
    <row r="2069" spans="1:15">
      <c r="A2069" s="1" t="s">
        <v>2174</v>
      </c>
      <c r="B2069" s="23">
        <v>45134.786805555559</v>
      </c>
      <c r="C2069" s="1" t="s">
        <v>25</v>
      </c>
      <c r="D2069" s="1" t="s">
        <v>21</v>
      </c>
      <c r="E2069" s="1" t="s">
        <v>18</v>
      </c>
      <c r="F2069" s="1" t="s">
        <v>57</v>
      </c>
      <c r="G2069" s="1">
        <v>69</v>
      </c>
      <c r="H2069" s="23">
        <v>45135.65357638889</v>
      </c>
      <c r="I2069" s="1" t="b">
        <v>0</v>
      </c>
      <c r="K2069" s="10">
        <f t="shared" si="162"/>
        <v>20.802499999932479</v>
      </c>
      <c r="L2069" s="1" t="str">
        <f t="shared" si="163"/>
        <v>OK</v>
      </c>
      <c r="M2069" s="1">
        <f t="shared" si="160"/>
        <v>1</v>
      </c>
      <c r="N2069" s="1">
        <f t="shared" si="161"/>
        <v>69</v>
      </c>
      <c r="O2069" s="10">
        <f t="shared" si="164"/>
        <v>20.802499999932479</v>
      </c>
    </row>
    <row r="2070" spans="1:15">
      <c r="A2070" s="1" t="s">
        <v>2175</v>
      </c>
      <c r="B2070" s="23">
        <v>45134.831250000003</v>
      </c>
      <c r="C2070" s="1" t="s">
        <v>25</v>
      </c>
      <c r="D2070" s="1" t="s">
        <v>59</v>
      </c>
      <c r="E2070" s="1" t="s">
        <v>33</v>
      </c>
      <c r="F2070" s="1" t="s">
        <v>120</v>
      </c>
      <c r="G2070" s="1">
        <v>670</v>
      </c>
      <c r="H2070" s="23">
        <v>45137.680798611109</v>
      </c>
      <c r="I2070" s="1" t="b">
        <v>0</v>
      </c>
      <c r="K2070" s="10">
        <f t="shared" si="162"/>
        <v>68.389166666544043</v>
      </c>
      <c r="L2070" s="1" t="str">
        <f t="shared" si="163"/>
        <v>OK</v>
      </c>
      <c r="M2070" s="1">
        <f t="shared" si="160"/>
        <v>1</v>
      </c>
      <c r="N2070" s="1">
        <f t="shared" si="161"/>
        <v>670</v>
      </c>
      <c r="O2070" s="10">
        <f t="shared" si="164"/>
        <v>68.389166666544043</v>
      </c>
    </row>
    <row r="2071" spans="1:15">
      <c r="A2071" s="1" t="s">
        <v>2176</v>
      </c>
      <c r="B2071" s="23">
        <v>45134.954861111109</v>
      </c>
      <c r="C2071" s="1" t="s">
        <v>16</v>
      </c>
      <c r="D2071" s="1" t="s">
        <v>21</v>
      </c>
      <c r="E2071" s="1" t="s">
        <v>18</v>
      </c>
      <c r="F2071" s="1" t="s">
        <v>78</v>
      </c>
      <c r="G2071" s="1">
        <v>223</v>
      </c>
      <c r="I2071" s="1" t="b">
        <v>0</v>
      </c>
      <c r="K2071" s="10" t="str">
        <f t="shared" si="162"/>
        <v/>
      </c>
      <c r="L2071" s="1" t="str">
        <f t="shared" si="163"/>
        <v>Cannot check</v>
      </c>
      <c r="M2071" s="1">
        <f t="shared" si="160"/>
        <v>1</v>
      </c>
      <c r="N2071" s="1">
        <f t="shared" si="161"/>
        <v>223</v>
      </c>
      <c r="O2071" s="10" t="str">
        <f t="shared" si="164"/>
        <v/>
      </c>
    </row>
    <row r="2072" spans="1:15">
      <c r="A2072" s="1" t="s">
        <v>2177</v>
      </c>
      <c r="B2072" s="23">
        <v>45135.245138888888</v>
      </c>
      <c r="C2072" s="1" t="s">
        <v>16</v>
      </c>
      <c r="D2072" s="1" t="s">
        <v>12</v>
      </c>
      <c r="E2072" s="1" t="s">
        <v>13</v>
      </c>
      <c r="F2072" s="1" t="s">
        <v>23</v>
      </c>
      <c r="G2072" s="1">
        <v>37</v>
      </c>
      <c r="H2072" s="23">
        <v>45140.88826388889</v>
      </c>
      <c r="I2072" s="1" t="b">
        <v>0</v>
      </c>
      <c r="J2072" s="1">
        <v>3</v>
      </c>
      <c r="K2072" s="10">
        <f t="shared" si="162"/>
        <v>135.43500000005588</v>
      </c>
      <c r="L2072" s="1" t="str">
        <f t="shared" si="163"/>
        <v>OK</v>
      </c>
      <c r="M2072" s="1">
        <f t="shared" si="160"/>
        <v>1</v>
      </c>
      <c r="N2072" s="1">
        <f t="shared" si="161"/>
        <v>37</v>
      </c>
      <c r="O2072" s="10">
        <f t="shared" si="164"/>
        <v>135.43500000005588</v>
      </c>
    </row>
    <row r="2073" spans="1:15">
      <c r="A2073" s="1" t="s">
        <v>2178</v>
      </c>
      <c r="B2073" s="23">
        <v>45135.29791666667</v>
      </c>
      <c r="C2073" s="1" t="s">
        <v>11</v>
      </c>
      <c r="D2073" s="1" t="s">
        <v>17</v>
      </c>
      <c r="E2073" s="1" t="s">
        <v>13</v>
      </c>
      <c r="F2073" s="1" t="s">
        <v>228</v>
      </c>
      <c r="G2073" s="1">
        <v>61</v>
      </c>
      <c r="H2073" s="23">
        <v>45137.034594907411</v>
      </c>
      <c r="I2073" s="1" t="b">
        <v>0</v>
      </c>
      <c r="K2073" s="10">
        <f t="shared" si="162"/>
        <v>41.680277777777519</v>
      </c>
      <c r="L2073" s="1" t="str">
        <f t="shared" si="163"/>
        <v>OK</v>
      </c>
      <c r="M2073" s="1">
        <f t="shared" si="160"/>
        <v>1</v>
      </c>
      <c r="N2073" s="1">
        <f t="shared" si="161"/>
        <v>61</v>
      </c>
      <c r="O2073" s="10">
        <f t="shared" si="164"/>
        <v>41.680277777777519</v>
      </c>
    </row>
    <row r="2074" spans="1:15">
      <c r="A2074" s="1" t="s">
        <v>2179</v>
      </c>
      <c r="B2074" s="23">
        <v>45135.35</v>
      </c>
      <c r="C2074" s="1" t="s">
        <v>16</v>
      </c>
      <c r="D2074" s="1" t="s">
        <v>17</v>
      </c>
      <c r="E2074" s="1" t="s">
        <v>18</v>
      </c>
      <c r="F2074" s="1" t="s">
        <v>76</v>
      </c>
      <c r="G2074" s="1">
        <v>626</v>
      </c>
      <c r="H2074" s="23">
        <v>45143.261435185188</v>
      </c>
      <c r="I2074" s="1" t="b">
        <v>0</v>
      </c>
      <c r="K2074" s="10">
        <f t="shared" si="162"/>
        <v>189.87444444454741</v>
      </c>
      <c r="L2074" s="1" t="str">
        <f t="shared" si="163"/>
        <v>OK</v>
      </c>
      <c r="M2074" s="1">
        <f t="shared" si="160"/>
        <v>1</v>
      </c>
      <c r="N2074" s="1">
        <f t="shared" si="161"/>
        <v>626</v>
      </c>
      <c r="O2074" s="10">
        <f t="shared" si="164"/>
        <v>189.87444444454741</v>
      </c>
    </row>
    <row r="2075" spans="1:15">
      <c r="A2075" s="1" t="s">
        <v>2180</v>
      </c>
      <c r="B2075" s="23">
        <v>45135.443055555559</v>
      </c>
      <c r="C2075" s="1" t="s">
        <v>11</v>
      </c>
      <c r="D2075" s="1" t="s">
        <v>17</v>
      </c>
      <c r="E2075" s="1" t="s">
        <v>18</v>
      </c>
      <c r="F2075" s="1" t="s">
        <v>116</v>
      </c>
      <c r="G2075" s="1">
        <v>90</v>
      </c>
      <c r="H2075" s="23">
        <v>45136.566435185188</v>
      </c>
      <c r="I2075" s="1" t="b">
        <v>0</v>
      </c>
      <c r="K2075" s="10">
        <f t="shared" si="162"/>
        <v>26.961111111100763</v>
      </c>
      <c r="L2075" s="1" t="str">
        <f t="shared" si="163"/>
        <v>OK</v>
      </c>
      <c r="M2075" s="1">
        <f t="shared" si="160"/>
        <v>1</v>
      </c>
      <c r="N2075" s="1">
        <f t="shared" si="161"/>
        <v>90</v>
      </c>
      <c r="O2075" s="10">
        <f t="shared" si="164"/>
        <v>26.961111111100763</v>
      </c>
    </row>
    <row r="2076" spans="1:15">
      <c r="A2076" s="1" t="s">
        <v>2181</v>
      </c>
      <c r="B2076" s="23">
        <v>45135.486111111109</v>
      </c>
      <c r="C2076" s="1" t="s">
        <v>11</v>
      </c>
      <c r="D2076" s="1" t="s">
        <v>12</v>
      </c>
      <c r="E2076" s="1" t="s">
        <v>13</v>
      </c>
      <c r="F2076" s="1" t="s">
        <v>80</v>
      </c>
      <c r="G2076" s="1">
        <v>61</v>
      </c>
      <c r="H2076" s="23">
        <v>45135.574699074074</v>
      </c>
      <c r="I2076" s="1" t="b">
        <v>0</v>
      </c>
      <c r="K2076" s="10">
        <f t="shared" si="162"/>
        <v>2.126111111138016</v>
      </c>
      <c r="L2076" s="1" t="str">
        <f t="shared" si="163"/>
        <v>OK</v>
      </c>
      <c r="M2076" s="1">
        <f t="shared" si="160"/>
        <v>1</v>
      </c>
      <c r="N2076" s="1">
        <f t="shared" si="161"/>
        <v>61</v>
      </c>
      <c r="O2076" s="10">
        <f t="shared" si="164"/>
        <v>2.126111111138016</v>
      </c>
    </row>
    <row r="2077" spans="1:15">
      <c r="A2077" s="1" t="s">
        <v>2182</v>
      </c>
      <c r="B2077" s="23">
        <v>45135.759722222225</v>
      </c>
      <c r="C2077" s="1" t="s">
        <v>43</v>
      </c>
      <c r="D2077" s="1" t="s">
        <v>21</v>
      </c>
      <c r="E2077" s="1" t="s">
        <v>18</v>
      </c>
      <c r="F2077" s="1" t="s">
        <v>118</v>
      </c>
      <c r="G2077" s="1">
        <v>77</v>
      </c>
      <c r="H2077" s="23">
        <v>45150.111064814817</v>
      </c>
      <c r="I2077" s="1" t="b">
        <v>0</v>
      </c>
      <c r="K2077" s="10">
        <f t="shared" si="162"/>
        <v>344.43222222221084</v>
      </c>
      <c r="L2077" s="1" t="str">
        <f t="shared" si="163"/>
        <v>OK</v>
      </c>
      <c r="M2077" s="1">
        <f t="shared" si="160"/>
        <v>1</v>
      </c>
      <c r="N2077" s="1">
        <f t="shared" si="161"/>
        <v>77</v>
      </c>
      <c r="O2077" s="10">
        <f t="shared" si="164"/>
        <v>344.43222222221084</v>
      </c>
    </row>
    <row r="2078" spans="1:15">
      <c r="A2078" s="1" t="s">
        <v>2183</v>
      </c>
      <c r="B2078" s="23">
        <v>45135.765277777777</v>
      </c>
      <c r="C2078" s="1" t="s">
        <v>11</v>
      </c>
      <c r="D2078" s="1" t="s">
        <v>17</v>
      </c>
      <c r="E2078" s="1" t="s">
        <v>33</v>
      </c>
      <c r="F2078" s="1" t="s">
        <v>486</v>
      </c>
      <c r="G2078" s="1">
        <v>131</v>
      </c>
      <c r="H2078" s="23">
        <v>45138.874791666669</v>
      </c>
      <c r="I2078" s="1" t="b">
        <v>0</v>
      </c>
      <c r="J2078" s="1">
        <v>1</v>
      </c>
      <c r="K2078" s="10">
        <f t="shared" si="162"/>
        <v>74.628333333414048</v>
      </c>
      <c r="L2078" s="1" t="str">
        <f t="shared" si="163"/>
        <v>OK</v>
      </c>
      <c r="M2078" s="1">
        <f t="shared" si="160"/>
        <v>1</v>
      </c>
      <c r="N2078" s="1">
        <f t="shared" si="161"/>
        <v>131</v>
      </c>
      <c r="O2078" s="10">
        <f t="shared" si="164"/>
        <v>74.628333333414048</v>
      </c>
    </row>
    <row r="2079" spans="1:15">
      <c r="A2079" s="1" t="s">
        <v>2184</v>
      </c>
      <c r="B2079" s="23">
        <v>45135.943749999999</v>
      </c>
      <c r="C2079" s="1" t="s">
        <v>43</v>
      </c>
      <c r="D2079" s="1" t="s">
        <v>59</v>
      </c>
      <c r="E2079" s="1" t="s">
        <v>13</v>
      </c>
      <c r="F2079" s="1" t="s">
        <v>41</v>
      </c>
      <c r="G2079" s="1">
        <v>93</v>
      </c>
      <c r="H2079" s="23">
        <v>45137.208344907405</v>
      </c>
      <c r="I2079" s="1" t="b">
        <v>1</v>
      </c>
      <c r="K2079" s="10">
        <f t="shared" si="162"/>
        <v>30.350277777761221</v>
      </c>
      <c r="L2079" s="1" t="str">
        <f t="shared" si="163"/>
        <v>OK</v>
      </c>
      <c r="M2079" s="1">
        <f t="shared" si="160"/>
        <v>1</v>
      </c>
      <c r="N2079" s="1">
        <f t="shared" si="161"/>
        <v>93</v>
      </c>
      <c r="O2079" s="10">
        <f t="shared" si="164"/>
        <v>30.350277777761221</v>
      </c>
    </row>
    <row r="2080" spans="1:15">
      <c r="A2080" s="1" t="s">
        <v>2185</v>
      </c>
      <c r="B2080" s="23">
        <v>45136.05</v>
      </c>
      <c r="C2080" s="1" t="s">
        <v>11</v>
      </c>
      <c r="D2080" s="1" t="s">
        <v>26</v>
      </c>
      <c r="E2080" s="1" t="s">
        <v>18</v>
      </c>
      <c r="F2080" s="1" t="s">
        <v>237</v>
      </c>
      <c r="G2080" s="1">
        <v>72</v>
      </c>
      <c r="H2080" s="23">
        <v>45142.770046296297</v>
      </c>
      <c r="I2080" s="1" t="b">
        <v>0</v>
      </c>
      <c r="K2080" s="10">
        <f t="shared" si="162"/>
        <v>161.28111111104954</v>
      </c>
      <c r="L2080" s="1" t="str">
        <f t="shared" si="163"/>
        <v>OK</v>
      </c>
      <c r="M2080" s="1">
        <f t="shared" si="160"/>
        <v>1</v>
      </c>
      <c r="N2080" s="1">
        <f t="shared" si="161"/>
        <v>72</v>
      </c>
      <c r="O2080" s="10">
        <f t="shared" si="164"/>
        <v>161.28111111104954</v>
      </c>
    </row>
    <row r="2081" spans="1:15">
      <c r="A2081" s="1" t="s">
        <v>2186</v>
      </c>
      <c r="B2081" s="23">
        <v>45136.177083333336</v>
      </c>
      <c r="C2081" s="1" t="s">
        <v>25</v>
      </c>
      <c r="D2081" s="1" t="s">
        <v>59</v>
      </c>
      <c r="E2081" s="1" t="s">
        <v>33</v>
      </c>
      <c r="F2081" s="1" t="s">
        <v>106</v>
      </c>
      <c r="G2081" s="1">
        <v>146</v>
      </c>
      <c r="H2081" s="23">
        <v>45140.432627314818</v>
      </c>
      <c r="I2081" s="1" t="b">
        <v>0</v>
      </c>
      <c r="J2081" s="1">
        <v>5</v>
      </c>
      <c r="K2081" s="10">
        <f t="shared" si="162"/>
        <v>102.13305555557599</v>
      </c>
      <c r="L2081" s="1" t="str">
        <f t="shared" si="163"/>
        <v>OK</v>
      </c>
      <c r="M2081" s="1">
        <f t="shared" si="160"/>
        <v>1</v>
      </c>
      <c r="N2081" s="1">
        <f t="shared" si="161"/>
        <v>146</v>
      </c>
      <c r="O2081" s="10">
        <f t="shared" si="164"/>
        <v>102.13305555557599</v>
      </c>
    </row>
    <row r="2082" spans="1:15">
      <c r="A2082" s="1" t="s">
        <v>2187</v>
      </c>
      <c r="B2082" s="23">
        <v>45136.179166666669</v>
      </c>
      <c r="C2082" s="1" t="s">
        <v>16</v>
      </c>
      <c r="D2082" s="1" t="s">
        <v>21</v>
      </c>
      <c r="E2082" s="1" t="s">
        <v>13</v>
      </c>
      <c r="F2082" s="1" t="s">
        <v>114</v>
      </c>
      <c r="G2082" s="1">
        <v>234</v>
      </c>
      <c r="H2082" s="23">
        <v>45137.210763888892</v>
      </c>
      <c r="I2082" s="1" t="b">
        <v>0</v>
      </c>
      <c r="J2082" s="1">
        <v>5</v>
      </c>
      <c r="K2082" s="10">
        <f t="shared" si="162"/>
        <v>24.758333333360497</v>
      </c>
      <c r="L2082" s="1" t="str">
        <f t="shared" si="163"/>
        <v>OK</v>
      </c>
      <c r="M2082" s="1">
        <f t="shared" si="160"/>
        <v>1</v>
      </c>
      <c r="N2082" s="1">
        <f t="shared" si="161"/>
        <v>234</v>
      </c>
      <c r="O2082" s="10">
        <f t="shared" si="164"/>
        <v>24.758333333360497</v>
      </c>
    </row>
    <row r="2083" spans="1:15">
      <c r="A2083" s="1" t="s">
        <v>2188</v>
      </c>
      <c r="B2083" s="23">
        <v>45136.288888888892</v>
      </c>
      <c r="C2083" s="1" t="s">
        <v>16</v>
      </c>
      <c r="D2083" s="1" t="s">
        <v>17</v>
      </c>
      <c r="E2083" s="1" t="s">
        <v>13</v>
      </c>
      <c r="F2083" s="1" t="s">
        <v>116</v>
      </c>
      <c r="G2083" s="1">
        <v>27</v>
      </c>
      <c r="H2083" s="23">
        <v>45136.848993055559</v>
      </c>
      <c r="I2083" s="1" t="b">
        <v>0</v>
      </c>
      <c r="K2083" s="10">
        <f t="shared" si="162"/>
        <v>13.442500000004657</v>
      </c>
      <c r="L2083" s="1" t="str">
        <f t="shared" si="163"/>
        <v>OK</v>
      </c>
      <c r="M2083" s="1">
        <f t="shared" si="160"/>
        <v>1</v>
      </c>
      <c r="N2083" s="1">
        <f t="shared" si="161"/>
        <v>27</v>
      </c>
      <c r="O2083" s="10">
        <f t="shared" si="164"/>
        <v>13.442500000004657</v>
      </c>
    </row>
    <row r="2084" spans="1:15">
      <c r="A2084" s="1" t="s">
        <v>2189</v>
      </c>
      <c r="B2084" s="23">
        <v>45136.53402777778</v>
      </c>
      <c r="C2084" s="1" t="s">
        <v>25</v>
      </c>
      <c r="D2084" s="1" t="s">
        <v>12</v>
      </c>
      <c r="E2084" s="1" t="s">
        <v>18</v>
      </c>
      <c r="F2084" s="1" t="s">
        <v>245</v>
      </c>
      <c r="G2084" s="1">
        <v>20</v>
      </c>
      <c r="H2084" s="23">
        <v>45136.682939814818</v>
      </c>
      <c r="I2084" s="1" t="b">
        <v>0</v>
      </c>
      <c r="K2084" s="10">
        <f t="shared" si="162"/>
        <v>3.5738888889318332</v>
      </c>
      <c r="L2084" s="1" t="str">
        <f t="shared" si="163"/>
        <v>OK</v>
      </c>
      <c r="M2084" s="1">
        <f t="shared" si="160"/>
        <v>1</v>
      </c>
      <c r="N2084" s="1">
        <f t="shared" si="161"/>
        <v>20</v>
      </c>
      <c r="O2084" s="10">
        <f t="shared" si="164"/>
        <v>3.5738888889318332</v>
      </c>
    </row>
    <row r="2085" spans="1:15">
      <c r="A2085" s="1" t="s">
        <v>2190</v>
      </c>
      <c r="B2085" s="23">
        <v>45136.603472222225</v>
      </c>
      <c r="C2085" s="1" t="s">
        <v>16</v>
      </c>
      <c r="D2085" s="1" t="s">
        <v>17</v>
      </c>
      <c r="E2085" s="1" t="s">
        <v>18</v>
      </c>
      <c r="F2085" s="1" t="s">
        <v>92</v>
      </c>
      <c r="G2085" s="1">
        <v>132</v>
      </c>
      <c r="H2085" s="23">
        <v>45140.348217592589</v>
      </c>
      <c r="I2085" s="1" t="b">
        <v>0</v>
      </c>
      <c r="K2085" s="10">
        <f t="shared" si="162"/>
        <v>89.873888888745569</v>
      </c>
      <c r="L2085" s="1" t="str">
        <f t="shared" si="163"/>
        <v>OK</v>
      </c>
      <c r="M2085" s="1">
        <f t="shared" si="160"/>
        <v>1</v>
      </c>
      <c r="N2085" s="1">
        <f t="shared" si="161"/>
        <v>132</v>
      </c>
      <c r="O2085" s="10">
        <f t="shared" si="164"/>
        <v>89.873888888745569</v>
      </c>
    </row>
    <row r="2086" spans="1:15">
      <c r="A2086" s="1" t="s">
        <v>2191</v>
      </c>
      <c r="B2086" s="23">
        <v>45136.68472222222</v>
      </c>
      <c r="C2086" s="1" t="s">
        <v>25</v>
      </c>
      <c r="D2086" s="1" t="s">
        <v>17</v>
      </c>
      <c r="E2086" s="1" t="s">
        <v>18</v>
      </c>
      <c r="F2086" s="1" t="s">
        <v>234</v>
      </c>
      <c r="G2086" s="1">
        <v>24</v>
      </c>
      <c r="H2086" s="23">
        <v>45137.710879629631</v>
      </c>
      <c r="I2086" s="1" t="b">
        <v>0</v>
      </c>
      <c r="J2086" s="1">
        <v>5</v>
      </c>
      <c r="K2086" s="10">
        <f t="shared" si="162"/>
        <v>24.62777777784504</v>
      </c>
      <c r="L2086" s="1" t="str">
        <f t="shared" si="163"/>
        <v>OK</v>
      </c>
      <c r="M2086" s="1">
        <f t="shared" si="160"/>
        <v>1</v>
      </c>
      <c r="N2086" s="1">
        <f t="shared" si="161"/>
        <v>24</v>
      </c>
      <c r="O2086" s="10">
        <f t="shared" si="164"/>
        <v>24.62777777784504</v>
      </c>
    </row>
    <row r="2087" spans="1:15">
      <c r="A2087" s="1" t="s">
        <v>2192</v>
      </c>
      <c r="B2087" s="23">
        <v>45136.84375</v>
      </c>
      <c r="C2087" s="1" t="s">
        <v>43</v>
      </c>
      <c r="D2087" s="1" t="s">
        <v>17</v>
      </c>
      <c r="E2087" s="1" t="s">
        <v>18</v>
      </c>
      <c r="F2087" s="1" t="s">
        <v>27</v>
      </c>
      <c r="G2087" s="1">
        <v>141</v>
      </c>
      <c r="H2087" s="23">
        <v>45142.002997685187</v>
      </c>
      <c r="I2087" s="1" t="b">
        <v>0</v>
      </c>
      <c r="K2087" s="10">
        <f t="shared" si="162"/>
        <v>123.82194444449851</v>
      </c>
      <c r="L2087" s="1" t="str">
        <f t="shared" si="163"/>
        <v>OK</v>
      </c>
      <c r="M2087" s="1">
        <f t="shared" si="160"/>
        <v>1</v>
      </c>
      <c r="N2087" s="1">
        <f t="shared" si="161"/>
        <v>141</v>
      </c>
      <c r="O2087" s="10">
        <f t="shared" si="164"/>
        <v>123.82194444449851</v>
      </c>
    </row>
    <row r="2088" spans="1:15">
      <c r="A2088" s="1" t="s">
        <v>2193</v>
      </c>
      <c r="B2088" s="23">
        <v>45136.852777777778</v>
      </c>
      <c r="C2088" s="1" t="s">
        <v>43</v>
      </c>
      <c r="D2088" s="1" t="s">
        <v>21</v>
      </c>
      <c r="E2088" s="1" t="s">
        <v>18</v>
      </c>
      <c r="F2088" s="1" t="s">
        <v>80</v>
      </c>
      <c r="G2088" s="1">
        <v>158</v>
      </c>
      <c r="H2088" s="23">
        <v>45141.921203703707</v>
      </c>
      <c r="I2088" s="1" t="b">
        <v>0</v>
      </c>
      <c r="J2088" s="1">
        <v>3</v>
      </c>
      <c r="K2088" s="10">
        <f t="shared" si="162"/>
        <v>121.64222222229</v>
      </c>
      <c r="L2088" s="1" t="str">
        <f t="shared" si="163"/>
        <v>OK</v>
      </c>
      <c r="M2088" s="1">
        <f t="shared" si="160"/>
        <v>1</v>
      </c>
      <c r="N2088" s="1">
        <f t="shared" si="161"/>
        <v>158</v>
      </c>
      <c r="O2088" s="10">
        <f t="shared" si="164"/>
        <v>121.64222222229</v>
      </c>
    </row>
    <row r="2089" spans="1:15">
      <c r="A2089" s="1" t="s">
        <v>2194</v>
      </c>
      <c r="B2089" s="23">
        <v>45137.073611111111</v>
      </c>
      <c r="C2089" s="1" t="s">
        <v>25</v>
      </c>
      <c r="D2089" s="1" t="s">
        <v>17</v>
      </c>
      <c r="E2089" s="1" t="s">
        <v>13</v>
      </c>
      <c r="F2089" s="1" t="s">
        <v>274</v>
      </c>
      <c r="G2089" s="1">
        <v>35</v>
      </c>
      <c r="H2089" s="23">
        <v>45137.537187499998</v>
      </c>
      <c r="I2089" s="1" t="b">
        <v>1</v>
      </c>
      <c r="K2089" s="10">
        <f t="shared" si="162"/>
        <v>11.125833333295304</v>
      </c>
      <c r="L2089" s="1" t="str">
        <f t="shared" si="163"/>
        <v>OK</v>
      </c>
      <c r="M2089" s="1">
        <f t="shared" si="160"/>
        <v>1</v>
      </c>
      <c r="N2089" s="1">
        <f t="shared" si="161"/>
        <v>35</v>
      </c>
      <c r="O2089" s="10">
        <f t="shared" si="164"/>
        <v>11.125833333295304</v>
      </c>
    </row>
    <row r="2090" spans="1:15">
      <c r="A2090" s="1" t="s">
        <v>2195</v>
      </c>
      <c r="B2090" s="23">
        <v>45137.07916666667</v>
      </c>
      <c r="C2090" s="1" t="s">
        <v>16</v>
      </c>
      <c r="D2090" s="1" t="s">
        <v>12</v>
      </c>
      <c r="E2090" s="1" t="s">
        <v>13</v>
      </c>
      <c r="F2090" s="1" t="s">
        <v>167</v>
      </c>
      <c r="G2090" s="1">
        <v>28</v>
      </c>
      <c r="H2090" s="23">
        <v>45137.987997685188</v>
      </c>
      <c r="I2090" s="1" t="b">
        <v>0</v>
      </c>
      <c r="K2090" s="10">
        <f t="shared" si="162"/>
        <v>21.811944444430992</v>
      </c>
      <c r="L2090" s="1" t="str">
        <f t="shared" si="163"/>
        <v>OK</v>
      </c>
      <c r="M2090" s="1">
        <f t="shared" si="160"/>
        <v>1</v>
      </c>
      <c r="N2090" s="1">
        <f t="shared" si="161"/>
        <v>28</v>
      </c>
      <c r="O2090" s="10">
        <f t="shared" si="164"/>
        <v>21.811944444430992</v>
      </c>
    </row>
    <row r="2091" spans="1:15">
      <c r="A2091" s="1" t="s">
        <v>2196</v>
      </c>
      <c r="B2091" s="23">
        <v>45137.490972222222</v>
      </c>
      <c r="C2091" s="1" t="s">
        <v>43</v>
      </c>
      <c r="D2091" s="1" t="s">
        <v>17</v>
      </c>
      <c r="E2091" s="1" t="s">
        <v>13</v>
      </c>
      <c r="F2091" s="1" t="s">
        <v>78</v>
      </c>
      <c r="G2091" s="1">
        <v>54</v>
      </c>
      <c r="H2091" s="23">
        <v>45145.740347222221</v>
      </c>
      <c r="I2091" s="1" t="b">
        <v>0</v>
      </c>
      <c r="J2091" s="1">
        <v>5</v>
      </c>
      <c r="K2091" s="10">
        <f t="shared" si="162"/>
        <v>197.98499999998603</v>
      </c>
      <c r="L2091" s="1" t="str">
        <f t="shared" si="163"/>
        <v>OK</v>
      </c>
      <c r="M2091" s="1">
        <f t="shared" si="160"/>
        <v>1</v>
      </c>
      <c r="N2091" s="1">
        <f t="shared" si="161"/>
        <v>54</v>
      </c>
      <c r="O2091" s="10">
        <f t="shared" si="164"/>
        <v>197.98499999998603</v>
      </c>
    </row>
    <row r="2092" spans="1:15">
      <c r="A2092" s="1" t="s">
        <v>2197</v>
      </c>
      <c r="B2092" s="23">
        <v>45137.500694444447</v>
      </c>
      <c r="C2092" s="1" t="s">
        <v>16</v>
      </c>
      <c r="D2092" s="1" t="s">
        <v>17</v>
      </c>
      <c r="E2092" s="1" t="s">
        <v>33</v>
      </c>
      <c r="F2092" s="1" t="s">
        <v>23</v>
      </c>
      <c r="G2092" s="1">
        <v>130</v>
      </c>
      <c r="H2092" s="23">
        <v>45139.513935185183</v>
      </c>
      <c r="I2092" s="1" t="b">
        <v>0</v>
      </c>
      <c r="K2092" s="10">
        <f t="shared" si="162"/>
        <v>48.317777777672745</v>
      </c>
      <c r="L2092" s="1" t="str">
        <f t="shared" si="163"/>
        <v>OK</v>
      </c>
      <c r="M2092" s="1">
        <f t="shared" si="160"/>
        <v>1</v>
      </c>
      <c r="N2092" s="1">
        <f t="shared" si="161"/>
        <v>130</v>
      </c>
      <c r="O2092" s="10">
        <f t="shared" si="164"/>
        <v>48.317777777672745</v>
      </c>
    </row>
    <row r="2093" spans="1:15">
      <c r="A2093" s="1" t="s">
        <v>2198</v>
      </c>
      <c r="B2093" s="23">
        <v>45137.594444444447</v>
      </c>
      <c r="C2093" s="1" t="s">
        <v>16</v>
      </c>
      <c r="D2093" s="1" t="s">
        <v>12</v>
      </c>
      <c r="E2093" s="1" t="s">
        <v>18</v>
      </c>
      <c r="F2093" s="1" t="s">
        <v>86</v>
      </c>
      <c r="G2093" s="1">
        <v>232</v>
      </c>
      <c r="H2093" s="23">
        <v>45138.917407407411</v>
      </c>
      <c r="I2093" s="1" t="b">
        <v>0</v>
      </c>
      <c r="K2093" s="10">
        <f t="shared" si="162"/>
        <v>31.751111111138016</v>
      </c>
      <c r="L2093" s="1" t="str">
        <f t="shared" si="163"/>
        <v>OK</v>
      </c>
      <c r="M2093" s="1">
        <f t="shared" si="160"/>
        <v>1</v>
      </c>
      <c r="N2093" s="1">
        <f t="shared" si="161"/>
        <v>232</v>
      </c>
      <c r="O2093" s="10">
        <f t="shared" si="164"/>
        <v>31.751111111138016</v>
      </c>
    </row>
    <row r="2094" spans="1:15">
      <c r="A2094" s="1" t="s">
        <v>2199</v>
      </c>
      <c r="B2094" s="23">
        <v>45137.656944444447</v>
      </c>
      <c r="C2094" s="1" t="s">
        <v>16</v>
      </c>
      <c r="D2094" s="1" t="s">
        <v>21</v>
      </c>
      <c r="E2094" s="1" t="s">
        <v>18</v>
      </c>
      <c r="F2094" s="1" t="s">
        <v>228</v>
      </c>
      <c r="G2094" s="1">
        <v>45</v>
      </c>
      <c r="H2094" s="23">
        <v>45137.781655092593</v>
      </c>
      <c r="I2094" s="1" t="b">
        <v>0</v>
      </c>
      <c r="J2094" s="1">
        <v>4</v>
      </c>
      <c r="K2094" s="10">
        <f t="shared" si="162"/>
        <v>2.9930555555038154</v>
      </c>
      <c r="L2094" s="1" t="str">
        <f t="shared" si="163"/>
        <v>OK</v>
      </c>
      <c r="M2094" s="1">
        <f t="shared" si="160"/>
        <v>1</v>
      </c>
      <c r="N2094" s="1">
        <f t="shared" si="161"/>
        <v>45</v>
      </c>
      <c r="O2094" s="10">
        <f t="shared" si="164"/>
        <v>2.9930555555038154</v>
      </c>
    </row>
    <row r="2095" spans="1:15">
      <c r="A2095" s="1" t="s">
        <v>2200</v>
      </c>
      <c r="B2095" s="23">
        <v>45137.660416666666</v>
      </c>
      <c r="C2095" s="1" t="s">
        <v>43</v>
      </c>
      <c r="D2095" s="1" t="s">
        <v>12</v>
      </c>
      <c r="E2095" s="1" t="s">
        <v>18</v>
      </c>
      <c r="F2095" s="1" t="s">
        <v>239</v>
      </c>
      <c r="G2095" s="1">
        <v>91</v>
      </c>
      <c r="H2095" s="23">
        <v>45138.436793981484</v>
      </c>
      <c r="I2095" s="1" t="b">
        <v>0</v>
      </c>
      <c r="K2095" s="10">
        <f t="shared" si="162"/>
        <v>18.633055555634201</v>
      </c>
      <c r="L2095" s="1" t="str">
        <f t="shared" si="163"/>
        <v>OK</v>
      </c>
      <c r="M2095" s="1">
        <f t="shared" si="160"/>
        <v>1</v>
      </c>
      <c r="N2095" s="1">
        <f t="shared" si="161"/>
        <v>91</v>
      </c>
      <c r="O2095" s="10">
        <f t="shared" si="164"/>
        <v>18.633055555634201</v>
      </c>
    </row>
    <row r="2096" spans="1:15">
      <c r="A2096" s="1" t="s">
        <v>2201</v>
      </c>
      <c r="B2096" s="23">
        <v>45137.67291666667</v>
      </c>
      <c r="C2096" s="1" t="s">
        <v>25</v>
      </c>
      <c r="D2096" s="1" t="s">
        <v>21</v>
      </c>
      <c r="E2096" s="1" t="s">
        <v>13</v>
      </c>
      <c r="F2096" s="1" t="s">
        <v>367</v>
      </c>
      <c r="G2096" s="1">
        <v>103</v>
      </c>
      <c r="H2096" s="23">
        <v>45137.970381944448</v>
      </c>
      <c r="I2096" s="1" t="b">
        <v>1</v>
      </c>
      <c r="K2096" s="10">
        <f t="shared" si="162"/>
        <v>7.1391666666604578</v>
      </c>
      <c r="L2096" s="1" t="str">
        <f t="shared" si="163"/>
        <v>OK</v>
      </c>
      <c r="M2096" s="1">
        <f t="shared" si="160"/>
        <v>1</v>
      </c>
      <c r="N2096" s="1">
        <f t="shared" si="161"/>
        <v>103</v>
      </c>
      <c r="O2096" s="10">
        <f t="shared" si="164"/>
        <v>7.1391666666604578</v>
      </c>
    </row>
    <row r="2097" spans="1:15">
      <c r="A2097" s="1" t="s">
        <v>2202</v>
      </c>
      <c r="B2097" s="23">
        <v>45137.87222222222</v>
      </c>
      <c r="C2097" s="1" t="s">
        <v>43</v>
      </c>
      <c r="D2097" s="1" t="s">
        <v>12</v>
      </c>
      <c r="E2097" s="1" t="s">
        <v>18</v>
      </c>
      <c r="F2097" s="1" t="s">
        <v>35</v>
      </c>
      <c r="G2097" s="1">
        <v>39</v>
      </c>
      <c r="H2097" s="23">
        <v>45138.298611111109</v>
      </c>
      <c r="I2097" s="1" t="b">
        <v>0</v>
      </c>
      <c r="K2097" s="10">
        <f t="shared" si="162"/>
        <v>10.233333333337214</v>
      </c>
      <c r="L2097" s="1" t="str">
        <f t="shared" si="163"/>
        <v>OK</v>
      </c>
      <c r="M2097" s="1">
        <f t="shared" si="160"/>
        <v>1</v>
      </c>
      <c r="N2097" s="1">
        <f t="shared" si="161"/>
        <v>39</v>
      </c>
      <c r="O2097" s="10">
        <f t="shared" si="164"/>
        <v>10.233333333337214</v>
      </c>
    </row>
    <row r="2098" spans="1:15">
      <c r="A2098" s="1" t="s">
        <v>2203</v>
      </c>
      <c r="B2098" s="23">
        <v>45137.959027777775</v>
      </c>
      <c r="C2098" s="1" t="s">
        <v>43</v>
      </c>
      <c r="D2098" s="1" t="s">
        <v>17</v>
      </c>
      <c r="E2098" s="1" t="s">
        <v>33</v>
      </c>
      <c r="F2098" s="1" t="s">
        <v>392</v>
      </c>
      <c r="G2098" s="1">
        <v>75</v>
      </c>
      <c r="H2098" s="23">
        <v>45146.244837962964</v>
      </c>
      <c r="I2098" s="1" t="b">
        <v>0</v>
      </c>
      <c r="J2098" s="1">
        <v>2</v>
      </c>
      <c r="K2098" s="10">
        <f t="shared" si="162"/>
        <v>198.85944444453344</v>
      </c>
      <c r="L2098" s="1" t="str">
        <f t="shared" si="163"/>
        <v>OK</v>
      </c>
      <c r="M2098" s="1">
        <f t="shared" si="160"/>
        <v>1</v>
      </c>
      <c r="N2098" s="1">
        <f t="shared" si="161"/>
        <v>75</v>
      </c>
      <c r="O2098" s="10">
        <f t="shared" si="164"/>
        <v>198.85944444453344</v>
      </c>
    </row>
    <row r="2099" spans="1:15">
      <c r="A2099" s="1" t="s">
        <v>2204</v>
      </c>
      <c r="B2099" s="23">
        <v>45137.994444444441</v>
      </c>
      <c r="C2099" s="1" t="s">
        <v>11</v>
      </c>
      <c r="D2099" s="1" t="s">
        <v>26</v>
      </c>
      <c r="E2099" s="1" t="s">
        <v>18</v>
      </c>
      <c r="F2099" s="1" t="s">
        <v>112</v>
      </c>
      <c r="G2099" s="1">
        <v>56</v>
      </c>
      <c r="H2099" s="23">
        <v>45200.469571759262</v>
      </c>
      <c r="I2099" s="1" t="b">
        <v>0</v>
      </c>
      <c r="K2099" s="10">
        <f t="shared" si="162"/>
        <v>1499.403055555711</v>
      </c>
      <c r="L2099" s="1" t="str">
        <f t="shared" si="163"/>
        <v>OK</v>
      </c>
      <c r="M2099" s="1">
        <f t="shared" si="160"/>
        <v>1</v>
      </c>
      <c r="N2099" s="1">
        <f t="shared" si="161"/>
        <v>56</v>
      </c>
      <c r="O2099" s="10">
        <f t="shared" si="164"/>
        <v>1499.403055555711</v>
      </c>
    </row>
    <row r="2100" spans="1:15">
      <c r="A2100" s="1" t="s">
        <v>2205</v>
      </c>
      <c r="B2100" s="23">
        <v>45138.045138888891</v>
      </c>
      <c r="C2100" s="1" t="s">
        <v>16</v>
      </c>
      <c r="D2100" s="1" t="s">
        <v>21</v>
      </c>
      <c r="E2100" s="1" t="s">
        <v>13</v>
      </c>
      <c r="F2100" s="1" t="s">
        <v>96</v>
      </c>
      <c r="G2100" s="1">
        <v>385</v>
      </c>
      <c r="H2100" s="23">
        <v>45138.161122685182</v>
      </c>
      <c r="I2100" s="1" t="b">
        <v>1</v>
      </c>
      <c r="K2100" s="10">
        <f t="shared" si="162"/>
        <v>2.783611110993661</v>
      </c>
      <c r="L2100" s="1" t="str">
        <f t="shared" si="163"/>
        <v>Review</v>
      </c>
      <c r="M2100" s="1">
        <f t="shared" si="160"/>
        <v>1</v>
      </c>
      <c r="N2100" s="1" t="str">
        <f t="shared" si="161"/>
        <v/>
      </c>
      <c r="O2100" s="10" t="str">
        <f t="shared" si="164"/>
        <v/>
      </c>
    </row>
    <row r="2101" spans="1:15">
      <c r="A2101" s="1" t="s">
        <v>2206</v>
      </c>
      <c r="B2101" s="23">
        <v>45138.195833333331</v>
      </c>
      <c r="C2101" s="1" t="s">
        <v>25</v>
      </c>
      <c r="D2101" s="1" t="s">
        <v>17</v>
      </c>
      <c r="E2101" s="1" t="s">
        <v>33</v>
      </c>
      <c r="F2101" s="1" t="s">
        <v>100</v>
      </c>
      <c r="G2101" s="1">
        <v>21</v>
      </c>
      <c r="I2101" s="1" t="b">
        <v>0</v>
      </c>
      <c r="K2101" s="10" t="str">
        <f t="shared" si="162"/>
        <v/>
      </c>
      <c r="L2101" s="1" t="str">
        <f t="shared" si="163"/>
        <v>Cannot check</v>
      </c>
      <c r="M2101" s="1">
        <f t="shared" si="160"/>
        <v>1</v>
      </c>
      <c r="N2101" s="1">
        <f t="shared" si="161"/>
        <v>21</v>
      </c>
      <c r="O2101" s="10" t="str">
        <f t="shared" si="164"/>
        <v/>
      </c>
    </row>
    <row r="2102" spans="1:15">
      <c r="A2102" s="1" t="s">
        <v>2207</v>
      </c>
      <c r="B2102" s="23">
        <v>45138.306250000001</v>
      </c>
      <c r="C2102" s="1" t="s">
        <v>11</v>
      </c>
      <c r="D2102" s="1" t="s">
        <v>21</v>
      </c>
      <c r="E2102" s="1" t="s">
        <v>22</v>
      </c>
      <c r="F2102" s="1" t="s">
        <v>27</v>
      </c>
      <c r="G2102" s="1">
        <v>48</v>
      </c>
      <c r="H2102" s="23">
        <v>45139.081145833334</v>
      </c>
      <c r="I2102" s="1" t="b">
        <v>0</v>
      </c>
      <c r="K2102" s="10">
        <f t="shared" si="162"/>
        <v>18.597499999974389</v>
      </c>
      <c r="L2102" s="1" t="str">
        <f t="shared" si="163"/>
        <v>OK</v>
      </c>
      <c r="M2102" s="1">
        <f t="shared" si="160"/>
        <v>1</v>
      </c>
      <c r="N2102" s="1">
        <f t="shared" si="161"/>
        <v>48</v>
      </c>
      <c r="O2102" s="10">
        <f t="shared" si="164"/>
        <v>18.597499999974389</v>
      </c>
    </row>
    <row r="2103" spans="1:15">
      <c r="A2103" s="1" t="s">
        <v>2208</v>
      </c>
      <c r="B2103" s="23">
        <v>45138.425694444442</v>
      </c>
      <c r="C2103" s="1" t="s">
        <v>25</v>
      </c>
      <c r="D2103" s="1" t="s">
        <v>12</v>
      </c>
      <c r="E2103" s="1" t="s">
        <v>13</v>
      </c>
      <c r="F2103" s="1" t="s">
        <v>110</v>
      </c>
      <c r="G2103" s="1">
        <v>39</v>
      </c>
      <c r="H2103" s="23">
        <v>45138.574386574073</v>
      </c>
      <c r="I2103" s="1" t="b">
        <v>0</v>
      </c>
      <c r="J2103" s="1">
        <v>2</v>
      </c>
      <c r="K2103" s="10">
        <f t="shared" si="162"/>
        <v>3.5686111111426726</v>
      </c>
      <c r="L2103" s="1" t="str">
        <f t="shared" si="163"/>
        <v>OK</v>
      </c>
      <c r="M2103" s="1">
        <f t="shared" si="160"/>
        <v>1</v>
      </c>
      <c r="N2103" s="1">
        <f t="shared" si="161"/>
        <v>39</v>
      </c>
      <c r="O2103" s="10">
        <f t="shared" si="164"/>
        <v>3.5686111111426726</v>
      </c>
    </row>
    <row r="2104" spans="1:15">
      <c r="A2104" s="1" t="s">
        <v>2209</v>
      </c>
      <c r="B2104" s="23">
        <v>45138.568749999999</v>
      </c>
      <c r="C2104" s="1" t="s">
        <v>16</v>
      </c>
      <c r="D2104" s="1" t="s">
        <v>21</v>
      </c>
      <c r="E2104" s="1" t="s">
        <v>18</v>
      </c>
      <c r="F2104" s="1" t="s">
        <v>302</v>
      </c>
      <c r="G2104" s="1">
        <v>112</v>
      </c>
      <c r="H2104" s="23">
        <v>45138.618472222224</v>
      </c>
      <c r="I2104" s="1" t="b">
        <v>0</v>
      </c>
      <c r="K2104" s="10">
        <f t="shared" si="162"/>
        <v>1.1933333334163763</v>
      </c>
      <c r="L2104" s="1" t="str">
        <f t="shared" si="163"/>
        <v>Review</v>
      </c>
      <c r="M2104" s="1">
        <f t="shared" si="160"/>
        <v>1</v>
      </c>
      <c r="N2104" s="1" t="str">
        <f t="shared" si="161"/>
        <v/>
      </c>
      <c r="O2104" s="10" t="str">
        <f t="shared" si="164"/>
        <v/>
      </c>
    </row>
    <row r="2105" spans="1:15">
      <c r="A2105" s="1" t="s">
        <v>2210</v>
      </c>
      <c r="B2105" s="23">
        <v>45138.624305555553</v>
      </c>
      <c r="C2105" s="1" t="s">
        <v>16</v>
      </c>
      <c r="D2105" s="1" t="s">
        <v>26</v>
      </c>
      <c r="E2105" s="1" t="s">
        <v>13</v>
      </c>
      <c r="F2105" s="1" t="s">
        <v>74</v>
      </c>
      <c r="G2105" s="1">
        <v>52</v>
      </c>
      <c r="H2105" s="23">
        <v>45138.728437500002</v>
      </c>
      <c r="I2105" s="1" t="b">
        <v>0</v>
      </c>
      <c r="J2105" s="1">
        <v>5</v>
      </c>
      <c r="K2105" s="10">
        <f t="shared" si="162"/>
        <v>2.4991666667629033</v>
      </c>
      <c r="L2105" s="1" t="str">
        <f t="shared" si="163"/>
        <v>OK</v>
      </c>
      <c r="M2105" s="1">
        <f t="shared" si="160"/>
        <v>1</v>
      </c>
      <c r="N2105" s="1">
        <f t="shared" si="161"/>
        <v>52</v>
      </c>
      <c r="O2105" s="10">
        <f t="shared" si="164"/>
        <v>2.4991666667629033</v>
      </c>
    </row>
    <row r="2106" spans="1:15">
      <c r="A2106" s="1" t="s">
        <v>2211</v>
      </c>
      <c r="B2106" s="23">
        <v>45138.972916666666</v>
      </c>
      <c r="C2106" s="1" t="s">
        <v>11</v>
      </c>
      <c r="D2106" s="1" t="s">
        <v>21</v>
      </c>
      <c r="E2106" s="1" t="s">
        <v>13</v>
      </c>
      <c r="F2106" s="1" t="s">
        <v>39</v>
      </c>
      <c r="G2106" s="1">
        <v>67</v>
      </c>
      <c r="H2106" s="23">
        <v>45139.106157407405</v>
      </c>
      <c r="I2106" s="1" t="b">
        <v>0</v>
      </c>
      <c r="K2106" s="10">
        <f t="shared" si="162"/>
        <v>3.1977777777356096</v>
      </c>
      <c r="L2106" s="1" t="str">
        <f t="shared" si="163"/>
        <v>OK</v>
      </c>
      <c r="M2106" s="1">
        <f t="shared" si="160"/>
        <v>1</v>
      </c>
      <c r="N2106" s="1">
        <f t="shared" si="161"/>
        <v>67</v>
      </c>
      <c r="O2106" s="10">
        <f t="shared" si="164"/>
        <v>3.1977777777356096</v>
      </c>
    </row>
    <row r="2107" spans="1:15">
      <c r="A2107" s="1" t="s">
        <v>2212</v>
      </c>
      <c r="B2107" s="23">
        <v>45139.066666666666</v>
      </c>
      <c r="C2107" s="1" t="s">
        <v>16</v>
      </c>
      <c r="D2107" s="1" t="s">
        <v>17</v>
      </c>
      <c r="E2107" s="1" t="s">
        <v>18</v>
      </c>
      <c r="F2107" s="1" t="s">
        <v>104</v>
      </c>
      <c r="G2107" s="1">
        <v>453</v>
      </c>
      <c r="H2107" s="23">
        <v>45141.333402777775</v>
      </c>
      <c r="I2107" s="1" t="b">
        <v>1</v>
      </c>
      <c r="J2107" s="1">
        <v>2</v>
      </c>
      <c r="K2107" s="10">
        <f t="shared" si="162"/>
        <v>54.401666666613892</v>
      </c>
      <c r="L2107" s="1" t="str">
        <f t="shared" si="163"/>
        <v>OK</v>
      </c>
      <c r="M2107" s="1">
        <f t="shared" si="160"/>
        <v>1</v>
      </c>
      <c r="N2107" s="1">
        <f t="shared" si="161"/>
        <v>453</v>
      </c>
      <c r="O2107" s="10">
        <f t="shared" si="164"/>
        <v>54.401666666613892</v>
      </c>
    </row>
    <row r="2108" spans="1:15">
      <c r="A2108" s="1" t="s">
        <v>2213</v>
      </c>
      <c r="B2108" s="23">
        <v>45139.161805555559</v>
      </c>
      <c r="C2108" s="1" t="s">
        <v>16</v>
      </c>
      <c r="D2108" s="1" t="s">
        <v>26</v>
      </c>
      <c r="E2108" s="1" t="s">
        <v>33</v>
      </c>
      <c r="F2108" s="1" t="s">
        <v>224</v>
      </c>
      <c r="G2108" s="1">
        <v>75</v>
      </c>
      <c r="H2108" s="23">
        <v>45150.978379629632</v>
      </c>
      <c r="I2108" s="1" t="b">
        <v>0</v>
      </c>
      <c r="K2108" s="10">
        <f t="shared" si="162"/>
        <v>283.59777777775889</v>
      </c>
      <c r="L2108" s="1" t="str">
        <f t="shared" si="163"/>
        <v>OK</v>
      </c>
      <c r="M2108" s="1">
        <f t="shared" si="160"/>
        <v>1</v>
      </c>
      <c r="N2108" s="1">
        <f t="shared" si="161"/>
        <v>75</v>
      </c>
      <c r="O2108" s="10">
        <f t="shared" si="164"/>
        <v>283.59777777775889</v>
      </c>
    </row>
    <row r="2109" spans="1:15">
      <c r="A2109" s="1" t="s">
        <v>2214</v>
      </c>
      <c r="B2109" s="23">
        <v>45139.245138888888</v>
      </c>
      <c r="C2109" s="1" t="s">
        <v>25</v>
      </c>
      <c r="D2109" s="1" t="s">
        <v>21</v>
      </c>
      <c r="E2109" s="1" t="s">
        <v>13</v>
      </c>
      <c r="F2109" s="1" t="s">
        <v>186</v>
      </c>
      <c r="G2109" s="1">
        <v>54</v>
      </c>
      <c r="H2109" s="23">
        <v>45144.959189814814</v>
      </c>
      <c r="I2109" s="1" t="b">
        <v>0</v>
      </c>
      <c r="J2109" s="1">
        <v>5</v>
      </c>
      <c r="K2109" s="10">
        <f t="shared" si="162"/>
        <v>137.13722222222714</v>
      </c>
      <c r="L2109" s="1" t="str">
        <f t="shared" si="163"/>
        <v>OK</v>
      </c>
      <c r="M2109" s="1">
        <f t="shared" si="160"/>
        <v>1</v>
      </c>
      <c r="N2109" s="1">
        <f t="shared" si="161"/>
        <v>54</v>
      </c>
      <c r="O2109" s="10">
        <f t="shared" si="164"/>
        <v>137.13722222222714</v>
      </c>
    </row>
    <row r="2110" spans="1:15">
      <c r="A2110" s="1" t="s">
        <v>2215</v>
      </c>
      <c r="B2110" s="23">
        <v>45139.305555555555</v>
      </c>
      <c r="C2110" s="1" t="s">
        <v>11</v>
      </c>
      <c r="D2110" s="1" t="s">
        <v>17</v>
      </c>
      <c r="E2110" s="1" t="s">
        <v>33</v>
      </c>
      <c r="F2110" s="1" t="s">
        <v>486</v>
      </c>
      <c r="G2110" s="1">
        <v>226</v>
      </c>
      <c r="H2110" s="23">
        <v>45164.892905092594</v>
      </c>
      <c r="I2110" s="1" t="b">
        <v>0</v>
      </c>
      <c r="K2110" s="10">
        <f t="shared" si="162"/>
        <v>614.09638888895279</v>
      </c>
      <c r="L2110" s="1" t="str">
        <f t="shared" si="163"/>
        <v>OK</v>
      </c>
      <c r="M2110" s="1">
        <f t="shared" si="160"/>
        <v>1</v>
      </c>
      <c r="N2110" s="1">
        <f t="shared" si="161"/>
        <v>226</v>
      </c>
      <c r="O2110" s="10">
        <f t="shared" si="164"/>
        <v>614.09638888895279</v>
      </c>
    </row>
    <row r="2111" spans="1:15">
      <c r="A2111" s="1" t="s">
        <v>2216</v>
      </c>
      <c r="B2111" s="23">
        <v>45139.352777777778</v>
      </c>
      <c r="C2111" s="1" t="s">
        <v>25</v>
      </c>
      <c r="D2111" s="1" t="s">
        <v>21</v>
      </c>
      <c r="E2111" s="1" t="s">
        <v>18</v>
      </c>
      <c r="F2111" s="1" t="s">
        <v>224</v>
      </c>
      <c r="G2111" s="1">
        <v>64</v>
      </c>
      <c r="H2111" s="23">
        <v>45140.109131944446</v>
      </c>
      <c r="I2111" s="1" t="b">
        <v>0</v>
      </c>
      <c r="K2111" s="10">
        <f t="shared" si="162"/>
        <v>18.152500000025611</v>
      </c>
      <c r="L2111" s="1" t="str">
        <f t="shared" si="163"/>
        <v>OK</v>
      </c>
      <c r="M2111" s="1">
        <f t="shared" si="160"/>
        <v>1</v>
      </c>
      <c r="N2111" s="1">
        <f t="shared" si="161"/>
        <v>64</v>
      </c>
      <c r="O2111" s="10">
        <f t="shared" si="164"/>
        <v>18.152500000025611</v>
      </c>
    </row>
    <row r="2112" spans="1:15">
      <c r="A2112" s="1" t="s">
        <v>2217</v>
      </c>
      <c r="B2112" s="23">
        <v>45139.381944444445</v>
      </c>
      <c r="C2112" s="1" t="s">
        <v>11</v>
      </c>
      <c r="D2112" s="1" t="s">
        <v>21</v>
      </c>
      <c r="E2112" s="1" t="s">
        <v>33</v>
      </c>
      <c r="F2112" s="1" t="s">
        <v>70</v>
      </c>
      <c r="G2112" s="1">
        <v>620</v>
      </c>
      <c r="H2112" s="23">
        <v>45140.395069444443</v>
      </c>
      <c r="I2112" s="1" t="b">
        <v>0</v>
      </c>
      <c r="K2112" s="10">
        <f t="shared" si="162"/>
        <v>24.314999999944121</v>
      </c>
      <c r="L2112" s="1" t="str">
        <f t="shared" si="163"/>
        <v>OK</v>
      </c>
      <c r="M2112" s="1">
        <f t="shared" si="160"/>
        <v>1</v>
      </c>
      <c r="N2112" s="1">
        <f t="shared" si="161"/>
        <v>620</v>
      </c>
      <c r="O2112" s="10">
        <f t="shared" si="164"/>
        <v>24.314999999944121</v>
      </c>
    </row>
    <row r="2113" spans="1:15">
      <c r="A2113" s="1" t="s">
        <v>2218</v>
      </c>
      <c r="B2113" s="23">
        <v>45139.504861111112</v>
      </c>
      <c r="C2113" s="1" t="s">
        <v>16</v>
      </c>
      <c r="D2113" s="1" t="s">
        <v>21</v>
      </c>
      <c r="E2113" s="1" t="s">
        <v>13</v>
      </c>
      <c r="F2113" s="1" t="s">
        <v>206</v>
      </c>
      <c r="G2113" s="1">
        <v>21</v>
      </c>
      <c r="H2113" s="23">
        <v>45139.600983796299</v>
      </c>
      <c r="I2113" s="1" t="b">
        <v>0</v>
      </c>
      <c r="K2113" s="10">
        <f t="shared" si="162"/>
        <v>2.3069444444845431</v>
      </c>
      <c r="L2113" s="1" t="str">
        <f t="shared" si="163"/>
        <v>OK</v>
      </c>
      <c r="M2113" s="1">
        <f t="shared" si="160"/>
        <v>1</v>
      </c>
      <c r="N2113" s="1">
        <f t="shared" si="161"/>
        <v>21</v>
      </c>
      <c r="O2113" s="10">
        <f t="shared" si="164"/>
        <v>2.3069444444845431</v>
      </c>
    </row>
    <row r="2114" spans="1:15">
      <c r="A2114" s="1" t="s">
        <v>2219</v>
      </c>
      <c r="B2114" s="23">
        <v>45139.52847222222</v>
      </c>
      <c r="C2114" s="1" t="s">
        <v>43</v>
      </c>
      <c r="D2114" s="1" t="s">
        <v>17</v>
      </c>
      <c r="E2114" s="1" t="s">
        <v>33</v>
      </c>
      <c r="F2114" s="1" t="s">
        <v>198</v>
      </c>
      <c r="G2114" s="1">
        <v>63</v>
      </c>
      <c r="H2114" s="23">
        <v>45149.328541666669</v>
      </c>
      <c r="I2114" s="1" t="b">
        <v>0</v>
      </c>
      <c r="K2114" s="10">
        <f t="shared" si="162"/>
        <v>235.20166666677687</v>
      </c>
      <c r="L2114" s="1" t="str">
        <f t="shared" si="163"/>
        <v>OK</v>
      </c>
      <c r="M2114" s="1">
        <f t="shared" ref="M2114:M2177" si="165">COUNTIF($A$2:$A$4001,A2114)</f>
        <v>1</v>
      </c>
      <c r="N2114" s="1">
        <f t="shared" ref="N2114:N2177" si="166">IF(OR(L2114="Review",G2114=""),"",G2114)</f>
        <v>63</v>
      </c>
      <c r="O2114" s="10">
        <f t="shared" si="164"/>
        <v>235.20166666677687</v>
      </c>
    </row>
    <row r="2115" spans="1:15">
      <c r="A2115" s="1" t="s">
        <v>2220</v>
      </c>
      <c r="B2115" s="23">
        <v>45139.581944444442</v>
      </c>
      <c r="C2115" s="1" t="s">
        <v>11</v>
      </c>
      <c r="D2115" s="1" t="s">
        <v>17</v>
      </c>
      <c r="E2115" s="1" t="s">
        <v>33</v>
      </c>
      <c r="F2115" s="1" t="s">
        <v>226</v>
      </c>
      <c r="G2115" s="1">
        <v>81</v>
      </c>
      <c r="I2115" s="1" t="b">
        <v>0</v>
      </c>
      <c r="K2115" s="10" t="str">
        <f t="shared" ref="K2115:K2178" si="167">IF(H2115="","",(H2115-B2115)*24)</f>
        <v/>
      </c>
      <c r="L2115" s="1" t="str">
        <f t="shared" ref="L2115:L2178" si="168">IF(OR(G2115="",K2115=""),"Cannot check",IF(G2115&gt;K2115*60,"Review","OK"))</f>
        <v>Cannot check</v>
      </c>
      <c r="M2115" s="1">
        <f t="shared" si="165"/>
        <v>1</v>
      </c>
      <c r="N2115" s="1">
        <f t="shared" si="166"/>
        <v>81</v>
      </c>
      <c r="O2115" s="10" t="str">
        <f t="shared" ref="O2115:O2178" si="169">IF(OR(L2115="Review",K2115=""),"",K2115)</f>
        <v/>
      </c>
    </row>
    <row r="2116" spans="1:15">
      <c r="A2116" s="1" t="s">
        <v>2221</v>
      </c>
      <c r="B2116" s="23">
        <v>45139.672222222223</v>
      </c>
      <c r="C2116" s="1" t="s">
        <v>11</v>
      </c>
      <c r="D2116" s="1" t="s">
        <v>17</v>
      </c>
      <c r="E2116" s="1" t="s">
        <v>18</v>
      </c>
      <c r="F2116" s="1" t="s">
        <v>62</v>
      </c>
      <c r="G2116" s="1">
        <v>85</v>
      </c>
      <c r="H2116" s="23">
        <v>45141.434583333335</v>
      </c>
      <c r="I2116" s="1" t="b">
        <v>0</v>
      </c>
      <c r="J2116" s="1">
        <v>4</v>
      </c>
      <c r="K2116" s="10">
        <f t="shared" si="167"/>
        <v>42.296666666690726</v>
      </c>
      <c r="L2116" s="1" t="str">
        <f t="shared" si="168"/>
        <v>OK</v>
      </c>
      <c r="M2116" s="1">
        <f t="shared" si="165"/>
        <v>1</v>
      </c>
      <c r="N2116" s="1">
        <f t="shared" si="166"/>
        <v>85</v>
      </c>
      <c r="O2116" s="10">
        <f t="shared" si="169"/>
        <v>42.296666666690726</v>
      </c>
    </row>
    <row r="2117" spans="1:15">
      <c r="A2117" s="1" t="s">
        <v>2222</v>
      </c>
      <c r="B2117" s="23">
        <v>45139.784722222219</v>
      </c>
      <c r="C2117" s="1" t="s">
        <v>25</v>
      </c>
      <c r="D2117" s="1" t="s">
        <v>21</v>
      </c>
      <c r="E2117" s="1" t="s">
        <v>22</v>
      </c>
      <c r="F2117" s="1" t="s">
        <v>84</v>
      </c>
      <c r="G2117" s="1">
        <v>8</v>
      </c>
      <c r="H2117" s="23">
        <v>45139.797627314816</v>
      </c>
      <c r="I2117" s="1" t="b">
        <v>0</v>
      </c>
      <c r="J2117" s="1">
        <v>5</v>
      </c>
      <c r="K2117" s="10">
        <f t="shared" si="167"/>
        <v>0.30972222232958302</v>
      </c>
      <c r="L2117" s="1" t="str">
        <f t="shared" si="168"/>
        <v>OK</v>
      </c>
      <c r="M2117" s="1">
        <f t="shared" si="165"/>
        <v>1</v>
      </c>
      <c r="N2117" s="1">
        <f t="shared" si="166"/>
        <v>8</v>
      </c>
      <c r="O2117" s="10">
        <f t="shared" si="169"/>
        <v>0.30972222232958302</v>
      </c>
    </row>
    <row r="2118" spans="1:15">
      <c r="A2118" s="1" t="s">
        <v>2223</v>
      </c>
      <c r="B2118" s="23">
        <v>45139.862500000003</v>
      </c>
      <c r="C2118" s="1" t="s">
        <v>25</v>
      </c>
      <c r="D2118" s="1" t="s">
        <v>26</v>
      </c>
      <c r="E2118" s="1" t="s">
        <v>13</v>
      </c>
      <c r="F2118" s="1" t="s">
        <v>130</v>
      </c>
      <c r="G2118" s="1">
        <v>204</v>
      </c>
      <c r="H2118" s="23">
        <v>45141.294317129628</v>
      </c>
      <c r="I2118" s="1" t="b">
        <v>0</v>
      </c>
      <c r="K2118" s="10">
        <f t="shared" si="167"/>
        <v>34.363611111009959</v>
      </c>
      <c r="L2118" s="1" t="str">
        <f t="shared" si="168"/>
        <v>OK</v>
      </c>
      <c r="M2118" s="1">
        <f t="shared" si="165"/>
        <v>1</v>
      </c>
      <c r="N2118" s="1">
        <f t="shared" si="166"/>
        <v>204</v>
      </c>
      <c r="O2118" s="10">
        <f t="shared" si="169"/>
        <v>34.363611111009959</v>
      </c>
    </row>
    <row r="2119" spans="1:15">
      <c r="A2119" s="1" t="s">
        <v>2224</v>
      </c>
      <c r="B2119" s="23">
        <v>45140.339583333334</v>
      </c>
      <c r="C2119" s="1" t="s">
        <v>16</v>
      </c>
      <c r="D2119" s="1" t="s">
        <v>12</v>
      </c>
      <c r="E2119" s="1" t="s">
        <v>18</v>
      </c>
      <c r="F2119" s="1" t="s">
        <v>46</v>
      </c>
      <c r="G2119" s="1">
        <v>142</v>
      </c>
      <c r="H2119" s="23">
        <v>45141.152743055558</v>
      </c>
      <c r="I2119" s="1" t="b">
        <v>0</v>
      </c>
      <c r="K2119" s="10">
        <f t="shared" si="167"/>
        <v>19.515833333367482</v>
      </c>
      <c r="L2119" s="1" t="str">
        <f t="shared" si="168"/>
        <v>OK</v>
      </c>
      <c r="M2119" s="1">
        <f t="shared" si="165"/>
        <v>1</v>
      </c>
      <c r="N2119" s="1">
        <f t="shared" si="166"/>
        <v>142</v>
      </c>
      <c r="O2119" s="10">
        <f t="shared" si="169"/>
        <v>19.515833333367482</v>
      </c>
    </row>
    <row r="2120" spans="1:15">
      <c r="A2120" s="1" t="s">
        <v>2225</v>
      </c>
      <c r="B2120" s="23">
        <v>45140.443055555559</v>
      </c>
      <c r="C2120" s="1" t="s">
        <v>43</v>
      </c>
      <c r="D2120" s="1" t="s">
        <v>12</v>
      </c>
      <c r="E2120" s="1" t="s">
        <v>18</v>
      </c>
      <c r="F2120" s="1" t="s">
        <v>226</v>
      </c>
      <c r="G2120" s="1">
        <v>58</v>
      </c>
      <c r="H2120" s="23">
        <v>45141.391539351855</v>
      </c>
      <c r="I2120" s="1" t="b">
        <v>0</v>
      </c>
      <c r="K2120" s="10">
        <f t="shared" si="167"/>
        <v>22.76361111109145</v>
      </c>
      <c r="L2120" s="1" t="str">
        <f t="shared" si="168"/>
        <v>OK</v>
      </c>
      <c r="M2120" s="1">
        <f t="shared" si="165"/>
        <v>1</v>
      </c>
      <c r="N2120" s="1">
        <f t="shared" si="166"/>
        <v>58</v>
      </c>
      <c r="O2120" s="10">
        <f t="shared" si="169"/>
        <v>22.76361111109145</v>
      </c>
    </row>
    <row r="2121" spans="1:15">
      <c r="A2121" s="1" t="s">
        <v>2226</v>
      </c>
      <c r="B2121" s="23">
        <v>45140.445138888892</v>
      </c>
      <c r="C2121" s="1" t="s">
        <v>25</v>
      </c>
      <c r="D2121" s="1" t="s">
        <v>17</v>
      </c>
      <c r="E2121" s="1" t="s">
        <v>33</v>
      </c>
      <c r="F2121" s="1" t="s">
        <v>88</v>
      </c>
      <c r="H2121" s="23">
        <v>45145.923402777778</v>
      </c>
      <c r="I2121" s="1" t="b">
        <v>0</v>
      </c>
      <c r="J2121" s="1">
        <v>4</v>
      </c>
      <c r="K2121" s="10">
        <f t="shared" si="167"/>
        <v>131.47833333327435</v>
      </c>
      <c r="L2121" s="1" t="str">
        <f t="shared" si="168"/>
        <v>Cannot check</v>
      </c>
      <c r="M2121" s="1">
        <f t="shared" si="165"/>
        <v>1</v>
      </c>
      <c r="N2121" s="1" t="str">
        <f t="shared" si="166"/>
        <v/>
      </c>
      <c r="O2121" s="10">
        <f t="shared" si="169"/>
        <v>131.47833333327435</v>
      </c>
    </row>
    <row r="2122" spans="1:15">
      <c r="A2122" s="1" t="s">
        <v>2227</v>
      </c>
      <c r="B2122" s="23">
        <v>45140.520138888889</v>
      </c>
      <c r="C2122" s="1" t="s">
        <v>25</v>
      </c>
      <c r="D2122" s="1" t="s">
        <v>21</v>
      </c>
      <c r="E2122" s="1" t="s">
        <v>13</v>
      </c>
      <c r="F2122" s="1" t="s">
        <v>54</v>
      </c>
      <c r="G2122" s="1">
        <v>49</v>
      </c>
      <c r="H2122" s="23">
        <v>45142.710532407407</v>
      </c>
      <c r="I2122" s="1" t="b">
        <v>0</v>
      </c>
      <c r="K2122" s="10">
        <f t="shared" si="167"/>
        <v>52.569444444437977</v>
      </c>
      <c r="L2122" s="1" t="str">
        <f t="shared" si="168"/>
        <v>OK</v>
      </c>
      <c r="M2122" s="1">
        <f t="shared" si="165"/>
        <v>1</v>
      </c>
      <c r="N2122" s="1">
        <f t="shared" si="166"/>
        <v>49</v>
      </c>
      <c r="O2122" s="10">
        <f t="shared" si="169"/>
        <v>52.569444444437977</v>
      </c>
    </row>
    <row r="2123" spans="1:15">
      <c r="A2123" s="1" t="s">
        <v>2228</v>
      </c>
      <c r="B2123" s="23">
        <v>45140.530555555553</v>
      </c>
      <c r="C2123" s="1" t="s">
        <v>11</v>
      </c>
      <c r="D2123" s="1" t="s">
        <v>26</v>
      </c>
      <c r="E2123" s="1" t="s">
        <v>33</v>
      </c>
      <c r="F2123" s="1" t="s">
        <v>74</v>
      </c>
      <c r="G2123" s="1">
        <v>186</v>
      </c>
      <c r="H2123" s="23">
        <v>45143.349039351851</v>
      </c>
      <c r="I2123" s="1" t="b">
        <v>0</v>
      </c>
      <c r="K2123" s="10">
        <f t="shared" si="167"/>
        <v>67.643611111154314</v>
      </c>
      <c r="L2123" s="1" t="str">
        <f t="shared" si="168"/>
        <v>OK</v>
      </c>
      <c r="M2123" s="1">
        <f t="shared" si="165"/>
        <v>1</v>
      </c>
      <c r="N2123" s="1">
        <f t="shared" si="166"/>
        <v>186</v>
      </c>
      <c r="O2123" s="10">
        <f t="shared" si="169"/>
        <v>67.643611111154314</v>
      </c>
    </row>
    <row r="2124" spans="1:15">
      <c r="A2124" s="1" t="s">
        <v>2229</v>
      </c>
      <c r="B2124" s="23">
        <v>45140.543055555558</v>
      </c>
      <c r="C2124" s="1" t="s">
        <v>16</v>
      </c>
      <c r="D2124" s="1" t="s">
        <v>21</v>
      </c>
      <c r="E2124" s="1" t="s">
        <v>18</v>
      </c>
      <c r="F2124" s="1" t="s">
        <v>112</v>
      </c>
      <c r="G2124" s="1">
        <v>44</v>
      </c>
      <c r="H2124" s="23">
        <v>45141.851678240739</v>
      </c>
      <c r="I2124" s="1" t="b">
        <v>0</v>
      </c>
      <c r="J2124" s="1">
        <v>1</v>
      </c>
      <c r="K2124" s="10">
        <f t="shared" si="167"/>
        <v>31.406944444344845</v>
      </c>
      <c r="L2124" s="1" t="str">
        <f t="shared" si="168"/>
        <v>OK</v>
      </c>
      <c r="M2124" s="1">
        <f t="shared" si="165"/>
        <v>1</v>
      </c>
      <c r="N2124" s="1">
        <f t="shared" si="166"/>
        <v>44</v>
      </c>
      <c r="O2124" s="10">
        <f t="shared" si="169"/>
        <v>31.406944444344845</v>
      </c>
    </row>
    <row r="2125" spans="1:15">
      <c r="A2125" s="1" t="s">
        <v>2230</v>
      </c>
      <c r="B2125" s="23">
        <v>45140.547222222223</v>
      </c>
      <c r="C2125" s="1" t="s">
        <v>43</v>
      </c>
      <c r="D2125" s="1" t="s">
        <v>17</v>
      </c>
      <c r="E2125" s="1" t="s">
        <v>18</v>
      </c>
      <c r="F2125" s="1" t="s">
        <v>132</v>
      </c>
      <c r="G2125" s="1">
        <v>113</v>
      </c>
      <c r="H2125" s="23">
        <v>45140.685590277775</v>
      </c>
      <c r="I2125" s="1" t="b">
        <v>0</v>
      </c>
      <c r="K2125" s="10">
        <f t="shared" si="167"/>
        <v>3.3208333332440816</v>
      </c>
      <c r="L2125" s="1" t="str">
        <f t="shared" si="168"/>
        <v>OK</v>
      </c>
      <c r="M2125" s="1">
        <f t="shared" si="165"/>
        <v>1</v>
      </c>
      <c r="N2125" s="1">
        <f t="shared" si="166"/>
        <v>113</v>
      </c>
      <c r="O2125" s="10">
        <f t="shared" si="169"/>
        <v>3.3208333332440816</v>
      </c>
    </row>
    <row r="2126" spans="1:15">
      <c r="A2126" s="1" t="s">
        <v>2231</v>
      </c>
      <c r="B2126" s="23">
        <v>45141.043749999997</v>
      </c>
      <c r="C2126" s="1" t="s">
        <v>25</v>
      </c>
      <c r="D2126" s="1" t="s">
        <v>21</v>
      </c>
      <c r="E2126" s="1" t="s">
        <v>22</v>
      </c>
      <c r="F2126" s="1" t="s">
        <v>41</v>
      </c>
      <c r="G2126" s="1">
        <v>23</v>
      </c>
      <c r="H2126" s="23">
        <v>45141.105590277781</v>
      </c>
      <c r="I2126" s="1" t="b">
        <v>0</v>
      </c>
      <c r="K2126" s="10">
        <f t="shared" si="167"/>
        <v>1.4841666668071412</v>
      </c>
      <c r="L2126" s="1" t="str">
        <f t="shared" si="168"/>
        <v>OK</v>
      </c>
      <c r="M2126" s="1">
        <f t="shared" si="165"/>
        <v>1</v>
      </c>
      <c r="N2126" s="1">
        <f t="shared" si="166"/>
        <v>23</v>
      </c>
      <c r="O2126" s="10">
        <f t="shared" si="169"/>
        <v>1.4841666668071412</v>
      </c>
    </row>
    <row r="2127" spans="1:15">
      <c r="A2127" s="1" t="s">
        <v>2232</v>
      </c>
      <c r="B2127" s="23">
        <v>45141.165277777778</v>
      </c>
      <c r="C2127" s="1" t="s">
        <v>16</v>
      </c>
      <c r="D2127" s="1" t="s">
        <v>17</v>
      </c>
      <c r="E2127" s="1" t="s">
        <v>13</v>
      </c>
      <c r="F2127" s="1" t="s">
        <v>254</v>
      </c>
      <c r="G2127" s="1">
        <v>26</v>
      </c>
      <c r="H2127" s="23">
        <v>45141.524224537039</v>
      </c>
      <c r="I2127" s="1" t="b">
        <v>0</v>
      </c>
      <c r="K2127" s="10">
        <f t="shared" si="167"/>
        <v>8.6147222222643904</v>
      </c>
      <c r="L2127" s="1" t="str">
        <f t="shared" si="168"/>
        <v>OK</v>
      </c>
      <c r="M2127" s="1">
        <f t="shared" si="165"/>
        <v>1</v>
      </c>
      <c r="N2127" s="1">
        <f t="shared" si="166"/>
        <v>26</v>
      </c>
      <c r="O2127" s="10">
        <f t="shared" si="169"/>
        <v>8.6147222222643904</v>
      </c>
    </row>
    <row r="2128" spans="1:15">
      <c r="A2128" s="1" t="s">
        <v>2233</v>
      </c>
      <c r="B2128" s="23">
        <v>45141.193749999999</v>
      </c>
      <c r="C2128" s="1" t="s">
        <v>11</v>
      </c>
      <c r="D2128" s="1" t="s">
        <v>59</v>
      </c>
      <c r="E2128" s="1" t="s">
        <v>18</v>
      </c>
      <c r="F2128" s="1" t="s">
        <v>367</v>
      </c>
      <c r="G2128" s="1">
        <v>94</v>
      </c>
      <c r="H2128" s="23">
        <v>45146.116296296299</v>
      </c>
      <c r="I2128" s="1" t="b">
        <v>0</v>
      </c>
      <c r="K2128" s="10">
        <f t="shared" si="167"/>
        <v>118.14111111121019</v>
      </c>
      <c r="L2128" s="1" t="str">
        <f t="shared" si="168"/>
        <v>OK</v>
      </c>
      <c r="M2128" s="1">
        <f t="shared" si="165"/>
        <v>1</v>
      </c>
      <c r="N2128" s="1">
        <f t="shared" si="166"/>
        <v>94</v>
      </c>
      <c r="O2128" s="10">
        <f t="shared" si="169"/>
        <v>118.14111111121019</v>
      </c>
    </row>
    <row r="2129" spans="1:15">
      <c r="A2129" s="1" t="s">
        <v>2234</v>
      </c>
      <c r="B2129" s="23">
        <v>45141.251388888886</v>
      </c>
      <c r="C2129" s="1" t="s">
        <v>11</v>
      </c>
      <c r="D2129" s="1" t="s">
        <v>59</v>
      </c>
      <c r="E2129" s="1" t="s">
        <v>13</v>
      </c>
      <c r="F2129" s="1" t="s">
        <v>19</v>
      </c>
      <c r="G2129" s="1">
        <v>139</v>
      </c>
      <c r="H2129" s="23">
        <v>45142.826620370368</v>
      </c>
      <c r="I2129" s="1" t="b">
        <v>0</v>
      </c>
      <c r="K2129" s="10">
        <f t="shared" si="167"/>
        <v>37.805555555562023</v>
      </c>
      <c r="L2129" s="1" t="str">
        <f t="shared" si="168"/>
        <v>OK</v>
      </c>
      <c r="M2129" s="1">
        <f t="shared" si="165"/>
        <v>1</v>
      </c>
      <c r="N2129" s="1">
        <f t="shared" si="166"/>
        <v>139</v>
      </c>
      <c r="O2129" s="10">
        <f t="shared" si="169"/>
        <v>37.805555555562023</v>
      </c>
    </row>
    <row r="2130" spans="1:15">
      <c r="A2130" s="1" t="s">
        <v>2235</v>
      </c>
      <c r="B2130" s="23">
        <v>45141.329861111109</v>
      </c>
      <c r="C2130" s="1" t="s">
        <v>25</v>
      </c>
      <c r="D2130" s="1" t="s">
        <v>21</v>
      </c>
      <c r="E2130" s="1" t="s">
        <v>13</v>
      </c>
      <c r="F2130" s="1" t="s">
        <v>31</v>
      </c>
      <c r="G2130" s="1">
        <v>89</v>
      </c>
      <c r="H2130" s="23">
        <v>45141.662916666668</v>
      </c>
      <c r="I2130" s="1" t="b">
        <v>0</v>
      </c>
      <c r="K2130" s="10">
        <f t="shared" si="167"/>
        <v>7.9933333334047347</v>
      </c>
      <c r="L2130" s="1" t="str">
        <f t="shared" si="168"/>
        <v>OK</v>
      </c>
      <c r="M2130" s="1">
        <f t="shared" si="165"/>
        <v>1</v>
      </c>
      <c r="N2130" s="1">
        <f t="shared" si="166"/>
        <v>89</v>
      </c>
      <c r="O2130" s="10">
        <f t="shared" si="169"/>
        <v>7.9933333334047347</v>
      </c>
    </row>
    <row r="2131" spans="1:15">
      <c r="A2131" s="1" t="s">
        <v>2236</v>
      </c>
      <c r="B2131" s="23">
        <v>45141.401388888888</v>
      </c>
      <c r="C2131" s="1" t="s">
        <v>11</v>
      </c>
      <c r="D2131" s="1" t="s">
        <v>12</v>
      </c>
      <c r="E2131" s="1" t="s">
        <v>13</v>
      </c>
      <c r="F2131" s="1" t="s">
        <v>130</v>
      </c>
      <c r="G2131" s="1">
        <v>37</v>
      </c>
      <c r="H2131" s="23">
        <v>45141.51972222222</v>
      </c>
      <c r="I2131" s="1" t="b">
        <v>0</v>
      </c>
      <c r="J2131" s="1">
        <v>5</v>
      </c>
      <c r="K2131" s="10">
        <f t="shared" si="167"/>
        <v>2.8399999999674037</v>
      </c>
      <c r="L2131" s="1" t="str">
        <f t="shared" si="168"/>
        <v>OK</v>
      </c>
      <c r="M2131" s="1">
        <f t="shared" si="165"/>
        <v>1</v>
      </c>
      <c r="N2131" s="1">
        <f t="shared" si="166"/>
        <v>37</v>
      </c>
      <c r="O2131" s="10">
        <f t="shared" si="169"/>
        <v>2.8399999999674037</v>
      </c>
    </row>
    <row r="2132" spans="1:15">
      <c r="A2132" s="1" t="s">
        <v>2237</v>
      </c>
      <c r="B2132" s="23">
        <v>45141.481249999997</v>
      </c>
      <c r="C2132" s="1" t="s">
        <v>16</v>
      </c>
      <c r="D2132" s="1" t="s">
        <v>17</v>
      </c>
      <c r="E2132" s="1" t="s">
        <v>22</v>
      </c>
      <c r="F2132" s="1" t="s">
        <v>326</v>
      </c>
      <c r="G2132" s="1">
        <v>51</v>
      </c>
      <c r="H2132" s="23">
        <v>45142.857152777775</v>
      </c>
      <c r="I2132" s="1" t="b">
        <v>0</v>
      </c>
      <c r="K2132" s="10">
        <f t="shared" si="167"/>
        <v>33.021666666667443</v>
      </c>
      <c r="L2132" s="1" t="str">
        <f t="shared" si="168"/>
        <v>OK</v>
      </c>
      <c r="M2132" s="1">
        <f t="shared" si="165"/>
        <v>1</v>
      </c>
      <c r="N2132" s="1">
        <f t="shared" si="166"/>
        <v>51</v>
      </c>
      <c r="O2132" s="10">
        <f t="shared" si="169"/>
        <v>33.021666666667443</v>
      </c>
    </row>
    <row r="2133" spans="1:15">
      <c r="A2133" s="1" t="s">
        <v>2238</v>
      </c>
      <c r="B2133" s="23">
        <v>45141.527083333334</v>
      </c>
      <c r="C2133" s="1" t="s">
        <v>43</v>
      </c>
      <c r="D2133" s="1" t="s">
        <v>17</v>
      </c>
      <c r="E2133" s="1" t="s">
        <v>33</v>
      </c>
      <c r="F2133" s="1" t="s">
        <v>76</v>
      </c>
      <c r="G2133" s="1">
        <v>69</v>
      </c>
      <c r="H2133" s="23">
        <v>45146.067615740743</v>
      </c>
      <c r="I2133" s="1" t="b">
        <v>0</v>
      </c>
      <c r="K2133" s="10">
        <f t="shared" si="167"/>
        <v>108.9727777778171</v>
      </c>
      <c r="L2133" s="1" t="str">
        <f t="shared" si="168"/>
        <v>OK</v>
      </c>
      <c r="M2133" s="1">
        <f t="shared" si="165"/>
        <v>1</v>
      </c>
      <c r="N2133" s="1">
        <f t="shared" si="166"/>
        <v>69</v>
      </c>
      <c r="O2133" s="10">
        <f t="shared" si="169"/>
        <v>108.9727777778171</v>
      </c>
    </row>
    <row r="2134" spans="1:15">
      <c r="A2134" s="1" t="s">
        <v>2239</v>
      </c>
      <c r="B2134" s="23">
        <v>45141.621527777781</v>
      </c>
      <c r="C2134" s="1" t="s">
        <v>11</v>
      </c>
      <c r="D2134" s="1" t="s">
        <v>17</v>
      </c>
      <c r="E2134" s="1" t="s">
        <v>33</v>
      </c>
      <c r="F2134" s="1" t="s">
        <v>100</v>
      </c>
      <c r="G2134" s="1">
        <v>455</v>
      </c>
      <c r="H2134" s="23">
        <v>45143.693379629629</v>
      </c>
      <c r="I2134" s="1" t="b">
        <v>0</v>
      </c>
      <c r="K2134" s="10">
        <f t="shared" si="167"/>
        <v>49.724444444349501</v>
      </c>
      <c r="L2134" s="1" t="str">
        <f t="shared" si="168"/>
        <v>OK</v>
      </c>
      <c r="M2134" s="1">
        <f t="shared" si="165"/>
        <v>1</v>
      </c>
      <c r="N2134" s="1">
        <f t="shared" si="166"/>
        <v>455</v>
      </c>
      <c r="O2134" s="10">
        <f t="shared" si="169"/>
        <v>49.724444444349501</v>
      </c>
    </row>
    <row r="2135" spans="1:15">
      <c r="A2135" s="1" t="s">
        <v>2240</v>
      </c>
      <c r="B2135" s="23">
        <v>45141.87777777778</v>
      </c>
      <c r="C2135" s="1" t="s">
        <v>16</v>
      </c>
      <c r="D2135" s="1" t="s">
        <v>17</v>
      </c>
      <c r="E2135" s="1" t="s">
        <v>18</v>
      </c>
      <c r="F2135" s="1" t="s">
        <v>259</v>
      </c>
      <c r="G2135" s="1">
        <v>229</v>
      </c>
      <c r="H2135" s="23">
        <v>45144.274942129632</v>
      </c>
      <c r="I2135" s="1" t="b">
        <v>0</v>
      </c>
      <c r="K2135" s="10">
        <f t="shared" si="167"/>
        <v>57.53194444446126</v>
      </c>
      <c r="L2135" s="1" t="str">
        <f t="shared" si="168"/>
        <v>OK</v>
      </c>
      <c r="M2135" s="1">
        <f t="shared" si="165"/>
        <v>1</v>
      </c>
      <c r="N2135" s="1">
        <f t="shared" si="166"/>
        <v>229</v>
      </c>
      <c r="O2135" s="10">
        <f t="shared" si="169"/>
        <v>57.53194444446126</v>
      </c>
    </row>
    <row r="2136" spans="1:15">
      <c r="A2136" s="1" t="s">
        <v>2241</v>
      </c>
      <c r="B2136" s="23">
        <v>45141.964583333334</v>
      </c>
      <c r="C2136" s="1" t="s">
        <v>43</v>
      </c>
      <c r="D2136" s="1" t="s">
        <v>17</v>
      </c>
      <c r="E2136" s="1" t="s">
        <v>33</v>
      </c>
      <c r="F2136" s="1" t="s">
        <v>110</v>
      </c>
      <c r="G2136" s="1">
        <v>396</v>
      </c>
      <c r="H2136" s="23">
        <v>45156.719502314816</v>
      </c>
      <c r="I2136" s="1" t="b">
        <v>0</v>
      </c>
      <c r="K2136" s="10">
        <f t="shared" si="167"/>
        <v>354.11805555556202</v>
      </c>
      <c r="L2136" s="1" t="str">
        <f t="shared" si="168"/>
        <v>OK</v>
      </c>
      <c r="M2136" s="1">
        <f t="shared" si="165"/>
        <v>1</v>
      </c>
      <c r="N2136" s="1">
        <f t="shared" si="166"/>
        <v>396</v>
      </c>
      <c r="O2136" s="10">
        <f t="shared" si="169"/>
        <v>354.11805555556202</v>
      </c>
    </row>
    <row r="2137" spans="1:15">
      <c r="A2137" s="1" t="s">
        <v>2242</v>
      </c>
      <c r="B2137" s="23">
        <v>45142.070138888892</v>
      </c>
      <c r="C2137" s="1" t="s">
        <v>16</v>
      </c>
      <c r="D2137" s="1" t="s">
        <v>17</v>
      </c>
      <c r="E2137" s="1" t="s">
        <v>13</v>
      </c>
      <c r="F2137" s="1" t="s">
        <v>98</v>
      </c>
      <c r="G2137" s="1">
        <v>50</v>
      </c>
      <c r="H2137" s="23">
        <v>45142.628634259258</v>
      </c>
      <c r="I2137" s="1" t="b">
        <v>0</v>
      </c>
      <c r="K2137" s="10">
        <f t="shared" si="167"/>
        <v>13.403888888773508</v>
      </c>
      <c r="L2137" s="1" t="str">
        <f t="shared" si="168"/>
        <v>OK</v>
      </c>
      <c r="M2137" s="1">
        <f t="shared" si="165"/>
        <v>1</v>
      </c>
      <c r="N2137" s="1">
        <f t="shared" si="166"/>
        <v>50</v>
      </c>
      <c r="O2137" s="10">
        <f t="shared" si="169"/>
        <v>13.403888888773508</v>
      </c>
    </row>
    <row r="2138" spans="1:15">
      <c r="A2138" s="1" t="s">
        <v>2243</v>
      </c>
      <c r="B2138" s="23">
        <v>45142.105555555558</v>
      </c>
      <c r="C2138" s="1" t="s">
        <v>16</v>
      </c>
      <c r="D2138" s="1" t="s">
        <v>17</v>
      </c>
      <c r="E2138" s="1" t="s">
        <v>22</v>
      </c>
      <c r="F2138" s="1" t="s">
        <v>259</v>
      </c>
      <c r="G2138" s="1">
        <v>19</v>
      </c>
      <c r="H2138" s="23">
        <v>45143.234467592592</v>
      </c>
      <c r="I2138" s="1" t="b">
        <v>0</v>
      </c>
      <c r="J2138" s="1">
        <v>1</v>
      </c>
      <c r="K2138" s="10">
        <f t="shared" si="167"/>
        <v>27.093888888834044</v>
      </c>
      <c r="L2138" s="1" t="str">
        <f t="shared" si="168"/>
        <v>OK</v>
      </c>
      <c r="M2138" s="1">
        <f t="shared" si="165"/>
        <v>1</v>
      </c>
      <c r="N2138" s="1">
        <f t="shared" si="166"/>
        <v>19</v>
      </c>
      <c r="O2138" s="10">
        <f t="shared" si="169"/>
        <v>27.093888888834044</v>
      </c>
    </row>
    <row r="2139" spans="1:15">
      <c r="A2139" s="1" t="s">
        <v>2244</v>
      </c>
      <c r="B2139" s="23">
        <v>45142.138888888891</v>
      </c>
      <c r="C2139" s="1" t="s">
        <v>43</v>
      </c>
      <c r="D2139" s="1" t="s">
        <v>17</v>
      </c>
      <c r="E2139" s="1" t="s">
        <v>18</v>
      </c>
      <c r="F2139" s="1" t="s">
        <v>148</v>
      </c>
      <c r="G2139" s="1">
        <v>196</v>
      </c>
      <c r="H2139" s="23">
        <v>45142.883703703701</v>
      </c>
      <c r="I2139" s="1" t="b">
        <v>0</v>
      </c>
      <c r="K2139" s="10">
        <f t="shared" si="167"/>
        <v>17.875555555452593</v>
      </c>
      <c r="L2139" s="1" t="str">
        <f t="shared" si="168"/>
        <v>OK</v>
      </c>
      <c r="M2139" s="1">
        <f t="shared" si="165"/>
        <v>1</v>
      </c>
      <c r="N2139" s="1">
        <f t="shared" si="166"/>
        <v>196</v>
      </c>
      <c r="O2139" s="10">
        <f t="shared" si="169"/>
        <v>17.875555555452593</v>
      </c>
    </row>
    <row r="2140" spans="1:15">
      <c r="A2140" s="1" t="s">
        <v>2245</v>
      </c>
      <c r="B2140" s="23">
        <v>45142.277777777781</v>
      </c>
      <c r="C2140" s="1" t="s">
        <v>16</v>
      </c>
      <c r="D2140" s="1" t="s">
        <v>17</v>
      </c>
      <c r="E2140" s="1" t="s">
        <v>18</v>
      </c>
      <c r="F2140" s="1" t="s">
        <v>88</v>
      </c>
      <c r="H2140" s="23">
        <v>45145.564375000002</v>
      </c>
      <c r="I2140" s="1" t="b">
        <v>0</v>
      </c>
      <c r="K2140" s="10">
        <f t="shared" si="167"/>
        <v>78.878333333297633</v>
      </c>
      <c r="L2140" s="1" t="str">
        <f t="shared" si="168"/>
        <v>Cannot check</v>
      </c>
      <c r="M2140" s="1">
        <f t="shared" si="165"/>
        <v>1</v>
      </c>
      <c r="N2140" s="1" t="str">
        <f t="shared" si="166"/>
        <v/>
      </c>
      <c r="O2140" s="10">
        <f t="shared" si="169"/>
        <v>78.878333333297633</v>
      </c>
    </row>
    <row r="2141" spans="1:15">
      <c r="A2141" s="1" t="s">
        <v>2246</v>
      </c>
      <c r="B2141" s="23">
        <v>45142.30972222222</v>
      </c>
      <c r="C2141" s="1" t="s">
        <v>16</v>
      </c>
      <c r="D2141" s="1" t="s">
        <v>59</v>
      </c>
      <c r="E2141" s="1" t="s">
        <v>18</v>
      </c>
      <c r="F2141" s="1" t="s">
        <v>94</v>
      </c>
      <c r="G2141" s="1">
        <v>416</v>
      </c>
      <c r="H2141" s="23">
        <v>45146.389479166668</v>
      </c>
      <c r="I2141" s="1" t="b">
        <v>0</v>
      </c>
      <c r="K2141" s="10">
        <f t="shared" si="167"/>
        <v>97.914166666741949</v>
      </c>
      <c r="L2141" s="1" t="str">
        <f t="shared" si="168"/>
        <v>OK</v>
      </c>
      <c r="M2141" s="1">
        <f t="shared" si="165"/>
        <v>1</v>
      </c>
      <c r="N2141" s="1">
        <f t="shared" si="166"/>
        <v>416</v>
      </c>
      <c r="O2141" s="10">
        <f t="shared" si="169"/>
        <v>97.914166666741949</v>
      </c>
    </row>
    <row r="2142" spans="1:15">
      <c r="A2142" s="1" t="s">
        <v>2247</v>
      </c>
      <c r="B2142" s="23">
        <v>45142.339583333334</v>
      </c>
      <c r="C2142" s="1" t="s">
        <v>25</v>
      </c>
      <c r="D2142" s="1" t="s">
        <v>17</v>
      </c>
      <c r="E2142" s="1" t="s">
        <v>18</v>
      </c>
      <c r="F2142" s="1" t="s">
        <v>92</v>
      </c>
      <c r="G2142" s="1">
        <v>72</v>
      </c>
      <c r="H2142" s="23">
        <v>45145.890752314815</v>
      </c>
      <c r="I2142" s="1" t="b">
        <v>0</v>
      </c>
      <c r="K2142" s="10">
        <f t="shared" si="167"/>
        <v>85.228055555548053</v>
      </c>
      <c r="L2142" s="1" t="str">
        <f t="shared" si="168"/>
        <v>OK</v>
      </c>
      <c r="M2142" s="1">
        <f t="shared" si="165"/>
        <v>1</v>
      </c>
      <c r="N2142" s="1">
        <f t="shared" si="166"/>
        <v>72</v>
      </c>
      <c r="O2142" s="10">
        <f t="shared" si="169"/>
        <v>85.228055555548053</v>
      </c>
    </row>
    <row r="2143" spans="1:15">
      <c r="A2143" s="1" t="s">
        <v>2248</v>
      </c>
      <c r="B2143" s="23">
        <v>45142.39166666667</v>
      </c>
      <c r="C2143" s="1" t="s">
        <v>16</v>
      </c>
      <c r="D2143" s="1" t="s">
        <v>59</v>
      </c>
      <c r="E2143" s="1" t="s">
        <v>13</v>
      </c>
      <c r="F2143" s="1" t="s">
        <v>104</v>
      </c>
      <c r="G2143" s="1">
        <v>33</v>
      </c>
      <c r="H2143" s="23">
        <v>45142.657430555555</v>
      </c>
      <c r="I2143" s="1" t="b">
        <v>0</v>
      </c>
      <c r="K2143" s="10">
        <f t="shared" si="167"/>
        <v>6.378333333239425</v>
      </c>
      <c r="L2143" s="1" t="str">
        <f t="shared" si="168"/>
        <v>OK</v>
      </c>
      <c r="M2143" s="1">
        <f t="shared" si="165"/>
        <v>1</v>
      </c>
      <c r="N2143" s="1">
        <f t="shared" si="166"/>
        <v>33</v>
      </c>
      <c r="O2143" s="10">
        <f t="shared" si="169"/>
        <v>6.378333333239425</v>
      </c>
    </row>
    <row r="2144" spans="1:15">
      <c r="A2144" s="1" t="s">
        <v>2249</v>
      </c>
      <c r="B2144" s="23">
        <v>45142.489583333336</v>
      </c>
      <c r="C2144" s="1" t="s">
        <v>16</v>
      </c>
      <c r="D2144" s="1" t="s">
        <v>17</v>
      </c>
      <c r="E2144" s="1" t="s">
        <v>13</v>
      </c>
      <c r="F2144" s="1" t="s">
        <v>108</v>
      </c>
      <c r="G2144" s="1">
        <v>23</v>
      </c>
      <c r="H2144" s="23">
        <v>45142.838159722225</v>
      </c>
      <c r="I2144" s="1" t="b">
        <v>0</v>
      </c>
      <c r="K2144" s="10">
        <f t="shared" si="167"/>
        <v>8.3658333333441988</v>
      </c>
      <c r="L2144" s="1" t="str">
        <f t="shared" si="168"/>
        <v>OK</v>
      </c>
      <c r="M2144" s="1">
        <f t="shared" si="165"/>
        <v>1</v>
      </c>
      <c r="N2144" s="1">
        <f t="shared" si="166"/>
        <v>23</v>
      </c>
      <c r="O2144" s="10">
        <f t="shared" si="169"/>
        <v>8.3658333333441988</v>
      </c>
    </row>
    <row r="2145" spans="1:15">
      <c r="A2145" s="1" t="s">
        <v>2250</v>
      </c>
      <c r="B2145" s="23">
        <v>45142.658333333333</v>
      </c>
      <c r="C2145" s="1" t="s">
        <v>16</v>
      </c>
      <c r="D2145" s="1" t="s">
        <v>17</v>
      </c>
      <c r="E2145" s="1" t="s">
        <v>13</v>
      </c>
      <c r="F2145" s="1" t="s">
        <v>148</v>
      </c>
      <c r="G2145" s="1">
        <v>47</v>
      </c>
      <c r="H2145" s="23">
        <v>45143.108495370368</v>
      </c>
      <c r="I2145" s="1" t="b">
        <v>1</v>
      </c>
      <c r="K2145" s="10">
        <f t="shared" si="167"/>
        <v>10.803888888854999</v>
      </c>
      <c r="L2145" s="1" t="str">
        <f t="shared" si="168"/>
        <v>OK</v>
      </c>
      <c r="M2145" s="1">
        <f t="shared" si="165"/>
        <v>1</v>
      </c>
      <c r="N2145" s="1">
        <f t="shared" si="166"/>
        <v>47</v>
      </c>
      <c r="O2145" s="10">
        <f t="shared" si="169"/>
        <v>10.803888888854999</v>
      </c>
    </row>
    <row r="2146" spans="1:15">
      <c r="A2146" s="1" t="s">
        <v>2251</v>
      </c>
      <c r="B2146" s="23">
        <v>45142.68472222222</v>
      </c>
      <c r="C2146" s="1" t="s">
        <v>11</v>
      </c>
      <c r="D2146" s="1" t="s">
        <v>17</v>
      </c>
      <c r="E2146" s="1" t="s">
        <v>18</v>
      </c>
      <c r="F2146" s="1" t="s">
        <v>392</v>
      </c>
      <c r="G2146" s="1">
        <v>23</v>
      </c>
      <c r="H2146" s="23">
        <v>45144.966226851851</v>
      </c>
      <c r="I2146" s="1" t="b">
        <v>0</v>
      </c>
      <c r="K2146" s="10">
        <f t="shared" si="167"/>
        <v>54.756111111142673</v>
      </c>
      <c r="L2146" s="1" t="str">
        <f t="shared" si="168"/>
        <v>OK</v>
      </c>
      <c r="M2146" s="1">
        <f t="shared" si="165"/>
        <v>1</v>
      </c>
      <c r="N2146" s="1">
        <f t="shared" si="166"/>
        <v>23</v>
      </c>
      <c r="O2146" s="10">
        <f t="shared" si="169"/>
        <v>54.756111111142673</v>
      </c>
    </row>
    <row r="2147" spans="1:15">
      <c r="A2147" s="1" t="s">
        <v>2252</v>
      </c>
      <c r="B2147" s="23">
        <v>45142.728472222225</v>
      </c>
      <c r="C2147" s="1" t="s">
        <v>11</v>
      </c>
      <c r="D2147" s="1" t="s">
        <v>21</v>
      </c>
      <c r="E2147" s="1" t="s">
        <v>33</v>
      </c>
      <c r="F2147" s="1" t="s">
        <v>74</v>
      </c>
      <c r="G2147" s="1">
        <v>316</v>
      </c>
      <c r="H2147" s="23">
        <v>45143.691018518519</v>
      </c>
      <c r="I2147" s="1" t="b">
        <v>0</v>
      </c>
      <c r="J2147" s="1">
        <v>4</v>
      </c>
      <c r="K2147" s="10">
        <f t="shared" si="167"/>
        <v>23.101111111056525</v>
      </c>
      <c r="L2147" s="1" t="str">
        <f t="shared" si="168"/>
        <v>OK</v>
      </c>
      <c r="M2147" s="1">
        <f t="shared" si="165"/>
        <v>1</v>
      </c>
      <c r="N2147" s="1">
        <f t="shared" si="166"/>
        <v>316</v>
      </c>
      <c r="O2147" s="10">
        <f t="shared" si="169"/>
        <v>23.101111111056525</v>
      </c>
    </row>
    <row r="2148" spans="1:15">
      <c r="A2148" s="1" t="s">
        <v>2253</v>
      </c>
      <c r="B2148" s="23">
        <v>45142.80972222222</v>
      </c>
      <c r="C2148" s="1" t="s">
        <v>16</v>
      </c>
      <c r="D2148" s="1" t="s">
        <v>21</v>
      </c>
      <c r="E2148" s="1" t="s">
        <v>18</v>
      </c>
      <c r="F2148" s="1" t="s">
        <v>41</v>
      </c>
      <c r="G2148" s="1">
        <v>64</v>
      </c>
      <c r="H2148" s="23">
        <v>45142.96266203704</v>
      </c>
      <c r="I2148" s="1" t="b">
        <v>0</v>
      </c>
      <c r="K2148" s="10">
        <f t="shared" si="167"/>
        <v>3.6705555556691252</v>
      </c>
      <c r="L2148" s="1" t="str">
        <f t="shared" si="168"/>
        <v>OK</v>
      </c>
      <c r="M2148" s="1">
        <f t="shared" si="165"/>
        <v>1</v>
      </c>
      <c r="N2148" s="1">
        <f t="shared" si="166"/>
        <v>64</v>
      </c>
      <c r="O2148" s="10">
        <f t="shared" si="169"/>
        <v>3.6705555556691252</v>
      </c>
    </row>
    <row r="2149" spans="1:15">
      <c r="A2149" s="1" t="s">
        <v>2254</v>
      </c>
      <c r="B2149" s="23">
        <v>45142.943055555559</v>
      </c>
      <c r="C2149" s="1" t="s">
        <v>25</v>
      </c>
      <c r="D2149" s="1" t="s">
        <v>17</v>
      </c>
      <c r="E2149" s="1" t="s">
        <v>33</v>
      </c>
      <c r="F2149" s="1" t="s">
        <v>98</v>
      </c>
      <c r="G2149" s="1">
        <v>103</v>
      </c>
      <c r="H2149" s="23">
        <v>45143.438287037039</v>
      </c>
      <c r="I2149" s="1" t="b">
        <v>0</v>
      </c>
      <c r="J2149" s="1">
        <v>4</v>
      </c>
      <c r="K2149" s="10">
        <f t="shared" si="167"/>
        <v>11.885555555520114</v>
      </c>
      <c r="L2149" s="1" t="str">
        <f t="shared" si="168"/>
        <v>OK</v>
      </c>
      <c r="M2149" s="1">
        <f t="shared" si="165"/>
        <v>1</v>
      </c>
      <c r="N2149" s="1">
        <f t="shared" si="166"/>
        <v>103</v>
      </c>
      <c r="O2149" s="10">
        <f t="shared" si="169"/>
        <v>11.885555555520114</v>
      </c>
    </row>
    <row r="2150" spans="1:15">
      <c r="A2150" s="1" t="s">
        <v>2255</v>
      </c>
      <c r="B2150" s="23">
        <v>45142.966666666667</v>
      </c>
      <c r="C2150" s="1" t="s">
        <v>25</v>
      </c>
      <c r="D2150" s="1" t="s">
        <v>17</v>
      </c>
      <c r="E2150" s="1" t="s">
        <v>33</v>
      </c>
      <c r="F2150" s="1" t="s">
        <v>70</v>
      </c>
      <c r="G2150" s="1">
        <v>247</v>
      </c>
      <c r="H2150" s="23">
        <v>45145.086608796293</v>
      </c>
      <c r="I2150" s="1" t="b">
        <v>0</v>
      </c>
      <c r="K2150" s="10">
        <f t="shared" si="167"/>
        <v>50.878611111023929</v>
      </c>
      <c r="L2150" s="1" t="str">
        <f t="shared" si="168"/>
        <v>OK</v>
      </c>
      <c r="M2150" s="1">
        <f t="shared" si="165"/>
        <v>1</v>
      </c>
      <c r="N2150" s="1">
        <f t="shared" si="166"/>
        <v>247</v>
      </c>
      <c r="O2150" s="10">
        <f t="shared" si="169"/>
        <v>50.878611111023929</v>
      </c>
    </row>
    <row r="2151" spans="1:15">
      <c r="A2151" s="1" t="s">
        <v>2256</v>
      </c>
      <c r="B2151" s="23">
        <v>45143.097222222219</v>
      </c>
      <c r="C2151" s="1" t="s">
        <v>11</v>
      </c>
      <c r="D2151" s="1" t="s">
        <v>21</v>
      </c>
      <c r="E2151" s="1" t="s">
        <v>22</v>
      </c>
      <c r="F2151" s="1" t="s">
        <v>62</v>
      </c>
      <c r="G2151" s="1">
        <v>10</v>
      </c>
      <c r="H2151" s="23">
        <v>45143.294699074075</v>
      </c>
      <c r="I2151" s="1" t="b">
        <v>0</v>
      </c>
      <c r="J2151" s="1">
        <v>4</v>
      </c>
      <c r="K2151" s="10">
        <f t="shared" si="167"/>
        <v>4.7394444445380941</v>
      </c>
      <c r="L2151" s="1" t="str">
        <f t="shared" si="168"/>
        <v>OK</v>
      </c>
      <c r="M2151" s="1">
        <f t="shared" si="165"/>
        <v>1</v>
      </c>
      <c r="N2151" s="1">
        <f t="shared" si="166"/>
        <v>10</v>
      </c>
      <c r="O2151" s="10">
        <f t="shared" si="169"/>
        <v>4.7394444445380941</v>
      </c>
    </row>
    <row r="2152" spans="1:15">
      <c r="A2152" s="1" t="s">
        <v>2257</v>
      </c>
      <c r="B2152" s="23">
        <v>45143.127083333333</v>
      </c>
      <c r="C2152" s="1" t="s">
        <v>25</v>
      </c>
      <c r="D2152" s="1" t="s">
        <v>17</v>
      </c>
      <c r="E2152" s="1" t="s">
        <v>33</v>
      </c>
      <c r="F2152" s="1" t="s">
        <v>224</v>
      </c>
      <c r="G2152" s="1">
        <v>731</v>
      </c>
      <c r="H2152" s="23">
        <v>45145.181979166664</v>
      </c>
      <c r="I2152" s="1" t="b">
        <v>0</v>
      </c>
      <c r="K2152" s="10">
        <f t="shared" si="167"/>
        <v>49.317499999946449</v>
      </c>
      <c r="L2152" s="1" t="str">
        <f t="shared" si="168"/>
        <v>OK</v>
      </c>
      <c r="M2152" s="1">
        <f t="shared" si="165"/>
        <v>1</v>
      </c>
      <c r="N2152" s="1">
        <f t="shared" si="166"/>
        <v>731</v>
      </c>
      <c r="O2152" s="10">
        <f t="shared" si="169"/>
        <v>49.317499999946449</v>
      </c>
    </row>
    <row r="2153" spans="1:15">
      <c r="A2153" s="1" t="s">
        <v>2258</v>
      </c>
      <c r="B2153" s="23">
        <v>45143.261805555558</v>
      </c>
      <c r="C2153" s="1" t="s">
        <v>11</v>
      </c>
      <c r="D2153" s="1" t="s">
        <v>17</v>
      </c>
      <c r="E2153" s="1" t="s">
        <v>18</v>
      </c>
      <c r="F2153" s="1" t="s">
        <v>132</v>
      </c>
      <c r="G2153" s="1">
        <v>74</v>
      </c>
      <c r="H2153" s="23">
        <v>45148.095891203702</v>
      </c>
      <c r="I2153" s="1" t="b">
        <v>0</v>
      </c>
      <c r="K2153" s="10">
        <f t="shared" si="167"/>
        <v>116.01805555546889</v>
      </c>
      <c r="L2153" s="1" t="str">
        <f t="shared" si="168"/>
        <v>OK</v>
      </c>
      <c r="M2153" s="1">
        <f t="shared" si="165"/>
        <v>1</v>
      </c>
      <c r="N2153" s="1">
        <f t="shared" si="166"/>
        <v>74</v>
      </c>
      <c r="O2153" s="10">
        <f t="shared" si="169"/>
        <v>116.01805555546889</v>
      </c>
    </row>
    <row r="2154" spans="1:15">
      <c r="A2154" s="1" t="s">
        <v>2259</v>
      </c>
      <c r="B2154" s="23">
        <v>45143.320833333331</v>
      </c>
      <c r="C2154" s="1" t="s">
        <v>25</v>
      </c>
      <c r="D2154" s="1" t="s">
        <v>26</v>
      </c>
      <c r="E2154" s="1" t="s">
        <v>33</v>
      </c>
      <c r="F2154" s="1" t="s">
        <v>110</v>
      </c>
      <c r="G2154" s="1">
        <v>65</v>
      </c>
      <c r="H2154" s="23">
        <v>45146.279189814813</v>
      </c>
      <c r="I2154" s="1" t="b">
        <v>0</v>
      </c>
      <c r="K2154" s="10">
        <f t="shared" si="167"/>
        <v>71.000555555569008</v>
      </c>
      <c r="L2154" s="1" t="str">
        <f t="shared" si="168"/>
        <v>OK</v>
      </c>
      <c r="M2154" s="1">
        <f t="shared" si="165"/>
        <v>1</v>
      </c>
      <c r="N2154" s="1">
        <f t="shared" si="166"/>
        <v>65</v>
      </c>
      <c r="O2154" s="10">
        <f t="shared" si="169"/>
        <v>71.000555555569008</v>
      </c>
    </row>
    <row r="2155" spans="1:15">
      <c r="A2155" s="1" t="s">
        <v>2260</v>
      </c>
      <c r="B2155" s="23">
        <v>45143.411111111112</v>
      </c>
      <c r="C2155" s="1" t="s">
        <v>11</v>
      </c>
      <c r="D2155" s="1" t="s">
        <v>21</v>
      </c>
      <c r="E2155" s="1" t="s">
        <v>33</v>
      </c>
      <c r="F2155" s="1" t="s">
        <v>224</v>
      </c>
      <c r="G2155" s="1">
        <v>90</v>
      </c>
      <c r="H2155" s="23">
        <v>45144.172858796293</v>
      </c>
      <c r="I2155" s="1" t="b">
        <v>0</v>
      </c>
      <c r="K2155" s="10">
        <f t="shared" si="167"/>
        <v>18.281944444344845</v>
      </c>
      <c r="L2155" s="1" t="str">
        <f t="shared" si="168"/>
        <v>OK</v>
      </c>
      <c r="M2155" s="1">
        <f t="shared" si="165"/>
        <v>1</v>
      </c>
      <c r="N2155" s="1">
        <f t="shared" si="166"/>
        <v>90</v>
      </c>
      <c r="O2155" s="10">
        <f t="shared" si="169"/>
        <v>18.281944444344845</v>
      </c>
    </row>
    <row r="2156" spans="1:15">
      <c r="A2156" s="1" t="s">
        <v>2261</v>
      </c>
      <c r="B2156" s="23">
        <v>45143.749305555553</v>
      </c>
      <c r="C2156" s="1" t="s">
        <v>16</v>
      </c>
      <c r="D2156" s="1" t="s">
        <v>17</v>
      </c>
      <c r="E2156" s="1" t="s">
        <v>33</v>
      </c>
      <c r="F2156" s="1" t="s">
        <v>317</v>
      </c>
      <c r="G2156" s="1">
        <v>33</v>
      </c>
      <c r="H2156" s="23">
        <v>45145.561493055553</v>
      </c>
      <c r="I2156" s="1" t="b">
        <v>0</v>
      </c>
      <c r="J2156" s="1">
        <v>4</v>
      </c>
      <c r="K2156" s="10">
        <f t="shared" si="167"/>
        <v>43.492499999993015</v>
      </c>
      <c r="L2156" s="1" t="str">
        <f t="shared" si="168"/>
        <v>OK</v>
      </c>
      <c r="M2156" s="1">
        <f t="shared" si="165"/>
        <v>1</v>
      </c>
      <c r="N2156" s="1">
        <f t="shared" si="166"/>
        <v>33</v>
      </c>
      <c r="O2156" s="10">
        <f t="shared" si="169"/>
        <v>43.492499999993015</v>
      </c>
    </row>
    <row r="2157" spans="1:15">
      <c r="A2157" s="1" t="s">
        <v>2262</v>
      </c>
      <c r="B2157" s="23">
        <v>45143.763194444444</v>
      </c>
      <c r="C2157" s="1" t="s">
        <v>43</v>
      </c>
      <c r="D2157" s="1" t="s">
        <v>21</v>
      </c>
      <c r="E2157" s="1" t="s">
        <v>18</v>
      </c>
      <c r="F2157" s="1" t="s">
        <v>237</v>
      </c>
      <c r="G2157" s="1">
        <v>234</v>
      </c>
      <c r="H2157" s="23">
        <v>45145.287395833337</v>
      </c>
      <c r="I2157" s="1" t="b">
        <v>0</v>
      </c>
      <c r="J2157" s="1">
        <v>3</v>
      </c>
      <c r="K2157" s="10">
        <f t="shared" si="167"/>
        <v>36.580833333428018</v>
      </c>
      <c r="L2157" s="1" t="str">
        <f t="shared" si="168"/>
        <v>OK</v>
      </c>
      <c r="M2157" s="1">
        <f t="shared" si="165"/>
        <v>1</v>
      </c>
      <c r="N2157" s="1">
        <f t="shared" si="166"/>
        <v>234</v>
      </c>
      <c r="O2157" s="10">
        <f t="shared" si="169"/>
        <v>36.580833333428018</v>
      </c>
    </row>
    <row r="2158" spans="1:15">
      <c r="A2158" s="1" t="s">
        <v>2263</v>
      </c>
      <c r="B2158" s="23">
        <v>45143.794444444444</v>
      </c>
      <c r="C2158" s="1" t="s">
        <v>11</v>
      </c>
      <c r="D2158" s="1" t="s">
        <v>17</v>
      </c>
      <c r="E2158" s="1" t="s">
        <v>18</v>
      </c>
      <c r="F2158" s="1" t="s">
        <v>54</v>
      </c>
      <c r="G2158" s="1">
        <v>32</v>
      </c>
      <c r="H2158" s="23">
        <v>45144.355243055557</v>
      </c>
      <c r="I2158" s="1" t="b">
        <v>0</v>
      </c>
      <c r="J2158" s="1">
        <v>5</v>
      </c>
      <c r="K2158" s="10">
        <f t="shared" si="167"/>
        <v>13.45916666672565</v>
      </c>
      <c r="L2158" s="1" t="str">
        <f t="shared" si="168"/>
        <v>OK</v>
      </c>
      <c r="M2158" s="1">
        <f t="shared" si="165"/>
        <v>1</v>
      </c>
      <c r="N2158" s="1">
        <f t="shared" si="166"/>
        <v>32</v>
      </c>
      <c r="O2158" s="10">
        <f t="shared" si="169"/>
        <v>13.45916666672565</v>
      </c>
    </row>
    <row r="2159" spans="1:15">
      <c r="A2159" s="1" t="s">
        <v>2264</v>
      </c>
      <c r="B2159" s="23">
        <v>45143.795138888891</v>
      </c>
      <c r="C2159" s="1" t="s">
        <v>16</v>
      </c>
      <c r="D2159" s="1" t="s">
        <v>17</v>
      </c>
      <c r="E2159" s="1" t="s">
        <v>18</v>
      </c>
      <c r="F2159" s="1" t="s">
        <v>116</v>
      </c>
      <c r="G2159" s="1">
        <v>79</v>
      </c>
      <c r="I2159" s="1" t="b">
        <v>0</v>
      </c>
      <c r="K2159" s="10" t="str">
        <f t="shared" si="167"/>
        <v/>
      </c>
      <c r="L2159" s="1" t="str">
        <f t="shared" si="168"/>
        <v>Cannot check</v>
      </c>
      <c r="M2159" s="1">
        <f t="shared" si="165"/>
        <v>1</v>
      </c>
      <c r="N2159" s="1">
        <f t="shared" si="166"/>
        <v>79</v>
      </c>
      <c r="O2159" s="10" t="str">
        <f t="shared" si="169"/>
        <v/>
      </c>
    </row>
    <row r="2160" spans="1:15">
      <c r="A2160" s="1" t="s">
        <v>2265</v>
      </c>
      <c r="B2160" s="23">
        <v>45143.974305555559</v>
      </c>
      <c r="C2160" s="1" t="s">
        <v>16</v>
      </c>
      <c r="D2160" s="1" t="s">
        <v>21</v>
      </c>
      <c r="E2160" s="1" t="s">
        <v>13</v>
      </c>
      <c r="F2160" s="1" t="s">
        <v>153</v>
      </c>
      <c r="G2160" s="1">
        <v>17</v>
      </c>
      <c r="H2160" s="23">
        <v>45144.395439814813</v>
      </c>
      <c r="I2160" s="1" t="b">
        <v>0</v>
      </c>
      <c r="J2160" s="1">
        <v>2</v>
      </c>
      <c r="K2160" s="10">
        <f t="shared" si="167"/>
        <v>10.107222222082783</v>
      </c>
      <c r="L2160" s="1" t="str">
        <f t="shared" si="168"/>
        <v>OK</v>
      </c>
      <c r="M2160" s="1">
        <f t="shared" si="165"/>
        <v>1</v>
      </c>
      <c r="N2160" s="1">
        <f t="shared" si="166"/>
        <v>17</v>
      </c>
      <c r="O2160" s="10">
        <f t="shared" si="169"/>
        <v>10.107222222082783</v>
      </c>
    </row>
    <row r="2161" spans="1:15">
      <c r="A2161" s="1" t="s">
        <v>2266</v>
      </c>
      <c r="B2161" s="23">
        <v>45144.099305555559</v>
      </c>
      <c r="C2161" s="1" t="s">
        <v>25</v>
      </c>
      <c r="D2161" s="1" t="s">
        <v>59</v>
      </c>
      <c r="E2161" s="1" t="s">
        <v>13</v>
      </c>
      <c r="F2161" s="1" t="s">
        <v>392</v>
      </c>
      <c r="G2161" s="1">
        <v>15</v>
      </c>
      <c r="H2161" s="23">
        <v>45144.34746527778</v>
      </c>
      <c r="I2161" s="1" t="b">
        <v>0</v>
      </c>
      <c r="K2161" s="10">
        <f t="shared" si="167"/>
        <v>5.9558333333116025</v>
      </c>
      <c r="L2161" s="1" t="str">
        <f t="shared" si="168"/>
        <v>OK</v>
      </c>
      <c r="M2161" s="1">
        <f t="shared" si="165"/>
        <v>1</v>
      </c>
      <c r="N2161" s="1">
        <f t="shared" si="166"/>
        <v>15</v>
      </c>
      <c r="O2161" s="10">
        <f t="shared" si="169"/>
        <v>5.9558333333116025</v>
      </c>
    </row>
    <row r="2162" spans="1:15">
      <c r="A2162" s="1" t="s">
        <v>2267</v>
      </c>
      <c r="B2162" s="23">
        <v>45144.347222222219</v>
      </c>
      <c r="C2162" s="1" t="s">
        <v>25</v>
      </c>
      <c r="D2162" s="1" t="s">
        <v>21</v>
      </c>
      <c r="E2162" s="1" t="s">
        <v>33</v>
      </c>
      <c r="F2162" s="1" t="s">
        <v>234</v>
      </c>
      <c r="H2162" s="23">
        <v>45145.390567129631</v>
      </c>
      <c r="I2162" s="1" t="b">
        <v>0</v>
      </c>
      <c r="K2162" s="10">
        <f t="shared" si="167"/>
        <v>25.040277777879965</v>
      </c>
      <c r="L2162" s="1" t="str">
        <f t="shared" si="168"/>
        <v>Cannot check</v>
      </c>
      <c r="M2162" s="1">
        <f t="shared" si="165"/>
        <v>1</v>
      </c>
      <c r="N2162" s="1" t="str">
        <f t="shared" si="166"/>
        <v/>
      </c>
      <c r="O2162" s="10">
        <f t="shared" si="169"/>
        <v>25.040277777879965</v>
      </c>
    </row>
    <row r="2163" spans="1:15">
      <c r="A2163" s="1" t="s">
        <v>2268</v>
      </c>
      <c r="B2163" s="23">
        <v>45144.380555555559</v>
      </c>
      <c r="C2163" s="1" t="s">
        <v>11</v>
      </c>
      <c r="D2163" s="1" t="s">
        <v>12</v>
      </c>
      <c r="E2163" s="1" t="s">
        <v>33</v>
      </c>
      <c r="F2163" s="1" t="s">
        <v>148</v>
      </c>
      <c r="G2163" s="1">
        <v>305</v>
      </c>
      <c r="H2163" s="23">
        <v>45150.855995370373</v>
      </c>
      <c r="I2163" s="1" t="b">
        <v>0</v>
      </c>
      <c r="J2163" s="1">
        <v>1</v>
      </c>
      <c r="K2163" s="10">
        <f t="shared" si="167"/>
        <v>155.4105555555434</v>
      </c>
      <c r="L2163" s="1" t="str">
        <f t="shared" si="168"/>
        <v>OK</v>
      </c>
      <c r="M2163" s="1">
        <f t="shared" si="165"/>
        <v>1</v>
      </c>
      <c r="N2163" s="1">
        <f t="shared" si="166"/>
        <v>305</v>
      </c>
      <c r="O2163" s="10">
        <f t="shared" si="169"/>
        <v>155.4105555555434</v>
      </c>
    </row>
    <row r="2164" spans="1:15">
      <c r="A2164" s="1" t="s">
        <v>2269</v>
      </c>
      <c r="B2164" s="23">
        <v>45144.435416666667</v>
      </c>
      <c r="C2164" s="1" t="s">
        <v>43</v>
      </c>
      <c r="D2164" s="1" t="s">
        <v>59</v>
      </c>
      <c r="E2164" s="1" t="s">
        <v>18</v>
      </c>
      <c r="F2164" s="1" t="s">
        <v>62</v>
      </c>
      <c r="G2164" s="1">
        <v>113</v>
      </c>
      <c r="H2164" s="23">
        <v>45144.69458333333</v>
      </c>
      <c r="I2164" s="1" t="b">
        <v>0</v>
      </c>
      <c r="K2164" s="10">
        <f t="shared" si="167"/>
        <v>6.2199999999138527</v>
      </c>
      <c r="L2164" s="1" t="str">
        <f t="shared" si="168"/>
        <v>OK</v>
      </c>
      <c r="M2164" s="1">
        <f t="shared" si="165"/>
        <v>1</v>
      </c>
      <c r="N2164" s="1">
        <f t="shared" si="166"/>
        <v>113</v>
      </c>
      <c r="O2164" s="10">
        <f t="shared" si="169"/>
        <v>6.2199999999138527</v>
      </c>
    </row>
    <row r="2165" spans="1:15">
      <c r="A2165" s="1" t="s">
        <v>2270</v>
      </c>
      <c r="B2165" s="23">
        <v>45144.543749999997</v>
      </c>
      <c r="C2165" s="1" t="s">
        <v>16</v>
      </c>
      <c r="D2165" s="1" t="s">
        <v>17</v>
      </c>
      <c r="E2165" s="1" t="s">
        <v>18</v>
      </c>
      <c r="F2165" s="1" t="s">
        <v>486</v>
      </c>
      <c r="G2165" s="1">
        <v>325</v>
      </c>
      <c r="H2165" s="23">
        <v>45146.738807870373</v>
      </c>
      <c r="I2165" s="1" t="b">
        <v>0</v>
      </c>
      <c r="J2165" s="1">
        <v>5</v>
      </c>
      <c r="K2165" s="10">
        <f t="shared" si="167"/>
        <v>52.68138888903195</v>
      </c>
      <c r="L2165" s="1" t="str">
        <f t="shared" si="168"/>
        <v>OK</v>
      </c>
      <c r="M2165" s="1">
        <f t="shared" si="165"/>
        <v>1</v>
      </c>
      <c r="N2165" s="1">
        <f t="shared" si="166"/>
        <v>325</v>
      </c>
      <c r="O2165" s="10">
        <f t="shared" si="169"/>
        <v>52.68138888903195</v>
      </c>
    </row>
    <row r="2166" spans="1:15">
      <c r="A2166" s="1" t="s">
        <v>2271</v>
      </c>
      <c r="B2166" s="23">
        <v>45144.553472222222</v>
      </c>
      <c r="C2166" s="1" t="s">
        <v>25</v>
      </c>
      <c r="D2166" s="1" t="s">
        <v>12</v>
      </c>
      <c r="E2166" s="1" t="s">
        <v>13</v>
      </c>
      <c r="F2166" s="1" t="s">
        <v>317</v>
      </c>
      <c r="G2166" s="1">
        <v>22</v>
      </c>
      <c r="H2166" s="23">
        <v>45144.856134259258</v>
      </c>
      <c r="I2166" s="1" t="b">
        <v>0</v>
      </c>
      <c r="K2166" s="10">
        <f t="shared" si="167"/>
        <v>7.2638888888759539</v>
      </c>
      <c r="L2166" s="1" t="str">
        <f t="shared" si="168"/>
        <v>OK</v>
      </c>
      <c r="M2166" s="1">
        <f t="shared" si="165"/>
        <v>1</v>
      </c>
      <c r="N2166" s="1">
        <f t="shared" si="166"/>
        <v>22</v>
      </c>
      <c r="O2166" s="10">
        <f t="shared" si="169"/>
        <v>7.2638888888759539</v>
      </c>
    </row>
    <row r="2167" spans="1:15">
      <c r="A2167" s="1" t="s">
        <v>2272</v>
      </c>
      <c r="B2167" s="23">
        <v>45144.611111111109</v>
      </c>
      <c r="C2167" s="1" t="s">
        <v>43</v>
      </c>
      <c r="D2167" s="1" t="s">
        <v>26</v>
      </c>
      <c r="E2167" s="1" t="s">
        <v>13</v>
      </c>
      <c r="F2167" s="1" t="s">
        <v>110</v>
      </c>
      <c r="G2167" s="1">
        <v>22</v>
      </c>
      <c r="H2167" s="23">
        <v>45145.668206018519</v>
      </c>
      <c r="I2167" s="1" t="b">
        <v>0</v>
      </c>
      <c r="K2167" s="10">
        <f t="shared" si="167"/>
        <v>25.370277777838055</v>
      </c>
      <c r="L2167" s="1" t="str">
        <f t="shared" si="168"/>
        <v>OK</v>
      </c>
      <c r="M2167" s="1">
        <f t="shared" si="165"/>
        <v>1</v>
      </c>
      <c r="N2167" s="1">
        <f t="shared" si="166"/>
        <v>22</v>
      </c>
      <c r="O2167" s="10">
        <f t="shared" si="169"/>
        <v>25.370277777838055</v>
      </c>
    </row>
    <row r="2168" spans="1:15">
      <c r="A2168" s="1" t="s">
        <v>2273</v>
      </c>
      <c r="B2168" s="23">
        <v>45144.784722222219</v>
      </c>
      <c r="C2168" s="1" t="s">
        <v>16</v>
      </c>
      <c r="D2168" s="1" t="s">
        <v>17</v>
      </c>
      <c r="E2168" s="1" t="s">
        <v>18</v>
      </c>
      <c r="F2168" s="1" t="s">
        <v>62</v>
      </c>
      <c r="G2168" s="1">
        <v>198</v>
      </c>
      <c r="H2168" s="23">
        <v>45148.160474537035</v>
      </c>
      <c r="I2168" s="1" t="b">
        <v>0</v>
      </c>
      <c r="K2168" s="10">
        <f t="shared" si="167"/>
        <v>81.018055555585306</v>
      </c>
      <c r="L2168" s="1" t="str">
        <f t="shared" si="168"/>
        <v>OK</v>
      </c>
      <c r="M2168" s="1">
        <f t="shared" si="165"/>
        <v>1</v>
      </c>
      <c r="N2168" s="1">
        <f t="shared" si="166"/>
        <v>198</v>
      </c>
      <c r="O2168" s="10">
        <f t="shared" si="169"/>
        <v>81.018055555585306</v>
      </c>
    </row>
    <row r="2169" spans="1:15">
      <c r="A2169" s="1" t="s">
        <v>2274</v>
      </c>
      <c r="B2169" s="23">
        <v>45145.065972222219</v>
      </c>
      <c r="C2169" s="1" t="s">
        <v>16</v>
      </c>
      <c r="D2169" s="1" t="s">
        <v>21</v>
      </c>
      <c r="E2169" s="1" t="s">
        <v>22</v>
      </c>
      <c r="F2169" s="1" t="s">
        <v>100</v>
      </c>
      <c r="G2169" s="1">
        <v>53</v>
      </c>
      <c r="H2169" s="23">
        <v>45145.243622685186</v>
      </c>
      <c r="I2169" s="1" t="b">
        <v>0</v>
      </c>
      <c r="K2169" s="10">
        <f t="shared" si="167"/>
        <v>4.2636111112078652</v>
      </c>
      <c r="L2169" s="1" t="str">
        <f t="shared" si="168"/>
        <v>OK</v>
      </c>
      <c r="M2169" s="1">
        <f t="shared" si="165"/>
        <v>1</v>
      </c>
      <c r="N2169" s="1">
        <f t="shared" si="166"/>
        <v>53</v>
      </c>
      <c r="O2169" s="10">
        <f t="shared" si="169"/>
        <v>4.2636111112078652</v>
      </c>
    </row>
    <row r="2170" spans="1:15">
      <c r="A2170" s="1" t="s">
        <v>2275</v>
      </c>
      <c r="B2170" s="23">
        <v>45145.067361111112</v>
      </c>
      <c r="C2170" s="1" t="s">
        <v>25</v>
      </c>
      <c r="D2170" s="1" t="s">
        <v>26</v>
      </c>
      <c r="E2170" s="1" t="s">
        <v>18</v>
      </c>
      <c r="F2170" s="1" t="s">
        <v>76</v>
      </c>
      <c r="G2170" s="1">
        <v>21</v>
      </c>
      <c r="H2170" s="23">
        <v>45146.955706018518</v>
      </c>
      <c r="I2170" s="1" t="b">
        <v>0</v>
      </c>
      <c r="K2170" s="10">
        <f t="shared" si="167"/>
        <v>45.320277777733281</v>
      </c>
      <c r="L2170" s="1" t="str">
        <f t="shared" si="168"/>
        <v>OK</v>
      </c>
      <c r="M2170" s="1">
        <f t="shared" si="165"/>
        <v>1</v>
      </c>
      <c r="N2170" s="1">
        <f t="shared" si="166"/>
        <v>21</v>
      </c>
      <c r="O2170" s="10">
        <f t="shared" si="169"/>
        <v>45.320277777733281</v>
      </c>
    </row>
    <row r="2171" spans="1:15">
      <c r="A2171" s="1" t="s">
        <v>2276</v>
      </c>
      <c r="B2171" s="23">
        <v>45145.225694444445</v>
      </c>
      <c r="C2171" s="1" t="s">
        <v>25</v>
      </c>
      <c r="D2171" s="1" t="s">
        <v>26</v>
      </c>
      <c r="E2171" s="1" t="s">
        <v>33</v>
      </c>
      <c r="F2171" s="1" t="s">
        <v>66</v>
      </c>
      <c r="G2171" s="1">
        <v>420</v>
      </c>
      <c r="H2171" s="23">
        <v>45155.537615740737</v>
      </c>
      <c r="I2171" s="1" t="b">
        <v>0</v>
      </c>
      <c r="J2171" s="1">
        <v>1</v>
      </c>
      <c r="K2171" s="10">
        <f t="shared" si="167"/>
        <v>247.48611111100763</v>
      </c>
      <c r="L2171" s="1" t="str">
        <f t="shared" si="168"/>
        <v>OK</v>
      </c>
      <c r="M2171" s="1">
        <f t="shared" si="165"/>
        <v>1</v>
      </c>
      <c r="N2171" s="1">
        <f t="shared" si="166"/>
        <v>420</v>
      </c>
      <c r="O2171" s="10">
        <f t="shared" si="169"/>
        <v>247.48611111100763</v>
      </c>
    </row>
    <row r="2172" spans="1:15">
      <c r="A2172" s="1" t="s">
        <v>2277</v>
      </c>
      <c r="B2172" s="23">
        <v>45145.243055555555</v>
      </c>
      <c r="C2172" s="1" t="s">
        <v>11</v>
      </c>
      <c r="D2172" s="1" t="s">
        <v>17</v>
      </c>
      <c r="E2172" s="1" t="s">
        <v>18</v>
      </c>
      <c r="F2172" s="1" t="s">
        <v>84</v>
      </c>
      <c r="G2172" s="1">
        <v>114</v>
      </c>
      <c r="I2172" s="1" t="b">
        <v>0</v>
      </c>
      <c r="K2172" s="10" t="str">
        <f t="shared" si="167"/>
        <v/>
      </c>
      <c r="L2172" s="1" t="str">
        <f t="shared" si="168"/>
        <v>Cannot check</v>
      </c>
      <c r="M2172" s="1">
        <f t="shared" si="165"/>
        <v>1</v>
      </c>
      <c r="N2172" s="1">
        <f t="shared" si="166"/>
        <v>114</v>
      </c>
      <c r="O2172" s="10" t="str">
        <f t="shared" si="169"/>
        <v/>
      </c>
    </row>
    <row r="2173" spans="1:15">
      <c r="A2173" s="1" t="s">
        <v>2278</v>
      </c>
      <c r="B2173" s="23">
        <v>45145.34652777778</v>
      </c>
      <c r="C2173" s="1" t="s">
        <v>25</v>
      </c>
      <c r="D2173" s="1" t="s">
        <v>21</v>
      </c>
      <c r="E2173" s="1" t="s">
        <v>18</v>
      </c>
      <c r="F2173" s="1" t="s">
        <v>94</v>
      </c>
      <c r="G2173" s="1">
        <v>192</v>
      </c>
      <c r="H2173" s="23">
        <v>45146.534328703703</v>
      </c>
      <c r="I2173" s="1" t="b">
        <v>0</v>
      </c>
      <c r="K2173" s="10">
        <f t="shared" si="167"/>
        <v>28.507222222164273</v>
      </c>
      <c r="L2173" s="1" t="str">
        <f t="shared" si="168"/>
        <v>OK</v>
      </c>
      <c r="M2173" s="1">
        <f t="shared" si="165"/>
        <v>1</v>
      </c>
      <c r="N2173" s="1">
        <f t="shared" si="166"/>
        <v>192</v>
      </c>
      <c r="O2173" s="10">
        <f t="shared" si="169"/>
        <v>28.507222222164273</v>
      </c>
    </row>
    <row r="2174" spans="1:15">
      <c r="A2174" s="1" t="s">
        <v>2279</v>
      </c>
      <c r="B2174" s="23">
        <v>45145.426388888889</v>
      </c>
      <c r="C2174" s="1" t="s">
        <v>16</v>
      </c>
      <c r="D2174" s="1" t="s">
        <v>59</v>
      </c>
      <c r="E2174" s="1" t="s">
        <v>13</v>
      </c>
      <c r="F2174" s="1" t="s">
        <v>486</v>
      </c>
      <c r="G2174" s="1">
        <v>43</v>
      </c>
      <c r="H2174" s="23">
        <v>45146.85497685185</v>
      </c>
      <c r="I2174" s="1" t="b">
        <v>0</v>
      </c>
      <c r="K2174" s="10">
        <f t="shared" si="167"/>
        <v>34.286111111054197</v>
      </c>
      <c r="L2174" s="1" t="str">
        <f t="shared" si="168"/>
        <v>OK</v>
      </c>
      <c r="M2174" s="1">
        <f t="shared" si="165"/>
        <v>1</v>
      </c>
      <c r="N2174" s="1">
        <f t="shared" si="166"/>
        <v>43</v>
      </c>
      <c r="O2174" s="10">
        <f t="shared" si="169"/>
        <v>34.286111111054197</v>
      </c>
    </row>
    <row r="2175" spans="1:15">
      <c r="A2175" s="1" t="s">
        <v>2280</v>
      </c>
      <c r="B2175" s="23">
        <v>45145.715277777781</v>
      </c>
      <c r="C2175" s="1" t="s">
        <v>25</v>
      </c>
      <c r="D2175" s="1" t="s">
        <v>59</v>
      </c>
      <c r="E2175" s="1" t="s">
        <v>13</v>
      </c>
      <c r="F2175" s="1" t="s">
        <v>118</v>
      </c>
      <c r="G2175" s="1">
        <v>42</v>
      </c>
      <c r="H2175" s="23">
        <v>45146.08965277778</v>
      </c>
      <c r="I2175" s="1" t="b">
        <v>0</v>
      </c>
      <c r="K2175" s="10">
        <f t="shared" si="167"/>
        <v>8.9849999999860302</v>
      </c>
      <c r="L2175" s="1" t="str">
        <f t="shared" si="168"/>
        <v>OK</v>
      </c>
      <c r="M2175" s="1">
        <f t="shared" si="165"/>
        <v>1</v>
      </c>
      <c r="N2175" s="1">
        <f t="shared" si="166"/>
        <v>42</v>
      </c>
      <c r="O2175" s="10">
        <f t="shared" si="169"/>
        <v>8.9849999999860302</v>
      </c>
    </row>
    <row r="2176" spans="1:15">
      <c r="A2176" s="1" t="s">
        <v>2281</v>
      </c>
      <c r="B2176" s="23">
        <v>45145.71597222222</v>
      </c>
      <c r="C2176" s="1" t="s">
        <v>25</v>
      </c>
      <c r="D2176" s="1" t="s">
        <v>26</v>
      </c>
      <c r="E2176" s="1" t="s">
        <v>18</v>
      </c>
      <c r="F2176" s="1" t="s">
        <v>345</v>
      </c>
      <c r="G2176" s="1">
        <v>394</v>
      </c>
      <c r="H2176" s="23">
        <v>45147.525925925926</v>
      </c>
      <c r="I2176" s="1" t="b">
        <v>0</v>
      </c>
      <c r="K2176" s="10">
        <f t="shared" si="167"/>
        <v>43.43888888892252</v>
      </c>
      <c r="L2176" s="1" t="str">
        <f t="shared" si="168"/>
        <v>OK</v>
      </c>
      <c r="M2176" s="1">
        <f t="shared" si="165"/>
        <v>1</v>
      </c>
      <c r="N2176" s="1">
        <f t="shared" si="166"/>
        <v>394</v>
      </c>
      <c r="O2176" s="10">
        <f t="shared" si="169"/>
        <v>43.43888888892252</v>
      </c>
    </row>
    <row r="2177" spans="1:15">
      <c r="A2177" s="1" t="s">
        <v>2282</v>
      </c>
      <c r="B2177" s="23">
        <v>45145.73333333333</v>
      </c>
      <c r="C2177" s="1" t="s">
        <v>25</v>
      </c>
      <c r="D2177" s="1" t="s">
        <v>21</v>
      </c>
      <c r="E2177" s="1" t="s">
        <v>13</v>
      </c>
      <c r="F2177" s="1" t="s">
        <v>106</v>
      </c>
      <c r="G2177" s="1">
        <v>103</v>
      </c>
      <c r="H2177" s="23">
        <v>45146.385960648149</v>
      </c>
      <c r="I2177" s="1" t="b">
        <v>0</v>
      </c>
      <c r="K2177" s="10">
        <f t="shared" si="167"/>
        <v>15.66305555566214</v>
      </c>
      <c r="L2177" s="1" t="str">
        <f t="shared" si="168"/>
        <v>OK</v>
      </c>
      <c r="M2177" s="1">
        <f t="shared" si="165"/>
        <v>1</v>
      </c>
      <c r="N2177" s="1">
        <f t="shared" si="166"/>
        <v>103</v>
      </c>
      <c r="O2177" s="10">
        <f t="shared" si="169"/>
        <v>15.66305555566214</v>
      </c>
    </row>
    <row r="2178" spans="1:15">
      <c r="A2178" s="1" t="s">
        <v>2283</v>
      </c>
      <c r="B2178" s="23">
        <v>45145.924305555556</v>
      </c>
      <c r="C2178" s="1" t="s">
        <v>25</v>
      </c>
      <c r="D2178" s="1" t="s">
        <v>59</v>
      </c>
      <c r="E2178" s="1" t="s">
        <v>13</v>
      </c>
      <c r="F2178" s="1" t="s">
        <v>201</v>
      </c>
      <c r="G2178" s="1">
        <v>29</v>
      </c>
      <c r="H2178" s="23">
        <v>45146.078657407408</v>
      </c>
      <c r="I2178" s="1" t="b">
        <v>0</v>
      </c>
      <c r="K2178" s="10">
        <f t="shared" si="167"/>
        <v>3.7044444444472902</v>
      </c>
      <c r="L2178" s="1" t="str">
        <f t="shared" si="168"/>
        <v>OK</v>
      </c>
      <c r="M2178" s="1">
        <f t="shared" ref="M2178:M2241" si="170">COUNTIF($A$2:$A$4001,A2178)</f>
        <v>1</v>
      </c>
      <c r="N2178" s="1">
        <f t="shared" ref="N2178:N2241" si="171">IF(OR(L2178="Review",G2178=""),"",G2178)</f>
        <v>29</v>
      </c>
      <c r="O2178" s="10">
        <f t="shared" si="169"/>
        <v>3.7044444444472902</v>
      </c>
    </row>
    <row r="2179" spans="1:15">
      <c r="A2179" s="1" t="s">
        <v>2284</v>
      </c>
      <c r="B2179" s="23">
        <v>45146.184027777781</v>
      </c>
      <c r="C2179" s="1" t="s">
        <v>43</v>
      </c>
      <c r="D2179" s="1" t="s">
        <v>17</v>
      </c>
      <c r="E2179" s="1" t="s">
        <v>18</v>
      </c>
      <c r="F2179" s="1" t="s">
        <v>102</v>
      </c>
      <c r="G2179" s="1">
        <v>149</v>
      </c>
      <c r="H2179" s="23">
        <v>45147.428854166668</v>
      </c>
      <c r="I2179" s="1" t="b">
        <v>0</v>
      </c>
      <c r="J2179" s="1">
        <v>5</v>
      </c>
      <c r="K2179" s="10">
        <f t="shared" ref="K2179:K2242" si="172">IF(H2179="","",(H2179-B2179)*24)</f>
        <v>29.875833333295304</v>
      </c>
      <c r="L2179" s="1" t="str">
        <f t="shared" ref="L2179:L2242" si="173">IF(OR(G2179="",K2179=""),"Cannot check",IF(G2179&gt;K2179*60,"Review","OK"))</f>
        <v>OK</v>
      </c>
      <c r="M2179" s="1">
        <f t="shared" si="170"/>
        <v>1</v>
      </c>
      <c r="N2179" s="1">
        <f t="shared" si="171"/>
        <v>149</v>
      </c>
      <c r="O2179" s="10">
        <f t="shared" ref="O2179:O2242" si="174">IF(OR(L2179="Review",K2179=""),"",K2179)</f>
        <v>29.875833333295304</v>
      </c>
    </row>
    <row r="2180" spans="1:15">
      <c r="A2180" s="1" t="s">
        <v>2285</v>
      </c>
      <c r="B2180" s="23">
        <v>45146.365972222222</v>
      </c>
      <c r="C2180" s="1" t="s">
        <v>16</v>
      </c>
      <c r="D2180" s="1" t="s">
        <v>12</v>
      </c>
      <c r="E2180" s="1" t="s">
        <v>18</v>
      </c>
      <c r="F2180" s="1" t="s">
        <v>44</v>
      </c>
      <c r="G2180" s="1">
        <v>37</v>
      </c>
      <c r="H2180" s="23">
        <v>45148.314351851855</v>
      </c>
      <c r="I2180" s="1" t="b">
        <v>0</v>
      </c>
      <c r="J2180" s="1">
        <v>5</v>
      </c>
      <c r="K2180" s="10">
        <f t="shared" si="172"/>
        <v>46.761111111205537</v>
      </c>
      <c r="L2180" s="1" t="str">
        <f t="shared" si="173"/>
        <v>OK</v>
      </c>
      <c r="M2180" s="1">
        <f t="shared" si="170"/>
        <v>1</v>
      </c>
      <c r="N2180" s="1">
        <f t="shared" si="171"/>
        <v>37</v>
      </c>
      <c r="O2180" s="10">
        <f t="shared" si="174"/>
        <v>46.761111111205537</v>
      </c>
    </row>
    <row r="2181" spans="1:15">
      <c r="A2181" s="1" t="s">
        <v>2286</v>
      </c>
      <c r="B2181" s="23">
        <v>45146.394444444442</v>
      </c>
      <c r="C2181" s="1" t="s">
        <v>11</v>
      </c>
      <c r="D2181" s="1" t="s">
        <v>21</v>
      </c>
      <c r="E2181" s="1" t="s">
        <v>18</v>
      </c>
      <c r="F2181" s="1" t="s">
        <v>52</v>
      </c>
      <c r="G2181" s="1">
        <v>174</v>
      </c>
      <c r="H2181" s="23">
        <v>45146.70821759259</v>
      </c>
      <c r="I2181" s="1" t="b">
        <v>1</v>
      </c>
      <c r="K2181" s="10">
        <f t="shared" si="172"/>
        <v>7.53055555553874</v>
      </c>
      <c r="L2181" s="1" t="str">
        <f t="shared" si="173"/>
        <v>OK</v>
      </c>
      <c r="M2181" s="1">
        <f t="shared" si="170"/>
        <v>1</v>
      </c>
      <c r="N2181" s="1">
        <f t="shared" si="171"/>
        <v>174</v>
      </c>
      <c r="O2181" s="10">
        <f t="shared" si="174"/>
        <v>7.53055555553874</v>
      </c>
    </row>
    <row r="2182" spans="1:15">
      <c r="A2182" s="1" t="s">
        <v>2287</v>
      </c>
      <c r="B2182" s="23">
        <v>45146.484027777777</v>
      </c>
      <c r="C2182" s="1" t="s">
        <v>16</v>
      </c>
      <c r="D2182" s="1" t="s">
        <v>21</v>
      </c>
      <c r="E2182" s="1" t="s">
        <v>18</v>
      </c>
      <c r="F2182" s="1" t="s">
        <v>92</v>
      </c>
      <c r="G2182" s="1">
        <v>26</v>
      </c>
      <c r="H2182" s="23">
        <v>45147.271087962959</v>
      </c>
      <c r="I2182" s="1" t="b">
        <v>1</v>
      </c>
      <c r="K2182" s="10">
        <f t="shared" si="172"/>
        <v>18.889444444386754</v>
      </c>
      <c r="L2182" s="1" t="str">
        <f t="shared" si="173"/>
        <v>OK</v>
      </c>
      <c r="M2182" s="1">
        <f t="shared" si="170"/>
        <v>1</v>
      </c>
      <c r="N2182" s="1">
        <f t="shared" si="171"/>
        <v>26</v>
      </c>
      <c r="O2182" s="10">
        <f t="shared" si="174"/>
        <v>18.889444444386754</v>
      </c>
    </row>
    <row r="2183" spans="1:15">
      <c r="A2183" s="1" t="s">
        <v>2288</v>
      </c>
      <c r="B2183" s="23">
        <v>45146.507638888892</v>
      </c>
      <c r="C2183" s="1" t="s">
        <v>11</v>
      </c>
      <c r="D2183" s="1" t="s">
        <v>17</v>
      </c>
      <c r="E2183" s="1" t="s">
        <v>13</v>
      </c>
      <c r="F2183" s="1" t="s">
        <v>237</v>
      </c>
      <c r="G2183" s="1">
        <v>38</v>
      </c>
      <c r="H2183" s="23">
        <v>45146.718900462962</v>
      </c>
      <c r="I2183" s="1" t="b">
        <v>0</v>
      </c>
      <c r="K2183" s="10">
        <f t="shared" si="172"/>
        <v>5.0702777776750736</v>
      </c>
      <c r="L2183" s="1" t="str">
        <f t="shared" si="173"/>
        <v>OK</v>
      </c>
      <c r="M2183" s="1">
        <f t="shared" si="170"/>
        <v>1</v>
      </c>
      <c r="N2183" s="1">
        <f t="shared" si="171"/>
        <v>38</v>
      </c>
      <c r="O2183" s="10">
        <f t="shared" si="174"/>
        <v>5.0702777776750736</v>
      </c>
    </row>
    <row r="2184" spans="1:15">
      <c r="A2184" s="1" t="s">
        <v>2289</v>
      </c>
      <c r="B2184" s="23">
        <v>45146.509027777778</v>
      </c>
      <c r="C2184" s="1" t="s">
        <v>25</v>
      </c>
      <c r="D2184" s="1" t="s">
        <v>26</v>
      </c>
      <c r="E2184" s="1" t="s">
        <v>33</v>
      </c>
      <c r="F2184" s="1" t="s">
        <v>102</v>
      </c>
      <c r="G2184" s="1">
        <v>74</v>
      </c>
      <c r="H2184" s="23">
        <v>45152.171134259261</v>
      </c>
      <c r="I2184" s="1" t="b">
        <v>0</v>
      </c>
      <c r="K2184" s="10">
        <f t="shared" si="172"/>
        <v>135.89055555558298</v>
      </c>
      <c r="L2184" s="1" t="str">
        <f t="shared" si="173"/>
        <v>OK</v>
      </c>
      <c r="M2184" s="1">
        <f t="shared" si="170"/>
        <v>1</v>
      </c>
      <c r="N2184" s="1">
        <f t="shared" si="171"/>
        <v>74</v>
      </c>
      <c r="O2184" s="10">
        <f t="shared" si="174"/>
        <v>135.89055555558298</v>
      </c>
    </row>
    <row r="2185" spans="1:15">
      <c r="A2185" s="1" t="s">
        <v>2290</v>
      </c>
      <c r="B2185" s="23">
        <v>45146.609722222223</v>
      </c>
      <c r="C2185" s="1" t="s">
        <v>25</v>
      </c>
      <c r="D2185" s="1" t="s">
        <v>59</v>
      </c>
      <c r="E2185" s="1" t="s">
        <v>33</v>
      </c>
      <c r="F2185" s="1" t="s">
        <v>259</v>
      </c>
      <c r="G2185" s="1">
        <v>985</v>
      </c>
      <c r="H2185" s="23">
        <v>45149.037187499998</v>
      </c>
      <c r="I2185" s="1" t="b">
        <v>0</v>
      </c>
      <c r="K2185" s="10">
        <f t="shared" si="172"/>
        <v>58.259166666597594</v>
      </c>
      <c r="L2185" s="1" t="str">
        <f t="shared" si="173"/>
        <v>OK</v>
      </c>
      <c r="M2185" s="1">
        <f t="shared" si="170"/>
        <v>1</v>
      </c>
      <c r="N2185" s="1">
        <f t="shared" si="171"/>
        <v>985</v>
      </c>
      <c r="O2185" s="10">
        <f t="shared" si="174"/>
        <v>58.259166666597594</v>
      </c>
    </row>
    <row r="2186" spans="1:15">
      <c r="A2186" s="1" t="s">
        <v>2291</v>
      </c>
      <c r="B2186" s="23">
        <v>45146.692361111112</v>
      </c>
      <c r="C2186" s="1" t="s">
        <v>16</v>
      </c>
      <c r="D2186" s="1" t="s">
        <v>26</v>
      </c>
      <c r="E2186" s="1" t="s">
        <v>18</v>
      </c>
      <c r="F2186" s="1" t="s">
        <v>41</v>
      </c>
      <c r="G2186" s="1">
        <v>86</v>
      </c>
      <c r="H2186" s="23">
        <v>45147.192083333335</v>
      </c>
      <c r="I2186" s="1" t="b">
        <v>0</v>
      </c>
      <c r="K2186" s="10">
        <f t="shared" si="172"/>
        <v>11.993333333346527</v>
      </c>
      <c r="L2186" s="1" t="str">
        <f t="shared" si="173"/>
        <v>OK</v>
      </c>
      <c r="M2186" s="1">
        <f t="shared" si="170"/>
        <v>1</v>
      </c>
      <c r="N2186" s="1">
        <f t="shared" si="171"/>
        <v>86</v>
      </c>
      <c r="O2186" s="10">
        <f t="shared" si="174"/>
        <v>11.993333333346527</v>
      </c>
    </row>
    <row r="2187" spans="1:15">
      <c r="A2187" s="1" t="s">
        <v>2292</v>
      </c>
      <c r="B2187" s="23">
        <v>45146.767361111109</v>
      </c>
      <c r="C2187" s="1" t="s">
        <v>11</v>
      </c>
      <c r="D2187" s="1" t="s">
        <v>59</v>
      </c>
      <c r="E2187" s="1" t="s">
        <v>33</v>
      </c>
      <c r="F2187" s="1" t="s">
        <v>116</v>
      </c>
      <c r="G2187" s="1">
        <v>1611</v>
      </c>
      <c r="H2187" s="23">
        <v>45147.79283564815</v>
      </c>
      <c r="I2187" s="1" t="b">
        <v>0</v>
      </c>
      <c r="K2187" s="10">
        <f t="shared" si="172"/>
        <v>24.611388888966758</v>
      </c>
      <c r="L2187" s="1" t="str">
        <f t="shared" si="173"/>
        <v>Review</v>
      </c>
      <c r="M2187" s="1">
        <f t="shared" si="170"/>
        <v>1</v>
      </c>
      <c r="N2187" s="1" t="str">
        <f t="shared" si="171"/>
        <v/>
      </c>
      <c r="O2187" s="10" t="str">
        <f t="shared" si="174"/>
        <v/>
      </c>
    </row>
    <row r="2188" spans="1:15">
      <c r="A2188" s="1" t="s">
        <v>2293</v>
      </c>
      <c r="B2188" s="23">
        <v>45146.800694444442</v>
      </c>
      <c r="C2188" s="1" t="s">
        <v>25</v>
      </c>
      <c r="D2188" s="1" t="s">
        <v>59</v>
      </c>
      <c r="E2188" s="1" t="s">
        <v>33</v>
      </c>
      <c r="F2188" s="1" t="s">
        <v>86</v>
      </c>
      <c r="G2188" s="1">
        <v>106</v>
      </c>
      <c r="H2188" s="23">
        <v>45149.171990740739</v>
      </c>
      <c r="I2188" s="1" t="b">
        <v>0</v>
      </c>
      <c r="K2188" s="10">
        <f t="shared" si="172"/>
        <v>56.911111111112405</v>
      </c>
      <c r="L2188" s="1" t="str">
        <f t="shared" si="173"/>
        <v>OK</v>
      </c>
      <c r="M2188" s="1">
        <f t="shared" si="170"/>
        <v>1</v>
      </c>
      <c r="N2188" s="1">
        <f t="shared" si="171"/>
        <v>106</v>
      </c>
      <c r="O2188" s="10">
        <f t="shared" si="174"/>
        <v>56.911111111112405</v>
      </c>
    </row>
    <row r="2189" spans="1:15">
      <c r="A2189" s="1" t="s">
        <v>2294</v>
      </c>
      <c r="B2189" s="23">
        <v>45146.837500000001</v>
      </c>
      <c r="C2189" s="1" t="s">
        <v>25</v>
      </c>
      <c r="D2189" s="1" t="s">
        <v>21</v>
      </c>
      <c r="E2189" s="1" t="s">
        <v>13</v>
      </c>
      <c r="F2189" s="1" t="s">
        <v>132</v>
      </c>
      <c r="G2189" s="1">
        <v>32</v>
      </c>
      <c r="H2189" s="23">
        <v>45146.919340277775</v>
      </c>
      <c r="I2189" s="1" t="b">
        <v>0</v>
      </c>
      <c r="K2189" s="10">
        <f t="shared" si="172"/>
        <v>1.9641666665556841</v>
      </c>
      <c r="L2189" s="1" t="str">
        <f t="shared" si="173"/>
        <v>OK</v>
      </c>
      <c r="M2189" s="1">
        <f t="shared" si="170"/>
        <v>1</v>
      </c>
      <c r="N2189" s="1">
        <f t="shared" si="171"/>
        <v>32</v>
      </c>
      <c r="O2189" s="10">
        <f t="shared" si="174"/>
        <v>1.9641666665556841</v>
      </c>
    </row>
    <row r="2190" spans="1:15">
      <c r="A2190" s="1" t="s">
        <v>2295</v>
      </c>
      <c r="B2190" s="23">
        <v>45147.011111111111</v>
      </c>
      <c r="C2190" s="1" t="s">
        <v>16</v>
      </c>
      <c r="D2190" s="1" t="s">
        <v>17</v>
      </c>
      <c r="E2190" s="1" t="s">
        <v>18</v>
      </c>
      <c r="F2190" s="1" t="s">
        <v>198</v>
      </c>
      <c r="G2190" s="1">
        <v>558</v>
      </c>
      <c r="H2190" s="23">
        <v>45151.359548611108</v>
      </c>
      <c r="I2190" s="1" t="b">
        <v>0</v>
      </c>
      <c r="K2190" s="10">
        <f t="shared" si="172"/>
        <v>104.36249999993015</v>
      </c>
      <c r="L2190" s="1" t="str">
        <f t="shared" si="173"/>
        <v>OK</v>
      </c>
      <c r="M2190" s="1">
        <f t="shared" si="170"/>
        <v>1</v>
      </c>
      <c r="N2190" s="1">
        <f t="shared" si="171"/>
        <v>558</v>
      </c>
      <c r="O2190" s="10">
        <f t="shared" si="174"/>
        <v>104.36249999993015</v>
      </c>
    </row>
    <row r="2191" spans="1:15">
      <c r="A2191" s="1" t="s">
        <v>2296</v>
      </c>
      <c r="B2191" s="23">
        <v>45147.127083333333</v>
      </c>
      <c r="C2191" s="1" t="s">
        <v>11</v>
      </c>
      <c r="D2191" s="1" t="s">
        <v>21</v>
      </c>
      <c r="E2191" s="1" t="s">
        <v>18</v>
      </c>
      <c r="F2191" s="1" t="s">
        <v>326</v>
      </c>
      <c r="G2191" s="1">
        <v>37</v>
      </c>
      <c r="H2191" s="23">
        <v>45149.640775462962</v>
      </c>
      <c r="I2191" s="1" t="b">
        <v>0</v>
      </c>
      <c r="K2191" s="10">
        <f t="shared" si="172"/>
        <v>60.328611111093778</v>
      </c>
      <c r="L2191" s="1" t="str">
        <f t="shared" si="173"/>
        <v>OK</v>
      </c>
      <c r="M2191" s="1">
        <f t="shared" si="170"/>
        <v>1</v>
      </c>
      <c r="N2191" s="1">
        <f t="shared" si="171"/>
        <v>37</v>
      </c>
      <c r="O2191" s="10">
        <f t="shared" si="174"/>
        <v>60.328611111093778</v>
      </c>
    </row>
    <row r="2192" spans="1:15">
      <c r="A2192" s="1" t="s">
        <v>2297</v>
      </c>
      <c r="B2192" s="23">
        <v>45147.283333333333</v>
      </c>
      <c r="C2192" s="1" t="s">
        <v>16</v>
      </c>
      <c r="D2192" s="1" t="s">
        <v>59</v>
      </c>
      <c r="E2192" s="1" t="s">
        <v>18</v>
      </c>
      <c r="F2192" s="1" t="s">
        <v>153</v>
      </c>
      <c r="G2192" s="1">
        <v>17</v>
      </c>
      <c r="H2192" s="23">
        <v>45147.709108796298</v>
      </c>
      <c r="I2192" s="1" t="b">
        <v>0</v>
      </c>
      <c r="K2192" s="10">
        <f t="shared" si="172"/>
        <v>10.218611111165956</v>
      </c>
      <c r="L2192" s="1" t="str">
        <f t="shared" si="173"/>
        <v>OK</v>
      </c>
      <c r="M2192" s="1">
        <f t="shared" si="170"/>
        <v>1</v>
      </c>
      <c r="N2192" s="1">
        <f t="shared" si="171"/>
        <v>17</v>
      </c>
      <c r="O2192" s="10">
        <f t="shared" si="174"/>
        <v>10.218611111165956</v>
      </c>
    </row>
    <row r="2193" spans="1:15">
      <c r="A2193" s="1" t="s">
        <v>2298</v>
      </c>
      <c r="B2193" s="23">
        <v>45147.341666666667</v>
      </c>
      <c r="C2193" s="1" t="s">
        <v>11</v>
      </c>
      <c r="D2193" s="1" t="s">
        <v>26</v>
      </c>
      <c r="E2193" s="1" t="s">
        <v>33</v>
      </c>
      <c r="F2193" s="1" t="s">
        <v>14</v>
      </c>
      <c r="G2193" s="1">
        <v>505</v>
      </c>
      <c r="H2193" s="23">
        <v>45162.679664351854</v>
      </c>
      <c r="I2193" s="1" t="b">
        <v>0</v>
      </c>
      <c r="K2193" s="10">
        <f t="shared" si="172"/>
        <v>368.11194444447756</v>
      </c>
      <c r="L2193" s="1" t="str">
        <f t="shared" si="173"/>
        <v>OK</v>
      </c>
      <c r="M2193" s="1">
        <f t="shared" si="170"/>
        <v>1</v>
      </c>
      <c r="N2193" s="1">
        <f t="shared" si="171"/>
        <v>505</v>
      </c>
      <c r="O2193" s="10">
        <f t="shared" si="174"/>
        <v>368.11194444447756</v>
      </c>
    </row>
    <row r="2194" spans="1:15">
      <c r="A2194" s="1" t="s">
        <v>2299</v>
      </c>
      <c r="B2194" s="23">
        <v>45147.401388888888</v>
      </c>
      <c r="C2194" s="1" t="s">
        <v>16</v>
      </c>
      <c r="D2194" s="1" t="s">
        <v>21</v>
      </c>
      <c r="E2194" s="1" t="s">
        <v>18</v>
      </c>
      <c r="F2194" s="1" t="s">
        <v>234</v>
      </c>
      <c r="G2194" s="1">
        <v>25</v>
      </c>
      <c r="H2194" s="23">
        <v>45148.964722222219</v>
      </c>
      <c r="I2194" s="1" t="b">
        <v>0</v>
      </c>
      <c r="K2194" s="10">
        <f t="shared" si="172"/>
        <v>37.519999999960419</v>
      </c>
      <c r="L2194" s="1" t="str">
        <f t="shared" si="173"/>
        <v>OK</v>
      </c>
      <c r="M2194" s="1">
        <f t="shared" si="170"/>
        <v>1</v>
      </c>
      <c r="N2194" s="1">
        <f t="shared" si="171"/>
        <v>25</v>
      </c>
      <c r="O2194" s="10">
        <f t="shared" si="174"/>
        <v>37.519999999960419</v>
      </c>
    </row>
    <row r="2195" spans="1:15">
      <c r="A2195" s="1" t="s">
        <v>2300</v>
      </c>
      <c r="B2195" s="23">
        <v>45147.612500000003</v>
      </c>
      <c r="C2195" s="1" t="s">
        <v>25</v>
      </c>
      <c r="D2195" s="1" t="s">
        <v>17</v>
      </c>
      <c r="E2195" s="1" t="s">
        <v>18</v>
      </c>
      <c r="F2195" s="1" t="s">
        <v>148</v>
      </c>
      <c r="G2195" s="1">
        <v>79</v>
      </c>
      <c r="H2195" s="23">
        <v>45148.783310185187</v>
      </c>
      <c r="I2195" s="1" t="b">
        <v>0</v>
      </c>
      <c r="K2195" s="10">
        <f t="shared" si="172"/>
        <v>28.099444444407709</v>
      </c>
      <c r="L2195" s="1" t="str">
        <f t="shared" si="173"/>
        <v>OK</v>
      </c>
      <c r="M2195" s="1">
        <f t="shared" si="170"/>
        <v>1</v>
      </c>
      <c r="N2195" s="1">
        <f t="shared" si="171"/>
        <v>79</v>
      </c>
      <c r="O2195" s="10">
        <f t="shared" si="174"/>
        <v>28.099444444407709</v>
      </c>
    </row>
    <row r="2196" spans="1:15">
      <c r="A2196" s="1" t="s">
        <v>2301</v>
      </c>
      <c r="B2196" s="23">
        <v>45147.618750000001</v>
      </c>
      <c r="C2196" s="1" t="s">
        <v>16</v>
      </c>
      <c r="D2196" s="1" t="s">
        <v>59</v>
      </c>
      <c r="E2196" s="1" t="s">
        <v>22</v>
      </c>
      <c r="F2196" s="1" t="s">
        <v>66</v>
      </c>
      <c r="G2196" s="1">
        <v>10</v>
      </c>
      <c r="H2196" s="23">
        <v>45147.70045138889</v>
      </c>
      <c r="I2196" s="1" t="b">
        <v>0</v>
      </c>
      <c r="J2196" s="1">
        <v>5</v>
      </c>
      <c r="K2196" s="10">
        <f t="shared" si="172"/>
        <v>1.9608333333162591</v>
      </c>
      <c r="L2196" s="1" t="str">
        <f t="shared" si="173"/>
        <v>OK</v>
      </c>
      <c r="M2196" s="1">
        <f t="shared" si="170"/>
        <v>1</v>
      </c>
      <c r="N2196" s="1">
        <f t="shared" si="171"/>
        <v>10</v>
      </c>
      <c r="O2196" s="10">
        <f t="shared" si="174"/>
        <v>1.9608333333162591</v>
      </c>
    </row>
    <row r="2197" spans="1:15">
      <c r="A2197" s="1" t="s">
        <v>2302</v>
      </c>
      <c r="B2197" s="23">
        <v>45147.620138888888</v>
      </c>
      <c r="C2197" s="1" t="s">
        <v>25</v>
      </c>
      <c r="D2197" s="1" t="s">
        <v>59</v>
      </c>
      <c r="E2197" s="1" t="s">
        <v>18</v>
      </c>
      <c r="F2197" s="1" t="s">
        <v>201</v>
      </c>
      <c r="G2197" s="1">
        <v>413</v>
      </c>
      <c r="H2197" s="23">
        <v>45154.299826388888</v>
      </c>
      <c r="I2197" s="1" t="b">
        <v>0</v>
      </c>
      <c r="J2197" s="1">
        <v>3</v>
      </c>
      <c r="K2197" s="10">
        <f t="shared" si="172"/>
        <v>160.3125</v>
      </c>
      <c r="L2197" s="1" t="str">
        <f t="shared" si="173"/>
        <v>OK</v>
      </c>
      <c r="M2197" s="1">
        <f t="shared" si="170"/>
        <v>1</v>
      </c>
      <c r="N2197" s="1">
        <f t="shared" si="171"/>
        <v>413</v>
      </c>
      <c r="O2197" s="10">
        <f t="shared" si="174"/>
        <v>160.3125</v>
      </c>
    </row>
    <row r="2198" spans="1:15">
      <c r="A2198" s="1" t="s">
        <v>2303</v>
      </c>
      <c r="B2198" s="23">
        <v>45147.700694444444</v>
      </c>
      <c r="C2198" s="1" t="s">
        <v>16</v>
      </c>
      <c r="D2198" s="1" t="s">
        <v>26</v>
      </c>
      <c r="E2198" s="1" t="s">
        <v>13</v>
      </c>
      <c r="F2198" s="1" t="s">
        <v>130</v>
      </c>
      <c r="G2198" s="1">
        <v>138</v>
      </c>
      <c r="H2198" s="23">
        <v>45148.217997685184</v>
      </c>
      <c r="I2198" s="1" t="b">
        <v>0</v>
      </c>
      <c r="J2198" s="1">
        <v>5</v>
      </c>
      <c r="K2198" s="10">
        <f t="shared" si="172"/>
        <v>12.415277777763549</v>
      </c>
      <c r="L2198" s="1" t="str">
        <f t="shared" si="173"/>
        <v>OK</v>
      </c>
      <c r="M2198" s="1">
        <f t="shared" si="170"/>
        <v>1</v>
      </c>
      <c r="N2198" s="1">
        <f t="shared" si="171"/>
        <v>138</v>
      </c>
      <c r="O2198" s="10">
        <f t="shared" si="174"/>
        <v>12.415277777763549</v>
      </c>
    </row>
    <row r="2199" spans="1:15">
      <c r="A2199" s="1" t="s">
        <v>2304</v>
      </c>
      <c r="B2199" s="23">
        <v>45147.746527777781</v>
      </c>
      <c r="C2199" s="1" t="s">
        <v>16</v>
      </c>
      <c r="D2199" s="1" t="s">
        <v>17</v>
      </c>
      <c r="E2199" s="1" t="s">
        <v>18</v>
      </c>
      <c r="F2199" s="1" t="s">
        <v>27</v>
      </c>
      <c r="G2199" s="1">
        <v>156</v>
      </c>
      <c r="I2199" s="1" t="b">
        <v>0</v>
      </c>
      <c r="K2199" s="10" t="str">
        <f t="shared" si="172"/>
        <v/>
      </c>
      <c r="L2199" s="1" t="str">
        <f t="shared" si="173"/>
        <v>Cannot check</v>
      </c>
      <c r="M2199" s="1">
        <f t="shared" si="170"/>
        <v>1</v>
      </c>
      <c r="N2199" s="1">
        <f t="shared" si="171"/>
        <v>156</v>
      </c>
      <c r="O2199" s="10" t="str">
        <f t="shared" si="174"/>
        <v/>
      </c>
    </row>
    <row r="2200" spans="1:15">
      <c r="A2200" s="1" t="s">
        <v>2305</v>
      </c>
      <c r="B2200" s="23">
        <v>45147.747916666667</v>
      </c>
      <c r="C2200" s="1" t="s">
        <v>43</v>
      </c>
      <c r="D2200" s="1" t="s">
        <v>17</v>
      </c>
      <c r="E2200" s="1" t="s">
        <v>18</v>
      </c>
      <c r="F2200" s="1" t="s">
        <v>64</v>
      </c>
      <c r="G2200" s="1">
        <v>71</v>
      </c>
      <c r="H2200" s="23">
        <v>45150.594375000001</v>
      </c>
      <c r="I2200" s="1" t="b">
        <v>0</v>
      </c>
      <c r="J2200" s="1">
        <v>5</v>
      </c>
      <c r="K2200" s="10">
        <f t="shared" si="172"/>
        <v>68.315000000002328</v>
      </c>
      <c r="L2200" s="1" t="str">
        <f t="shared" si="173"/>
        <v>OK</v>
      </c>
      <c r="M2200" s="1">
        <f t="shared" si="170"/>
        <v>1</v>
      </c>
      <c r="N2200" s="1">
        <f t="shared" si="171"/>
        <v>71</v>
      </c>
      <c r="O2200" s="10">
        <f t="shared" si="174"/>
        <v>68.315000000002328</v>
      </c>
    </row>
    <row r="2201" spans="1:15">
      <c r="A2201" s="1" t="s">
        <v>2306</v>
      </c>
      <c r="B2201" s="23">
        <v>45147.944444444445</v>
      </c>
      <c r="C2201" s="1" t="s">
        <v>16</v>
      </c>
      <c r="D2201" s="1" t="s">
        <v>26</v>
      </c>
      <c r="E2201" s="1" t="s">
        <v>33</v>
      </c>
      <c r="F2201" s="1" t="s">
        <v>31</v>
      </c>
      <c r="G2201" s="1">
        <v>120</v>
      </c>
      <c r="H2201" s="23">
        <v>45152.77915509259</v>
      </c>
      <c r="I2201" s="1" t="b">
        <v>0</v>
      </c>
      <c r="K2201" s="10">
        <f t="shared" si="172"/>
        <v>116.03305555548286</v>
      </c>
      <c r="L2201" s="1" t="str">
        <f t="shared" si="173"/>
        <v>OK</v>
      </c>
      <c r="M2201" s="1">
        <f t="shared" si="170"/>
        <v>1</v>
      </c>
      <c r="N2201" s="1">
        <f t="shared" si="171"/>
        <v>120</v>
      </c>
      <c r="O2201" s="10">
        <f t="shared" si="174"/>
        <v>116.03305555548286</v>
      </c>
    </row>
    <row r="2202" spans="1:15">
      <c r="A2202" s="1" t="s">
        <v>2307</v>
      </c>
      <c r="B2202" s="23">
        <v>45147.962500000001</v>
      </c>
      <c r="C2202" s="1" t="s">
        <v>43</v>
      </c>
      <c r="D2202" s="1" t="s">
        <v>26</v>
      </c>
      <c r="E2202" s="1" t="s">
        <v>18</v>
      </c>
      <c r="F2202" s="1" t="s">
        <v>317</v>
      </c>
      <c r="G2202" s="1">
        <v>73</v>
      </c>
      <c r="H2202" s="23">
        <v>45149.028761574074</v>
      </c>
      <c r="I2202" s="1" t="b">
        <v>0</v>
      </c>
      <c r="J2202" s="1">
        <v>4</v>
      </c>
      <c r="K2202" s="10">
        <f t="shared" si="172"/>
        <v>25.590277777751908</v>
      </c>
      <c r="L2202" s="1" t="str">
        <f t="shared" si="173"/>
        <v>OK</v>
      </c>
      <c r="M2202" s="1">
        <f t="shared" si="170"/>
        <v>1</v>
      </c>
      <c r="N2202" s="1">
        <f t="shared" si="171"/>
        <v>73</v>
      </c>
      <c r="O2202" s="10">
        <f t="shared" si="174"/>
        <v>25.590277777751908</v>
      </c>
    </row>
    <row r="2203" spans="1:15">
      <c r="A2203" s="1" t="s">
        <v>2308</v>
      </c>
      <c r="B2203" s="23">
        <v>45148.067361111112</v>
      </c>
      <c r="C2203" s="1" t="s">
        <v>16</v>
      </c>
      <c r="D2203" s="1" t="s">
        <v>17</v>
      </c>
      <c r="E2203" s="1" t="s">
        <v>13</v>
      </c>
      <c r="F2203" s="1" t="s">
        <v>48</v>
      </c>
      <c r="G2203" s="1">
        <v>58</v>
      </c>
      <c r="H2203" s="23">
        <v>45148.654513888891</v>
      </c>
      <c r="I2203" s="1" t="b">
        <v>1</v>
      </c>
      <c r="K2203" s="10">
        <f t="shared" si="172"/>
        <v>14.091666666674428</v>
      </c>
      <c r="L2203" s="1" t="str">
        <f t="shared" si="173"/>
        <v>OK</v>
      </c>
      <c r="M2203" s="1">
        <f t="shared" si="170"/>
        <v>1</v>
      </c>
      <c r="N2203" s="1">
        <f t="shared" si="171"/>
        <v>58</v>
      </c>
      <c r="O2203" s="10">
        <f t="shared" si="174"/>
        <v>14.091666666674428</v>
      </c>
    </row>
    <row r="2204" spans="1:15">
      <c r="A2204" s="1" t="s">
        <v>2309</v>
      </c>
      <c r="B2204" s="23">
        <v>45148.094444444447</v>
      </c>
      <c r="C2204" s="1" t="s">
        <v>43</v>
      </c>
      <c r="D2204" s="1" t="s">
        <v>17</v>
      </c>
      <c r="E2204" s="1" t="s">
        <v>13</v>
      </c>
      <c r="F2204" s="1" t="s">
        <v>29</v>
      </c>
      <c r="G2204" s="1">
        <v>12</v>
      </c>
      <c r="H2204" s="23">
        <v>45149.051134259258</v>
      </c>
      <c r="I2204" s="1" t="b">
        <v>0</v>
      </c>
      <c r="K2204" s="10">
        <f t="shared" si="172"/>
        <v>22.960555555473547</v>
      </c>
      <c r="L2204" s="1" t="str">
        <f t="shared" si="173"/>
        <v>OK</v>
      </c>
      <c r="M2204" s="1">
        <f t="shared" si="170"/>
        <v>1</v>
      </c>
      <c r="N2204" s="1">
        <f t="shared" si="171"/>
        <v>12</v>
      </c>
      <c r="O2204" s="10">
        <f t="shared" si="174"/>
        <v>22.960555555473547</v>
      </c>
    </row>
    <row r="2205" spans="1:15">
      <c r="A2205" s="1" t="s">
        <v>2310</v>
      </c>
      <c r="B2205" s="23">
        <v>45148.216666666667</v>
      </c>
      <c r="C2205" s="1" t="s">
        <v>25</v>
      </c>
      <c r="D2205" s="1" t="s">
        <v>17</v>
      </c>
      <c r="E2205" s="1" t="s">
        <v>18</v>
      </c>
      <c r="F2205" s="1" t="s">
        <v>84</v>
      </c>
      <c r="G2205" s="1">
        <v>851</v>
      </c>
      <c r="H2205" s="23">
        <v>45153.650497685187</v>
      </c>
      <c r="I2205" s="1" t="b">
        <v>1</v>
      </c>
      <c r="J2205" s="1">
        <v>5</v>
      </c>
      <c r="K2205" s="10">
        <f t="shared" si="172"/>
        <v>130.41194444446592</v>
      </c>
      <c r="L2205" s="1" t="str">
        <f t="shared" si="173"/>
        <v>OK</v>
      </c>
      <c r="M2205" s="1">
        <f t="shared" si="170"/>
        <v>1</v>
      </c>
      <c r="N2205" s="1">
        <f t="shared" si="171"/>
        <v>851</v>
      </c>
      <c r="O2205" s="10">
        <f t="shared" si="174"/>
        <v>130.41194444446592</v>
      </c>
    </row>
    <row r="2206" spans="1:15">
      <c r="A2206" s="1" t="s">
        <v>2311</v>
      </c>
      <c r="B2206" s="23">
        <v>45148.227777777778</v>
      </c>
      <c r="C2206" s="1" t="s">
        <v>11</v>
      </c>
      <c r="D2206" s="1" t="s">
        <v>17</v>
      </c>
      <c r="E2206" s="1" t="s">
        <v>18</v>
      </c>
      <c r="F2206" s="1" t="s">
        <v>254</v>
      </c>
      <c r="G2206" s="1">
        <v>272</v>
      </c>
      <c r="H2206" s="23">
        <v>45148.970104166663</v>
      </c>
      <c r="I2206" s="1" t="b">
        <v>0</v>
      </c>
      <c r="K2206" s="10">
        <f t="shared" si="172"/>
        <v>17.815833333239425</v>
      </c>
      <c r="L2206" s="1" t="str">
        <f t="shared" si="173"/>
        <v>OK</v>
      </c>
      <c r="M2206" s="1">
        <f t="shared" si="170"/>
        <v>1</v>
      </c>
      <c r="N2206" s="1">
        <f t="shared" si="171"/>
        <v>272</v>
      </c>
      <c r="O2206" s="10">
        <f t="shared" si="174"/>
        <v>17.815833333239425</v>
      </c>
    </row>
    <row r="2207" spans="1:15">
      <c r="A2207" s="1" t="s">
        <v>2312</v>
      </c>
      <c r="B2207" s="23">
        <v>45148.293749999997</v>
      </c>
      <c r="C2207" s="1" t="s">
        <v>43</v>
      </c>
      <c r="D2207" s="1" t="s">
        <v>21</v>
      </c>
      <c r="E2207" s="1" t="s">
        <v>33</v>
      </c>
      <c r="F2207" s="1" t="s">
        <v>145</v>
      </c>
      <c r="G2207" s="1">
        <v>872</v>
      </c>
      <c r="H2207" s="23">
        <v>45148.589062500003</v>
      </c>
      <c r="I2207" s="1" t="b">
        <v>0</v>
      </c>
      <c r="K2207" s="10">
        <f t="shared" si="172"/>
        <v>7.0875000001396984</v>
      </c>
      <c r="L2207" s="1" t="str">
        <f t="shared" si="173"/>
        <v>Review</v>
      </c>
      <c r="M2207" s="1">
        <f t="shared" si="170"/>
        <v>1</v>
      </c>
      <c r="N2207" s="1" t="str">
        <f t="shared" si="171"/>
        <v/>
      </c>
      <c r="O2207" s="10" t="str">
        <f t="shared" si="174"/>
        <v/>
      </c>
    </row>
    <row r="2208" spans="1:15">
      <c r="A2208" s="1" t="s">
        <v>2313</v>
      </c>
      <c r="B2208" s="23">
        <v>45148.790277777778</v>
      </c>
      <c r="C2208" s="1" t="s">
        <v>25</v>
      </c>
      <c r="D2208" s="1" t="s">
        <v>26</v>
      </c>
      <c r="E2208" s="1" t="s">
        <v>18</v>
      </c>
      <c r="F2208" s="1" t="s">
        <v>50</v>
      </c>
      <c r="G2208" s="1">
        <v>250</v>
      </c>
      <c r="H2208" s="23">
        <v>45159.121747685182</v>
      </c>
      <c r="I2208" s="1" t="b">
        <v>0</v>
      </c>
      <c r="K2208" s="10">
        <f t="shared" si="172"/>
        <v>247.95527777768439</v>
      </c>
      <c r="L2208" s="1" t="str">
        <f t="shared" si="173"/>
        <v>OK</v>
      </c>
      <c r="M2208" s="1">
        <f t="shared" si="170"/>
        <v>1</v>
      </c>
      <c r="N2208" s="1">
        <f t="shared" si="171"/>
        <v>250</v>
      </c>
      <c r="O2208" s="10">
        <f t="shared" si="174"/>
        <v>247.95527777768439</v>
      </c>
    </row>
    <row r="2209" spans="1:15">
      <c r="A2209" s="1" t="s">
        <v>2314</v>
      </c>
      <c r="B2209" s="23">
        <v>45148.791666666664</v>
      </c>
      <c r="C2209" s="1" t="s">
        <v>11</v>
      </c>
      <c r="D2209" s="1" t="s">
        <v>21</v>
      </c>
      <c r="E2209" s="1" t="s">
        <v>33</v>
      </c>
      <c r="F2209" s="1" t="s">
        <v>48</v>
      </c>
      <c r="G2209" s="1">
        <v>83</v>
      </c>
      <c r="H2209" s="23">
        <v>45149.060879629629</v>
      </c>
      <c r="I2209" s="1" t="b">
        <v>0</v>
      </c>
      <c r="J2209" s="1">
        <v>4</v>
      </c>
      <c r="K2209" s="10">
        <f t="shared" si="172"/>
        <v>6.4611111111589707</v>
      </c>
      <c r="L2209" s="1" t="str">
        <f t="shared" si="173"/>
        <v>OK</v>
      </c>
      <c r="M2209" s="1">
        <f t="shared" si="170"/>
        <v>1</v>
      </c>
      <c r="N2209" s="1">
        <f t="shared" si="171"/>
        <v>83</v>
      </c>
      <c r="O2209" s="10">
        <f t="shared" si="174"/>
        <v>6.4611111111589707</v>
      </c>
    </row>
    <row r="2210" spans="1:15">
      <c r="A2210" s="1" t="s">
        <v>2315</v>
      </c>
      <c r="B2210" s="23">
        <v>45148.845833333333</v>
      </c>
      <c r="C2210" s="1" t="s">
        <v>43</v>
      </c>
      <c r="D2210" s="1" t="s">
        <v>21</v>
      </c>
      <c r="E2210" s="1" t="s">
        <v>18</v>
      </c>
      <c r="F2210" s="1" t="s">
        <v>46</v>
      </c>
      <c r="G2210" s="1">
        <v>107</v>
      </c>
      <c r="H2210" s="23">
        <v>45156.34275462963</v>
      </c>
      <c r="I2210" s="1" t="b">
        <v>0</v>
      </c>
      <c r="J2210" s="1">
        <v>5</v>
      </c>
      <c r="K2210" s="10">
        <f t="shared" si="172"/>
        <v>179.92611111112637</v>
      </c>
      <c r="L2210" s="1" t="str">
        <f t="shared" si="173"/>
        <v>OK</v>
      </c>
      <c r="M2210" s="1">
        <f t="shared" si="170"/>
        <v>1</v>
      </c>
      <c r="N2210" s="1">
        <f t="shared" si="171"/>
        <v>107</v>
      </c>
      <c r="O2210" s="10">
        <f t="shared" si="174"/>
        <v>179.92611111112637</v>
      </c>
    </row>
    <row r="2211" spans="1:15">
      <c r="A2211" s="1" t="s">
        <v>2316</v>
      </c>
      <c r="B2211" s="23">
        <v>45149.069444444445</v>
      </c>
      <c r="C2211" s="1" t="s">
        <v>25</v>
      </c>
      <c r="D2211" s="1" t="s">
        <v>17</v>
      </c>
      <c r="E2211" s="1" t="s">
        <v>18</v>
      </c>
      <c r="F2211" s="1" t="s">
        <v>234</v>
      </c>
      <c r="G2211" s="1">
        <v>338</v>
      </c>
      <c r="H2211" s="23">
        <v>45151.242951388886</v>
      </c>
      <c r="I2211" s="1" t="b">
        <v>0</v>
      </c>
      <c r="J2211" s="1">
        <v>2</v>
      </c>
      <c r="K2211" s="10">
        <f t="shared" si="172"/>
        <v>52.164166666567326</v>
      </c>
      <c r="L2211" s="1" t="str">
        <f t="shared" si="173"/>
        <v>OK</v>
      </c>
      <c r="M2211" s="1">
        <f t="shared" si="170"/>
        <v>1</v>
      </c>
      <c r="N2211" s="1">
        <f t="shared" si="171"/>
        <v>338</v>
      </c>
      <c r="O2211" s="10">
        <f t="shared" si="174"/>
        <v>52.164166666567326</v>
      </c>
    </row>
    <row r="2212" spans="1:15">
      <c r="A2212" s="1" t="s">
        <v>2317</v>
      </c>
      <c r="B2212" s="23">
        <v>45149.076388888891</v>
      </c>
      <c r="C2212" s="1" t="s">
        <v>11</v>
      </c>
      <c r="D2212" s="1" t="s">
        <v>17</v>
      </c>
      <c r="E2212" s="1" t="s">
        <v>18</v>
      </c>
      <c r="F2212" s="1" t="s">
        <v>14</v>
      </c>
      <c r="H2212" s="23">
        <v>45152.294652777775</v>
      </c>
      <c r="I2212" s="1" t="b">
        <v>0</v>
      </c>
      <c r="K2212" s="10">
        <f t="shared" si="172"/>
        <v>77.238333333225455</v>
      </c>
      <c r="L2212" s="1" t="str">
        <f t="shared" si="173"/>
        <v>Cannot check</v>
      </c>
      <c r="M2212" s="1">
        <f t="shared" si="170"/>
        <v>1</v>
      </c>
      <c r="N2212" s="1" t="str">
        <f t="shared" si="171"/>
        <v/>
      </c>
      <c r="O2212" s="10">
        <f t="shared" si="174"/>
        <v>77.238333333225455</v>
      </c>
    </row>
    <row r="2213" spans="1:15">
      <c r="A2213" s="1" t="s">
        <v>2318</v>
      </c>
      <c r="B2213" s="23">
        <v>45149.236111111109</v>
      </c>
      <c r="C2213" s="1" t="s">
        <v>16</v>
      </c>
      <c r="D2213" s="1" t="s">
        <v>21</v>
      </c>
      <c r="E2213" s="1" t="s">
        <v>18</v>
      </c>
      <c r="F2213" s="1" t="s">
        <v>54</v>
      </c>
      <c r="G2213" s="1">
        <v>10</v>
      </c>
      <c r="H2213" s="23">
        <v>45149.669270833336</v>
      </c>
      <c r="I2213" s="1" t="b">
        <v>0</v>
      </c>
      <c r="K2213" s="10">
        <f t="shared" si="172"/>
        <v>10.395833333430346</v>
      </c>
      <c r="L2213" s="1" t="str">
        <f t="shared" si="173"/>
        <v>OK</v>
      </c>
      <c r="M2213" s="1">
        <f t="shared" si="170"/>
        <v>1</v>
      </c>
      <c r="N2213" s="1">
        <f t="shared" si="171"/>
        <v>10</v>
      </c>
      <c r="O2213" s="10">
        <f t="shared" si="174"/>
        <v>10.395833333430346</v>
      </c>
    </row>
    <row r="2214" spans="1:15">
      <c r="A2214" s="1" t="s">
        <v>2319</v>
      </c>
      <c r="B2214" s="23">
        <v>45149.291666666664</v>
      </c>
      <c r="C2214" s="1" t="s">
        <v>43</v>
      </c>
      <c r="D2214" s="1" t="s">
        <v>17</v>
      </c>
      <c r="E2214" s="1" t="s">
        <v>22</v>
      </c>
      <c r="F2214" s="1" t="s">
        <v>317</v>
      </c>
      <c r="G2214" s="1">
        <v>10</v>
      </c>
      <c r="H2214" s="23">
        <v>45149.472002314818</v>
      </c>
      <c r="I2214" s="1" t="b">
        <v>1</v>
      </c>
      <c r="K2214" s="10">
        <f t="shared" si="172"/>
        <v>4.3280555556993932</v>
      </c>
      <c r="L2214" s="1" t="str">
        <f t="shared" si="173"/>
        <v>OK</v>
      </c>
      <c r="M2214" s="1">
        <f t="shared" si="170"/>
        <v>1</v>
      </c>
      <c r="N2214" s="1">
        <f t="shared" si="171"/>
        <v>10</v>
      </c>
      <c r="O2214" s="10">
        <f t="shared" si="174"/>
        <v>4.3280555556993932</v>
      </c>
    </row>
    <row r="2215" spans="1:15">
      <c r="A2215" s="1" t="s">
        <v>2320</v>
      </c>
      <c r="B2215" s="23">
        <v>45149.535416666666</v>
      </c>
      <c r="C2215" s="1" t="s">
        <v>11</v>
      </c>
      <c r="D2215" s="1" t="s">
        <v>17</v>
      </c>
      <c r="E2215" s="1" t="s">
        <v>18</v>
      </c>
      <c r="F2215" s="1" t="s">
        <v>88</v>
      </c>
      <c r="G2215" s="1">
        <v>85</v>
      </c>
      <c r="H2215" s="23">
        <v>45151.06894675926</v>
      </c>
      <c r="I2215" s="1" t="b">
        <v>0</v>
      </c>
      <c r="K2215" s="10">
        <f t="shared" si="172"/>
        <v>36.804722222266719</v>
      </c>
      <c r="L2215" s="1" t="str">
        <f t="shared" si="173"/>
        <v>OK</v>
      </c>
      <c r="M2215" s="1">
        <f t="shared" si="170"/>
        <v>1</v>
      </c>
      <c r="N2215" s="1">
        <f t="shared" si="171"/>
        <v>85</v>
      </c>
      <c r="O2215" s="10">
        <f t="shared" si="174"/>
        <v>36.804722222266719</v>
      </c>
    </row>
    <row r="2216" spans="1:15">
      <c r="A2216" s="1" t="s">
        <v>2321</v>
      </c>
      <c r="B2216" s="23">
        <v>45149.552777777775</v>
      </c>
      <c r="C2216" s="1" t="s">
        <v>16</v>
      </c>
      <c r="D2216" s="1" t="s">
        <v>12</v>
      </c>
      <c r="E2216" s="1" t="s">
        <v>18</v>
      </c>
      <c r="F2216" s="1" t="s">
        <v>259</v>
      </c>
      <c r="G2216" s="1">
        <v>83</v>
      </c>
      <c r="H2216" s="23">
        <v>45150.265752314815</v>
      </c>
      <c r="I2216" s="1" t="b">
        <v>0</v>
      </c>
      <c r="K2216" s="10">
        <f t="shared" si="172"/>
        <v>17.111388888966758</v>
      </c>
      <c r="L2216" s="1" t="str">
        <f t="shared" si="173"/>
        <v>OK</v>
      </c>
      <c r="M2216" s="1">
        <f t="shared" si="170"/>
        <v>1</v>
      </c>
      <c r="N2216" s="1">
        <f t="shared" si="171"/>
        <v>83</v>
      </c>
      <c r="O2216" s="10">
        <f t="shared" si="174"/>
        <v>17.111388888966758</v>
      </c>
    </row>
    <row r="2217" spans="1:15">
      <c r="A2217" s="1" t="s">
        <v>2322</v>
      </c>
      <c r="B2217" s="23">
        <v>45149.57708333333</v>
      </c>
      <c r="C2217" s="1" t="s">
        <v>25</v>
      </c>
      <c r="D2217" s="1" t="s">
        <v>17</v>
      </c>
      <c r="E2217" s="1" t="s">
        <v>33</v>
      </c>
      <c r="F2217" s="1" t="s">
        <v>224</v>
      </c>
      <c r="G2217" s="1">
        <v>221</v>
      </c>
      <c r="H2217" s="23">
        <v>45152.395868055559</v>
      </c>
      <c r="I2217" s="1" t="b">
        <v>0</v>
      </c>
      <c r="K2217" s="10">
        <f t="shared" si="172"/>
        <v>67.65083333349321</v>
      </c>
      <c r="L2217" s="1" t="str">
        <f t="shared" si="173"/>
        <v>OK</v>
      </c>
      <c r="M2217" s="1">
        <f t="shared" si="170"/>
        <v>1</v>
      </c>
      <c r="N2217" s="1">
        <f t="shared" si="171"/>
        <v>221</v>
      </c>
      <c r="O2217" s="10">
        <f t="shared" si="174"/>
        <v>67.65083333349321</v>
      </c>
    </row>
    <row r="2218" spans="1:15">
      <c r="A2218" s="1" t="s">
        <v>2323</v>
      </c>
      <c r="B2218" s="23">
        <v>45149.59097222222</v>
      </c>
      <c r="C2218" s="1" t="s">
        <v>16</v>
      </c>
      <c r="D2218" s="1" t="s">
        <v>12</v>
      </c>
      <c r="E2218" s="1" t="s">
        <v>33</v>
      </c>
      <c r="F2218" s="1" t="s">
        <v>90</v>
      </c>
      <c r="G2218" s="1">
        <v>67</v>
      </c>
      <c r="H2218" s="23">
        <v>45151.610995370371</v>
      </c>
      <c r="I2218" s="1" t="b">
        <v>0</v>
      </c>
      <c r="K2218" s="10">
        <f t="shared" si="172"/>
        <v>48.480555555608589</v>
      </c>
      <c r="L2218" s="1" t="str">
        <f t="shared" si="173"/>
        <v>OK</v>
      </c>
      <c r="M2218" s="1">
        <f t="shared" si="170"/>
        <v>1</v>
      </c>
      <c r="N2218" s="1">
        <f t="shared" si="171"/>
        <v>67</v>
      </c>
      <c r="O2218" s="10">
        <f t="shared" si="174"/>
        <v>48.480555555608589</v>
      </c>
    </row>
    <row r="2219" spans="1:15">
      <c r="A2219" s="1" t="s">
        <v>2324</v>
      </c>
      <c r="B2219" s="23">
        <v>45149.760416666664</v>
      </c>
      <c r="C2219" s="1" t="s">
        <v>11</v>
      </c>
      <c r="D2219" s="1" t="s">
        <v>26</v>
      </c>
      <c r="E2219" s="1" t="s">
        <v>22</v>
      </c>
      <c r="F2219" s="1" t="s">
        <v>237</v>
      </c>
      <c r="G2219" s="1">
        <v>25</v>
      </c>
      <c r="H2219" s="23">
        <v>45150.047962962963</v>
      </c>
      <c r="I2219" s="1" t="b">
        <v>0</v>
      </c>
      <c r="K2219" s="10">
        <f t="shared" si="172"/>
        <v>6.901111111161299</v>
      </c>
      <c r="L2219" s="1" t="str">
        <f t="shared" si="173"/>
        <v>OK</v>
      </c>
      <c r="M2219" s="1">
        <f t="shared" si="170"/>
        <v>1</v>
      </c>
      <c r="N2219" s="1">
        <f t="shared" si="171"/>
        <v>25</v>
      </c>
      <c r="O2219" s="10">
        <f t="shared" si="174"/>
        <v>6.901111111161299</v>
      </c>
    </row>
    <row r="2220" spans="1:15">
      <c r="A2220" s="1" t="s">
        <v>2325</v>
      </c>
      <c r="B2220" s="23">
        <v>45149.770138888889</v>
      </c>
      <c r="C2220" s="1" t="s">
        <v>25</v>
      </c>
      <c r="D2220" s="1" t="s">
        <v>21</v>
      </c>
      <c r="E2220" s="1" t="s">
        <v>33</v>
      </c>
      <c r="F2220" s="1" t="s">
        <v>76</v>
      </c>
      <c r="G2220" s="1">
        <v>346</v>
      </c>
      <c r="H2220" s="23">
        <v>45192.715219907404</v>
      </c>
      <c r="I2220" s="1" t="b">
        <v>0</v>
      </c>
      <c r="K2220" s="10">
        <f t="shared" si="172"/>
        <v>1030.6819444443681</v>
      </c>
      <c r="L2220" s="1" t="str">
        <f t="shared" si="173"/>
        <v>OK</v>
      </c>
      <c r="M2220" s="1">
        <f t="shared" si="170"/>
        <v>1</v>
      </c>
      <c r="N2220" s="1">
        <f t="shared" si="171"/>
        <v>346</v>
      </c>
      <c r="O2220" s="10">
        <f t="shared" si="174"/>
        <v>1030.6819444443681</v>
      </c>
    </row>
    <row r="2221" spans="1:15">
      <c r="A2221" s="1" t="s">
        <v>2326</v>
      </c>
      <c r="B2221" s="23">
        <v>45150.25</v>
      </c>
      <c r="C2221" s="1" t="s">
        <v>25</v>
      </c>
      <c r="D2221" s="1" t="s">
        <v>12</v>
      </c>
      <c r="E2221" s="1" t="s">
        <v>33</v>
      </c>
      <c r="F2221" s="1" t="s">
        <v>256</v>
      </c>
      <c r="G2221" s="1">
        <v>42</v>
      </c>
      <c r="H2221" s="23">
        <v>45150.986087962963</v>
      </c>
      <c r="I2221" s="1" t="b">
        <v>0</v>
      </c>
      <c r="K2221" s="10">
        <f t="shared" si="172"/>
        <v>17.666111111117061</v>
      </c>
      <c r="L2221" s="1" t="str">
        <f t="shared" si="173"/>
        <v>OK</v>
      </c>
      <c r="M2221" s="1">
        <f t="shared" si="170"/>
        <v>1</v>
      </c>
      <c r="N2221" s="1">
        <f t="shared" si="171"/>
        <v>42</v>
      </c>
      <c r="O2221" s="10">
        <f t="shared" si="174"/>
        <v>17.666111111117061</v>
      </c>
    </row>
    <row r="2222" spans="1:15">
      <c r="A2222" s="1" t="s">
        <v>2327</v>
      </c>
      <c r="B2222" s="23">
        <v>45150.488194444442</v>
      </c>
      <c r="C2222" s="1" t="s">
        <v>43</v>
      </c>
      <c r="D2222" s="1" t="s">
        <v>21</v>
      </c>
      <c r="E2222" s="1" t="s">
        <v>33</v>
      </c>
      <c r="F2222" s="1" t="s">
        <v>274</v>
      </c>
      <c r="G2222" s="1">
        <v>169</v>
      </c>
      <c r="H2222" s="23">
        <v>45152.899513888886</v>
      </c>
      <c r="I2222" s="1" t="b">
        <v>0</v>
      </c>
      <c r="K2222" s="10">
        <f t="shared" si="172"/>
        <v>57.87166666664416</v>
      </c>
      <c r="L2222" s="1" t="str">
        <f t="shared" si="173"/>
        <v>OK</v>
      </c>
      <c r="M2222" s="1">
        <f t="shared" si="170"/>
        <v>1</v>
      </c>
      <c r="N2222" s="1">
        <f t="shared" si="171"/>
        <v>169</v>
      </c>
      <c r="O2222" s="10">
        <f t="shared" si="174"/>
        <v>57.87166666664416</v>
      </c>
    </row>
    <row r="2223" spans="1:15">
      <c r="A2223" s="1" t="s">
        <v>2328</v>
      </c>
      <c r="B2223" s="23">
        <v>45150.788194444445</v>
      </c>
      <c r="C2223" s="1" t="s">
        <v>16</v>
      </c>
      <c r="D2223" s="1" t="s">
        <v>21</v>
      </c>
      <c r="E2223" s="1" t="s">
        <v>33</v>
      </c>
      <c r="F2223" s="1" t="s">
        <v>186</v>
      </c>
      <c r="G2223" s="1">
        <v>305</v>
      </c>
      <c r="H2223" s="23">
        <v>45152.363935185182</v>
      </c>
      <c r="I2223" s="1" t="b">
        <v>0</v>
      </c>
      <c r="J2223" s="1">
        <v>5</v>
      </c>
      <c r="K2223" s="10">
        <f t="shared" si="172"/>
        <v>37.817777777672745</v>
      </c>
      <c r="L2223" s="1" t="str">
        <f t="shared" si="173"/>
        <v>OK</v>
      </c>
      <c r="M2223" s="1">
        <f t="shared" si="170"/>
        <v>1</v>
      </c>
      <c r="N2223" s="1">
        <f t="shared" si="171"/>
        <v>305</v>
      </c>
      <c r="O2223" s="10">
        <f t="shared" si="174"/>
        <v>37.817777777672745</v>
      </c>
    </row>
    <row r="2224" spans="1:15">
      <c r="A2224" s="1" t="s">
        <v>2329</v>
      </c>
      <c r="B2224" s="23">
        <v>45150.841666666667</v>
      </c>
      <c r="C2224" s="1" t="s">
        <v>11</v>
      </c>
      <c r="D2224" s="1" t="s">
        <v>17</v>
      </c>
      <c r="E2224" s="1" t="s">
        <v>18</v>
      </c>
      <c r="F2224" s="1" t="s">
        <v>116</v>
      </c>
      <c r="G2224" s="1">
        <v>49</v>
      </c>
      <c r="I2224" s="1" t="b">
        <v>0</v>
      </c>
      <c r="K2224" s="10" t="str">
        <f t="shared" si="172"/>
        <v/>
      </c>
      <c r="L2224" s="1" t="str">
        <f t="shared" si="173"/>
        <v>Cannot check</v>
      </c>
      <c r="M2224" s="1">
        <f t="shared" si="170"/>
        <v>1</v>
      </c>
      <c r="N2224" s="1">
        <f t="shared" si="171"/>
        <v>49</v>
      </c>
      <c r="O2224" s="10" t="str">
        <f t="shared" si="174"/>
        <v/>
      </c>
    </row>
    <row r="2225" spans="1:15">
      <c r="A2225" s="1" t="s">
        <v>2330</v>
      </c>
      <c r="B2225" s="23">
        <v>45150.90347222222</v>
      </c>
      <c r="C2225" s="1" t="s">
        <v>25</v>
      </c>
      <c r="D2225" s="1" t="s">
        <v>17</v>
      </c>
      <c r="E2225" s="1" t="s">
        <v>22</v>
      </c>
      <c r="F2225" s="1" t="s">
        <v>186</v>
      </c>
      <c r="G2225" s="1">
        <v>7</v>
      </c>
      <c r="H2225" s="23">
        <v>45151.644074074073</v>
      </c>
      <c r="I2225" s="1" t="b">
        <v>0</v>
      </c>
      <c r="J2225" s="1">
        <v>5</v>
      </c>
      <c r="K2225" s="10">
        <f t="shared" si="172"/>
        <v>17.774444444454275</v>
      </c>
      <c r="L2225" s="1" t="str">
        <f t="shared" si="173"/>
        <v>OK</v>
      </c>
      <c r="M2225" s="1">
        <f t="shared" si="170"/>
        <v>1</v>
      </c>
      <c r="N2225" s="1">
        <f t="shared" si="171"/>
        <v>7</v>
      </c>
      <c r="O2225" s="10">
        <f t="shared" si="174"/>
        <v>17.774444444454275</v>
      </c>
    </row>
    <row r="2226" spans="1:15">
      <c r="A2226" s="1" t="s">
        <v>2331</v>
      </c>
      <c r="B2226" s="23">
        <v>45150.933333333334</v>
      </c>
      <c r="C2226" s="1" t="s">
        <v>25</v>
      </c>
      <c r="D2226" s="1" t="s">
        <v>21</v>
      </c>
      <c r="E2226" s="1" t="s">
        <v>18</v>
      </c>
      <c r="F2226" s="1" t="s">
        <v>245</v>
      </c>
      <c r="G2226" s="1">
        <v>53</v>
      </c>
      <c r="H2226" s="23">
        <v>45151.062939814816</v>
      </c>
      <c r="I2226" s="1" t="b">
        <v>0</v>
      </c>
      <c r="K2226" s="10">
        <f t="shared" si="172"/>
        <v>3.1105555555550382</v>
      </c>
      <c r="L2226" s="1" t="str">
        <f t="shared" si="173"/>
        <v>OK</v>
      </c>
      <c r="M2226" s="1">
        <f t="shared" si="170"/>
        <v>1</v>
      </c>
      <c r="N2226" s="1">
        <f t="shared" si="171"/>
        <v>53</v>
      </c>
      <c r="O2226" s="10">
        <f t="shared" si="174"/>
        <v>3.1105555555550382</v>
      </c>
    </row>
    <row r="2227" spans="1:15">
      <c r="A2227" s="1" t="s">
        <v>2332</v>
      </c>
      <c r="B2227" s="23">
        <v>45151.027083333334</v>
      </c>
      <c r="C2227" s="1" t="s">
        <v>25</v>
      </c>
      <c r="D2227" s="1" t="s">
        <v>26</v>
      </c>
      <c r="E2227" s="1" t="s">
        <v>13</v>
      </c>
      <c r="F2227" s="1" t="s">
        <v>46</v>
      </c>
      <c r="G2227" s="1">
        <v>48</v>
      </c>
      <c r="H2227" s="23">
        <v>45151.787673611114</v>
      </c>
      <c r="I2227" s="1" t="b">
        <v>0</v>
      </c>
      <c r="K2227" s="10">
        <f t="shared" si="172"/>
        <v>18.254166666709352</v>
      </c>
      <c r="L2227" s="1" t="str">
        <f t="shared" si="173"/>
        <v>OK</v>
      </c>
      <c r="M2227" s="1">
        <f t="shared" si="170"/>
        <v>1</v>
      </c>
      <c r="N2227" s="1">
        <f t="shared" si="171"/>
        <v>48</v>
      </c>
      <c r="O2227" s="10">
        <f t="shared" si="174"/>
        <v>18.254166666709352</v>
      </c>
    </row>
    <row r="2228" spans="1:15">
      <c r="A2228" s="1" t="s">
        <v>2333</v>
      </c>
      <c r="B2228" s="23">
        <v>45151.229861111111</v>
      </c>
      <c r="C2228" s="1" t="s">
        <v>11</v>
      </c>
      <c r="D2228" s="1" t="s">
        <v>12</v>
      </c>
      <c r="E2228" s="1" t="s">
        <v>18</v>
      </c>
      <c r="F2228" s="1" t="s">
        <v>39</v>
      </c>
      <c r="G2228" s="1">
        <v>11</v>
      </c>
      <c r="H2228" s="23">
        <v>45151.828784722224</v>
      </c>
      <c r="I2228" s="1" t="b">
        <v>0</v>
      </c>
      <c r="J2228" s="1">
        <v>4</v>
      </c>
      <c r="K2228" s="10">
        <f t="shared" si="172"/>
        <v>14.374166666704696</v>
      </c>
      <c r="L2228" s="1" t="str">
        <f t="shared" si="173"/>
        <v>OK</v>
      </c>
      <c r="M2228" s="1">
        <f t="shared" si="170"/>
        <v>1</v>
      </c>
      <c r="N2228" s="1">
        <f t="shared" si="171"/>
        <v>11</v>
      </c>
      <c r="O2228" s="10">
        <f t="shared" si="174"/>
        <v>14.374166666704696</v>
      </c>
    </row>
    <row r="2229" spans="1:15">
      <c r="A2229" s="1" t="s">
        <v>2334</v>
      </c>
      <c r="B2229" s="23">
        <v>45151.248611111114</v>
      </c>
      <c r="C2229" s="1" t="s">
        <v>25</v>
      </c>
      <c r="D2229" s="1" t="s">
        <v>12</v>
      </c>
      <c r="E2229" s="1" t="s">
        <v>18</v>
      </c>
      <c r="F2229" s="1" t="s">
        <v>74</v>
      </c>
      <c r="G2229" s="1">
        <v>206</v>
      </c>
      <c r="H2229" s="23">
        <v>45151.961111111108</v>
      </c>
      <c r="I2229" s="1" t="b">
        <v>0</v>
      </c>
      <c r="K2229" s="10">
        <f t="shared" si="172"/>
        <v>17.099999999860302</v>
      </c>
      <c r="L2229" s="1" t="str">
        <f t="shared" si="173"/>
        <v>OK</v>
      </c>
      <c r="M2229" s="1">
        <f t="shared" si="170"/>
        <v>1</v>
      </c>
      <c r="N2229" s="1">
        <f t="shared" si="171"/>
        <v>206</v>
      </c>
      <c r="O2229" s="10">
        <f t="shared" si="174"/>
        <v>17.099999999860302</v>
      </c>
    </row>
    <row r="2230" spans="1:15">
      <c r="A2230" s="1" t="s">
        <v>2335</v>
      </c>
      <c r="B2230" s="23">
        <v>45151.293749999997</v>
      </c>
      <c r="C2230" s="1" t="s">
        <v>25</v>
      </c>
      <c r="D2230" s="1" t="s">
        <v>59</v>
      </c>
      <c r="E2230" s="1" t="s">
        <v>18</v>
      </c>
      <c r="F2230" s="1" t="s">
        <v>120</v>
      </c>
      <c r="G2230" s="1">
        <v>91</v>
      </c>
      <c r="H2230" s="23">
        <v>45153.185127314813</v>
      </c>
      <c r="I2230" s="1" t="b">
        <v>0</v>
      </c>
      <c r="J2230" s="1">
        <v>4</v>
      </c>
      <c r="K2230" s="10">
        <f t="shared" si="172"/>
        <v>45.393055555585306</v>
      </c>
      <c r="L2230" s="1" t="str">
        <f t="shared" si="173"/>
        <v>OK</v>
      </c>
      <c r="M2230" s="1">
        <f t="shared" si="170"/>
        <v>1</v>
      </c>
      <c r="N2230" s="1">
        <f t="shared" si="171"/>
        <v>91</v>
      </c>
      <c r="O2230" s="10">
        <f t="shared" si="174"/>
        <v>45.393055555585306</v>
      </c>
    </row>
    <row r="2231" spans="1:15">
      <c r="A2231" s="1" t="s">
        <v>2336</v>
      </c>
      <c r="B2231" s="23">
        <v>45151.359722222223</v>
      </c>
      <c r="C2231" s="1" t="s">
        <v>11</v>
      </c>
      <c r="D2231" s="1" t="s">
        <v>26</v>
      </c>
      <c r="E2231" s="1" t="s">
        <v>18</v>
      </c>
      <c r="F2231" s="1" t="s">
        <v>226</v>
      </c>
      <c r="G2231" s="1">
        <v>321</v>
      </c>
      <c r="H2231" s="23">
        <v>45152.416412037041</v>
      </c>
      <c r="I2231" s="1" t="b">
        <v>0</v>
      </c>
      <c r="K2231" s="10">
        <f t="shared" si="172"/>
        <v>25.360555555613246</v>
      </c>
      <c r="L2231" s="1" t="str">
        <f t="shared" si="173"/>
        <v>OK</v>
      </c>
      <c r="M2231" s="1">
        <f t="shared" si="170"/>
        <v>1</v>
      </c>
      <c r="N2231" s="1">
        <f t="shared" si="171"/>
        <v>321</v>
      </c>
      <c r="O2231" s="10">
        <f t="shared" si="174"/>
        <v>25.360555555613246</v>
      </c>
    </row>
    <row r="2232" spans="1:15">
      <c r="A2232" s="1" t="s">
        <v>2337</v>
      </c>
      <c r="B2232" s="23">
        <v>45151.54583333333</v>
      </c>
      <c r="C2232" s="1" t="s">
        <v>16</v>
      </c>
      <c r="D2232" s="1" t="s">
        <v>12</v>
      </c>
      <c r="E2232" s="1" t="s">
        <v>33</v>
      </c>
      <c r="F2232" s="1" t="s">
        <v>108</v>
      </c>
      <c r="G2232" s="1">
        <v>404</v>
      </c>
      <c r="I2232" s="1" t="b">
        <v>0</v>
      </c>
      <c r="K2232" s="10" t="str">
        <f t="shared" si="172"/>
        <v/>
      </c>
      <c r="L2232" s="1" t="str">
        <f t="shared" si="173"/>
        <v>Cannot check</v>
      </c>
      <c r="M2232" s="1">
        <f t="shared" si="170"/>
        <v>1</v>
      </c>
      <c r="N2232" s="1">
        <f t="shared" si="171"/>
        <v>404</v>
      </c>
      <c r="O2232" s="10" t="str">
        <f t="shared" si="174"/>
        <v/>
      </c>
    </row>
    <row r="2233" spans="1:15">
      <c r="A2233" s="1" t="s">
        <v>2338</v>
      </c>
      <c r="B2233" s="23">
        <v>45151.709722222222</v>
      </c>
      <c r="C2233" s="1" t="s">
        <v>11</v>
      </c>
      <c r="D2233" s="1" t="s">
        <v>17</v>
      </c>
      <c r="E2233" s="1" t="s">
        <v>18</v>
      </c>
      <c r="F2233" s="1" t="s">
        <v>175</v>
      </c>
      <c r="G2233" s="1">
        <v>53</v>
      </c>
      <c r="H2233" s="23">
        <v>45152.638136574074</v>
      </c>
      <c r="I2233" s="1" t="b">
        <v>0</v>
      </c>
      <c r="K2233" s="10">
        <f t="shared" si="172"/>
        <v>22.28194444446126</v>
      </c>
      <c r="L2233" s="1" t="str">
        <f t="shared" si="173"/>
        <v>OK</v>
      </c>
      <c r="M2233" s="1">
        <f t="shared" si="170"/>
        <v>1</v>
      </c>
      <c r="N2233" s="1">
        <f t="shared" si="171"/>
        <v>53</v>
      </c>
      <c r="O2233" s="10">
        <f t="shared" si="174"/>
        <v>22.28194444446126</v>
      </c>
    </row>
    <row r="2234" spans="1:15">
      <c r="A2234" s="1" t="s">
        <v>2339</v>
      </c>
      <c r="B2234" s="23">
        <v>45151.888888888891</v>
      </c>
      <c r="C2234" s="1" t="s">
        <v>25</v>
      </c>
      <c r="D2234" s="1" t="s">
        <v>17</v>
      </c>
      <c r="E2234" s="1" t="s">
        <v>18</v>
      </c>
      <c r="F2234" s="1" t="s">
        <v>237</v>
      </c>
      <c r="G2234" s="1">
        <v>843</v>
      </c>
      <c r="H2234" s="23">
        <v>45154.220960648148</v>
      </c>
      <c r="I2234" s="1" t="b">
        <v>1</v>
      </c>
      <c r="K2234" s="10">
        <f t="shared" si="172"/>
        <v>55.969722222187556</v>
      </c>
      <c r="L2234" s="1" t="str">
        <f t="shared" si="173"/>
        <v>OK</v>
      </c>
      <c r="M2234" s="1">
        <f t="shared" si="170"/>
        <v>1</v>
      </c>
      <c r="N2234" s="1">
        <f t="shared" si="171"/>
        <v>843</v>
      </c>
      <c r="O2234" s="10">
        <f t="shared" si="174"/>
        <v>55.969722222187556</v>
      </c>
    </row>
    <row r="2235" spans="1:15">
      <c r="A2235" s="1" t="s">
        <v>2340</v>
      </c>
      <c r="B2235" s="23">
        <v>45151.944444444445</v>
      </c>
      <c r="C2235" s="1" t="s">
        <v>16</v>
      </c>
      <c r="D2235" s="1" t="s">
        <v>17</v>
      </c>
      <c r="E2235" s="1" t="s">
        <v>13</v>
      </c>
      <c r="F2235" s="1" t="s">
        <v>50</v>
      </c>
      <c r="H2235" s="23">
        <v>45153.486516203702</v>
      </c>
      <c r="I2235" s="1" t="b">
        <v>0</v>
      </c>
      <c r="K2235" s="10">
        <f t="shared" si="172"/>
        <v>37.009722222166602</v>
      </c>
      <c r="L2235" s="1" t="str">
        <f t="shared" si="173"/>
        <v>Cannot check</v>
      </c>
      <c r="M2235" s="1">
        <f t="shared" si="170"/>
        <v>1</v>
      </c>
      <c r="N2235" s="1" t="str">
        <f t="shared" si="171"/>
        <v/>
      </c>
      <c r="O2235" s="10">
        <f t="shared" si="174"/>
        <v>37.009722222166602</v>
      </c>
    </row>
    <row r="2236" spans="1:15">
      <c r="A2236" s="1" t="s">
        <v>2341</v>
      </c>
      <c r="B2236" s="23">
        <v>45152.068749999999</v>
      </c>
      <c r="C2236" s="1" t="s">
        <v>11</v>
      </c>
      <c r="D2236" s="1" t="s">
        <v>17</v>
      </c>
      <c r="E2236" s="1" t="s">
        <v>13</v>
      </c>
      <c r="F2236" s="1" t="s">
        <v>100</v>
      </c>
      <c r="G2236" s="1">
        <v>53</v>
      </c>
      <c r="H2236" s="23">
        <v>45152.606157407405</v>
      </c>
      <c r="I2236" s="1" t="b">
        <v>0</v>
      </c>
      <c r="K2236" s="10">
        <f t="shared" si="172"/>
        <v>12.897777777747251</v>
      </c>
      <c r="L2236" s="1" t="str">
        <f t="shared" si="173"/>
        <v>OK</v>
      </c>
      <c r="M2236" s="1">
        <f t="shared" si="170"/>
        <v>1</v>
      </c>
      <c r="N2236" s="1">
        <f t="shared" si="171"/>
        <v>53</v>
      </c>
      <c r="O2236" s="10">
        <f t="shared" si="174"/>
        <v>12.897777777747251</v>
      </c>
    </row>
    <row r="2237" spans="1:15">
      <c r="A2237" s="1" t="s">
        <v>2342</v>
      </c>
      <c r="B2237" s="23">
        <v>45152.337500000001</v>
      </c>
      <c r="C2237" s="1" t="s">
        <v>11</v>
      </c>
      <c r="D2237" s="1" t="s">
        <v>26</v>
      </c>
      <c r="E2237" s="1" t="s">
        <v>18</v>
      </c>
      <c r="F2237" s="1" t="s">
        <v>96</v>
      </c>
      <c r="G2237" s="1">
        <v>109</v>
      </c>
      <c r="H2237" s="23">
        <v>45155.400787037041</v>
      </c>
      <c r="I2237" s="1" t="b">
        <v>0</v>
      </c>
      <c r="K2237" s="10">
        <f t="shared" si="172"/>
        <v>73.518888888938818</v>
      </c>
      <c r="L2237" s="1" t="str">
        <f t="shared" si="173"/>
        <v>OK</v>
      </c>
      <c r="M2237" s="1">
        <f t="shared" si="170"/>
        <v>1</v>
      </c>
      <c r="N2237" s="1">
        <f t="shared" si="171"/>
        <v>109</v>
      </c>
      <c r="O2237" s="10">
        <f t="shared" si="174"/>
        <v>73.518888888938818</v>
      </c>
    </row>
    <row r="2238" spans="1:15">
      <c r="A2238" s="1" t="s">
        <v>2343</v>
      </c>
      <c r="B2238" s="23">
        <v>45152.366666666669</v>
      </c>
      <c r="C2238" s="1" t="s">
        <v>11</v>
      </c>
      <c r="D2238" s="1" t="s">
        <v>12</v>
      </c>
      <c r="E2238" s="1" t="s">
        <v>18</v>
      </c>
      <c r="F2238" s="1" t="s">
        <v>134</v>
      </c>
      <c r="G2238" s="1">
        <v>140</v>
      </c>
      <c r="H2238" s="23">
        <v>45156.217638888891</v>
      </c>
      <c r="I2238" s="1" t="b">
        <v>0</v>
      </c>
      <c r="K2238" s="10">
        <f t="shared" si="172"/>
        <v>92.423333333339542</v>
      </c>
      <c r="L2238" s="1" t="str">
        <f t="shared" si="173"/>
        <v>OK</v>
      </c>
      <c r="M2238" s="1">
        <f t="shared" si="170"/>
        <v>1</v>
      </c>
      <c r="N2238" s="1">
        <f t="shared" si="171"/>
        <v>140</v>
      </c>
      <c r="O2238" s="10">
        <f t="shared" si="174"/>
        <v>92.423333333339542</v>
      </c>
    </row>
    <row r="2239" spans="1:15">
      <c r="A2239" s="1" t="s">
        <v>2344</v>
      </c>
      <c r="B2239" s="23">
        <v>45152.456250000003</v>
      </c>
      <c r="C2239" s="1" t="s">
        <v>25</v>
      </c>
      <c r="D2239" s="1" t="s">
        <v>17</v>
      </c>
      <c r="E2239" s="1" t="s">
        <v>22</v>
      </c>
      <c r="F2239" s="1" t="s">
        <v>48</v>
      </c>
      <c r="G2239" s="1">
        <v>12</v>
      </c>
      <c r="H2239" s="23">
        <v>45152.628425925926</v>
      </c>
      <c r="I2239" s="1" t="b">
        <v>0</v>
      </c>
      <c r="K2239" s="10">
        <f t="shared" si="172"/>
        <v>4.1322222221642733</v>
      </c>
      <c r="L2239" s="1" t="str">
        <f t="shared" si="173"/>
        <v>OK</v>
      </c>
      <c r="M2239" s="1">
        <f t="shared" si="170"/>
        <v>1</v>
      </c>
      <c r="N2239" s="1">
        <f t="shared" si="171"/>
        <v>12</v>
      </c>
      <c r="O2239" s="10">
        <f t="shared" si="174"/>
        <v>4.1322222221642733</v>
      </c>
    </row>
    <row r="2240" spans="1:15">
      <c r="A2240" s="1" t="s">
        <v>2345</v>
      </c>
      <c r="B2240" s="23">
        <v>45152.494444444441</v>
      </c>
      <c r="C2240" s="1" t="s">
        <v>25</v>
      </c>
      <c r="D2240" s="1" t="s">
        <v>59</v>
      </c>
      <c r="E2240" s="1" t="s">
        <v>18</v>
      </c>
      <c r="F2240" s="1" t="s">
        <v>106</v>
      </c>
      <c r="G2240" s="1">
        <v>57</v>
      </c>
      <c r="H2240" s="23">
        <v>45152.669548611113</v>
      </c>
      <c r="I2240" s="1" t="b">
        <v>0</v>
      </c>
      <c r="J2240" s="1">
        <v>5</v>
      </c>
      <c r="K2240" s="10">
        <f t="shared" si="172"/>
        <v>4.2025000001303852</v>
      </c>
      <c r="L2240" s="1" t="str">
        <f t="shared" si="173"/>
        <v>OK</v>
      </c>
      <c r="M2240" s="1">
        <f t="shared" si="170"/>
        <v>1</v>
      </c>
      <c r="N2240" s="1">
        <f t="shared" si="171"/>
        <v>57</v>
      </c>
      <c r="O2240" s="10">
        <f t="shared" si="174"/>
        <v>4.2025000001303852</v>
      </c>
    </row>
    <row r="2241" spans="1:15">
      <c r="A2241" s="1" t="s">
        <v>2346</v>
      </c>
      <c r="B2241" s="23">
        <v>45152.50277777778</v>
      </c>
      <c r="C2241" s="1" t="s">
        <v>16</v>
      </c>
      <c r="D2241" s="1" t="s">
        <v>59</v>
      </c>
      <c r="E2241" s="1" t="s">
        <v>22</v>
      </c>
      <c r="F2241" s="1" t="s">
        <v>114</v>
      </c>
      <c r="G2241" s="1">
        <v>40</v>
      </c>
      <c r="H2241" s="23">
        <v>45152.534513888888</v>
      </c>
      <c r="I2241" s="1" t="b">
        <v>0</v>
      </c>
      <c r="K2241" s="10">
        <f t="shared" si="172"/>
        <v>0.76166666659992188</v>
      </c>
      <c r="L2241" s="1" t="str">
        <f t="shared" si="173"/>
        <v>OK</v>
      </c>
      <c r="M2241" s="1">
        <f t="shared" si="170"/>
        <v>1</v>
      </c>
      <c r="N2241" s="1">
        <f t="shared" si="171"/>
        <v>40</v>
      </c>
      <c r="O2241" s="10">
        <f t="shared" si="174"/>
        <v>0.76166666659992188</v>
      </c>
    </row>
    <row r="2242" spans="1:15">
      <c r="A2242" s="1" t="s">
        <v>2347</v>
      </c>
      <c r="B2242" s="23">
        <v>45152.517361111109</v>
      </c>
      <c r="C2242" s="1" t="s">
        <v>16</v>
      </c>
      <c r="D2242" s="1" t="s">
        <v>17</v>
      </c>
      <c r="E2242" s="1" t="s">
        <v>13</v>
      </c>
      <c r="F2242" s="1" t="s">
        <v>224</v>
      </c>
      <c r="G2242" s="1">
        <v>135</v>
      </c>
      <c r="I2242" s="1" t="b">
        <v>0</v>
      </c>
      <c r="K2242" s="10" t="str">
        <f t="shared" si="172"/>
        <v/>
      </c>
      <c r="L2242" s="1" t="str">
        <f t="shared" si="173"/>
        <v>Cannot check</v>
      </c>
      <c r="M2242" s="1">
        <f t="shared" ref="M2242:M2305" si="175">COUNTIF($A$2:$A$4001,A2242)</f>
        <v>1</v>
      </c>
      <c r="N2242" s="1">
        <f t="shared" ref="N2242:N2305" si="176">IF(OR(L2242="Review",G2242=""),"",G2242)</f>
        <v>135</v>
      </c>
      <c r="O2242" s="10" t="str">
        <f t="shared" si="174"/>
        <v/>
      </c>
    </row>
    <row r="2243" spans="1:15">
      <c r="A2243" s="1" t="s">
        <v>2348</v>
      </c>
      <c r="B2243" s="23">
        <v>45152.543055555558</v>
      </c>
      <c r="C2243" s="1" t="s">
        <v>25</v>
      </c>
      <c r="D2243" s="1" t="s">
        <v>17</v>
      </c>
      <c r="E2243" s="1" t="s">
        <v>18</v>
      </c>
      <c r="F2243" s="1" t="s">
        <v>66</v>
      </c>
      <c r="G2243" s="1">
        <v>268</v>
      </c>
      <c r="H2243" s="23">
        <v>45154.967488425929</v>
      </c>
      <c r="I2243" s="1" t="b">
        <v>1</v>
      </c>
      <c r="K2243" s="10">
        <f t="shared" ref="K2243:K2306" si="177">IF(H2243="","",(H2243-B2243)*24)</f>
        <v>58.186388888920192</v>
      </c>
      <c r="L2243" s="1" t="str">
        <f t="shared" ref="L2243:L2306" si="178">IF(OR(G2243="",K2243=""),"Cannot check",IF(G2243&gt;K2243*60,"Review","OK"))</f>
        <v>OK</v>
      </c>
      <c r="M2243" s="1">
        <f t="shared" si="175"/>
        <v>1</v>
      </c>
      <c r="N2243" s="1">
        <f t="shared" si="176"/>
        <v>268</v>
      </c>
      <c r="O2243" s="10">
        <f t="shared" ref="O2243:O2306" si="179">IF(OR(L2243="Review",K2243=""),"",K2243)</f>
        <v>58.186388888920192</v>
      </c>
    </row>
    <row r="2244" spans="1:15">
      <c r="A2244" s="1" t="s">
        <v>2349</v>
      </c>
      <c r="B2244" s="23">
        <v>45152.619444444441</v>
      </c>
      <c r="C2244" s="1" t="s">
        <v>25</v>
      </c>
      <c r="D2244" s="1" t="s">
        <v>12</v>
      </c>
      <c r="E2244" s="1" t="s">
        <v>13</v>
      </c>
      <c r="F2244" s="1" t="s">
        <v>256</v>
      </c>
      <c r="G2244" s="1">
        <v>69</v>
      </c>
      <c r="H2244" s="23">
        <v>45153.021284722221</v>
      </c>
      <c r="I2244" s="1" t="b">
        <v>0</v>
      </c>
      <c r="K2244" s="10">
        <f t="shared" si="177"/>
        <v>9.6441666667233221</v>
      </c>
      <c r="L2244" s="1" t="str">
        <f t="shared" si="178"/>
        <v>OK</v>
      </c>
      <c r="M2244" s="1">
        <f t="shared" si="175"/>
        <v>1</v>
      </c>
      <c r="N2244" s="1">
        <f t="shared" si="176"/>
        <v>69</v>
      </c>
      <c r="O2244" s="10">
        <f t="shared" si="179"/>
        <v>9.6441666667233221</v>
      </c>
    </row>
    <row r="2245" spans="1:15">
      <c r="A2245" s="1" t="s">
        <v>2350</v>
      </c>
      <c r="B2245" s="23">
        <v>45152.787499999999</v>
      </c>
      <c r="C2245" s="1" t="s">
        <v>11</v>
      </c>
      <c r="D2245" s="1" t="s">
        <v>26</v>
      </c>
      <c r="E2245" s="1" t="s">
        <v>13</v>
      </c>
      <c r="F2245" s="1" t="s">
        <v>100</v>
      </c>
      <c r="G2245" s="1">
        <v>100</v>
      </c>
      <c r="H2245" s="23">
        <v>45152.889062499999</v>
      </c>
      <c r="I2245" s="1" t="b">
        <v>1</v>
      </c>
      <c r="J2245" s="1">
        <v>4</v>
      </c>
      <c r="K2245" s="10">
        <f t="shared" si="177"/>
        <v>2.4375</v>
      </c>
      <c r="L2245" s="1" t="str">
        <f t="shared" si="178"/>
        <v>OK</v>
      </c>
      <c r="M2245" s="1">
        <f t="shared" si="175"/>
        <v>1</v>
      </c>
      <c r="N2245" s="1">
        <f t="shared" si="176"/>
        <v>100</v>
      </c>
      <c r="O2245" s="10">
        <f t="shared" si="179"/>
        <v>2.4375</v>
      </c>
    </row>
    <row r="2246" spans="1:15">
      <c r="A2246" s="1" t="s">
        <v>2351</v>
      </c>
      <c r="B2246" s="23">
        <v>45152.807638888888</v>
      </c>
      <c r="C2246" s="1" t="s">
        <v>43</v>
      </c>
      <c r="D2246" s="1" t="s">
        <v>21</v>
      </c>
      <c r="E2246" s="1" t="s">
        <v>33</v>
      </c>
      <c r="F2246" s="1" t="s">
        <v>54</v>
      </c>
      <c r="G2246" s="1">
        <v>127</v>
      </c>
      <c r="H2246" s="23">
        <v>45158.388124999998</v>
      </c>
      <c r="I2246" s="1" t="b">
        <v>0</v>
      </c>
      <c r="J2246" s="1">
        <v>4</v>
      </c>
      <c r="K2246" s="10">
        <f t="shared" si="177"/>
        <v>133.93166666664183</v>
      </c>
      <c r="L2246" s="1" t="str">
        <f t="shared" si="178"/>
        <v>OK</v>
      </c>
      <c r="M2246" s="1">
        <f t="shared" si="175"/>
        <v>1</v>
      </c>
      <c r="N2246" s="1">
        <f t="shared" si="176"/>
        <v>127</v>
      </c>
      <c r="O2246" s="10">
        <f t="shared" si="179"/>
        <v>133.93166666664183</v>
      </c>
    </row>
    <row r="2247" spans="1:15">
      <c r="A2247" s="1" t="s">
        <v>2352</v>
      </c>
      <c r="B2247" s="23">
        <v>45152.849305555559</v>
      </c>
      <c r="C2247" s="1" t="s">
        <v>25</v>
      </c>
      <c r="D2247" s="1" t="s">
        <v>21</v>
      </c>
      <c r="E2247" s="1" t="s">
        <v>13</v>
      </c>
      <c r="F2247" s="1" t="s">
        <v>206</v>
      </c>
      <c r="G2247" s="1">
        <v>24</v>
      </c>
      <c r="H2247" s="23">
        <v>45153.450624999998</v>
      </c>
      <c r="I2247" s="1" t="b">
        <v>0</v>
      </c>
      <c r="K2247" s="10">
        <f t="shared" si="177"/>
        <v>14.431666666525416</v>
      </c>
      <c r="L2247" s="1" t="str">
        <f t="shared" si="178"/>
        <v>OK</v>
      </c>
      <c r="M2247" s="1">
        <f t="shared" si="175"/>
        <v>1</v>
      </c>
      <c r="N2247" s="1">
        <f t="shared" si="176"/>
        <v>24</v>
      </c>
      <c r="O2247" s="10">
        <f t="shared" si="179"/>
        <v>14.431666666525416</v>
      </c>
    </row>
    <row r="2248" spans="1:15">
      <c r="A2248" s="1" t="s">
        <v>2353</v>
      </c>
      <c r="B2248" s="23">
        <v>45152.98541666667</v>
      </c>
      <c r="C2248" s="1" t="s">
        <v>25</v>
      </c>
      <c r="D2248" s="1" t="s">
        <v>17</v>
      </c>
      <c r="E2248" s="1" t="s">
        <v>33</v>
      </c>
      <c r="F2248" s="1" t="s">
        <v>134</v>
      </c>
      <c r="G2248" s="1">
        <v>71</v>
      </c>
      <c r="I2248" s="1" t="b">
        <v>0</v>
      </c>
      <c r="K2248" s="10" t="str">
        <f t="shared" si="177"/>
        <v/>
      </c>
      <c r="L2248" s="1" t="str">
        <f t="shared" si="178"/>
        <v>Cannot check</v>
      </c>
      <c r="M2248" s="1">
        <f t="shared" si="175"/>
        <v>1</v>
      </c>
      <c r="N2248" s="1">
        <f t="shared" si="176"/>
        <v>71</v>
      </c>
      <c r="O2248" s="10" t="str">
        <f t="shared" si="179"/>
        <v/>
      </c>
    </row>
    <row r="2249" spans="1:15">
      <c r="A2249" s="1" t="s">
        <v>2354</v>
      </c>
      <c r="B2249" s="23">
        <v>45153.003472222219</v>
      </c>
      <c r="C2249" s="1" t="s">
        <v>16</v>
      </c>
      <c r="D2249" s="1" t="s">
        <v>26</v>
      </c>
      <c r="E2249" s="1" t="s">
        <v>18</v>
      </c>
      <c r="F2249" s="1" t="s">
        <v>226</v>
      </c>
      <c r="G2249" s="1">
        <v>93</v>
      </c>
      <c r="H2249" s="23">
        <v>45161.783495370371</v>
      </c>
      <c r="I2249" s="1" t="b">
        <v>0</v>
      </c>
      <c r="K2249" s="10">
        <f t="shared" si="177"/>
        <v>210.72055555565748</v>
      </c>
      <c r="L2249" s="1" t="str">
        <f t="shared" si="178"/>
        <v>OK</v>
      </c>
      <c r="M2249" s="1">
        <f t="shared" si="175"/>
        <v>1</v>
      </c>
      <c r="N2249" s="1">
        <f t="shared" si="176"/>
        <v>93</v>
      </c>
      <c r="O2249" s="10">
        <f t="shared" si="179"/>
        <v>210.72055555565748</v>
      </c>
    </row>
    <row r="2250" spans="1:15">
      <c r="A2250" s="1" t="s">
        <v>2355</v>
      </c>
      <c r="B2250" s="23">
        <v>45153.052777777775</v>
      </c>
      <c r="C2250" s="1" t="s">
        <v>16</v>
      </c>
      <c r="D2250" s="1" t="s">
        <v>17</v>
      </c>
      <c r="E2250" s="1" t="s">
        <v>33</v>
      </c>
      <c r="F2250" s="1" t="s">
        <v>94</v>
      </c>
      <c r="G2250" s="1">
        <v>176</v>
      </c>
      <c r="H2250" s="23">
        <v>45166.713472222225</v>
      </c>
      <c r="I2250" s="1" t="b">
        <v>0</v>
      </c>
      <c r="K2250" s="10">
        <f t="shared" si="177"/>
        <v>327.85666666680481</v>
      </c>
      <c r="L2250" s="1" t="str">
        <f t="shared" si="178"/>
        <v>OK</v>
      </c>
      <c r="M2250" s="1">
        <f t="shared" si="175"/>
        <v>1</v>
      </c>
      <c r="N2250" s="1">
        <f t="shared" si="176"/>
        <v>176</v>
      </c>
      <c r="O2250" s="10">
        <f t="shared" si="179"/>
        <v>327.85666666680481</v>
      </c>
    </row>
    <row r="2251" spans="1:15">
      <c r="A2251" s="1" t="s">
        <v>2356</v>
      </c>
      <c r="B2251" s="23">
        <v>45153.1</v>
      </c>
      <c r="C2251" s="1" t="s">
        <v>25</v>
      </c>
      <c r="D2251" s="1" t="s">
        <v>21</v>
      </c>
      <c r="E2251" s="1" t="s">
        <v>33</v>
      </c>
      <c r="F2251" s="1" t="s">
        <v>118</v>
      </c>
      <c r="G2251" s="1">
        <v>110</v>
      </c>
      <c r="H2251" s="23">
        <v>45153.430972222224</v>
      </c>
      <c r="I2251" s="1" t="b">
        <v>0</v>
      </c>
      <c r="K2251" s="10">
        <f t="shared" si="177"/>
        <v>7.9433333334163763</v>
      </c>
      <c r="L2251" s="1" t="str">
        <f t="shared" si="178"/>
        <v>OK</v>
      </c>
      <c r="M2251" s="1">
        <f t="shared" si="175"/>
        <v>1</v>
      </c>
      <c r="N2251" s="1">
        <f t="shared" si="176"/>
        <v>110</v>
      </c>
      <c r="O2251" s="10">
        <f t="shared" si="179"/>
        <v>7.9433333334163763</v>
      </c>
    </row>
    <row r="2252" spans="1:15">
      <c r="A2252" s="1" t="s">
        <v>2357</v>
      </c>
      <c r="B2252" s="23">
        <v>45153.164583333331</v>
      </c>
      <c r="C2252" s="1" t="s">
        <v>11</v>
      </c>
      <c r="D2252" s="1" t="s">
        <v>21</v>
      </c>
      <c r="E2252" s="1" t="s">
        <v>13</v>
      </c>
      <c r="F2252" s="1" t="s">
        <v>254</v>
      </c>
      <c r="G2252" s="1">
        <v>40</v>
      </c>
      <c r="H2252" s="23">
        <v>45153.924537037034</v>
      </c>
      <c r="I2252" s="1" t="b">
        <v>0</v>
      </c>
      <c r="J2252" s="1">
        <v>5</v>
      </c>
      <c r="K2252" s="10">
        <f t="shared" si="177"/>
        <v>18.238888888852671</v>
      </c>
      <c r="L2252" s="1" t="str">
        <f t="shared" si="178"/>
        <v>OK</v>
      </c>
      <c r="M2252" s="1">
        <f t="shared" si="175"/>
        <v>1</v>
      </c>
      <c r="N2252" s="1">
        <f t="shared" si="176"/>
        <v>40</v>
      </c>
      <c r="O2252" s="10">
        <f t="shared" si="179"/>
        <v>18.238888888852671</v>
      </c>
    </row>
    <row r="2253" spans="1:15">
      <c r="A2253" s="1" t="s">
        <v>2358</v>
      </c>
      <c r="B2253" s="23">
        <v>45153.195833333331</v>
      </c>
      <c r="C2253" s="1" t="s">
        <v>16</v>
      </c>
      <c r="D2253" s="1" t="s">
        <v>17</v>
      </c>
      <c r="E2253" s="1" t="s">
        <v>13</v>
      </c>
      <c r="F2253" s="1" t="s">
        <v>234</v>
      </c>
      <c r="G2253" s="1">
        <v>73</v>
      </c>
      <c r="H2253" s="23">
        <v>45154.288981481484</v>
      </c>
      <c r="I2253" s="1" t="b">
        <v>0</v>
      </c>
      <c r="K2253" s="10">
        <f t="shared" si="177"/>
        <v>26.235555555671453</v>
      </c>
      <c r="L2253" s="1" t="str">
        <f t="shared" si="178"/>
        <v>OK</v>
      </c>
      <c r="M2253" s="1">
        <f t="shared" si="175"/>
        <v>1</v>
      </c>
      <c r="N2253" s="1">
        <f t="shared" si="176"/>
        <v>73</v>
      </c>
      <c r="O2253" s="10">
        <f t="shared" si="179"/>
        <v>26.235555555671453</v>
      </c>
    </row>
    <row r="2254" spans="1:15">
      <c r="A2254" s="1" t="s">
        <v>2359</v>
      </c>
      <c r="B2254" s="23">
        <v>45153.202777777777</v>
      </c>
      <c r="C2254" s="1" t="s">
        <v>25</v>
      </c>
      <c r="D2254" s="1" t="s">
        <v>21</v>
      </c>
      <c r="E2254" s="1" t="s">
        <v>18</v>
      </c>
      <c r="F2254" s="1" t="s">
        <v>259</v>
      </c>
      <c r="G2254" s="1">
        <v>286</v>
      </c>
      <c r="H2254" s="23">
        <v>45154.981099537035</v>
      </c>
      <c r="I2254" s="1" t="b">
        <v>0</v>
      </c>
      <c r="K2254" s="10">
        <f t="shared" si="177"/>
        <v>42.679722222208511</v>
      </c>
      <c r="L2254" s="1" t="str">
        <f t="shared" si="178"/>
        <v>OK</v>
      </c>
      <c r="M2254" s="1">
        <f t="shared" si="175"/>
        <v>1</v>
      </c>
      <c r="N2254" s="1">
        <f t="shared" si="176"/>
        <v>286</v>
      </c>
      <c r="O2254" s="10">
        <f t="shared" si="179"/>
        <v>42.679722222208511</v>
      </c>
    </row>
    <row r="2255" spans="1:15">
      <c r="A2255" s="1" t="s">
        <v>2360</v>
      </c>
      <c r="B2255" s="23">
        <v>45153.280555555553</v>
      </c>
      <c r="C2255" s="1" t="s">
        <v>43</v>
      </c>
      <c r="D2255" s="1" t="s">
        <v>17</v>
      </c>
      <c r="E2255" s="1" t="s">
        <v>22</v>
      </c>
      <c r="F2255" s="1" t="s">
        <v>178</v>
      </c>
      <c r="G2255" s="1">
        <v>7</v>
      </c>
      <c r="H2255" s="23">
        <v>45153.517546296294</v>
      </c>
      <c r="I2255" s="1" t="b">
        <v>0</v>
      </c>
      <c r="K2255" s="10">
        <f t="shared" si="177"/>
        <v>5.687777777784504</v>
      </c>
      <c r="L2255" s="1" t="str">
        <f t="shared" si="178"/>
        <v>OK</v>
      </c>
      <c r="M2255" s="1">
        <f t="shared" si="175"/>
        <v>1</v>
      </c>
      <c r="N2255" s="1">
        <f t="shared" si="176"/>
        <v>7</v>
      </c>
      <c r="O2255" s="10">
        <f t="shared" si="179"/>
        <v>5.687777777784504</v>
      </c>
    </row>
    <row r="2256" spans="1:15">
      <c r="A2256" s="1" t="s">
        <v>2361</v>
      </c>
      <c r="B2256" s="23">
        <v>45153.363194444442</v>
      </c>
      <c r="C2256" s="1" t="s">
        <v>16</v>
      </c>
      <c r="D2256" s="1" t="s">
        <v>12</v>
      </c>
      <c r="E2256" s="1" t="s">
        <v>13</v>
      </c>
      <c r="F2256" s="1" t="s">
        <v>106</v>
      </c>
      <c r="G2256" s="1">
        <v>63</v>
      </c>
      <c r="H2256" s="23">
        <v>45153.749085648145</v>
      </c>
      <c r="I2256" s="1" t="b">
        <v>0</v>
      </c>
      <c r="K2256" s="10">
        <f t="shared" si="177"/>
        <v>9.2613888888736255</v>
      </c>
      <c r="L2256" s="1" t="str">
        <f t="shared" si="178"/>
        <v>OK</v>
      </c>
      <c r="M2256" s="1">
        <f t="shared" si="175"/>
        <v>1</v>
      </c>
      <c r="N2256" s="1">
        <f t="shared" si="176"/>
        <v>63</v>
      </c>
      <c r="O2256" s="10">
        <f t="shared" si="179"/>
        <v>9.2613888888736255</v>
      </c>
    </row>
    <row r="2257" spans="1:15">
      <c r="A2257" s="1" t="s">
        <v>2362</v>
      </c>
      <c r="B2257" s="23">
        <v>45153.375694444447</v>
      </c>
      <c r="C2257" s="1" t="s">
        <v>25</v>
      </c>
      <c r="D2257" s="1" t="s">
        <v>59</v>
      </c>
      <c r="E2257" s="1" t="s">
        <v>18</v>
      </c>
      <c r="F2257" s="1" t="s">
        <v>66</v>
      </c>
      <c r="G2257" s="1">
        <v>44</v>
      </c>
      <c r="H2257" s="23">
        <v>45159.647604166668</v>
      </c>
      <c r="I2257" s="1" t="b">
        <v>0</v>
      </c>
      <c r="J2257" s="1">
        <v>5</v>
      </c>
      <c r="K2257" s="10">
        <f t="shared" si="177"/>
        <v>150.52583333331859</v>
      </c>
      <c r="L2257" s="1" t="str">
        <f t="shared" si="178"/>
        <v>OK</v>
      </c>
      <c r="M2257" s="1">
        <f t="shared" si="175"/>
        <v>1</v>
      </c>
      <c r="N2257" s="1">
        <f t="shared" si="176"/>
        <v>44</v>
      </c>
      <c r="O2257" s="10">
        <f t="shared" si="179"/>
        <v>150.52583333331859</v>
      </c>
    </row>
    <row r="2258" spans="1:15">
      <c r="A2258" s="1" t="s">
        <v>2363</v>
      </c>
      <c r="B2258" s="23">
        <v>45153.439583333333</v>
      </c>
      <c r="C2258" s="1" t="s">
        <v>11</v>
      </c>
      <c r="D2258" s="1" t="s">
        <v>59</v>
      </c>
      <c r="E2258" s="1" t="s">
        <v>18</v>
      </c>
      <c r="F2258" s="1" t="s">
        <v>46</v>
      </c>
      <c r="G2258" s="1">
        <v>1095</v>
      </c>
      <c r="H2258" s="23">
        <v>45153.6950462963</v>
      </c>
      <c r="I2258" s="1" t="b">
        <v>0</v>
      </c>
      <c r="K2258" s="10">
        <f t="shared" si="177"/>
        <v>6.1311111112008803</v>
      </c>
      <c r="L2258" s="1" t="str">
        <f t="shared" si="178"/>
        <v>Review</v>
      </c>
      <c r="M2258" s="1">
        <f t="shared" si="175"/>
        <v>1</v>
      </c>
      <c r="N2258" s="1" t="str">
        <f t="shared" si="176"/>
        <v/>
      </c>
      <c r="O2258" s="10" t="str">
        <f t="shared" si="179"/>
        <v/>
      </c>
    </row>
    <row r="2259" spans="1:15">
      <c r="A2259" s="1" t="s">
        <v>2364</v>
      </c>
      <c r="B2259" s="23">
        <v>45153.488194444442</v>
      </c>
      <c r="C2259" s="1" t="s">
        <v>16</v>
      </c>
      <c r="D2259" s="1" t="s">
        <v>21</v>
      </c>
      <c r="E2259" s="1" t="s">
        <v>22</v>
      </c>
      <c r="F2259" s="1" t="s">
        <v>37</v>
      </c>
      <c r="G2259" s="1">
        <v>50</v>
      </c>
      <c r="H2259" s="23">
        <v>45153.563680555555</v>
      </c>
      <c r="I2259" s="1" t="b">
        <v>0</v>
      </c>
      <c r="K2259" s="10">
        <f t="shared" si="177"/>
        <v>1.8116666667046957</v>
      </c>
      <c r="L2259" s="1" t="str">
        <f t="shared" si="178"/>
        <v>OK</v>
      </c>
      <c r="M2259" s="1">
        <f t="shared" si="175"/>
        <v>1</v>
      </c>
      <c r="N2259" s="1">
        <f t="shared" si="176"/>
        <v>50</v>
      </c>
      <c r="O2259" s="10">
        <f t="shared" si="179"/>
        <v>1.8116666667046957</v>
      </c>
    </row>
    <row r="2260" spans="1:15">
      <c r="A2260" s="1" t="s">
        <v>2365</v>
      </c>
      <c r="B2260" s="23">
        <v>45153.71597222222</v>
      </c>
      <c r="C2260" s="1" t="s">
        <v>25</v>
      </c>
      <c r="D2260" s="1" t="s">
        <v>17</v>
      </c>
      <c r="E2260" s="1" t="s">
        <v>18</v>
      </c>
      <c r="F2260" s="1" t="s">
        <v>130</v>
      </c>
      <c r="G2260" s="1">
        <v>52</v>
      </c>
      <c r="H2260" s="23">
        <v>45154.201516203706</v>
      </c>
      <c r="I2260" s="1" t="b">
        <v>0</v>
      </c>
      <c r="J2260" s="1">
        <v>5</v>
      </c>
      <c r="K2260" s="10">
        <f t="shared" si="177"/>
        <v>11.653055555652827</v>
      </c>
      <c r="L2260" s="1" t="str">
        <f t="shared" si="178"/>
        <v>OK</v>
      </c>
      <c r="M2260" s="1">
        <f t="shared" si="175"/>
        <v>1</v>
      </c>
      <c r="N2260" s="1">
        <f t="shared" si="176"/>
        <v>52</v>
      </c>
      <c r="O2260" s="10">
        <f t="shared" si="179"/>
        <v>11.653055555652827</v>
      </c>
    </row>
    <row r="2261" spans="1:15">
      <c r="A2261" s="1" t="s">
        <v>2366</v>
      </c>
      <c r="B2261" s="23">
        <v>45153.730555555558</v>
      </c>
      <c r="C2261" s="1" t="s">
        <v>25</v>
      </c>
      <c r="D2261" s="1" t="s">
        <v>59</v>
      </c>
      <c r="E2261" s="1" t="s">
        <v>18</v>
      </c>
      <c r="F2261" s="1" t="s">
        <v>23</v>
      </c>
      <c r="G2261" s="1">
        <v>38</v>
      </c>
      <c r="H2261" s="23">
        <v>45154.073912037034</v>
      </c>
      <c r="I2261" s="1" t="b">
        <v>0</v>
      </c>
      <c r="K2261" s="10">
        <f t="shared" si="177"/>
        <v>8.2405555554432794</v>
      </c>
      <c r="L2261" s="1" t="str">
        <f t="shared" si="178"/>
        <v>OK</v>
      </c>
      <c r="M2261" s="1">
        <f t="shared" si="175"/>
        <v>1</v>
      </c>
      <c r="N2261" s="1">
        <f t="shared" si="176"/>
        <v>38</v>
      </c>
      <c r="O2261" s="10">
        <f t="shared" si="179"/>
        <v>8.2405555554432794</v>
      </c>
    </row>
    <row r="2262" spans="1:15">
      <c r="A2262" s="1" t="s">
        <v>2367</v>
      </c>
      <c r="B2262" s="23">
        <v>45153.741666666669</v>
      </c>
      <c r="C2262" s="1" t="s">
        <v>25</v>
      </c>
      <c r="D2262" s="1" t="s">
        <v>17</v>
      </c>
      <c r="E2262" s="1" t="s">
        <v>13</v>
      </c>
      <c r="F2262" s="1" t="s">
        <v>186</v>
      </c>
      <c r="G2262" s="1">
        <v>21</v>
      </c>
      <c r="H2262" s="23">
        <v>45154.073333333334</v>
      </c>
      <c r="I2262" s="1" t="b">
        <v>0</v>
      </c>
      <c r="J2262" s="1">
        <v>4</v>
      </c>
      <c r="K2262" s="10">
        <f t="shared" si="177"/>
        <v>7.9599999999627471</v>
      </c>
      <c r="L2262" s="1" t="str">
        <f t="shared" si="178"/>
        <v>OK</v>
      </c>
      <c r="M2262" s="1">
        <f t="shared" si="175"/>
        <v>1</v>
      </c>
      <c r="N2262" s="1">
        <f t="shared" si="176"/>
        <v>21</v>
      </c>
      <c r="O2262" s="10">
        <f t="shared" si="179"/>
        <v>7.9599999999627471</v>
      </c>
    </row>
    <row r="2263" spans="1:15">
      <c r="A2263" s="1" t="s">
        <v>2368</v>
      </c>
      <c r="B2263" s="23">
        <v>45153.772916666669</v>
      </c>
      <c r="C2263" s="1" t="s">
        <v>16</v>
      </c>
      <c r="D2263" s="1" t="s">
        <v>17</v>
      </c>
      <c r="E2263" s="1" t="s">
        <v>18</v>
      </c>
      <c r="F2263" s="1" t="s">
        <v>100</v>
      </c>
      <c r="G2263" s="1">
        <v>108</v>
      </c>
      <c r="H2263" s="23">
        <v>45154.416238425925</v>
      </c>
      <c r="I2263" s="1" t="b">
        <v>0</v>
      </c>
      <c r="K2263" s="10">
        <f t="shared" si="177"/>
        <v>15.439722222159617</v>
      </c>
      <c r="L2263" s="1" t="str">
        <f t="shared" si="178"/>
        <v>OK</v>
      </c>
      <c r="M2263" s="1">
        <f t="shared" si="175"/>
        <v>1</v>
      </c>
      <c r="N2263" s="1">
        <f t="shared" si="176"/>
        <v>108</v>
      </c>
      <c r="O2263" s="10">
        <f t="shared" si="179"/>
        <v>15.439722222159617</v>
      </c>
    </row>
    <row r="2264" spans="1:15">
      <c r="A2264" s="1" t="s">
        <v>2369</v>
      </c>
      <c r="B2264" s="23">
        <v>45153.852777777778</v>
      </c>
      <c r="C2264" s="1" t="s">
        <v>43</v>
      </c>
      <c r="D2264" s="1" t="s">
        <v>26</v>
      </c>
      <c r="E2264" s="1" t="s">
        <v>33</v>
      </c>
      <c r="F2264" s="1" t="s">
        <v>27</v>
      </c>
      <c r="G2264" s="1">
        <v>136</v>
      </c>
      <c r="H2264" s="23">
        <v>45158.317673611113</v>
      </c>
      <c r="I2264" s="1" t="b">
        <v>0</v>
      </c>
      <c r="J2264" s="1">
        <v>4</v>
      </c>
      <c r="K2264" s="10">
        <f t="shared" si="177"/>
        <v>107.15750000003027</v>
      </c>
      <c r="L2264" s="1" t="str">
        <f t="shared" si="178"/>
        <v>OK</v>
      </c>
      <c r="M2264" s="1">
        <f t="shared" si="175"/>
        <v>1</v>
      </c>
      <c r="N2264" s="1">
        <f t="shared" si="176"/>
        <v>136</v>
      </c>
      <c r="O2264" s="10">
        <f t="shared" si="179"/>
        <v>107.15750000003027</v>
      </c>
    </row>
    <row r="2265" spans="1:15">
      <c r="A2265" s="1" t="s">
        <v>2370</v>
      </c>
      <c r="B2265" s="23">
        <v>45153.902777777781</v>
      </c>
      <c r="C2265" s="1" t="s">
        <v>16</v>
      </c>
      <c r="D2265" s="1" t="s">
        <v>21</v>
      </c>
      <c r="E2265" s="1" t="s">
        <v>22</v>
      </c>
      <c r="F2265" s="1" t="s">
        <v>48</v>
      </c>
      <c r="G2265" s="1">
        <v>17</v>
      </c>
      <c r="H2265" s="23">
        <v>45154.366759259261</v>
      </c>
      <c r="I2265" s="1" t="b">
        <v>0</v>
      </c>
      <c r="K2265" s="10">
        <f t="shared" si="177"/>
        <v>11.135555555520114</v>
      </c>
      <c r="L2265" s="1" t="str">
        <f t="shared" si="178"/>
        <v>OK</v>
      </c>
      <c r="M2265" s="1">
        <f t="shared" si="175"/>
        <v>1</v>
      </c>
      <c r="N2265" s="1">
        <f t="shared" si="176"/>
        <v>17</v>
      </c>
      <c r="O2265" s="10">
        <f t="shared" si="179"/>
        <v>11.135555555520114</v>
      </c>
    </row>
    <row r="2266" spans="1:15">
      <c r="A2266" s="1" t="s">
        <v>2371</v>
      </c>
      <c r="B2266" s="23">
        <v>45153.959027777775</v>
      </c>
      <c r="C2266" s="1" t="s">
        <v>16</v>
      </c>
      <c r="D2266" s="1" t="s">
        <v>21</v>
      </c>
      <c r="E2266" s="1" t="s">
        <v>22</v>
      </c>
      <c r="F2266" s="1" t="s">
        <v>84</v>
      </c>
      <c r="G2266" s="1">
        <v>19</v>
      </c>
      <c r="H2266" s="23">
        <v>45154.206331018519</v>
      </c>
      <c r="I2266" s="1" t="b">
        <v>0</v>
      </c>
      <c r="K2266" s="10">
        <f t="shared" si="177"/>
        <v>5.9352777778403834</v>
      </c>
      <c r="L2266" s="1" t="str">
        <f t="shared" si="178"/>
        <v>OK</v>
      </c>
      <c r="M2266" s="1">
        <f t="shared" si="175"/>
        <v>1</v>
      </c>
      <c r="N2266" s="1">
        <f t="shared" si="176"/>
        <v>19</v>
      </c>
      <c r="O2266" s="10">
        <f t="shared" si="179"/>
        <v>5.9352777778403834</v>
      </c>
    </row>
    <row r="2267" spans="1:15">
      <c r="A2267" s="1" t="s">
        <v>2372</v>
      </c>
      <c r="B2267" s="23">
        <v>45154.345833333333</v>
      </c>
      <c r="C2267" s="1" t="s">
        <v>25</v>
      </c>
      <c r="D2267" s="1" t="s">
        <v>21</v>
      </c>
      <c r="E2267" s="1" t="s">
        <v>22</v>
      </c>
      <c r="F2267" s="1" t="s">
        <v>256</v>
      </c>
      <c r="G2267" s="1">
        <v>35</v>
      </c>
      <c r="H2267" s="23">
        <v>45154.386388888888</v>
      </c>
      <c r="I2267" s="1" t="b">
        <v>0</v>
      </c>
      <c r="J2267" s="1">
        <v>5</v>
      </c>
      <c r="K2267" s="10">
        <f t="shared" si="177"/>
        <v>0.97333333332790062</v>
      </c>
      <c r="L2267" s="1" t="str">
        <f t="shared" si="178"/>
        <v>OK</v>
      </c>
      <c r="M2267" s="1">
        <f t="shared" si="175"/>
        <v>1</v>
      </c>
      <c r="N2267" s="1">
        <f t="shared" si="176"/>
        <v>35</v>
      </c>
      <c r="O2267" s="10">
        <f t="shared" si="179"/>
        <v>0.97333333332790062</v>
      </c>
    </row>
    <row r="2268" spans="1:15">
      <c r="A2268" s="1" t="s">
        <v>2373</v>
      </c>
      <c r="B2268" s="23">
        <v>45154.353472222225</v>
      </c>
      <c r="C2268" s="1" t="s">
        <v>16</v>
      </c>
      <c r="D2268" s="1" t="s">
        <v>59</v>
      </c>
      <c r="E2268" s="1" t="s">
        <v>33</v>
      </c>
      <c r="F2268" s="1" t="s">
        <v>145</v>
      </c>
      <c r="G2268" s="1">
        <v>84</v>
      </c>
      <c r="H2268" s="23">
        <v>45157.348078703704</v>
      </c>
      <c r="I2268" s="1" t="b">
        <v>0</v>
      </c>
      <c r="K2268" s="10">
        <f t="shared" si="177"/>
        <v>71.870555555506144</v>
      </c>
      <c r="L2268" s="1" t="str">
        <f t="shared" si="178"/>
        <v>OK</v>
      </c>
      <c r="M2268" s="1">
        <f t="shared" si="175"/>
        <v>1</v>
      </c>
      <c r="N2268" s="1">
        <f t="shared" si="176"/>
        <v>84</v>
      </c>
      <c r="O2268" s="10">
        <f t="shared" si="179"/>
        <v>71.870555555506144</v>
      </c>
    </row>
    <row r="2269" spans="1:15">
      <c r="A2269" s="1" t="s">
        <v>2374</v>
      </c>
      <c r="B2269" s="23">
        <v>45154.463194444441</v>
      </c>
      <c r="C2269" s="1" t="s">
        <v>11</v>
      </c>
      <c r="D2269" s="1" t="s">
        <v>21</v>
      </c>
      <c r="E2269" s="1" t="s">
        <v>33</v>
      </c>
      <c r="F2269" s="1" t="s">
        <v>76</v>
      </c>
      <c r="G2269" s="1">
        <v>2271</v>
      </c>
      <c r="H2269" s="23">
        <v>45162.22347222222</v>
      </c>
      <c r="I2269" s="1" t="b">
        <v>0</v>
      </c>
      <c r="K2269" s="10">
        <f t="shared" si="177"/>
        <v>186.24666666670237</v>
      </c>
      <c r="L2269" s="1" t="str">
        <f t="shared" si="178"/>
        <v>OK</v>
      </c>
      <c r="M2269" s="1">
        <f t="shared" si="175"/>
        <v>1</v>
      </c>
      <c r="N2269" s="1">
        <f t="shared" si="176"/>
        <v>2271</v>
      </c>
      <c r="O2269" s="10">
        <f t="shared" si="179"/>
        <v>186.24666666670237</v>
      </c>
    </row>
    <row r="2270" spans="1:15">
      <c r="A2270" s="1" t="s">
        <v>2375</v>
      </c>
      <c r="B2270" s="23">
        <v>45154.497916666667</v>
      </c>
      <c r="C2270" s="1" t="s">
        <v>16</v>
      </c>
      <c r="D2270" s="1" t="s">
        <v>59</v>
      </c>
      <c r="E2270" s="1" t="s">
        <v>18</v>
      </c>
      <c r="F2270" s="1" t="s">
        <v>41</v>
      </c>
      <c r="G2270" s="1">
        <v>284</v>
      </c>
      <c r="H2270" s="23">
        <v>45155.428113425929</v>
      </c>
      <c r="I2270" s="1" t="b">
        <v>0</v>
      </c>
      <c r="J2270" s="1">
        <v>5</v>
      </c>
      <c r="K2270" s="10">
        <f t="shared" si="177"/>
        <v>22.324722222285345</v>
      </c>
      <c r="L2270" s="1" t="str">
        <f t="shared" si="178"/>
        <v>OK</v>
      </c>
      <c r="M2270" s="1">
        <f t="shared" si="175"/>
        <v>1</v>
      </c>
      <c r="N2270" s="1">
        <f t="shared" si="176"/>
        <v>284</v>
      </c>
      <c r="O2270" s="10">
        <f t="shared" si="179"/>
        <v>22.324722222285345</v>
      </c>
    </row>
    <row r="2271" spans="1:15">
      <c r="A2271" s="1" t="s">
        <v>2376</v>
      </c>
      <c r="B2271" s="23">
        <v>45154.517361111109</v>
      </c>
      <c r="C2271" s="1" t="s">
        <v>11</v>
      </c>
      <c r="D2271" s="1" t="s">
        <v>12</v>
      </c>
      <c r="E2271" s="1" t="s">
        <v>18</v>
      </c>
      <c r="F2271" s="1" t="s">
        <v>66</v>
      </c>
      <c r="G2271" s="1">
        <v>40</v>
      </c>
      <c r="H2271" s="23">
        <v>45154.820983796293</v>
      </c>
      <c r="I2271" s="1" t="b">
        <v>0</v>
      </c>
      <c r="J2271" s="1">
        <v>5</v>
      </c>
      <c r="K2271" s="10">
        <f t="shared" si="177"/>
        <v>7.2869444444077089</v>
      </c>
      <c r="L2271" s="1" t="str">
        <f t="shared" si="178"/>
        <v>OK</v>
      </c>
      <c r="M2271" s="1">
        <f t="shared" si="175"/>
        <v>1</v>
      </c>
      <c r="N2271" s="1">
        <f t="shared" si="176"/>
        <v>40</v>
      </c>
      <c r="O2271" s="10">
        <f t="shared" si="179"/>
        <v>7.2869444444077089</v>
      </c>
    </row>
    <row r="2272" spans="1:15">
      <c r="A2272" s="1" t="s">
        <v>2377</v>
      </c>
      <c r="B2272" s="23">
        <v>45154.560416666667</v>
      </c>
      <c r="C2272" s="1" t="s">
        <v>25</v>
      </c>
      <c r="D2272" s="1" t="s">
        <v>21</v>
      </c>
      <c r="E2272" s="1" t="s">
        <v>18</v>
      </c>
      <c r="F2272" s="1" t="s">
        <v>19</v>
      </c>
      <c r="G2272" s="1">
        <v>35</v>
      </c>
      <c r="H2272" s="23">
        <v>45160.18509259259</v>
      </c>
      <c r="I2272" s="1" t="b">
        <v>0</v>
      </c>
      <c r="J2272" s="1">
        <v>5</v>
      </c>
      <c r="K2272" s="10">
        <f t="shared" si="177"/>
        <v>134.9922222221503</v>
      </c>
      <c r="L2272" s="1" t="str">
        <f t="shared" si="178"/>
        <v>OK</v>
      </c>
      <c r="M2272" s="1">
        <f t="shared" si="175"/>
        <v>1</v>
      </c>
      <c r="N2272" s="1">
        <f t="shared" si="176"/>
        <v>35</v>
      </c>
      <c r="O2272" s="10">
        <f t="shared" si="179"/>
        <v>134.9922222221503</v>
      </c>
    </row>
    <row r="2273" spans="1:15">
      <c r="A2273" s="1" t="s">
        <v>2378</v>
      </c>
      <c r="B2273" s="23">
        <v>45154.598611111112</v>
      </c>
      <c r="C2273" s="1" t="s">
        <v>25</v>
      </c>
      <c r="D2273" s="1" t="s">
        <v>21</v>
      </c>
      <c r="E2273" s="1" t="s">
        <v>33</v>
      </c>
      <c r="F2273" s="1" t="s">
        <v>14</v>
      </c>
      <c r="G2273" s="1">
        <v>58</v>
      </c>
      <c r="H2273" s="23">
        <v>45158.752962962964</v>
      </c>
      <c r="I2273" s="1" t="b">
        <v>0</v>
      </c>
      <c r="K2273" s="10">
        <f t="shared" si="177"/>
        <v>99.70444444444729</v>
      </c>
      <c r="L2273" s="1" t="str">
        <f t="shared" si="178"/>
        <v>OK</v>
      </c>
      <c r="M2273" s="1">
        <f t="shared" si="175"/>
        <v>1</v>
      </c>
      <c r="N2273" s="1">
        <f t="shared" si="176"/>
        <v>58</v>
      </c>
      <c r="O2273" s="10">
        <f t="shared" si="179"/>
        <v>99.70444444444729</v>
      </c>
    </row>
    <row r="2274" spans="1:15">
      <c r="A2274" s="1" t="s">
        <v>2379</v>
      </c>
      <c r="B2274" s="23">
        <v>45154.677777777775</v>
      </c>
      <c r="C2274" s="1" t="s">
        <v>25</v>
      </c>
      <c r="D2274" s="1" t="s">
        <v>17</v>
      </c>
      <c r="E2274" s="1" t="s">
        <v>22</v>
      </c>
      <c r="F2274" s="1" t="s">
        <v>88</v>
      </c>
      <c r="G2274" s="1">
        <v>3</v>
      </c>
      <c r="H2274" s="23">
        <v>45155.015451388892</v>
      </c>
      <c r="I2274" s="1" t="b">
        <v>0</v>
      </c>
      <c r="K2274" s="10">
        <f t="shared" si="177"/>
        <v>8.1041666668024845</v>
      </c>
      <c r="L2274" s="1" t="str">
        <f t="shared" si="178"/>
        <v>OK</v>
      </c>
      <c r="M2274" s="1">
        <f t="shared" si="175"/>
        <v>1</v>
      </c>
      <c r="N2274" s="1">
        <f t="shared" si="176"/>
        <v>3</v>
      </c>
      <c r="O2274" s="10">
        <f t="shared" si="179"/>
        <v>8.1041666668024845</v>
      </c>
    </row>
    <row r="2275" spans="1:15">
      <c r="A2275" s="1" t="s">
        <v>2380</v>
      </c>
      <c r="B2275" s="23">
        <v>45154.688888888886</v>
      </c>
      <c r="C2275" s="1" t="s">
        <v>16</v>
      </c>
      <c r="D2275" s="1" t="s">
        <v>26</v>
      </c>
      <c r="E2275" s="1" t="s">
        <v>18</v>
      </c>
      <c r="F2275" s="1" t="s">
        <v>116</v>
      </c>
      <c r="G2275" s="1">
        <v>184</v>
      </c>
      <c r="H2275" s="23">
        <v>45158.369537037041</v>
      </c>
      <c r="I2275" s="1" t="b">
        <v>0</v>
      </c>
      <c r="K2275" s="10">
        <f t="shared" si="177"/>
        <v>88.335555555706378</v>
      </c>
      <c r="L2275" s="1" t="str">
        <f t="shared" si="178"/>
        <v>OK</v>
      </c>
      <c r="M2275" s="1">
        <f t="shared" si="175"/>
        <v>1</v>
      </c>
      <c r="N2275" s="1">
        <f t="shared" si="176"/>
        <v>184</v>
      </c>
      <c r="O2275" s="10">
        <f t="shared" si="179"/>
        <v>88.335555555706378</v>
      </c>
    </row>
    <row r="2276" spans="1:15">
      <c r="A2276" s="1" t="s">
        <v>2381</v>
      </c>
      <c r="B2276" s="23">
        <v>45154.934027777781</v>
      </c>
      <c r="C2276" s="1" t="s">
        <v>16</v>
      </c>
      <c r="D2276" s="1" t="s">
        <v>17</v>
      </c>
      <c r="E2276" s="1" t="s">
        <v>18</v>
      </c>
      <c r="F2276" s="1" t="s">
        <v>201</v>
      </c>
      <c r="G2276" s="1">
        <v>44</v>
      </c>
      <c r="I2276" s="1" t="b">
        <v>0</v>
      </c>
      <c r="K2276" s="10" t="str">
        <f t="shared" si="177"/>
        <v/>
      </c>
      <c r="L2276" s="1" t="str">
        <f t="shared" si="178"/>
        <v>Cannot check</v>
      </c>
      <c r="M2276" s="1">
        <f t="shared" si="175"/>
        <v>1</v>
      </c>
      <c r="N2276" s="1">
        <f t="shared" si="176"/>
        <v>44</v>
      </c>
      <c r="O2276" s="10" t="str">
        <f t="shared" si="179"/>
        <v/>
      </c>
    </row>
    <row r="2277" spans="1:15">
      <c r="A2277" s="1" t="s">
        <v>2382</v>
      </c>
      <c r="B2277" s="23">
        <v>45154.970833333333</v>
      </c>
      <c r="C2277" s="1" t="s">
        <v>11</v>
      </c>
      <c r="D2277" s="1" t="s">
        <v>21</v>
      </c>
      <c r="E2277" s="1" t="s">
        <v>13</v>
      </c>
      <c r="F2277" s="1" t="s">
        <v>274</v>
      </c>
      <c r="G2277" s="1">
        <v>142</v>
      </c>
      <c r="H2277" s="23">
        <v>45155.109525462962</v>
      </c>
      <c r="I2277" s="1" t="b">
        <v>0</v>
      </c>
      <c r="J2277" s="1">
        <v>3</v>
      </c>
      <c r="K2277" s="10">
        <f t="shared" si="177"/>
        <v>3.3286111110937782</v>
      </c>
      <c r="L2277" s="1" t="str">
        <f t="shared" si="178"/>
        <v>OK</v>
      </c>
      <c r="M2277" s="1">
        <f t="shared" si="175"/>
        <v>1</v>
      </c>
      <c r="N2277" s="1">
        <f t="shared" si="176"/>
        <v>142</v>
      </c>
      <c r="O2277" s="10">
        <f t="shared" si="179"/>
        <v>3.3286111110937782</v>
      </c>
    </row>
    <row r="2278" spans="1:15">
      <c r="A2278" s="1" t="s">
        <v>2383</v>
      </c>
      <c r="B2278" s="23">
        <v>45155.01458333333</v>
      </c>
      <c r="C2278" s="1" t="s">
        <v>16</v>
      </c>
      <c r="D2278" s="1" t="s">
        <v>21</v>
      </c>
      <c r="E2278" s="1" t="s">
        <v>22</v>
      </c>
      <c r="F2278" s="1" t="s">
        <v>19</v>
      </c>
      <c r="G2278" s="1">
        <v>11</v>
      </c>
      <c r="H2278" s="23">
        <v>45155.103981481479</v>
      </c>
      <c r="I2278" s="1" t="b">
        <v>0</v>
      </c>
      <c r="K2278" s="10">
        <f t="shared" si="177"/>
        <v>2.1455555555876344</v>
      </c>
      <c r="L2278" s="1" t="str">
        <f t="shared" si="178"/>
        <v>OK</v>
      </c>
      <c r="M2278" s="1">
        <f t="shared" si="175"/>
        <v>1</v>
      </c>
      <c r="N2278" s="1">
        <f t="shared" si="176"/>
        <v>11</v>
      </c>
      <c r="O2278" s="10">
        <f t="shared" si="179"/>
        <v>2.1455555555876344</v>
      </c>
    </row>
    <row r="2279" spans="1:15">
      <c r="A2279" s="1" t="s">
        <v>2384</v>
      </c>
      <c r="B2279" s="23">
        <v>45155.058333333334</v>
      </c>
      <c r="C2279" s="1" t="s">
        <v>25</v>
      </c>
      <c r="D2279" s="1" t="s">
        <v>17</v>
      </c>
      <c r="E2279" s="1" t="s">
        <v>13</v>
      </c>
      <c r="F2279" s="1" t="s">
        <v>259</v>
      </c>
      <c r="G2279" s="1">
        <v>34</v>
      </c>
      <c r="H2279" s="23">
        <v>45155.167488425926</v>
      </c>
      <c r="I2279" s="1" t="b">
        <v>0</v>
      </c>
      <c r="K2279" s="10">
        <f t="shared" si="177"/>
        <v>2.6197222222108394</v>
      </c>
      <c r="L2279" s="1" t="str">
        <f t="shared" si="178"/>
        <v>OK</v>
      </c>
      <c r="M2279" s="1">
        <f t="shared" si="175"/>
        <v>1</v>
      </c>
      <c r="N2279" s="1">
        <f t="shared" si="176"/>
        <v>34</v>
      </c>
      <c r="O2279" s="10">
        <f t="shared" si="179"/>
        <v>2.6197222222108394</v>
      </c>
    </row>
    <row r="2280" spans="1:15">
      <c r="A2280" s="1" t="s">
        <v>2385</v>
      </c>
      <c r="B2280" s="23">
        <v>45155.103472222225</v>
      </c>
      <c r="C2280" s="1" t="s">
        <v>16</v>
      </c>
      <c r="D2280" s="1" t="s">
        <v>59</v>
      </c>
      <c r="E2280" s="1" t="s">
        <v>22</v>
      </c>
      <c r="F2280" s="1" t="s">
        <v>46</v>
      </c>
      <c r="G2280" s="1">
        <v>31</v>
      </c>
      <c r="H2280" s="23">
        <v>45155.144872685189</v>
      </c>
      <c r="I2280" s="1" t="b">
        <v>0</v>
      </c>
      <c r="K2280" s="10">
        <f t="shared" si="177"/>
        <v>0.99361111113103107</v>
      </c>
      <c r="L2280" s="1" t="str">
        <f t="shared" si="178"/>
        <v>OK</v>
      </c>
      <c r="M2280" s="1">
        <f t="shared" si="175"/>
        <v>1</v>
      </c>
      <c r="N2280" s="1">
        <f t="shared" si="176"/>
        <v>31</v>
      </c>
      <c r="O2280" s="10">
        <f t="shared" si="179"/>
        <v>0.99361111113103107</v>
      </c>
    </row>
    <row r="2281" spans="1:15">
      <c r="A2281" s="1" t="s">
        <v>2386</v>
      </c>
      <c r="B2281" s="23">
        <v>45155.248611111114</v>
      </c>
      <c r="C2281" s="1" t="s">
        <v>16</v>
      </c>
      <c r="D2281" s="1" t="s">
        <v>21</v>
      </c>
      <c r="E2281" s="1" t="s">
        <v>13</v>
      </c>
      <c r="F2281" s="1" t="s">
        <v>274</v>
      </c>
      <c r="G2281" s="1">
        <v>28</v>
      </c>
      <c r="H2281" s="23">
        <v>45155.329456018517</v>
      </c>
      <c r="I2281" s="1" t="b">
        <v>0</v>
      </c>
      <c r="K2281" s="10">
        <f t="shared" si="177"/>
        <v>1.940277777670417</v>
      </c>
      <c r="L2281" s="1" t="str">
        <f t="shared" si="178"/>
        <v>OK</v>
      </c>
      <c r="M2281" s="1">
        <f t="shared" si="175"/>
        <v>1</v>
      </c>
      <c r="N2281" s="1">
        <f t="shared" si="176"/>
        <v>28</v>
      </c>
      <c r="O2281" s="10">
        <f t="shared" si="179"/>
        <v>1.940277777670417</v>
      </c>
    </row>
    <row r="2282" spans="1:15">
      <c r="A2282" s="1" t="s">
        <v>2387</v>
      </c>
      <c r="B2282" s="23">
        <v>45155.270138888889</v>
      </c>
      <c r="C2282" s="1" t="s">
        <v>11</v>
      </c>
      <c r="D2282" s="1" t="s">
        <v>59</v>
      </c>
      <c r="E2282" s="1" t="s">
        <v>33</v>
      </c>
      <c r="F2282" s="1" t="s">
        <v>112</v>
      </c>
      <c r="G2282" s="1">
        <v>61</v>
      </c>
      <c r="H2282" s="23">
        <v>45155.542141203703</v>
      </c>
      <c r="I2282" s="1" t="b">
        <v>0</v>
      </c>
      <c r="J2282" s="1">
        <v>4</v>
      </c>
      <c r="K2282" s="10">
        <f t="shared" si="177"/>
        <v>6.5280555555364117</v>
      </c>
      <c r="L2282" s="1" t="str">
        <f t="shared" si="178"/>
        <v>OK</v>
      </c>
      <c r="M2282" s="1">
        <f t="shared" si="175"/>
        <v>1</v>
      </c>
      <c r="N2282" s="1">
        <f t="shared" si="176"/>
        <v>61</v>
      </c>
      <c r="O2282" s="10">
        <f t="shared" si="179"/>
        <v>6.5280555555364117</v>
      </c>
    </row>
    <row r="2283" spans="1:15">
      <c r="A2283" s="1" t="s">
        <v>2388</v>
      </c>
      <c r="B2283" s="23">
        <v>45155.402777777781</v>
      </c>
      <c r="C2283" s="1" t="s">
        <v>16</v>
      </c>
      <c r="D2283" s="1" t="s">
        <v>12</v>
      </c>
      <c r="E2283" s="1" t="s">
        <v>18</v>
      </c>
      <c r="F2283" s="1" t="s">
        <v>92</v>
      </c>
      <c r="G2283" s="1">
        <v>120</v>
      </c>
      <c r="H2283" s="23">
        <v>45155.68959490741</v>
      </c>
      <c r="I2283" s="1" t="b">
        <v>0</v>
      </c>
      <c r="K2283" s="10">
        <f t="shared" si="177"/>
        <v>6.8836111110867932</v>
      </c>
      <c r="L2283" s="1" t="str">
        <f t="shared" si="178"/>
        <v>OK</v>
      </c>
      <c r="M2283" s="1">
        <f t="shared" si="175"/>
        <v>1</v>
      </c>
      <c r="N2283" s="1">
        <f t="shared" si="176"/>
        <v>120</v>
      </c>
      <c r="O2283" s="10">
        <f t="shared" si="179"/>
        <v>6.8836111110867932</v>
      </c>
    </row>
    <row r="2284" spans="1:15">
      <c r="A2284" s="1" t="s">
        <v>2389</v>
      </c>
      <c r="B2284" s="23">
        <v>45155.462500000001</v>
      </c>
      <c r="C2284" s="1" t="s">
        <v>25</v>
      </c>
      <c r="D2284" s="1" t="s">
        <v>17</v>
      </c>
      <c r="E2284" s="1" t="s">
        <v>13</v>
      </c>
      <c r="F2284" s="1" t="s">
        <v>134</v>
      </c>
      <c r="G2284" s="1">
        <v>28</v>
      </c>
      <c r="H2284" s="23">
        <v>45160.967615740738</v>
      </c>
      <c r="I2284" s="1" t="b">
        <v>0</v>
      </c>
      <c r="K2284" s="10">
        <f t="shared" si="177"/>
        <v>132.12277777766576</v>
      </c>
      <c r="L2284" s="1" t="str">
        <f t="shared" si="178"/>
        <v>OK</v>
      </c>
      <c r="M2284" s="1">
        <f t="shared" si="175"/>
        <v>1</v>
      </c>
      <c r="N2284" s="1">
        <f t="shared" si="176"/>
        <v>28</v>
      </c>
      <c r="O2284" s="10">
        <f t="shared" si="179"/>
        <v>132.12277777766576</v>
      </c>
    </row>
    <row r="2285" spans="1:15">
      <c r="A2285" s="1" t="s">
        <v>2390</v>
      </c>
      <c r="B2285" s="23">
        <v>45155.604166666664</v>
      </c>
      <c r="C2285" s="1" t="s">
        <v>16</v>
      </c>
      <c r="D2285" s="1" t="s">
        <v>26</v>
      </c>
      <c r="E2285" s="1" t="s">
        <v>13</v>
      </c>
      <c r="F2285" s="1" t="s">
        <v>114</v>
      </c>
      <c r="G2285" s="1">
        <v>25</v>
      </c>
      <c r="I2285" s="1" t="b">
        <v>0</v>
      </c>
      <c r="K2285" s="10" t="str">
        <f t="shared" si="177"/>
        <v/>
      </c>
      <c r="L2285" s="1" t="str">
        <f t="shared" si="178"/>
        <v>Cannot check</v>
      </c>
      <c r="M2285" s="1">
        <f t="shared" si="175"/>
        <v>1</v>
      </c>
      <c r="N2285" s="1">
        <f t="shared" si="176"/>
        <v>25</v>
      </c>
      <c r="O2285" s="10" t="str">
        <f t="shared" si="179"/>
        <v/>
      </c>
    </row>
    <row r="2286" spans="1:15">
      <c r="A2286" s="1" t="s">
        <v>2391</v>
      </c>
      <c r="B2286" s="23">
        <v>45155.621527777781</v>
      </c>
      <c r="C2286" s="1" t="s">
        <v>16</v>
      </c>
      <c r="D2286" s="1" t="s">
        <v>21</v>
      </c>
      <c r="E2286" s="1" t="s">
        <v>33</v>
      </c>
      <c r="F2286" s="1" t="s">
        <v>162</v>
      </c>
      <c r="G2286" s="1">
        <v>212</v>
      </c>
      <c r="H2286" s="23">
        <v>45164.009884259256</v>
      </c>
      <c r="I2286" s="1" t="b">
        <v>0</v>
      </c>
      <c r="K2286" s="10">
        <f t="shared" si="177"/>
        <v>201.32055555540137</v>
      </c>
      <c r="L2286" s="1" t="str">
        <f t="shared" si="178"/>
        <v>OK</v>
      </c>
      <c r="M2286" s="1">
        <f t="shared" si="175"/>
        <v>1</v>
      </c>
      <c r="N2286" s="1">
        <f t="shared" si="176"/>
        <v>212</v>
      </c>
      <c r="O2286" s="10">
        <f t="shared" si="179"/>
        <v>201.32055555540137</v>
      </c>
    </row>
    <row r="2287" spans="1:15">
      <c r="A2287" s="1" t="s">
        <v>2392</v>
      </c>
      <c r="B2287" s="23">
        <v>45155.802777777775</v>
      </c>
      <c r="C2287" s="1" t="s">
        <v>11</v>
      </c>
      <c r="D2287" s="1" t="s">
        <v>59</v>
      </c>
      <c r="E2287" s="1" t="s">
        <v>33</v>
      </c>
      <c r="F2287" s="1" t="s">
        <v>76</v>
      </c>
      <c r="G2287" s="1">
        <v>157</v>
      </c>
      <c r="H2287" s="23">
        <v>45160.26321759259</v>
      </c>
      <c r="I2287" s="1" t="b">
        <v>0</v>
      </c>
      <c r="K2287" s="10">
        <f t="shared" si="177"/>
        <v>107.05055555555737</v>
      </c>
      <c r="L2287" s="1" t="str">
        <f t="shared" si="178"/>
        <v>OK</v>
      </c>
      <c r="M2287" s="1">
        <f t="shared" si="175"/>
        <v>1</v>
      </c>
      <c r="N2287" s="1">
        <f t="shared" si="176"/>
        <v>157</v>
      </c>
      <c r="O2287" s="10">
        <f t="shared" si="179"/>
        <v>107.05055555555737</v>
      </c>
    </row>
    <row r="2288" spans="1:15">
      <c r="A2288" s="1" t="s">
        <v>2393</v>
      </c>
      <c r="B2288" s="23">
        <v>45155.954861111109</v>
      </c>
      <c r="C2288" s="1" t="s">
        <v>25</v>
      </c>
      <c r="D2288" s="1" t="s">
        <v>17</v>
      </c>
      <c r="E2288" s="1" t="s">
        <v>18</v>
      </c>
      <c r="F2288" s="1" t="s">
        <v>114</v>
      </c>
      <c r="G2288" s="1">
        <v>52</v>
      </c>
      <c r="H2288" s="23">
        <v>45159.627245370371</v>
      </c>
      <c r="I2288" s="1" t="b">
        <v>0</v>
      </c>
      <c r="J2288" s="1">
        <v>5</v>
      </c>
      <c r="K2288" s="10">
        <f t="shared" si="177"/>
        <v>88.137222222285345</v>
      </c>
      <c r="L2288" s="1" t="str">
        <f t="shared" si="178"/>
        <v>OK</v>
      </c>
      <c r="M2288" s="1">
        <f t="shared" si="175"/>
        <v>1</v>
      </c>
      <c r="N2288" s="1">
        <f t="shared" si="176"/>
        <v>52</v>
      </c>
      <c r="O2288" s="10">
        <f t="shared" si="179"/>
        <v>88.137222222285345</v>
      </c>
    </row>
    <row r="2289" spans="1:15">
      <c r="A2289" s="1" t="s">
        <v>2394</v>
      </c>
      <c r="B2289" s="23">
        <v>45155.982638888891</v>
      </c>
      <c r="C2289" s="1" t="s">
        <v>25</v>
      </c>
      <c r="D2289" s="1" t="s">
        <v>59</v>
      </c>
      <c r="E2289" s="1" t="s">
        <v>18</v>
      </c>
      <c r="F2289" s="1" t="s">
        <v>84</v>
      </c>
      <c r="G2289" s="1">
        <v>52</v>
      </c>
      <c r="H2289" s="23">
        <v>45156.302604166667</v>
      </c>
      <c r="I2289" s="1" t="b">
        <v>0</v>
      </c>
      <c r="K2289" s="10">
        <f t="shared" si="177"/>
        <v>7.6791666666395031</v>
      </c>
      <c r="L2289" s="1" t="str">
        <f t="shared" si="178"/>
        <v>OK</v>
      </c>
      <c r="M2289" s="1">
        <f t="shared" si="175"/>
        <v>1</v>
      </c>
      <c r="N2289" s="1">
        <f t="shared" si="176"/>
        <v>52</v>
      </c>
      <c r="O2289" s="10">
        <f t="shared" si="179"/>
        <v>7.6791666666395031</v>
      </c>
    </row>
    <row r="2290" spans="1:15">
      <c r="A2290" s="1" t="s">
        <v>2395</v>
      </c>
      <c r="B2290" s="23">
        <v>45156.002083333333</v>
      </c>
      <c r="C2290" s="1" t="s">
        <v>43</v>
      </c>
      <c r="D2290" s="1" t="s">
        <v>17</v>
      </c>
      <c r="E2290" s="1" t="s">
        <v>22</v>
      </c>
      <c r="F2290" s="1" t="s">
        <v>108</v>
      </c>
      <c r="G2290" s="1">
        <v>21</v>
      </c>
      <c r="H2290" s="23">
        <v>45156.311053240737</v>
      </c>
      <c r="I2290" s="1" t="b">
        <v>0</v>
      </c>
      <c r="K2290" s="10">
        <f t="shared" si="177"/>
        <v>7.4152777777053416</v>
      </c>
      <c r="L2290" s="1" t="str">
        <f t="shared" si="178"/>
        <v>OK</v>
      </c>
      <c r="M2290" s="1">
        <f t="shared" si="175"/>
        <v>1</v>
      </c>
      <c r="N2290" s="1">
        <f t="shared" si="176"/>
        <v>21</v>
      </c>
      <c r="O2290" s="10">
        <f t="shared" si="179"/>
        <v>7.4152777777053416</v>
      </c>
    </row>
    <row r="2291" spans="1:15">
      <c r="A2291" s="1" t="s">
        <v>2396</v>
      </c>
      <c r="B2291" s="23">
        <v>45156.040277777778</v>
      </c>
      <c r="C2291" s="1" t="s">
        <v>16</v>
      </c>
      <c r="D2291" s="1" t="s">
        <v>21</v>
      </c>
      <c r="E2291" s="1" t="s">
        <v>18</v>
      </c>
      <c r="F2291" s="1" t="s">
        <v>234</v>
      </c>
      <c r="G2291" s="1">
        <v>124</v>
      </c>
      <c r="H2291" s="23">
        <v>45156.226388888892</v>
      </c>
      <c r="I2291" s="1" t="b">
        <v>0</v>
      </c>
      <c r="K2291" s="10">
        <f t="shared" si="177"/>
        <v>4.4666666667326353</v>
      </c>
      <c r="L2291" s="1" t="str">
        <f t="shared" si="178"/>
        <v>OK</v>
      </c>
      <c r="M2291" s="1">
        <f t="shared" si="175"/>
        <v>1</v>
      </c>
      <c r="N2291" s="1">
        <f t="shared" si="176"/>
        <v>124</v>
      </c>
      <c r="O2291" s="10">
        <f t="shared" si="179"/>
        <v>4.4666666667326353</v>
      </c>
    </row>
    <row r="2292" spans="1:15">
      <c r="A2292" s="1" t="s">
        <v>2397</v>
      </c>
      <c r="B2292" s="23">
        <v>45156.102083333331</v>
      </c>
      <c r="C2292" s="1" t="s">
        <v>16</v>
      </c>
      <c r="D2292" s="1" t="s">
        <v>17</v>
      </c>
      <c r="E2292" s="1" t="s">
        <v>33</v>
      </c>
      <c r="F2292" s="1" t="s">
        <v>486</v>
      </c>
      <c r="G2292" s="1">
        <v>118</v>
      </c>
      <c r="H2292" s="23">
        <v>45198.009560185186</v>
      </c>
      <c r="I2292" s="1" t="b">
        <v>0</v>
      </c>
      <c r="K2292" s="10">
        <f t="shared" si="177"/>
        <v>1005.7794444445171</v>
      </c>
      <c r="L2292" s="1" t="str">
        <f t="shared" si="178"/>
        <v>OK</v>
      </c>
      <c r="M2292" s="1">
        <f t="shared" si="175"/>
        <v>1</v>
      </c>
      <c r="N2292" s="1">
        <f t="shared" si="176"/>
        <v>118</v>
      </c>
      <c r="O2292" s="10">
        <f t="shared" si="179"/>
        <v>1005.7794444445171</v>
      </c>
    </row>
    <row r="2293" spans="1:15">
      <c r="A2293" s="1" t="s">
        <v>2398</v>
      </c>
      <c r="B2293" s="23">
        <v>45156.133333333331</v>
      </c>
      <c r="C2293" s="1" t="s">
        <v>25</v>
      </c>
      <c r="D2293" s="1" t="s">
        <v>17</v>
      </c>
      <c r="E2293" s="1" t="s">
        <v>18</v>
      </c>
      <c r="F2293" s="1" t="s">
        <v>132</v>
      </c>
      <c r="G2293" s="1">
        <v>27</v>
      </c>
      <c r="H2293" s="23">
        <v>45157.319039351853</v>
      </c>
      <c r="I2293" s="1" t="b">
        <v>0</v>
      </c>
      <c r="K2293" s="10">
        <f t="shared" si="177"/>
        <v>28.456944444507826</v>
      </c>
      <c r="L2293" s="1" t="str">
        <f t="shared" si="178"/>
        <v>OK</v>
      </c>
      <c r="M2293" s="1">
        <f t="shared" si="175"/>
        <v>1</v>
      </c>
      <c r="N2293" s="1">
        <f t="shared" si="176"/>
        <v>27</v>
      </c>
      <c r="O2293" s="10">
        <f t="shared" si="179"/>
        <v>28.456944444507826</v>
      </c>
    </row>
    <row r="2294" spans="1:15">
      <c r="A2294" s="1" t="s">
        <v>2399</v>
      </c>
      <c r="B2294" s="23">
        <v>45156.23333333333</v>
      </c>
      <c r="C2294" s="1" t="s">
        <v>11</v>
      </c>
      <c r="D2294" s="1" t="s">
        <v>59</v>
      </c>
      <c r="E2294" s="1" t="s">
        <v>18</v>
      </c>
      <c r="F2294" s="1" t="s">
        <v>228</v>
      </c>
      <c r="G2294" s="1">
        <v>25</v>
      </c>
      <c r="H2294" s="23">
        <v>45157.934664351851</v>
      </c>
      <c r="I2294" s="1" t="b">
        <v>1</v>
      </c>
      <c r="K2294" s="10">
        <f t="shared" si="177"/>
        <v>40.831944444507826</v>
      </c>
      <c r="L2294" s="1" t="str">
        <f t="shared" si="178"/>
        <v>OK</v>
      </c>
      <c r="M2294" s="1">
        <f t="shared" si="175"/>
        <v>1</v>
      </c>
      <c r="N2294" s="1">
        <f t="shared" si="176"/>
        <v>25</v>
      </c>
      <c r="O2294" s="10">
        <f t="shared" si="179"/>
        <v>40.831944444507826</v>
      </c>
    </row>
    <row r="2295" spans="1:15">
      <c r="A2295" s="1" t="s">
        <v>2400</v>
      </c>
      <c r="B2295" s="23">
        <v>45156.333333333336</v>
      </c>
      <c r="C2295" s="1" t="s">
        <v>25</v>
      </c>
      <c r="D2295" s="1" t="s">
        <v>17</v>
      </c>
      <c r="E2295" s="1" t="s">
        <v>33</v>
      </c>
      <c r="F2295" s="1" t="s">
        <v>186</v>
      </c>
      <c r="G2295" s="1">
        <v>101</v>
      </c>
      <c r="I2295" s="1" t="b">
        <v>0</v>
      </c>
      <c r="K2295" s="10" t="str">
        <f t="shared" si="177"/>
        <v/>
      </c>
      <c r="L2295" s="1" t="str">
        <f t="shared" si="178"/>
        <v>Cannot check</v>
      </c>
      <c r="M2295" s="1">
        <f t="shared" si="175"/>
        <v>1</v>
      </c>
      <c r="N2295" s="1">
        <f t="shared" si="176"/>
        <v>101</v>
      </c>
      <c r="O2295" s="10" t="str">
        <f t="shared" si="179"/>
        <v/>
      </c>
    </row>
    <row r="2296" spans="1:15">
      <c r="A2296" s="1" t="s">
        <v>2401</v>
      </c>
      <c r="B2296" s="23">
        <v>45156.393055555556</v>
      </c>
      <c r="C2296" s="1" t="s">
        <v>25</v>
      </c>
      <c r="D2296" s="1" t="s">
        <v>17</v>
      </c>
      <c r="E2296" s="1" t="s">
        <v>18</v>
      </c>
      <c r="F2296" s="1" t="s">
        <v>112</v>
      </c>
      <c r="G2296" s="1">
        <v>138</v>
      </c>
      <c r="H2296" s="23">
        <v>45158.547453703701</v>
      </c>
      <c r="I2296" s="1" t="b">
        <v>0</v>
      </c>
      <c r="J2296" s="1">
        <v>4</v>
      </c>
      <c r="K2296" s="10">
        <f t="shared" si="177"/>
        <v>51.705555555468891</v>
      </c>
      <c r="L2296" s="1" t="str">
        <f t="shared" si="178"/>
        <v>OK</v>
      </c>
      <c r="M2296" s="1">
        <f t="shared" si="175"/>
        <v>1</v>
      </c>
      <c r="N2296" s="1">
        <f t="shared" si="176"/>
        <v>138</v>
      </c>
      <c r="O2296" s="10">
        <f t="shared" si="179"/>
        <v>51.705555555468891</v>
      </c>
    </row>
    <row r="2297" spans="1:15">
      <c r="A2297" s="1" t="s">
        <v>2402</v>
      </c>
      <c r="B2297" s="23">
        <v>45156.537499999999</v>
      </c>
      <c r="C2297" s="1" t="s">
        <v>25</v>
      </c>
      <c r="D2297" s="1" t="s">
        <v>12</v>
      </c>
      <c r="E2297" s="1" t="s">
        <v>18</v>
      </c>
      <c r="F2297" s="1" t="s">
        <v>94</v>
      </c>
      <c r="G2297" s="1">
        <v>205</v>
      </c>
      <c r="H2297" s="23">
        <v>45160.11210648148</v>
      </c>
      <c r="I2297" s="1" t="b">
        <v>0</v>
      </c>
      <c r="J2297" s="1">
        <v>5</v>
      </c>
      <c r="K2297" s="10">
        <f t="shared" si="177"/>
        <v>85.790555555548053</v>
      </c>
      <c r="L2297" s="1" t="str">
        <f t="shared" si="178"/>
        <v>OK</v>
      </c>
      <c r="M2297" s="1">
        <f t="shared" si="175"/>
        <v>1</v>
      </c>
      <c r="N2297" s="1">
        <f t="shared" si="176"/>
        <v>205</v>
      </c>
      <c r="O2297" s="10">
        <f t="shared" si="179"/>
        <v>85.790555555548053</v>
      </c>
    </row>
    <row r="2298" spans="1:15">
      <c r="A2298" s="1" t="s">
        <v>2403</v>
      </c>
      <c r="B2298" s="23">
        <v>45156.625694444447</v>
      </c>
      <c r="C2298" s="1" t="s">
        <v>16</v>
      </c>
      <c r="D2298" s="1" t="s">
        <v>21</v>
      </c>
      <c r="E2298" s="1" t="s">
        <v>18</v>
      </c>
      <c r="F2298" s="1" t="s">
        <v>64</v>
      </c>
      <c r="G2298" s="1">
        <v>268</v>
      </c>
      <c r="H2298" s="23">
        <v>45158.335439814815</v>
      </c>
      <c r="I2298" s="1" t="b">
        <v>0</v>
      </c>
      <c r="K2298" s="10">
        <f t="shared" si="177"/>
        <v>41.033888888836373</v>
      </c>
      <c r="L2298" s="1" t="str">
        <f t="shared" si="178"/>
        <v>OK</v>
      </c>
      <c r="M2298" s="1">
        <f t="shared" si="175"/>
        <v>1</v>
      </c>
      <c r="N2298" s="1">
        <f t="shared" si="176"/>
        <v>268</v>
      </c>
      <c r="O2298" s="10">
        <f t="shared" si="179"/>
        <v>41.033888888836373</v>
      </c>
    </row>
    <row r="2299" spans="1:15">
      <c r="A2299" s="1" t="s">
        <v>2404</v>
      </c>
      <c r="B2299" s="23">
        <v>45156.62777777778</v>
      </c>
      <c r="C2299" s="1" t="s">
        <v>43</v>
      </c>
      <c r="D2299" s="1" t="s">
        <v>17</v>
      </c>
      <c r="E2299" s="1" t="s">
        <v>13</v>
      </c>
      <c r="F2299" s="1" t="s">
        <v>274</v>
      </c>
      <c r="G2299" s="1">
        <v>37</v>
      </c>
      <c r="I2299" s="1" t="b">
        <v>0</v>
      </c>
      <c r="K2299" s="10" t="str">
        <f t="shared" si="177"/>
        <v/>
      </c>
      <c r="L2299" s="1" t="str">
        <f t="shared" si="178"/>
        <v>Cannot check</v>
      </c>
      <c r="M2299" s="1">
        <f t="shared" si="175"/>
        <v>1</v>
      </c>
      <c r="N2299" s="1">
        <f t="shared" si="176"/>
        <v>37</v>
      </c>
      <c r="O2299" s="10" t="str">
        <f t="shared" si="179"/>
        <v/>
      </c>
    </row>
    <row r="2300" spans="1:15">
      <c r="A2300" s="1" t="s">
        <v>2405</v>
      </c>
      <c r="B2300" s="23">
        <v>45156.651388888888</v>
      </c>
      <c r="C2300" s="1" t="s">
        <v>11</v>
      </c>
      <c r="D2300" s="1" t="s">
        <v>17</v>
      </c>
      <c r="E2300" s="1" t="s">
        <v>18</v>
      </c>
      <c r="F2300" s="1" t="s">
        <v>92</v>
      </c>
      <c r="G2300" s="1">
        <v>167</v>
      </c>
      <c r="H2300" s="23">
        <v>45157.929849537039</v>
      </c>
      <c r="I2300" s="1" t="b">
        <v>0</v>
      </c>
      <c r="K2300" s="10">
        <f t="shared" si="177"/>
        <v>30.683055555622559</v>
      </c>
      <c r="L2300" s="1" t="str">
        <f t="shared" si="178"/>
        <v>OK</v>
      </c>
      <c r="M2300" s="1">
        <f t="shared" si="175"/>
        <v>1</v>
      </c>
      <c r="N2300" s="1">
        <f t="shared" si="176"/>
        <v>167</v>
      </c>
      <c r="O2300" s="10">
        <f t="shared" si="179"/>
        <v>30.683055555622559</v>
      </c>
    </row>
    <row r="2301" spans="1:15">
      <c r="A2301" s="1" t="s">
        <v>2406</v>
      </c>
      <c r="B2301" s="23">
        <v>45156.710416666669</v>
      </c>
      <c r="C2301" s="1" t="s">
        <v>16</v>
      </c>
      <c r="D2301" s="1" t="s">
        <v>21</v>
      </c>
      <c r="E2301" s="1" t="s">
        <v>13</v>
      </c>
      <c r="F2301" s="1" t="s">
        <v>66</v>
      </c>
      <c r="G2301" s="1">
        <v>62</v>
      </c>
      <c r="H2301" s="23">
        <v>45156.7815162037</v>
      </c>
      <c r="I2301" s="1" t="b">
        <v>0</v>
      </c>
      <c r="K2301" s="10">
        <f t="shared" si="177"/>
        <v>1.7063888887641951</v>
      </c>
      <c r="L2301" s="1" t="str">
        <f t="shared" si="178"/>
        <v>OK</v>
      </c>
      <c r="M2301" s="1">
        <f t="shared" si="175"/>
        <v>1</v>
      </c>
      <c r="N2301" s="1">
        <f t="shared" si="176"/>
        <v>62</v>
      </c>
      <c r="O2301" s="10">
        <f t="shared" si="179"/>
        <v>1.7063888887641951</v>
      </c>
    </row>
    <row r="2302" spans="1:15">
      <c r="A2302" s="1" t="s">
        <v>2407</v>
      </c>
      <c r="B2302" s="23">
        <v>45156.87777777778</v>
      </c>
      <c r="C2302" s="1" t="s">
        <v>16</v>
      </c>
      <c r="D2302" s="1" t="s">
        <v>17</v>
      </c>
      <c r="E2302" s="1" t="s">
        <v>13</v>
      </c>
      <c r="F2302" s="1" t="s">
        <v>234</v>
      </c>
      <c r="G2302" s="1">
        <v>33</v>
      </c>
      <c r="H2302" s="23">
        <v>45158.805520833332</v>
      </c>
      <c r="I2302" s="1" t="b">
        <v>0</v>
      </c>
      <c r="J2302" s="1">
        <v>1</v>
      </c>
      <c r="K2302" s="10">
        <f t="shared" si="177"/>
        <v>46.265833333251067</v>
      </c>
      <c r="L2302" s="1" t="str">
        <f t="shared" si="178"/>
        <v>OK</v>
      </c>
      <c r="M2302" s="1">
        <f t="shared" si="175"/>
        <v>1</v>
      </c>
      <c r="N2302" s="1">
        <f t="shared" si="176"/>
        <v>33</v>
      </c>
      <c r="O2302" s="10">
        <f t="shared" si="179"/>
        <v>46.265833333251067</v>
      </c>
    </row>
    <row r="2303" spans="1:15">
      <c r="A2303" s="1" t="s">
        <v>2408</v>
      </c>
      <c r="B2303" s="23">
        <v>45156.890277777777</v>
      </c>
      <c r="C2303" s="1" t="s">
        <v>25</v>
      </c>
      <c r="D2303" s="1" t="s">
        <v>21</v>
      </c>
      <c r="E2303" s="1" t="s">
        <v>13</v>
      </c>
      <c r="F2303" s="1" t="s">
        <v>35</v>
      </c>
      <c r="G2303" s="1">
        <v>36</v>
      </c>
      <c r="H2303" s="23">
        <v>45157.001018518517</v>
      </c>
      <c r="I2303" s="1" t="b">
        <v>0</v>
      </c>
      <c r="K2303" s="10">
        <f t="shared" si="177"/>
        <v>2.6577777777565643</v>
      </c>
      <c r="L2303" s="1" t="str">
        <f t="shared" si="178"/>
        <v>OK</v>
      </c>
      <c r="M2303" s="1">
        <f t="shared" si="175"/>
        <v>1</v>
      </c>
      <c r="N2303" s="1">
        <f t="shared" si="176"/>
        <v>36</v>
      </c>
      <c r="O2303" s="10">
        <f t="shared" si="179"/>
        <v>2.6577777777565643</v>
      </c>
    </row>
    <row r="2304" spans="1:15">
      <c r="A2304" s="1" t="s">
        <v>2409</v>
      </c>
      <c r="B2304" s="23">
        <v>45156.938194444447</v>
      </c>
      <c r="C2304" s="1" t="s">
        <v>25</v>
      </c>
      <c r="D2304" s="1" t="s">
        <v>21</v>
      </c>
      <c r="E2304" s="1" t="s">
        <v>18</v>
      </c>
      <c r="F2304" s="1" t="s">
        <v>226</v>
      </c>
      <c r="G2304" s="1">
        <v>161</v>
      </c>
      <c r="H2304" s="23">
        <v>45157.265439814815</v>
      </c>
      <c r="I2304" s="1" t="b">
        <v>0</v>
      </c>
      <c r="K2304" s="10">
        <f t="shared" si="177"/>
        <v>7.8538888888433576</v>
      </c>
      <c r="L2304" s="1" t="str">
        <f t="shared" si="178"/>
        <v>OK</v>
      </c>
      <c r="M2304" s="1">
        <f t="shared" si="175"/>
        <v>1</v>
      </c>
      <c r="N2304" s="1">
        <f t="shared" si="176"/>
        <v>161</v>
      </c>
      <c r="O2304" s="10">
        <f t="shared" si="179"/>
        <v>7.8538888888433576</v>
      </c>
    </row>
    <row r="2305" spans="1:15">
      <c r="A2305" s="1" t="s">
        <v>2410</v>
      </c>
      <c r="B2305" s="23">
        <v>45156.964583333334</v>
      </c>
      <c r="C2305" s="1" t="s">
        <v>25</v>
      </c>
      <c r="D2305" s="1" t="s">
        <v>12</v>
      </c>
      <c r="E2305" s="1" t="s">
        <v>18</v>
      </c>
      <c r="F2305" s="1" t="s">
        <v>98</v>
      </c>
      <c r="G2305" s="1">
        <v>194</v>
      </c>
      <c r="H2305" s="23">
        <v>45157.970775462964</v>
      </c>
      <c r="I2305" s="1" t="b">
        <v>0</v>
      </c>
      <c r="J2305" s="1">
        <v>3</v>
      </c>
      <c r="K2305" s="10">
        <f t="shared" si="177"/>
        <v>24.148611111100763</v>
      </c>
      <c r="L2305" s="1" t="str">
        <f t="shared" si="178"/>
        <v>OK</v>
      </c>
      <c r="M2305" s="1">
        <f t="shared" si="175"/>
        <v>1</v>
      </c>
      <c r="N2305" s="1">
        <f t="shared" si="176"/>
        <v>194</v>
      </c>
      <c r="O2305" s="10">
        <f t="shared" si="179"/>
        <v>24.148611111100763</v>
      </c>
    </row>
    <row r="2306" spans="1:15">
      <c r="A2306" s="1" t="s">
        <v>2411</v>
      </c>
      <c r="B2306" s="23">
        <v>45157.304166666669</v>
      </c>
      <c r="C2306" s="1" t="s">
        <v>16</v>
      </c>
      <c r="D2306" s="1" t="s">
        <v>21</v>
      </c>
      <c r="E2306" s="1" t="s">
        <v>22</v>
      </c>
      <c r="F2306" s="1" t="s">
        <v>130</v>
      </c>
      <c r="G2306" s="1">
        <v>11</v>
      </c>
      <c r="H2306" s="23">
        <v>45158.29142361111</v>
      </c>
      <c r="I2306" s="1" t="b">
        <v>0</v>
      </c>
      <c r="K2306" s="10">
        <f t="shared" si="177"/>
        <v>23.694166666595265</v>
      </c>
      <c r="L2306" s="1" t="str">
        <f t="shared" si="178"/>
        <v>OK</v>
      </c>
      <c r="M2306" s="1">
        <f t="shared" ref="M2306:M2369" si="180">COUNTIF($A$2:$A$4001,A2306)</f>
        <v>1</v>
      </c>
      <c r="N2306" s="1">
        <f t="shared" ref="N2306:N2369" si="181">IF(OR(L2306="Review",G2306=""),"",G2306)</f>
        <v>11</v>
      </c>
      <c r="O2306" s="10">
        <f t="shared" si="179"/>
        <v>23.694166666595265</v>
      </c>
    </row>
    <row r="2307" spans="1:15">
      <c r="A2307" s="1" t="s">
        <v>2412</v>
      </c>
      <c r="B2307" s="23">
        <v>45157.381944444445</v>
      </c>
      <c r="C2307" s="1" t="s">
        <v>16</v>
      </c>
      <c r="D2307" s="1" t="s">
        <v>26</v>
      </c>
      <c r="E2307" s="1" t="s">
        <v>18</v>
      </c>
      <c r="F2307" s="1" t="s">
        <v>486</v>
      </c>
      <c r="G2307" s="1">
        <v>248</v>
      </c>
      <c r="H2307" s="23">
        <v>45159.10765046296</v>
      </c>
      <c r="I2307" s="1" t="b">
        <v>0</v>
      </c>
      <c r="J2307" s="1">
        <v>5</v>
      </c>
      <c r="K2307" s="10">
        <f t="shared" ref="K2307:K2370" si="182">IF(H2307="","",(H2307-B2307)*24)</f>
        <v>41.416944444354158</v>
      </c>
      <c r="L2307" s="1" t="str">
        <f t="shared" ref="L2307:L2370" si="183">IF(OR(G2307="",K2307=""),"Cannot check",IF(G2307&gt;K2307*60,"Review","OK"))</f>
        <v>OK</v>
      </c>
      <c r="M2307" s="1">
        <f t="shared" si="180"/>
        <v>1</v>
      </c>
      <c r="N2307" s="1">
        <f t="shared" si="181"/>
        <v>248</v>
      </c>
      <c r="O2307" s="10">
        <f t="shared" ref="O2307:O2370" si="184">IF(OR(L2307="Review",K2307=""),"",K2307)</f>
        <v>41.416944444354158</v>
      </c>
    </row>
    <row r="2308" spans="1:15">
      <c r="A2308" s="1" t="s">
        <v>2413</v>
      </c>
      <c r="B2308" s="23">
        <v>45157.599999999999</v>
      </c>
      <c r="C2308" s="1" t="s">
        <v>25</v>
      </c>
      <c r="D2308" s="1" t="s">
        <v>17</v>
      </c>
      <c r="E2308" s="1" t="s">
        <v>33</v>
      </c>
      <c r="F2308" s="1" t="s">
        <v>29</v>
      </c>
      <c r="G2308" s="1">
        <v>133</v>
      </c>
      <c r="H2308" s="23">
        <v>45158.535578703704</v>
      </c>
      <c r="I2308" s="1" t="b">
        <v>0</v>
      </c>
      <c r="K2308" s="10">
        <f t="shared" si="182"/>
        <v>22.45388888893649</v>
      </c>
      <c r="L2308" s="1" t="str">
        <f t="shared" si="183"/>
        <v>OK</v>
      </c>
      <c r="M2308" s="1">
        <f t="shared" si="180"/>
        <v>1</v>
      </c>
      <c r="N2308" s="1">
        <f t="shared" si="181"/>
        <v>133</v>
      </c>
      <c r="O2308" s="10">
        <f t="shared" si="184"/>
        <v>22.45388888893649</v>
      </c>
    </row>
    <row r="2309" spans="1:15">
      <c r="A2309" s="1" t="s">
        <v>2414</v>
      </c>
      <c r="B2309" s="23">
        <v>45157.650694444441</v>
      </c>
      <c r="C2309" s="1" t="s">
        <v>11</v>
      </c>
      <c r="D2309" s="1" t="s">
        <v>12</v>
      </c>
      <c r="E2309" s="1" t="s">
        <v>18</v>
      </c>
      <c r="F2309" s="1" t="s">
        <v>100</v>
      </c>
      <c r="G2309" s="1">
        <v>132</v>
      </c>
      <c r="H2309" s="23">
        <v>45160.59951388889</v>
      </c>
      <c r="I2309" s="1" t="b">
        <v>1</v>
      </c>
      <c r="K2309" s="10">
        <f t="shared" si="182"/>
        <v>70.771666666783858</v>
      </c>
      <c r="L2309" s="1" t="str">
        <f t="shared" si="183"/>
        <v>OK</v>
      </c>
      <c r="M2309" s="1">
        <f t="shared" si="180"/>
        <v>1</v>
      </c>
      <c r="N2309" s="1">
        <f t="shared" si="181"/>
        <v>132</v>
      </c>
      <c r="O2309" s="10">
        <f t="shared" si="184"/>
        <v>70.771666666783858</v>
      </c>
    </row>
    <row r="2310" spans="1:15">
      <c r="A2310" s="1" t="s">
        <v>2415</v>
      </c>
      <c r="B2310" s="23">
        <v>45157.693749999999</v>
      </c>
      <c r="C2310" s="1" t="s">
        <v>11</v>
      </c>
      <c r="D2310" s="1" t="s">
        <v>12</v>
      </c>
      <c r="E2310" s="1" t="s">
        <v>13</v>
      </c>
      <c r="F2310" s="1" t="s">
        <v>317</v>
      </c>
      <c r="G2310" s="1">
        <v>34</v>
      </c>
      <c r="H2310" s="23">
        <v>45158.402442129627</v>
      </c>
      <c r="I2310" s="1" t="b">
        <v>1</v>
      </c>
      <c r="J2310" s="1">
        <v>4</v>
      </c>
      <c r="K2310" s="10">
        <f t="shared" si="182"/>
        <v>17.008611111086793</v>
      </c>
      <c r="L2310" s="1" t="str">
        <f t="shared" si="183"/>
        <v>OK</v>
      </c>
      <c r="M2310" s="1">
        <f t="shared" si="180"/>
        <v>1</v>
      </c>
      <c r="N2310" s="1">
        <f t="shared" si="181"/>
        <v>34</v>
      </c>
      <c r="O2310" s="10">
        <f t="shared" si="184"/>
        <v>17.008611111086793</v>
      </c>
    </row>
    <row r="2311" spans="1:15">
      <c r="A2311" s="1" t="s">
        <v>2416</v>
      </c>
      <c r="B2311" s="23">
        <v>45157.738888888889</v>
      </c>
      <c r="C2311" s="1" t="s">
        <v>11</v>
      </c>
      <c r="D2311" s="1" t="s">
        <v>17</v>
      </c>
      <c r="E2311" s="1" t="s">
        <v>13</v>
      </c>
      <c r="F2311" s="1" t="s">
        <v>159</v>
      </c>
      <c r="G2311" s="1">
        <v>50</v>
      </c>
      <c r="H2311" s="23">
        <v>45157.888182870367</v>
      </c>
      <c r="I2311" s="1" t="b">
        <v>0</v>
      </c>
      <c r="K2311" s="10">
        <f t="shared" si="182"/>
        <v>3.5830555554712191</v>
      </c>
      <c r="L2311" s="1" t="str">
        <f t="shared" si="183"/>
        <v>OK</v>
      </c>
      <c r="M2311" s="1">
        <f t="shared" si="180"/>
        <v>1</v>
      </c>
      <c r="N2311" s="1">
        <f t="shared" si="181"/>
        <v>50</v>
      </c>
      <c r="O2311" s="10">
        <f t="shared" si="184"/>
        <v>3.5830555554712191</v>
      </c>
    </row>
    <row r="2312" spans="1:15">
      <c r="A2312" s="1" t="s">
        <v>2417</v>
      </c>
      <c r="B2312" s="23">
        <v>45157.757638888892</v>
      </c>
      <c r="C2312" s="1" t="s">
        <v>11</v>
      </c>
      <c r="D2312" s="1" t="s">
        <v>26</v>
      </c>
      <c r="E2312" s="1" t="s">
        <v>13</v>
      </c>
      <c r="F2312" s="1" t="s">
        <v>254</v>
      </c>
      <c r="G2312" s="1">
        <v>24</v>
      </c>
      <c r="H2312" s="23">
        <v>45158.048703703702</v>
      </c>
      <c r="I2312" s="1" t="b">
        <v>0</v>
      </c>
      <c r="K2312" s="10">
        <f t="shared" si="182"/>
        <v>6.9855555554386228</v>
      </c>
      <c r="L2312" s="1" t="str">
        <f t="shared" si="183"/>
        <v>OK</v>
      </c>
      <c r="M2312" s="1">
        <f t="shared" si="180"/>
        <v>1</v>
      </c>
      <c r="N2312" s="1">
        <f t="shared" si="181"/>
        <v>24</v>
      </c>
      <c r="O2312" s="10">
        <f t="shared" si="184"/>
        <v>6.9855555554386228</v>
      </c>
    </row>
    <row r="2313" spans="1:15">
      <c r="A2313" s="1" t="s">
        <v>2418</v>
      </c>
      <c r="B2313" s="23">
        <v>45158.061111111114</v>
      </c>
      <c r="C2313" s="1" t="s">
        <v>25</v>
      </c>
      <c r="D2313" s="1" t="s">
        <v>12</v>
      </c>
      <c r="E2313" s="1" t="s">
        <v>18</v>
      </c>
      <c r="F2313" s="1" t="s">
        <v>62</v>
      </c>
      <c r="G2313" s="1">
        <v>109</v>
      </c>
      <c r="H2313" s="23">
        <v>45160.469687500001</v>
      </c>
      <c r="I2313" s="1" t="b">
        <v>0</v>
      </c>
      <c r="J2313" s="1">
        <v>4</v>
      </c>
      <c r="K2313" s="10">
        <f t="shared" si="182"/>
        <v>57.805833333288319</v>
      </c>
      <c r="L2313" s="1" t="str">
        <f t="shared" si="183"/>
        <v>OK</v>
      </c>
      <c r="M2313" s="1">
        <f t="shared" si="180"/>
        <v>1</v>
      </c>
      <c r="N2313" s="1">
        <f t="shared" si="181"/>
        <v>109</v>
      </c>
      <c r="O2313" s="10">
        <f t="shared" si="184"/>
        <v>57.805833333288319</v>
      </c>
    </row>
    <row r="2314" spans="1:15">
      <c r="A2314" s="1" t="s">
        <v>2419</v>
      </c>
      <c r="B2314" s="23">
        <v>45158.119444444441</v>
      </c>
      <c r="C2314" s="1" t="s">
        <v>25</v>
      </c>
      <c r="D2314" s="1" t="s">
        <v>26</v>
      </c>
      <c r="E2314" s="1" t="s">
        <v>18</v>
      </c>
      <c r="F2314" s="1" t="s">
        <v>186</v>
      </c>
      <c r="G2314" s="1">
        <v>25</v>
      </c>
      <c r="H2314" s="23">
        <v>45159.656655092593</v>
      </c>
      <c r="I2314" s="1" t="b">
        <v>0</v>
      </c>
      <c r="J2314" s="1">
        <v>3</v>
      </c>
      <c r="K2314" s="10">
        <f t="shared" si="182"/>
        <v>36.893055555643514</v>
      </c>
      <c r="L2314" s="1" t="str">
        <f t="shared" si="183"/>
        <v>OK</v>
      </c>
      <c r="M2314" s="1">
        <f t="shared" si="180"/>
        <v>1</v>
      </c>
      <c r="N2314" s="1">
        <f t="shared" si="181"/>
        <v>25</v>
      </c>
      <c r="O2314" s="10">
        <f t="shared" si="184"/>
        <v>36.893055555643514</v>
      </c>
    </row>
    <row r="2315" spans="1:15">
      <c r="A2315" s="1" t="s">
        <v>2420</v>
      </c>
      <c r="B2315" s="23">
        <v>45158.17083333333</v>
      </c>
      <c r="C2315" s="1" t="s">
        <v>11</v>
      </c>
      <c r="D2315" s="1" t="s">
        <v>17</v>
      </c>
      <c r="E2315" s="1" t="s">
        <v>18</v>
      </c>
      <c r="F2315" s="1" t="s">
        <v>39</v>
      </c>
      <c r="G2315" s="1">
        <v>50</v>
      </c>
      <c r="H2315" s="23">
        <v>45159.726273148146</v>
      </c>
      <c r="I2315" s="1" t="b">
        <v>0</v>
      </c>
      <c r="K2315" s="10">
        <f t="shared" si="182"/>
        <v>37.330555555585306</v>
      </c>
      <c r="L2315" s="1" t="str">
        <f t="shared" si="183"/>
        <v>OK</v>
      </c>
      <c r="M2315" s="1">
        <f t="shared" si="180"/>
        <v>1</v>
      </c>
      <c r="N2315" s="1">
        <f t="shared" si="181"/>
        <v>50</v>
      </c>
      <c r="O2315" s="10">
        <f t="shared" si="184"/>
        <v>37.330555555585306</v>
      </c>
    </row>
    <row r="2316" spans="1:15">
      <c r="A2316" s="1" t="s">
        <v>2421</v>
      </c>
      <c r="B2316" s="23">
        <v>45158.213888888888</v>
      </c>
      <c r="C2316" s="1" t="s">
        <v>25</v>
      </c>
      <c r="D2316" s="1" t="s">
        <v>17</v>
      </c>
      <c r="E2316" s="1" t="s">
        <v>18</v>
      </c>
      <c r="F2316" s="1" t="s">
        <v>19</v>
      </c>
      <c r="G2316" s="1">
        <v>209</v>
      </c>
      <c r="H2316" s="23">
        <v>45159.386122685188</v>
      </c>
      <c r="I2316" s="1" t="b">
        <v>0</v>
      </c>
      <c r="K2316" s="10">
        <f t="shared" si="182"/>
        <v>28.133611111203209</v>
      </c>
      <c r="L2316" s="1" t="str">
        <f t="shared" si="183"/>
        <v>OK</v>
      </c>
      <c r="M2316" s="1">
        <f t="shared" si="180"/>
        <v>1</v>
      </c>
      <c r="N2316" s="1">
        <f t="shared" si="181"/>
        <v>209</v>
      </c>
      <c r="O2316" s="10">
        <f t="shared" si="184"/>
        <v>28.133611111203209</v>
      </c>
    </row>
    <row r="2317" spans="1:15">
      <c r="A2317" s="1" t="s">
        <v>2422</v>
      </c>
      <c r="B2317" s="23">
        <v>45158.355555555558</v>
      </c>
      <c r="C2317" s="1" t="s">
        <v>16</v>
      </c>
      <c r="D2317" s="1" t="s">
        <v>21</v>
      </c>
      <c r="E2317" s="1" t="s">
        <v>18</v>
      </c>
      <c r="F2317" s="1" t="s">
        <v>48</v>
      </c>
      <c r="G2317" s="1">
        <v>140</v>
      </c>
      <c r="H2317" s="23">
        <v>45158.733148148145</v>
      </c>
      <c r="I2317" s="1" t="b">
        <v>0</v>
      </c>
      <c r="J2317" s="1">
        <v>5</v>
      </c>
      <c r="K2317" s="10">
        <f t="shared" si="182"/>
        <v>9.0622222220990807</v>
      </c>
      <c r="L2317" s="1" t="str">
        <f t="shared" si="183"/>
        <v>OK</v>
      </c>
      <c r="M2317" s="1">
        <f t="shared" si="180"/>
        <v>1</v>
      </c>
      <c r="N2317" s="1">
        <f t="shared" si="181"/>
        <v>140</v>
      </c>
      <c r="O2317" s="10">
        <f t="shared" si="184"/>
        <v>9.0622222220990807</v>
      </c>
    </row>
    <row r="2318" spans="1:15">
      <c r="A2318" s="1" t="s">
        <v>2423</v>
      </c>
      <c r="B2318" s="23">
        <v>45158.412499999999</v>
      </c>
      <c r="C2318" s="1" t="s">
        <v>11</v>
      </c>
      <c r="D2318" s="1" t="s">
        <v>21</v>
      </c>
      <c r="E2318" s="1" t="s">
        <v>33</v>
      </c>
      <c r="F2318" s="1" t="s">
        <v>116</v>
      </c>
      <c r="G2318" s="1">
        <v>157</v>
      </c>
      <c r="H2318" s="23">
        <v>45159.839965277781</v>
      </c>
      <c r="I2318" s="1" t="b">
        <v>0</v>
      </c>
      <c r="K2318" s="10">
        <f t="shared" si="182"/>
        <v>34.259166666772217</v>
      </c>
      <c r="L2318" s="1" t="str">
        <f t="shared" si="183"/>
        <v>OK</v>
      </c>
      <c r="M2318" s="1">
        <f t="shared" si="180"/>
        <v>1</v>
      </c>
      <c r="N2318" s="1">
        <f t="shared" si="181"/>
        <v>157</v>
      </c>
      <c r="O2318" s="10">
        <f t="shared" si="184"/>
        <v>34.259166666772217</v>
      </c>
    </row>
    <row r="2319" spans="1:15">
      <c r="A2319" s="1" t="s">
        <v>2424</v>
      </c>
      <c r="B2319" s="23">
        <v>45158.463194444441</v>
      </c>
      <c r="C2319" s="1" t="s">
        <v>11</v>
      </c>
      <c r="D2319" s="1" t="s">
        <v>21</v>
      </c>
      <c r="E2319" s="1" t="s">
        <v>18</v>
      </c>
      <c r="F2319" s="1" t="s">
        <v>153</v>
      </c>
      <c r="G2319" s="1">
        <v>151</v>
      </c>
      <c r="H2319" s="23">
        <v>45158.93476851852</v>
      </c>
      <c r="I2319" s="1" t="b">
        <v>0</v>
      </c>
      <c r="K2319" s="10">
        <f t="shared" si="182"/>
        <v>11.317777777905576</v>
      </c>
      <c r="L2319" s="1" t="str">
        <f t="shared" si="183"/>
        <v>OK</v>
      </c>
      <c r="M2319" s="1">
        <f t="shared" si="180"/>
        <v>1</v>
      </c>
      <c r="N2319" s="1">
        <f t="shared" si="181"/>
        <v>151</v>
      </c>
      <c r="O2319" s="10">
        <f t="shared" si="184"/>
        <v>11.317777777905576</v>
      </c>
    </row>
    <row r="2320" spans="1:15">
      <c r="A2320" s="1" t="s">
        <v>2425</v>
      </c>
      <c r="B2320" s="23">
        <v>45158.484722222223</v>
      </c>
      <c r="C2320" s="1" t="s">
        <v>11</v>
      </c>
      <c r="D2320" s="1" t="s">
        <v>59</v>
      </c>
      <c r="E2320" s="1" t="s">
        <v>18</v>
      </c>
      <c r="F2320" s="1" t="s">
        <v>709</v>
      </c>
      <c r="G2320" s="1">
        <v>43</v>
      </c>
      <c r="H2320" s="23">
        <v>45160.562152777777</v>
      </c>
      <c r="I2320" s="1" t="b">
        <v>0</v>
      </c>
      <c r="K2320" s="10">
        <f t="shared" si="182"/>
        <v>49.858333333279006</v>
      </c>
      <c r="L2320" s="1" t="str">
        <f t="shared" si="183"/>
        <v>OK</v>
      </c>
      <c r="M2320" s="1">
        <f t="shared" si="180"/>
        <v>1</v>
      </c>
      <c r="N2320" s="1">
        <f t="shared" si="181"/>
        <v>43</v>
      </c>
      <c r="O2320" s="10">
        <f t="shared" si="184"/>
        <v>49.858333333279006</v>
      </c>
    </row>
    <row r="2321" spans="1:15">
      <c r="A2321" s="1" t="s">
        <v>2426</v>
      </c>
      <c r="B2321" s="23">
        <v>45158.561111111114</v>
      </c>
      <c r="C2321" s="1" t="s">
        <v>16</v>
      </c>
      <c r="D2321" s="1" t="s">
        <v>21</v>
      </c>
      <c r="E2321" s="1" t="s">
        <v>22</v>
      </c>
      <c r="F2321" s="1" t="s">
        <v>114</v>
      </c>
      <c r="G2321" s="1">
        <v>71</v>
      </c>
      <c r="H2321" s="23">
        <v>45158.686388888891</v>
      </c>
      <c r="I2321" s="1" t="b">
        <v>0</v>
      </c>
      <c r="K2321" s="10">
        <f t="shared" si="182"/>
        <v>3.0066666666534729</v>
      </c>
      <c r="L2321" s="1" t="str">
        <f t="shared" si="183"/>
        <v>OK</v>
      </c>
      <c r="M2321" s="1">
        <f t="shared" si="180"/>
        <v>1</v>
      </c>
      <c r="N2321" s="1">
        <f t="shared" si="181"/>
        <v>71</v>
      </c>
      <c r="O2321" s="10">
        <f t="shared" si="184"/>
        <v>3.0066666666534729</v>
      </c>
    </row>
    <row r="2322" spans="1:15">
      <c r="A2322" s="1" t="s">
        <v>2427</v>
      </c>
      <c r="B2322" s="23">
        <v>45158.618055555555</v>
      </c>
      <c r="C2322" s="1" t="s">
        <v>16</v>
      </c>
      <c r="D2322" s="1" t="s">
        <v>17</v>
      </c>
      <c r="E2322" s="1" t="s">
        <v>33</v>
      </c>
      <c r="F2322" s="1" t="s">
        <v>162</v>
      </c>
      <c r="G2322" s="1">
        <v>270</v>
      </c>
      <c r="H2322" s="23">
        <v>45176.845694444448</v>
      </c>
      <c r="I2322" s="1" t="b">
        <v>0</v>
      </c>
      <c r="K2322" s="10">
        <f t="shared" si="182"/>
        <v>437.463333333435</v>
      </c>
      <c r="L2322" s="1" t="str">
        <f t="shared" si="183"/>
        <v>OK</v>
      </c>
      <c r="M2322" s="1">
        <f t="shared" si="180"/>
        <v>1</v>
      </c>
      <c r="N2322" s="1">
        <f t="shared" si="181"/>
        <v>270</v>
      </c>
      <c r="O2322" s="10">
        <f t="shared" si="184"/>
        <v>437.463333333435</v>
      </c>
    </row>
    <row r="2323" spans="1:15">
      <c r="A2323" s="1" t="s">
        <v>2428</v>
      </c>
      <c r="B2323" s="23">
        <v>45158.70416666667</v>
      </c>
      <c r="C2323" s="1" t="s">
        <v>16</v>
      </c>
      <c r="D2323" s="1" t="s">
        <v>26</v>
      </c>
      <c r="E2323" s="1" t="s">
        <v>22</v>
      </c>
      <c r="F2323" s="1" t="s">
        <v>72</v>
      </c>
      <c r="G2323" s="1">
        <v>10</v>
      </c>
      <c r="H2323" s="23">
        <v>45159.58053240741</v>
      </c>
      <c r="I2323" s="1" t="b">
        <v>0</v>
      </c>
      <c r="K2323" s="10">
        <f t="shared" si="182"/>
        <v>21.032777777756564</v>
      </c>
      <c r="L2323" s="1" t="str">
        <f t="shared" si="183"/>
        <v>OK</v>
      </c>
      <c r="M2323" s="1">
        <f t="shared" si="180"/>
        <v>1</v>
      </c>
      <c r="N2323" s="1">
        <f t="shared" si="181"/>
        <v>10</v>
      </c>
      <c r="O2323" s="10">
        <f t="shared" si="184"/>
        <v>21.032777777756564</v>
      </c>
    </row>
    <row r="2324" spans="1:15">
      <c r="A2324" s="1" t="s">
        <v>2429</v>
      </c>
      <c r="B2324" s="23">
        <v>45158.912499999999</v>
      </c>
      <c r="C2324" s="1" t="s">
        <v>43</v>
      </c>
      <c r="D2324" s="1" t="s">
        <v>21</v>
      </c>
      <c r="E2324" s="1" t="s">
        <v>33</v>
      </c>
      <c r="F2324" s="1" t="s">
        <v>74</v>
      </c>
      <c r="G2324" s="1">
        <v>436</v>
      </c>
      <c r="H2324" s="23">
        <v>45161.988958333335</v>
      </c>
      <c r="I2324" s="1" t="b">
        <v>0</v>
      </c>
      <c r="K2324" s="10">
        <f t="shared" si="182"/>
        <v>73.835000000079162</v>
      </c>
      <c r="L2324" s="1" t="str">
        <f t="shared" si="183"/>
        <v>OK</v>
      </c>
      <c r="M2324" s="1">
        <f t="shared" si="180"/>
        <v>1</v>
      </c>
      <c r="N2324" s="1">
        <f t="shared" si="181"/>
        <v>436</v>
      </c>
      <c r="O2324" s="10">
        <f t="shared" si="184"/>
        <v>73.835000000079162</v>
      </c>
    </row>
    <row r="2325" spans="1:15">
      <c r="A2325" s="1" t="s">
        <v>2430</v>
      </c>
      <c r="B2325" s="23">
        <v>45159.102777777778</v>
      </c>
      <c r="C2325" s="1" t="s">
        <v>25</v>
      </c>
      <c r="D2325" s="1" t="s">
        <v>21</v>
      </c>
      <c r="E2325" s="1" t="s">
        <v>18</v>
      </c>
      <c r="F2325" s="1" t="s">
        <v>132</v>
      </c>
      <c r="G2325" s="1">
        <v>269</v>
      </c>
      <c r="H2325" s="23">
        <v>45160.01699074074</v>
      </c>
      <c r="I2325" s="1" t="b">
        <v>0</v>
      </c>
      <c r="K2325" s="10">
        <f t="shared" si="182"/>
        <v>21.941111111082137</v>
      </c>
      <c r="L2325" s="1" t="str">
        <f t="shared" si="183"/>
        <v>OK</v>
      </c>
      <c r="M2325" s="1">
        <f t="shared" si="180"/>
        <v>1</v>
      </c>
      <c r="N2325" s="1">
        <f t="shared" si="181"/>
        <v>269</v>
      </c>
      <c r="O2325" s="10">
        <f t="shared" si="184"/>
        <v>21.941111111082137</v>
      </c>
    </row>
    <row r="2326" spans="1:15">
      <c r="A2326" s="1" t="s">
        <v>2431</v>
      </c>
      <c r="B2326" s="23">
        <v>45159.111805555556</v>
      </c>
      <c r="C2326" s="1" t="s">
        <v>16</v>
      </c>
      <c r="D2326" s="1" t="s">
        <v>26</v>
      </c>
      <c r="E2326" s="1" t="s">
        <v>18</v>
      </c>
      <c r="F2326" s="1" t="s">
        <v>106</v>
      </c>
      <c r="G2326" s="1">
        <v>44</v>
      </c>
      <c r="H2326" s="23">
        <v>45159.397650462961</v>
      </c>
      <c r="I2326" s="1" t="b">
        <v>0</v>
      </c>
      <c r="K2326" s="10">
        <f t="shared" si="182"/>
        <v>6.8602777777123265</v>
      </c>
      <c r="L2326" s="1" t="str">
        <f t="shared" si="183"/>
        <v>OK</v>
      </c>
      <c r="M2326" s="1">
        <f t="shared" si="180"/>
        <v>1</v>
      </c>
      <c r="N2326" s="1">
        <f t="shared" si="181"/>
        <v>44</v>
      </c>
      <c r="O2326" s="10">
        <f t="shared" si="184"/>
        <v>6.8602777777123265</v>
      </c>
    </row>
    <row r="2327" spans="1:15">
      <c r="A2327" s="1" t="s">
        <v>2432</v>
      </c>
      <c r="B2327" s="23">
        <v>45159.423611111109</v>
      </c>
      <c r="C2327" s="1" t="s">
        <v>11</v>
      </c>
      <c r="D2327" s="1" t="s">
        <v>17</v>
      </c>
      <c r="E2327" s="1" t="s">
        <v>22</v>
      </c>
      <c r="F2327" s="1" t="s">
        <v>215</v>
      </c>
      <c r="G2327" s="1">
        <v>11</v>
      </c>
      <c r="H2327" s="23">
        <v>45159.771226851852</v>
      </c>
      <c r="I2327" s="1" t="b">
        <v>1</v>
      </c>
      <c r="J2327" s="1">
        <v>5</v>
      </c>
      <c r="K2327" s="10">
        <f t="shared" si="182"/>
        <v>8.3427777778124437</v>
      </c>
      <c r="L2327" s="1" t="str">
        <f t="shared" si="183"/>
        <v>OK</v>
      </c>
      <c r="M2327" s="1">
        <f t="shared" si="180"/>
        <v>1</v>
      </c>
      <c r="N2327" s="1">
        <f t="shared" si="181"/>
        <v>11</v>
      </c>
      <c r="O2327" s="10">
        <f t="shared" si="184"/>
        <v>8.3427777778124437</v>
      </c>
    </row>
    <row r="2328" spans="1:15">
      <c r="A2328" s="1" t="s">
        <v>2433</v>
      </c>
      <c r="B2328" s="23">
        <v>45159.494444444441</v>
      </c>
      <c r="C2328" s="1" t="s">
        <v>11</v>
      </c>
      <c r="D2328" s="1" t="s">
        <v>26</v>
      </c>
      <c r="E2328" s="1" t="s">
        <v>18</v>
      </c>
      <c r="F2328" s="1" t="s">
        <v>254</v>
      </c>
      <c r="G2328" s="1">
        <v>124</v>
      </c>
      <c r="I2328" s="1" t="b">
        <v>0</v>
      </c>
      <c r="K2328" s="10" t="str">
        <f t="shared" si="182"/>
        <v/>
      </c>
      <c r="L2328" s="1" t="str">
        <f t="shared" si="183"/>
        <v>Cannot check</v>
      </c>
      <c r="M2328" s="1">
        <f t="shared" si="180"/>
        <v>1</v>
      </c>
      <c r="N2328" s="1">
        <f t="shared" si="181"/>
        <v>124</v>
      </c>
      <c r="O2328" s="10" t="str">
        <f t="shared" si="184"/>
        <v/>
      </c>
    </row>
    <row r="2329" spans="1:15">
      <c r="A2329" s="1" t="s">
        <v>2434</v>
      </c>
      <c r="B2329" s="23">
        <v>45159.643750000003</v>
      </c>
      <c r="C2329" s="1" t="s">
        <v>25</v>
      </c>
      <c r="D2329" s="1" t="s">
        <v>17</v>
      </c>
      <c r="E2329" s="1" t="s">
        <v>18</v>
      </c>
      <c r="F2329" s="1" t="s">
        <v>14</v>
      </c>
      <c r="G2329" s="1">
        <v>243</v>
      </c>
      <c r="H2329" s="23">
        <v>45160.309224537035</v>
      </c>
      <c r="I2329" s="1" t="b">
        <v>0</v>
      </c>
      <c r="J2329" s="1">
        <v>4</v>
      </c>
      <c r="K2329" s="10">
        <f t="shared" si="182"/>
        <v>15.971388888778165</v>
      </c>
      <c r="L2329" s="1" t="str">
        <f t="shared" si="183"/>
        <v>OK</v>
      </c>
      <c r="M2329" s="1">
        <f t="shared" si="180"/>
        <v>1</v>
      </c>
      <c r="N2329" s="1">
        <f t="shared" si="181"/>
        <v>243</v>
      </c>
      <c r="O2329" s="10">
        <f t="shared" si="184"/>
        <v>15.971388888778165</v>
      </c>
    </row>
    <row r="2330" spans="1:15">
      <c r="A2330" s="1" t="s">
        <v>2435</v>
      </c>
      <c r="B2330" s="23">
        <v>45159.907638888886</v>
      </c>
      <c r="C2330" s="1" t="s">
        <v>25</v>
      </c>
      <c r="D2330" s="1" t="s">
        <v>17</v>
      </c>
      <c r="E2330" s="1" t="s">
        <v>18</v>
      </c>
      <c r="F2330" s="1" t="s">
        <v>234</v>
      </c>
      <c r="G2330" s="1">
        <v>69</v>
      </c>
      <c r="H2330" s="23">
        <v>45160.992719907408</v>
      </c>
      <c r="I2330" s="1" t="b">
        <v>0</v>
      </c>
      <c r="K2330" s="10">
        <f t="shared" si="182"/>
        <v>26.041944444528781</v>
      </c>
      <c r="L2330" s="1" t="str">
        <f t="shared" si="183"/>
        <v>OK</v>
      </c>
      <c r="M2330" s="1">
        <f t="shared" si="180"/>
        <v>1</v>
      </c>
      <c r="N2330" s="1">
        <f t="shared" si="181"/>
        <v>69</v>
      </c>
      <c r="O2330" s="10">
        <f t="shared" si="184"/>
        <v>26.041944444528781</v>
      </c>
    </row>
    <row r="2331" spans="1:15">
      <c r="A2331" s="1" t="s">
        <v>2436</v>
      </c>
      <c r="B2331" s="23">
        <v>45160.175000000003</v>
      </c>
      <c r="C2331" s="1" t="s">
        <v>25</v>
      </c>
      <c r="D2331" s="1" t="s">
        <v>12</v>
      </c>
      <c r="E2331" s="1" t="s">
        <v>33</v>
      </c>
      <c r="F2331" s="1" t="s">
        <v>224</v>
      </c>
      <c r="G2331" s="1">
        <v>422</v>
      </c>
      <c r="H2331" s="23">
        <v>45161.598379629628</v>
      </c>
      <c r="I2331" s="1" t="b">
        <v>0</v>
      </c>
      <c r="K2331" s="10">
        <f t="shared" si="182"/>
        <v>34.161111110995989</v>
      </c>
      <c r="L2331" s="1" t="str">
        <f t="shared" si="183"/>
        <v>OK</v>
      </c>
      <c r="M2331" s="1">
        <f t="shared" si="180"/>
        <v>1</v>
      </c>
      <c r="N2331" s="1">
        <f t="shared" si="181"/>
        <v>422</v>
      </c>
      <c r="O2331" s="10">
        <f t="shared" si="184"/>
        <v>34.161111110995989</v>
      </c>
    </row>
    <row r="2332" spans="1:15">
      <c r="A2332" s="1" t="s">
        <v>2437</v>
      </c>
      <c r="B2332" s="23">
        <v>45160.362500000003</v>
      </c>
      <c r="C2332" s="1" t="s">
        <v>11</v>
      </c>
      <c r="D2332" s="1" t="s">
        <v>21</v>
      </c>
      <c r="E2332" s="1" t="s">
        <v>18</v>
      </c>
      <c r="F2332" s="1" t="s">
        <v>317</v>
      </c>
      <c r="G2332" s="1">
        <v>132</v>
      </c>
      <c r="H2332" s="23">
        <v>45161.643796296295</v>
      </c>
      <c r="I2332" s="1" t="b">
        <v>0</v>
      </c>
      <c r="J2332" s="1">
        <v>5</v>
      </c>
      <c r="K2332" s="10">
        <f t="shared" si="182"/>
        <v>30.751111111021601</v>
      </c>
      <c r="L2332" s="1" t="str">
        <f t="shared" si="183"/>
        <v>OK</v>
      </c>
      <c r="M2332" s="1">
        <f t="shared" si="180"/>
        <v>1</v>
      </c>
      <c r="N2332" s="1">
        <f t="shared" si="181"/>
        <v>132</v>
      </c>
      <c r="O2332" s="10">
        <f t="shared" si="184"/>
        <v>30.751111111021601</v>
      </c>
    </row>
    <row r="2333" spans="1:15">
      <c r="A2333" s="1" t="s">
        <v>2438</v>
      </c>
      <c r="B2333" s="23">
        <v>45160.388194444444</v>
      </c>
      <c r="C2333" s="1" t="s">
        <v>11</v>
      </c>
      <c r="D2333" s="1" t="s">
        <v>21</v>
      </c>
      <c r="E2333" s="1" t="s">
        <v>18</v>
      </c>
      <c r="F2333" s="1" t="s">
        <v>274</v>
      </c>
      <c r="G2333" s="1">
        <v>398</v>
      </c>
      <c r="H2333" s="23">
        <v>45162.496435185189</v>
      </c>
      <c r="I2333" s="1" t="b">
        <v>0</v>
      </c>
      <c r="J2333" s="1">
        <v>4</v>
      </c>
      <c r="K2333" s="10">
        <f t="shared" si="182"/>
        <v>50.597777777875308</v>
      </c>
      <c r="L2333" s="1" t="str">
        <f t="shared" si="183"/>
        <v>OK</v>
      </c>
      <c r="M2333" s="1">
        <f t="shared" si="180"/>
        <v>1</v>
      </c>
      <c r="N2333" s="1">
        <f t="shared" si="181"/>
        <v>398</v>
      </c>
      <c r="O2333" s="10">
        <f t="shared" si="184"/>
        <v>50.597777777875308</v>
      </c>
    </row>
    <row r="2334" spans="1:15">
      <c r="A2334" s="1" t="s">
        <v>2439</v>
      </c>
      <c r="B2334" s="23">
        <v>45160.538888888892</v>
      </c>
      <c r="C2334" s="1" t="s">
        <v>25</v>
      </c>
      <c r="D2334" s="1" t="s">
        <v>12</v>
      </c>
      <c r="E2334" s="1" t="s">
        <v>13</v>
      </c>
      <c r="F2334" s="1" t="s">
        <v>132</v>
      </c>
      <c r="G2334" s="1">
        <v>47</v>
      </c>
      <c r="H2334" s="23">
        <v>45161.140648148146</v>
      </c>
      <c r="I2334" s="1" t="b">
        <v>1</v>
      </c>
      <c r="K2334" s="10">
        <f t="shared" si="182"/>
        <v>14.442222222103737</v>
      </c>
      <c r="L2334" s="1" t="str">
        <f t="shared" si="183"/>
        <v>OK</v>
      </c>
      <c r="M2334" s="1">
        <f t="shared" si="180"/>
        <v>1</v>
      </c>
      <c r="N2334" s="1">
        <f t="shared" si="181"/>
        <v>47</v>
      </c>
      <c r="O2334" s="10">
        <f t="shared" si="184"/>
        <v>14.442222222103737</v>
      </c>
    </row>
    <row r="2335" spans="1:15">
      <c r="A2335" s="1" t="s">
        <v>2440</v>
      </c>
      <c r="B2335" s="23">
        <v>45160.647916666669</v>
      </c>
      <c r="C2335" s="1" t="s">
        <v>25</v>
      </c>
      <c r="D2335" s="1" t="s">
        <v>21</v>
      </c>
      <c r="E2335" s="1" t="s">
        <v>13</v>
      </c>
      <c r="F2335" s="1" t="s">
        <v>317</v>
      </c>
      <c r="G2335" s="1">
        <v>20</v>
      </c>
      <c r="H2335" s="23">
        <v>45160.695949074077</v>
      </c>
      <c r="I2335" s="1" t="b">
        <v>0</v>
      </c>
      <c r="K2335" s="10">
        <f t="shared" si="182"/>
        <v>1.1527777778101154</v>
      </c>
      <c r="L2335" s="1" t="str">
        <f t="shared" si="183"/>
        <v>OK</v>
      </c>
      <c r="M2335" s="1">
        <f t="shared" si="180"/>
        <v>1</v>
      </c>
      <c r="N2335" s="1">
        <f t="shared" si="181"/>
        <v>20</v>
      </c>
      <c r="O2335" s="10">
        <f t="shared" si="184"/>
        <v>1.1527777778101154</v>
      </c>
    </row>
    <row r="2336" spans="1:15">
      <c r="A2336" s="1" t="s">
        <v>2441</v>
      </c>
      <c r="B2336" s="23">
        <v>45160.661111111112</v>
      </c>
      <c r="C2336" s="1" t="s">
        <v>43</v>
      </c>
      <c r="D2336" s="1" t="s">
        <v>17</v>
      </c>
      <c r="E2336" s="1" t="s">
        <v>22</v>
      </c>
      <c r="F2336" s="1" t="s">
        <v>302</v>
      </c>
      <c r="G2336" s="1">
        <v>51</v>
      </c>
      <c r="H2336" s="23">
        <v>45160.8675</v>
      </c>
      <c r="I2336" s="1" t="b">
        <v>0</v>
      </c>
      <c r="K2336" s="10">
        <f t="shared" si="182"/>
        <v>4.9533333333092742</v>
      </c>
      <c r="L2336" s="1" t="str">
        <f t="shared" si="183"/>
        <v>OK</v>
      </c>
      <c r="M2336" s="1">
        <f t="shared" si="180"/>
        <v>1</v>
      </c>
      <c r="N2336" s="1">
        <f t="shared" si="181"/>
        <v>51</v>
      </c>
      <c r="O2336" s="10">
        <f t="shared" si="184"/>
        <v>4.9533333333092742</v>
      </c>
    </row>
    <row r="2337" spans="1:15">
      <c r="A2337" s="1" t="s">
        <v>2442</v>
      </c>
      <c r="B2337" s="23">
        <v>45160.73541666667</v>
      </c>
      <c r="C2337" s="1" t="s">
        <v>11</v>
      </c>
      <c r="D2337" s="1" t="s">
        <v>59</v>
      </c>
      <c r="E2337" s="1" t="s">
        <v>13</v>
      </c>
      <c r="F2337" s="1" t="s">
        <v>159</v>
      </c>
      <c r="H2337" s="23">
        <v>45161.180671296293</v>
      </c>
      <c r="I2337" s="1" t="b">
        <v>0</v>
      </c>
      <c r="K2337" s="10">
        <f t="shared" si="182"/>
        <v>10.686111110961065</v>
      </c>
      <c r="L2337" s="1" t="str">
        <f t="shared" si="183"/>
        <v>Cannot check</v>
      </c>
      <c r="M2337" s="1">
        <f t="shared" si="180"/>
        <v>1</v>
      </c>
      <c r="N2337" s="1" t="str">
        <f t="shared" si="181"/>
        <v/>
      </c>
      <c r="O2337" s="10">
        <f t="shared" si="184"/>
        <v>10.686111110961065</v>
      </c>
    </row>
    <row r="2338" spans="1:15">
      <c r="A2338" s="1" t="s">
        <v>2443</v>
      </c>
      <c r="B2338" s="23">
        <v>45160.745138888888</v>
      </c>
      <c r="C2338" s="1" t="s">
        <v>43</v>
      </c>
      <c r="D2338" s="1" t="s">
        <v>17</v>
      </c>
      <c r="E2338" s="1" t="s">
        <v>18</v>
      </c>
      <c r="F2338" s="1" t="s">
        <v>88</v>
      </c>
      <c r="G2338" s="1">
        <v>61</v>
      </c>
      <c r="H2338" s="23">
        <v>45162.245381944442</v>
      </c>
      <c r="I2338" s="1" t="b">
        <v>0</v>
      </c>
      <c r="J2338" s="1">
        <v>3</v>
      </c>
      <c r="K2338" s="10">
        <f t="shared" si="182"/>
        <v>36.005833333299961</v>
      </c>
      <c r="L2338" s="1" t="str">
        <f t="shared" si="183"/>
        <v>OK</v>
      </c>
      <c r="M2338" s="1">
        <f t="shared" si="180"/>
        <v>1</v>
      </c>
      <c r="N2338" s="1">
        <f t="shared" si="181"/>
        <v>61</v>
      </c>
      <c r="O2338" s="10">
        <f t="shared" si="184"/>
        <v>36.005833333299961</v>
      </c>
    </row>
    <row r="2339" spans="1:15">
      <c r="A2339" s="1" t="s">
        <v>2444</v>
      </c>
      <c r="B2339" s="23">
        <v>45160.934027777781</v>
      </c>
      <c r="C2339" s="1" t="s">
        <v>16</v>
      </c>
      <c r="D2339" s="1" t="s">
        <v>17</v>
      </c>
      <c r="E2339" s="1" t="s">
        <v>33</v>
      </c>
      <c r="F2339" s="1" t="s">
        <v>37</v>
      </c>
      <c r="G2339" s="1">
        <v>291</v>
      </c>
      <c r="H2339" s="23">
        <v>45164.029467592591</v>
      </c>
      <c r="I2339" s="1" t="b">
        <v>0</v>
      </c>
      <c r="K2339" s="10">
        <f t="shared" si="182"/>
        <v>74.290555555431638</v>
      </c>
      <c r="L2339" s="1" t="str">
        <f t="shared" si="183"/>
        <v>OK</v>
      </c>
      <c r="M2339" s="1">
        <f t="shared" si="180"/>
        <v>1</v>
      </c>
      <c r="N2339" s="1">
        <f t="shared" si="181"/>
        <v>291</v>
      </c>
      <c r="O2339" s="10">
        <f t="shared" si="184"/>
        <v>74.290555555431638</v>
      </c>
    </row>
    <row r="2340" spans="1:15">
      <c r="A2340" s="1" t="s">
        <v>2445</v>
      </c>
      <c r="B2340" s="23">
        <v>45160.961111111108</v>
      </c>
      <c r="C2340" s="1" t="s">
        <v>16</v>
      </c>
      <c r="D2340" s="1" t="s">
        <v>59</v>
      </c>
      <c r="E2340" s="1" t="s">
        <v>22</v>
      </c>
      <c r="F2340" s="1" t="s">
        <v>228</v>
      </c>
      <c r="G2340" s="1">
        <v>10</v>
      </c>
      <c r="H2340" s="23">
        <v>45161.169618055559</v>
      </c>
      <c r="I2340" s="1" t="b">
        <v>0</v>
      </c>
      <c r="K2340" s="10">
        <f t="shared" si="182"/>
        <v>5.0041666668257676</v>
      </c>
      <c r="L2340" s="1" t="str">
        <f t="shared" si="183"/>
        <v>OK</v>
      </c>
      <c r="M2340" s="1">
        <f t="shared" si="180"/>
        <v>1</v>
      </c>
      <c r="N2340" s="1">
        <f t="shared" si="181"/>
        <v>10</v>
      </c>
      <c r="O2340" s="10">
        <f t="shared" si="184"/>
        <v>5.0041666668257676</v>
      </c>
    </row>
    <row r="2341" spans="1:15">
      <c r="A2341" s="1" t="s">
        <v>2446</v>
      </c>
      <c r="B2341" s="23">
        <v>45160.96597222222</v>
      </c>
      <c r="C2341" s="1" t="s">
        <v>25</v>
      </c>
      <c r="D2341" s="1" t="s">
        <v>17</v>
      </c>
      <c r="E2341" s="1" t="s">
        <v>18</v>
      </c>
      <c r="F2341" s="1" t="s">
        <v>114</v>
      </c>
      <c r="G2341" s="1">
        <v>38</v>
      </c>
      <c r="H2341" s="23">
        <v>45163.936041666668</v>
      </c>
      <c r="I2341" s="1" t="b">
        <v>0</v>
      </c>
      <c r="K2341" s="10">
        <f t="shared" si="182"/>
        <v>71.281666666734964</v>
      </c>
      <c r="L2341" s="1" t="str">
        <f t="shared" si="183"/>
        <v>OK</v>
      </c>
      <c r="M2341" s="1">
        <f t="shared" si="180"/>
        <v>1</v>
      </c>
      <c r="N2341" s="1">
        <f t="shared" si="181"/>
        <v>38</v>
      </c>
      <c r="O2341" s="10">
        <f t="shared" si="184"/>
        <v>71.281666666734964</v>
      </c>
    </row>
    <row r="2342" spans="1:15">
      <c r="A2342" s="1" t="s">
        <v>2447</v>
      </c>
      <c r="B2342" s="23">
        <v>45161.216666666667</v>
      </c>
      <c r="C2342" s="1" t="s">
        <v>16</v>
      </c>
      <c r="D2342" s="1" t="s">
        <v>17</v>
      </c>
      <c r="E2342" s="1" t="s">
        <v>33</v>
      </c>
      <c r="F2342" s="1" t="s">
        <v>92</v>
      </c>
      <c r="G2342" s="1">
        <v>144</v>
      </c>
      <c r="H2342" s="23">
        <v>45162.773101851853</v>
      </c>
      <c r="I2342" s="1" t="b">
        <v>0</v>
      </c>
      <c r="K2342" s="10">
        <f t="shared" si="182"/>
        <v>37.354444444470573</v>
      </c>
      <c r="L2342" s="1" t="str">
        <f t="shared" si="183"/>
        <v>OK</v>
      </c>
      <c r="M2342" s="1">
        <f t="shared" si="180"/>
        <v>1</v>
      </c>
      <c r="N2342" s="1">
        <f t="shared" si="181"/>
        <v>144</v>
      </c>
      <c r="O2342" s="10">
        <f t="shared" si="184"/>
        <v>37.354444444470573</v>
      </c>
    </row>
    <row r="2343" spans="1:15">
      <c r="A2343" s="1" t="s">
        <v>2448</v>
      </c>
      <c r="B2343" s="23">
        <v>45161.357638888891</v>
      </c>
      <c r="C2343" s="1" t="s">
        <v>16</v>
      </c>
      <c r="D2343" s="1" t="s">
        <v>21</v>
      </c>
      <c r="E2343" s="1" t="s">
        <v>18</v>
      </c>
      <c r="F2343" s="1" t="s">
        <v>130</v>
      </c>
      <c r="G2343" s="1">
        <v>111</v>
      </c>
      <c r="H2343" s="23">
        <v>45162.044004629628</v>
      </c>
      <c r="I2343" s="1" t="b">
        <v>0</v>
      </c>
      <c r="J2343" s="1">
        <v>5</v>
      </c>
      <c r="K2343" s="10">
        <f t="shared" si="182"/>
        <v>16.472777777700685</v>
      </c>
      <c r="L2343" s="1" t="str">
        <f t="shared" si="183"/>
        <v>OK</v>
      </c>
      <c r="M2343" s="1">
        <f t="shared" si="180"/>
        <v>1</v>
      </c>
      <c r="N2343" s="1">
        <f t="shared" si="181"/>
        <v>111</v>
      </c>
      <c r="O2343" s="10">
        <f t="shared" si="184"/>
        <v>16.472777777700685</v>
      </c>
    </row>
    <row r="2344" spans="1:15">
      <c r="A2344" s="1" t="s">
        <v>2449</v>
      </c>
      <c r="B2344" s="23">
        <v>45161.443749999999</v>
      </c>
      <c r="C2344" s="1" t="s">
        <v>43</v>
      </c>
      <c r="D2344" s="1" t="s">
        <v>17</v>
      </c>
      <c r="E2344" s="1" t="s">
        <v>33</v>
      </c>
      <c r="F2344" s="1" t="s">
        <v>245</v>
      </c>
      <c r="G2344" s="1">
        <v>174</v>
      </c>
      <c r="H2344" s="23">
        <v>45161.924803240741</v>
      </c>
      <c r="I2344" s="1" t="b">
        <v>0</v>
      </c>
      <c r="K2344" s="10">
        <f t="shared" si="182"/>
        <v>11.545277777826414</v>
      </c>
      <c r="L2344" s="1" t="str">
        <f t="shared" si="183"/>
        <v>OK</v>
      </c>
      <c r="M2344" s="1">
        <f t="shared" si="180"/>
        <v>1</v>
      </c>
      <c r="N2344" s="1">
        <f t="shared" si="181"/>
        <v>174</v>
      </c>
      <c r="O2344" s="10">
        <f t="shared" si="184"/>
        <v>11.545277777826414</v>
      </c>
    </row>
    <row r="2345" spans="1:15">
      <c r="A2345" s="1" t="s">
        <v>2450</v>
      </c>
      <c r="B2345" s="23">
        <v>45161.45208333333</v>
      </c>
      <c r="C2345" s="1" t="s">
        <v>11</v>
      </c>
      <c r="D2345" s="1" t="s">
        <v>17</v>
      </c>
      <c r="E2345" s="1" t="s">
        <v>33</v>
      </c>
      <c r="F2345" s="1" t="s">
        <v>106</v>
      </c>
      <c r="H2345" s="23">
        <v>45162.819212962961</v>
      </c>
      <c r="I2345" s="1" t="b">
        <v>0</v>
      </c>
      <c r="K2345" s="10">
        <f t="shared" si="182"/>
        <v>32.811111111135688</v>
      </c>
      <c r="L2345" s="1" t="str">
        <f t="shared" si="183"/>
        <v>Cannot check</v>
      </c>
      <c r="M2345" s="1">
        <f t="shared" si="180"/>
        <v>1</v>
      </c>
      <c r="N2345" s="1" t="str">
        <f t="shared" si="181"/>
        <v/>
      </c>
      <c r="O2345" s="10">
        <f t="shared" si="184"/>
        <v>32.811111111135688</v>
      </c>
    </row>
    <row r="2346" spans="1:15">
      <c r="A2346" s="1" t="s">
        <v>2451</v>
      </c>
      <c r="B2346" s="23">
        <v>45161.568055555559</v>
      </c>
      <c r="C2346" s="1" t="s">
        <v>25</v>
      </c>
      <c r="D2346" s="1" t="s">
        <v>21</v>
      </c>
      <c r="E2346" s="1" t="s">
        <v>13</v>
      </c>
      <c r="F2346" s="1" t="s">
        <v>256</v>
      </c>
      <c r="G2346" s="1">
        <v>166</v>
      </c>
      <c r="H2346" s="23">
        <v>45163.059120370373</v>
      </c>
      <c r="I2346" s="1" t="b">
        <v>0</v>
      </c>
      <c r="J2346" s="1">
        <v>3</v>
      </c>
      <c r="K2346" s="10">
        <f t="shared" si="182"/>
        <v>35.785555555543397</v>
      </c>
      <c r="L2346" s="1" t="str">
        <f t="shared" si="183"/>
        <v>OK</v>
      </c>
      <c r="M2346" s="1">
        <f t="shared" si="180"/>
        <v>1</v>
      </c>
      <c r="N2346" s="1">
        <f t="shared" si="181"/>
        <v>166</v>
      </c>
      <c r="O2346" s="10">
        <f t="shared" si="184"/>
        <v>35.785555555543397</v>
      </c>
    </row>
    <row r="2347" spans="1:15">
      <c r="A2347" s="1" t="s">
        <v>2452</v>
      </c>
      <c r="B2347" s="23">
        <v>45161.722222222219</v>
      </c>
      <c r="C2347" s="1" t="s">
        <v>25</v>
      </c>
      <c r="D2347" s="1" t="s">
        <v>26</v>
      </c>
      <c r="E2347" s="1" t="s">
        <v>33</v>
      </c>
      <c r="F2347" s="1" t="s">
        <v>132</v>
      </c>
      <c r="G2347" s="1">
        <v>1079</v>
      </c>
      <c r="H2347" s="23">
        <v>45163.758402777778</v>
      </c>
      <c r="I2347" s="1" t="b">
        <v>0</v>
      </c>
      <c r="K2347" s="10">
        <f t="shared" si="182"/>
        <v>48.868333333404735</v>
      </c>
      <c r="L2347" s="1" t="str">
        <f t="shared" si="183"/>
        <v>OK</v>
      </c>
      <c r="M2347" s="1">
        <f t="shared" si="180"/>
        <v>1</v>
      </c>
      <c r="N2347" s="1">
        <f t="shared" si="181"/>
        <v>1079</v>
      </c>
      <c r="O2347" s="10">
        <f t="shared" si="184"/>
        <v>48.868333333404735</v>
      </c>
    </row>
    <row r="2348" spans="1:15">
      <c r="A2348" s="1" t="s">
        <v>2453</v>
      </c>
      <c r="B2348" s="23">
        <v>45161.744444444441</v>
      </c>
      <c r="C2348" s="1" t="s">
        <v>25</v>
      </c>
      <c r="D2348" s="1" t="s">
        <v>17</v>
      </c>
      <c r="E2348" s="1" t="s">
        <v>18</v>
      </c>
      <c r="F2348" s="1" t="s">
        <v>23</v>
      </c>
      <c r="G2348" s="1">
        <v>32</v>
      </c>
      <c r="I2348" s="1" t="b">
        <v>0</v>
      </c>
      <c r="K2348" s="10" t="str">
        <f t="shared" si="182"/>
        <v/>
      </c>
      <c r="L2348" s="1" t="str">
        <f t="shared" si="183"/>
        <v>Cannot check</v>
      </c>
      <c r="M2348" s="1">
        <f t="shared" si="180"/>
        <v>1</v>
      </c>
      <c r="N2348" s="1">
        <f t="shared" si="181"/>
        <v>32</v>
      </c>
      <c r="O2348" s="10" t="str">
        <f t="shared" si="184"/>
        <v/>
      </c>
    </row>
    <row r="2349" spans="1:15">
      <c r="A2349" s="1" t="s">
        <v>2454</v>
      </c>
      <c r="B2349" s="23">
        <v>45161.75</v>
      </c>
      <c r="C2349" s="1" t="s">
        <v>16</v>
      </c>
      <c r="D2349" s="1" t="s">
        <v>26</v>
      </c>
      <c r="E2349" s="1" t="s">
        <v>33</v>
      </c>
      <c r="F2349" s="1" t="s">
        <v>254</v>
      </c>
      <c r="G2349" s="1">
        <v>2045</v>
      </c>
      <c r="H2349" s="23">
        <v>45166.096655092595</v>
      </c>
      <c r="I2349" s="1" t="b">
        <v>0</v>
      </c>
      <c r="K2349" s="10">
        <f t="shared" si="182"/>
        <v>104.31972222228069</v>
      </c>
      <c r="L2349" s="1" t="str">
        <f t="shared" si="183"/>
        <v>OK</v>
      </c>
      <c r="M2349" s="1">
        <f t="shared" si="180"/>
        <v>1</v>
      </c>
      <c r="N2349" s="1">
        <f t="shared" si="181"/>
        <v>2045</v>
      </c>
      <c r="O2349" s="10">
        <f t="shared" si="184"/>
        <v>104.31972222228069</v>
      </c>
    </row>
    <row r="2350" spans="1:15">
      <c r="A2350" s="1" t="s">
        <v>2455</v>
      </c>
      <c r="B2350" s="23">
        <v>45161.783333333333</v>
      </c>
      <c r="C2350" s="1" t="s">
        <v>16</v>
      </c>
      <c r="D2350" s="1" t="s">
        <v>26</v>
      </c>
      <c r="E2350" s="1" t="s">
        <v>18</v>
      </c>
      <c r="F2350" s="1" t="s">
        <v>86</v>
      </c>
      <c r="G2350" s="1">
        <v>50</v>
      </c>
      <c r="H2350" s="23">
        <v>45162.315798611111</v>
      </c>
      <c r="I2350" s="1" t="b">
        <v>0</v>
      </c>
      <c r="J2350" s="1">
        <v>5</v>
      </c>
      <c r="K2350" s="10">
        <f t="shared" si="182"/>
        <v>12.779166666674428</v>
      </c>
      <c r="L2350" s="1" t="str">
        <f t="shared" si="183"/>
        <v>OK</v>
      </c>
      <c r="M2350" s="1">
        <f t="shared" si="180"/>
        <v>1</v>
      </c>
      <c r="N2350" s="1">
        <f t="shared" si="181"/>
        <v>50</v>
      </c>
      <c r="O2350" s="10">
        <f t="shared" si="184"/>
        <v>12.779166666674428</v>
      </c>
    </row>
    <row r="2351" spans="1:15">
      <c r="A2351" s="1" t="s">
        <v>2456</v>
      </c>
      <c r="B2351" s="23">
        <v>45161.788888888892</v>
      </c>
      <c r="C2351" s="1" t="s">
        <v>11</v>
      </c>
      <c r="D2351" s="1" t="s">
        <v>17</v>
      </c>
      <c r="E2351" s="1" t="s">
        <v>18</v>
      </c>
      <c r="F2351" s="1" t="s">
        <v>94</v>
      </c>
      <c r="G2351" s="1">
        <v>140</v>
      </c>
      <c r="H2351" s="23">
        <v>45163.302777777775</v>
      </c>
      <c r="I2351" s="1" t="b">
        <v>1</v>
      </c>
      <c r="J2351" s="1">
        <v>5</v>
      </c>
      <c r="K2351" s="10">
        <f t="shared" si="182"/>
        <v>36.333333333197515</v>
      </c>
      <c r="L2351" s="1" t="str">
        <f t="shared" si="183"/>
        <v>OK</v>
      </c>
      <c r="M2351" s="1">
        <f t="shared" si="180"/>
        <v>1</v>
      </c>
      <c r="N2351" s="1">
        <f t="shared" si="181"/>
        <v>140</v>
      </c>
      <c r="O2351" s="10">
        <f t="shared" si="184"/>
        <v>36.333333333197515</v>
      </c>
    </row>
    <row r="2352" spans="1:15">
      <c r="A2352" s="1" t="s">
        <v>2457</v>
      </c>
      <c r="B2352" s="23">
        <v>45161.813194444447</v>
      </c>
      <c r="C2352" s="1" t="s">
        <v>11</v>
      </c>
      <c r="D2352" s="1" t="s">
        <v>17</v>
      </c>
      <c r="E2352" s="1" t="s">
        <v>18</v>
      </c>
      <c r="F2352" s="1" t="s">
        <v>19</v>
      </c>
      <c r="G2352" s="1">
        <v>74</v>
      </c>
      <c r="H2352" s="23">
        <v>45177.692893518521</v>
      </c>
      <c r="I2352" s="1" t="b">
        <v>0</v>
      </c>
      <c r="K2352" s="10">
        <f t="shared" si="182"/>
        <v>381.11277777777286</v>
      </c>
      <c r="L2352" s="1" t="str">
        <f t="shared" si="183"/>
        <v>OK</v>
      </c>
      <c r="M2352" s="1">
        <f t="shared" si="180"/>
        <v>1</v>
      </c>
      <c r="N2352" s="1">
        <f t="shared" si="181"/>
        <v>74</v>
      </c>
      <c r="O2352" s="10">
        <f t="shared" si="184"/>
        <v>381.11277777777286</v>
      </c>
    </row>
    <row r="2353" spans="1:15">
      <c r="A2353" s="1" t="s">
        <v>2458</v>
      </c>
      <c r="B2353" s="23">
        <v>45161.827777777777</v>
      </c>
      <c r="C2353" s="1" t="s">
        <v>16</v>
      </c>
      <c r="D2353" s="1" t="s">
        <v>17</v>
      </c>
      <c r="E2353" s="1" t="s">
        <v>18</v>
      </c>
      <c r="F2353" s="1" t="s">
        <v>64</v>
      </c>
      <c r="G2353" s="1">
        <v>38</v>
      </c>
      <c r="H2353" s="23">
        <v>45163.615358796298</v>
      </c>
      <c r="I2353" s="1" t="b">
        <v>0</v>
      </c>
      <c r="J2353" s="1">
        <v>5</v>
      </c>
      <c r="K2353" s="10">
        <f t="shared" si="182"/>
        <v>42.901944444514811</v>
      </c>
      <c r="L2353" s="1" t="str">
        <f t="shared" si="183"/>
        <v>OK</v>
      </c>
      <c r="M2353" s="1">
        <f t="shared" si="180"/>
        <v>1</v>
      </c>
      <c r="N2353" s="1">
        <f t="shared" si="181"/>
        <v>38</v>
      </c>
      <c r="O2353" s="10">
        <f t="shared" si="184"/>
        <v>42.901944444514811</v>
      </c>
    </row>
    <row r="2354" spans="1:15">
      <c r="A2354" s="1" t="s">
        <v>2459</v>
      </c>
      <c r="B2354" s="23">
        <v>45161.854861111111</v>
      </c>
      <c r="C2354" s="1" t="s">
        <v>16</v>
      </c>
      <c r="D2354" s="1" t="s">
        <v>12</v>
      </c>
      <c r="E2354" s="1" t="s">
        <v>33</v>
      </c>
      <c r="F2354" s="1" t="s">
        <v>88</v>
      </c>
      <c r="G2354" s="1">
        <v>1125</v>
      </c>
      <c r="H2354" s="23">
        <v>45162.021736111114</v>
      </c>
      <c r="I2354" s="1" t="b">
        <v>0</v>
      </c>
      <c r="K2354" s="10">
        <f t="shared" si="182"/>
        <v>4.0050000000628643</v>
      </c>
      <c r="L2354" s="1" t="str">
        <f t="shared" si="183"/>
        <v>Review</v>
      </c>
      <c r="M2354" s="1">
        <f t="shared" si="180"/>
        <v>1</v>
      </c>
      <c r="N2354" s="1" t="str">
        <f t="shared" si="181"/>
        <v/>
      </c>
      <c r="O2354" s="10" t="str">
        <f t="shared" si="184"/>
        <v/>
      </c>
    </row>
    <row r="2355" spans="1:15">
      <c r="A2355" s="1" t="s">
        <v>2460</v>
      </c>
      <c r="B2355" s="23">
        <v>45161.935416666667</v>
      </c>
      <c r="C2355" s="1" t="s">
        <v>11</v>
      </c>
      <c r="D2355" s="1" t="s">
        <v>21</v>
      </c>
      <c r="E2355" s="1" t="s">
        <v>33</v>
      </c>
      <c r="F2355" s="1" t="s">
        <v>254</v>
      </c>
      <c r="G2355" s="1">
        <v>104</v>
      </c>
      <c r="H2355" s="23">
        <v>45165.057604166665</v>
      </c>
      <c r="I2355" s="1" t="b">
        <v>0</v>
      </c>
      <c r="K2355" s="10">
        <f t="shared" si="182"/>
        <v>74.932499999937136</v>
      </c>
      <c r="L2355" s="1" t="str">
        <f t="shared" si="183"/>
        <v>OK</v>
      </c>
      <c r="M2355" s="1">
        <f t="shared" si="180"/>
        <v>1</v>
      </c>
      <c r="N2355" s="1">
        <f t="shared" si="181"/>
        <v>104</v>
      </c>
      <c r="O2355" s="10">
        <f t="shared" si="184"/>
        <v>74.932499999937136</v>
      </c>
    </row>
    <row r="2356" spans="1:15">
      <c r="A2356" s="1" t="s">
        <v>2461</v>
      </c>
      <c r="B2356" s="23">
        <v>45162.195833333331</v>
      </c>
      <c r="C2356" s="1" t="s">
        <v>11</v>
      </c>
      <c r="D2356" s="1" t="s">
        <v>17</v>
      </c>
      <c r="E2356" s="1" t="s">
        <v>33</v>
      </c>
      <c r="F2356" s="1" t="s">
        <v>23</v>
      </c>
      <c r="G2356" s="1">
        <v>175</v>
      </c>
      <c r="H2356" s="23">
        <v>45185.787488425929</v>
      </c>
      <c r="I2356" s="1" t="b">
        <v>0</v>
      </c>
      <c r="J2356" s="1">
        <v>1</v>
      </c>
      <c r="K2356" s="10">
        <f t="shared" si="182"/>
        <v>566.19972222234355</v>
      </c>
      <c r="L2356" s="1" t="str">
        <f t="shared" si="183"/>
        <v>OK</v>
      </c>
      <c r="M2356" s="1">
        <f t="shared" si="180"/>
        <v>1</v>
      </c>
      <c r="N2356" s="1">
        <f t="shared" si="181"/>
        <v>175</v>
      </c>
      <c r="O2356" s="10">
        <f t="shared" si="184"/>
        <v>566.19972222234355</v>
      </c>
    </row>
    <row r="2357" spans="1:15">
      <c r="A2357" s="1" t="s">
        <v>2462</v>
      </c>
      <c r="B2357" s="23">
        <v>45162.20416666667</v>
      </c>
      <c r="C2357" s="1" t="s">
        <v>16</v>
      </c>
      <c r="D2357" s="1" t="s">
        <v>21</v>
      </c>
      <c r="E2357" s="1" t="s">
        <v>33</v>
      </c>
      <c r="F2357" s="1" t="s">
        <v>486</v>
      </c>
      <c r="G2357" s="1">
        <v>392</v>
      </c>
      <c r="H2357" s="23">
        <v>45167.419768518521</v>
      </c>
      <c r="I2357" s="1" t="b">
        <v>0</v>
      </c>
      <c r="K2357" s="10">
        <f t="shared" si="182"/>
        <v>125.17444444441935</v>
      </c>
      <c r="L2357" s="1" t="str">
        <f t="shared" si="183"/>
        <v>OK</v>
      </c>
      <c r="M2357" s="1">
        <f t="shared" si="180"/>
        <v>1</v>
      </c>
      <c r="N2357" s="1">
        <f t="shared" si="181"/>
        <v>392</v>
      </c>
      <c r="O2357" s="10">
        <f t="shared" si="184"/>
        <v>125.17444444441935</v>
      </c>
    </row>
    <row r="2358" spans="1:15">
      <c r="A2358" s="1" t="s">
        <v>2463</v>
      </c>
      <c r="B2358" s="23">
        <v>45162.28402777778</v>
      </c>
      <c r="C2358" s="1" t="s">
        <v>11</v>
      </c>
      <c r="D2358" s="1" t="s">
        <v>26</v>
      </c>
      <c r="E2358" s="1" t="s">
        <v>18</v>
      </c>
      <c r="F2358" s="1" t="s">
        <v>167</v>
      </c>
      <c r="G2358" s="1">
        <v>199</v>
      </c>
      <c r="H2358" s="23">
        <v>45162.526631944442</v>
      </c>
      <c r="I2358" s="1" t="b">
        <v>0</v>
      </c>
      <c r="K2358" s="10">
        <f t="shared" si="182"/>
        <v>5.8224999998928979</v>
      </c>
      <c r="L2358" s="1" t="str">
        <f t="shared" si="183"/>
        <v>OK</v>
      </c>
      <c r="M2358" s="1">
        <f t="shared" si="180"/>
        <v>1</v>
      </c>
      <c r="N2358" s="1">
        <f t="shared" si="181"/>
        <v>199</v>
      </c>
      <c r="O2358" s="10">
        <f t="shared" si="184"/>
        <v>5.8224999998928979</v>
      </c>
    </row>
    <row r="2359" spans="1:15">
      <c r="A2359" s="1" t="s">
        <v>2464</v>
      </c>
      <c r="B2359" s="23">
        <v>45162.292361111111</v>
      </c>
      <c r="C2359" s="1" t="s">
        <v>43</v>
      </c>
      <c r="D2359" s="1" t="s">
        <v>26</v>
      </c>
      <c r="E2359" s="1" t="s">
        <v>18</v>
      </c>
      <c r="F2359" s="1" t="s">
        <v>48</v>
      </c>
      <c r="G2359" s="1">
        <v>448</v>
      </c>
      <c r="H2359" s="23">
        <v>45163.159733796296</v>
      </c>
      <c r="I2359" s="1" t="b">
        <v>0</v>
      </c>
      <c r="K2359" s="10">
        <f t="shared" si="182"/>
        <v>20.816944444435649</v>
      </c>
      <c r="L2359" s="1" t="str">
        <f t="shared" si="183"/>
        <v>OK</v>
      </c>
      <c r="M2359" s="1">
        <f t="shared" si="180"/>
        <v>1</v>
      </c>
      <c r="N2359" s="1">
        <f t="shared" si="181"/>
        <v>448</v>
      </c>
      <c r="O2359" s="10">
        <f t="shared" si="184"/>
        <v>20.816944444435649</v>
      </c>
    </row>
    <row r="2360" spans="1:15">
      <c r="A2360" s="1" t="s">
        <v>2465</v>
      </c>
      <c r="B2360" s="23">
        <v>45162.413888888892</v>
      </c>
      <c r="C2360" s="1" t="s">
        <v>11</v>
      </c>
      <c r="D2360" s="1" t="s">
        <v>17</v>
      </c>
      <c r="E2360" s="1" t="s">
        <v>18</v>
      </c>
      <c r="F2360" s="1" t="s">
        <v>104</v>
      </c>
      <c r="G2360" s="1">
        <v>128</v>
      </c>
      <c r="H2360" s="23">
        <v>45163.528645833336</v>
      </c>
      <c r="I2360" s="1" t="b">
        <v>0</v>
      </c>
      <c r="J2360" s="1">
        <v>5</v>
      </c>
      <c r="K2360" s="10">
        <f t="shared" si="182"/>
        <v>26.754166666651145</v>
      </c>
      <c r="L2360" s="1" t="str">
        <f t="shared" si="183"/>
        <v>OK</v>
      </c>
      <c r="M2360" s="1">
        <f t="shared" si="180"/>
        <v>1</v>
      </c>
      <c r="N2360" s="1">
        <f t="shared" si="181"/>
        <v>128</v>
      </c>
      <c r="O2360" s="10">
        <f t="shared" si="184"/>
        <v>26.754166666651145</v>
      </c>
    </row>
    <row r="2361" spans="1:15">
      <c r="A2361" s="1" t="s">
        <v>2466</v>
      </c>
      <c r="B2361" s="23">
        <v>45162.430555555555</v>
      </c>
      <c r="C2361" s="1" t="s">
        <v>25</v>
      </c>
      <c r="D2361" s="1" t="s">
        <v>26</v>
      </c>
      <c r="E2361" s="1" t="s">
        <v>18</v>
      </c>
      <c r="F2361" s="1" t="s">
        <v>19</v>
      </c>
      <c r="G2361" s="1">
        <v>55</v>
      </c>
      <c r="H2361" s="23">
        <v>45163.384293981479</v>
      </c>
      <c r="I2361" s="1" t="b">
        <v>0</v>
      </c>
      <c r="K2361" s="10">
        <f t="shared" si="182"/>
        <v>22.889722222171258</v>
      </c>
      <c r="L2361" s="1" t="str">
        <f t="shared" si="183"/>
        <v>OK</v>
      </c>
      <c r="M2361" s="1">
        <f t="shared" si="180"/>
        <v>1</v>
      </c>
      <c r="N2361" s="1">
        <f t="shared" si="181"/>
        <v>55</v>
      </c>
      <c r="O2361" s="10">
        <f t="shared" si="184"/>
        <v>22.889722222171258</v>
      </c>
    </row>
    <row r="2362" spans="1:15">
      <c r="A2362" s="1" t="s">
        <v>2467</v>
      </c>
      <c r="B2362" s="23">
        <v>45162.498611111114</v>
      </c>
      <c r="C2362" s="1" t="s">
        <v>25</v>
      </c>
      <c r="D2362" s="1" t="s">
        <v>17</v>
      </c>
      <c r="E2362" s="1" t="s">
        <v>13</v>
      </c>
      <c r="F2362" s="1" t="s">
        <v>178</v>
      </c>
      <c r="G2362" s="1">
        <v>35</v>
      </c>
      <c r="H2362" s="23">
        <v>45163.501631944448</v>
      </c>
      <c r="I2362" s="1" t="b">
        <v>0</v>
      </c>
      <c r="J2362" s="1">
        <v>5</v>
      </c>
      <c r="K2362" s="10">
        <f t="shared" si="182"/>
        <v>24.072500000009313</v>
      </c>
      <c r="L2362" s="1" t="str">
        <f t="shared" si="183"/>
        <v>OK</v>
      </c>
      <c r="M2362" s="1">
        <f t="shared" si="180"/>
        <v>1</v>
      </c>
      <c r="N2362" s="1">
        <f t="shared" si="181"/>
        <v>35</v>
      </c>
      <c r="O2362" s="10">
        <f t="shared" si="184"/>
        <v>24.072500000009313</v>
      </c>
    </row>
    <row r="2363" spans="1:15">
      <c r="A2363" s="1" t="s">
        <v>2468</v>
      </c>
      <c r="B2363" s="23">
        <v>45162.517361111109</v>
      </c>
      <c r="C2363" s="1" t="s">
        <v>43</v>
      </c>
      <c r="D2363" s="1" t="s">
        <v>17</v>
      </c>
      <c r="E2363" s="1" t="s">
        <v>13</v>
      </c>
      <c r="F2363" s="1" t="s">
        <v>415</v>
      </c>
      <c r="G2363" s="1">
        <v>264</v>
      </c>
      <c r="H2363" s="23">
        <v>45163.51221064815</v>
      </c>
      <c r="I2363" s="1" t="b">
        <v>0</v>
      </c>
      <c r="K2363" s="10">
        <f t="shared" si="182"/>
        <v>23.876388888980728</v>
      </c>
      <c r="L2363" s="1" t="str">
        <f t="shared" si="183"/>
        <v>OK</v>
      </c>
      <c r="M2363" s="1">
        <f t="shared" si="180"/>
        <v>1</v>
      </c>
      <c r="N2363" s="1">
        <f t="shared" si="181"/>
        <v>264</v>
      </c>
      <c r="O2363" s="10">
        <f t="shared" si="184"/>
        <v>23.876388888980728</v>
      </c>
    </row>
    <row r="2364" spans="1:15">
      <c r="A2364" s="1" t="s">
        <v>2469</v>
      </c>
      <c r="B2364" s="23">
        <v>45162.519444444442</v>
      </c>
      <c r="C2364" s="1" t="s">
        <v>43</v>
      </c>
      <c r="D2364" s="1" t="s">
        <v>21</v>
      </c>
      <c r="E2364" s="1" t="s">
        <v>18</v>
      </c>
      <c r="F2364" s="1" t="s">
        <v>130</v>
      </c>
      <c r="G2364" s="1">
        <v>132</v>
      </c>
      <c r="H2364" s="23">
        <v>45166.180104166669</v>
      </c>
      <c r="I2364" s="1" t="b">
        <v>0</v>
      </c>
      <c r="K2364" s="10">
        <f t="shared" si="182"/>
        <v>87.855833333451301</v>
      </c>
      <c r="L2364" s="1" t="str">
        <f t="shared" si="183"/>
        <v>OK</v>
      </c>
      <c r="M2364" s="1">
        <f t="shared" si="180"/>
        <v>1</v>
      </c>
      <c r="N2364" s="1">
        <f t="shared" si="181"/>
        <v>132</v>
      </c>
      <c r="O2364" s="10">
        <f t="shared" si="184"/>
        <v>87.855833333451301</v>
      </c>
    </row>
    <row r="2365" spans="1:15">
      <c r="A2365" s="1" t="s">
        <v>2470</v>
      </c>
      <c r="B2365" s="23">
        <v>45162.640972222223</v>
      </c>
      <c r="C2365" s="1" t="s">
        <v>16</v>
      </c>
      <c r="D2365" s="1" t="s">
        <v>21</v>
      </c>
      <c r="E2365" s="1" t="s">
        <v>13</v>
      </c>
      <c r="F2365" s="1" t="s">
        <v>114</v>
      </c>
      <c r="G2365" s="1">
        <v>121</v>
      </c>
      <c r="H2365" s="23">
        <v>45162.741759259261</v>
      </c>
      <c r="I2365" s="1" t="b">
        <v>0</v>
      </c>
      <c r="K2365" s="10">
        <f t="shared" si="182"/>
        <v>2.4188888889038935</v>
      </c>
      <c r="L2365" s="1" t="str">
        <f t="shared" si="183"/>
        <v>OK</v>
      </c>
      <c r="M2365" s="1">
        <f t="shared" si="180"/>
        <v>1</v>
      </c>
      <c r="N2365" s="1">
        <f t="shared" si="181"/>
        <v>121</v>
      </c>
      <c r="O2365" s="10">
        <f t="shared" si="184"/>
        <v>2.4188888889038935</v>
      </c>
    </row>
    <row r="2366" spans="1:15">
      <c r="A2366" s="1" t="s">
        <v>2471</v>
      </c>
      <c r="B2366" s="23">
        <v>45162.663194444445</v>
      </c>
      <c r="C2366" s="1" t="s">
        <v>25</v>
      </c>
      <c r="D2366" s="1" t="s">
        <v>21</v>
      </c>
      <c r="E2366" s="1" t="s">
        <v>13</v>
      </c>
      <c r="F2366" s="1" t="s">
        <v>215</v>
      </c>
      <c r="G2366" s="1">
        <v>34</v>
      </c>
      <c r="H2366" s="23">
        <v>45162.840011574073</v>
      </c>
      <c r="I2366" s="1" t="b">
        <v>0</v>
      </c>
      <c r="K2366" s="10">
        <f t="shared" si="182"/>
        <v>4.2436111110728234</v>
      </c>
      <c r="L2366" s="1" t="str">
        <f t="shared" si="183"/>
        <v>OK</v>
      </c>
      <c r="M2366" s="1">
        <f t="shared" si="180"/>
        <v>1</v>
      </c>
      <c r="N2366" s="1">
        <f t="shared" si="181"/>
        <v>34</v>
      </c>
      <c r="O2366" s="10">
        <f t="shared" si="184"/>
        <v>4.2436111110728234</v>
      </c>
    </row>
    <row r="2367" spans="1:15">
      <c r="A2367" s="1" t="s">
        <v>2472</v>
      </c>
      <c r="B2367" s="23">
        <v>45162.838888888888</v>
      </c>
      <c r="C2367" s="1" t="s">
        <v>11</v>
      </c>
      <c r="D2367" s="1" t="s">
        <v>17</v>
      </c>
      <c r="E2367" s="1" t="s">
        <v>33</v>
      </c>
      <c r="F2367" s="1" t="s">
        <v>72</v>
      </c>
      <c r="G2367" s="1">
        <v>231</v>
      </c>
      <c r="H2367" s="23">
        <v>45169.878460648149</v>
      </c>
      <c r="I2367" s="1" t="b">
        <v>0</v>
      </c>
      <c r="J2367" s="1">
        <v>5</v>
      </c>
      <c r="K2367" s="10">
        <f t="shared" si="182"/>
        <v>168.94972222228535</v>
      </c>
      <c r="L2367" s="1" t="str">
        <f t="shared" si="183"/>
        <v>OK</v>
      </c>
      <c r="M2367" s="1">
        <f t="shared" si="180"/>
        <v>1</v>
      </c>
      <c r="N2367" s="1">
        <f t="shared" si="181"/>
        <v>231</v>
      </c>
      <c r="O2367" s="10">
        <f t="shared" si="184"/>
        <v>168.94972222228535</v>
      </c>
    </row>
    <row r="2368" spans="1:15">
      <c r="A2368" s="1" t="s">
        <v>2473</v>
      </c>
      <c r="B2368" s="23">
        <v>45162.870138888888</v>
      </c>
      <c r="C2368" s="1" t="s">
        <v>25</v>
      </c>
      <c r="D2368" s="1" t="s">
        <v>12</v>
      </c>
      <c r="E2368" s="1" t="s">
        <v>18</v>
      </c>
      <c r="F2368" s="1" t="s">
        <v>120</v>
      </c>
      <c r="G2368" s="1">
        <v>75</v>
      </c>
      <c r="H2368" s="23">
        <v>45163.604444444441</v>
      </c>
      <c r="I2368" s="1" t="b">
        <v>0</v>
      </c>
      <c r="K2368" s="10">
        <f t="shared" si="182"/>
        <v>17.623333333292976</v>
      </c>
      <c r="L2368" s="1" t="str">
        <f t="shared" si="183"/>
        <v>OK</v>
      </c>
      <c r="M2368" s="1">
        <f t="shared" si="180"/>
        <v>1</v>
      </c>
      <c r="N2368" s="1">
        <f t="shared" si="181"/>
        <v>75</v>
      </c>
      <c r="O2368" s="10">
        <f t="shared" si="184"/>
        <v>17.623333333292976</v>
      </c>
    </row>
    <row r="2369" spans="1:15">
      <c r="A2369" s="1" t="s">
        <v>2474</v>
      </c>
      <c r="B2369" s="23">
        <v>45162.953472222223</v>
      </c>
      <c r="C2369" s="1" t="s">
        <v>16</v>
      </c>
      <c r="D2369" s="1" t="s">
        <v>12</v>
      </c>
      <c r="E2369" s="1" t="s">
        <v>18</v>
      </c>
      <c r="F2369" s="1" t="s">
        <v>54</v>
      </c>
      <c r="G2369" s="1">
        <v>36</v>
      </c>
      <c r="H2369" s="23">
        <v>45163.545277777775</v>
      </c>
      <c r="I2369" s="1" t="b">
        <v>0</v>
      </c>
      <c r="J2369" s="1">
        <v>5</v>
      </c>
      <c r="K2369" s="10">
        <f t="shared" si="182"/>
        <v>14.203333333251067</v>
      </c>
      <c r="L2369" s="1" t="str">
        <f t="shared" si="183"/>
        <v>OK</v>
      </c>
      <c r="M2369" s="1">
        <f t="shared" si="180"/>
        <v>1</v>
      </c>
      <c r="N2369" s="1">
        <f t="shared" si="181"/>
        <v>36</v>
      </c>
      <c r="O2369" s="10">
        <f t="shared" si="184"/>
        <v>14.203333333251067</v>
      </c>
    </row>
    <row r="2370" spans="1:15">
      <c r="A2370" s="1" t="s">
        <v>2475</v>
      </c>
      <c r="B2370" s="23">
        <v>45162.964583333334</v>
      </c>
      <c r="C2370" s="1" t="s">
        <v>16</v>
      </c>
      <c r="D2370" s="1" t="s">
        <v>12</v>
      </c>
      <c r="E2370" s="1" t="s">
        <v>13</v>
      </c>
      <c r="F2370" s="1" t="s">
        <v>486</v>
      </c>
      <c r="G2370" s="1">
        <v>19</v>
      </c>
      <c r="H2370" s="23">
        <v>45163.516631944447</v>
      </c>
      <c r="I2370" s="1" t="b">
        <v>0</v>
      </c>
      <c r="K2370" s="10">
        <f t="shared" si="182"/>
        <v>13.249166666704696</v>
      </c>
      <c r="L2370" s="1" t="str">
        <f t="shared" si="183"/>
        <v>OK</v>
      </c>
      <c r="M2370" s="1">
        <f t="shared" ref="M2370:M2433" si="185">COUNTIF($A$2:$A$4001,A2370)</f>
        <v>1</v>
      </c>
      <c r="N2370" s="1">
        <f t="shared" ref="N2370:N2433" si="186">IF(OR(L2370="Review",G2370=""),"",G2370)</f>
        <v>19</v>
      </c>
      <c r="O2370" s="10">
        <f t="shared" si="184"/>
        <v>13.249166666704696</v>
      </c>
    </row>
    <row r="2371" spans="1:15">
      <c r="A2371" s="1" t="s">
        <v>2476</v>
      </c>
      <c r="B2371" s="23">
        <v>45163.056944444441</v>
      </c>
      <c r="C2371" s="1" t="s">
        <v>43</v>
      </c>
      <c r="D2371" s="1" t="s">
        <v>59</v>
      </c>
      <c r="E2371" s="1" t="s">
        <v>18</v>
      </c>
      <c r="F2371" s="1" t="s">
        <v>274</v>
      </c>
      <c r="G2371" s="1">
        <v>142</v>
      </c>
      <c r="H2371" s="23">
        <v>45163.307673611111</v>
      </c>
      <c r="I2371" s="1" t="b">
        <v>0</v>
      </c>
      <c r="J2371" s="1">
        <v>3</v>
      </c>
      <c r="K2371" s="10">
        <f t="shared" ref="K2371:K2434" si="187">IF(H2371="","",(H2371-B2371)*24)</f>
        <v>6.0175000000745058</v>
      </c>
      <c r="L2371" s="1" t="str">
        <f t="shared" ref="L2371:L2434" si="188">IF(OR(G2371="",K2371=""),"Cannot check",IF(G2371&gt;K2371*60,"Review","OK"))</f>
        <v>OK</v>
      </c>
      <c r="M2371" s="1">
        <f t="shared" si="185"/>
        <v>1</v>
      </c>
      <c r="N2371" s="1">
        <f t="shared" si="186"/>
        <v>142</v>
      </c>
      <c r="O2371" s="10">
        <f t="shared" ref="O2371:O2434" si="189">IF(OR(L2371="Review",K2371=""),"",K2371)</f>
        <v>6.0175000000745058</v>
      </c>
    </row>
    <row r="2372" spans="1:15">
      <c r="A2372" s="1" t="s">
        <v>2477</v>
      </c>
      <c r="B2372" s="23">
        <v>45163.15625</v>
      </c>
      <c r="C2372" s="1" t="s">
        <v>25</v>
      </c>
      <c r="D2372" s="1" t="s">
        <v>26</v>
      </c>
      <c r="E2372" s="1" t="s">
        <v>18</v>
      </c>
      <c r="F2372" s="1" t="s">
        <v>23</v>
      </c>
      <c r="H2372" s="23">
        <v>45175.413425925923</v>
      </c>
      <c r="I2372" s="1" t="b">
        <v>0</v>
      </c>
      <c r="K2372" s="10">
        <f t="shared" si="187"/>
        <v>294.17222222214332</v>
      </c>
      <c r="L2372" s="1" t="str">
        <f t="shared" si="188"/>
        <v>Cannot check</v>
      </c>
      <c r="M2372" s="1">
        <f t="shared" si="185"/>
        <v>1</v>
      </c>
      <c r="N2372" s="1" t="str">
        <f t="shared" si="186"/>
        <v/>
      </c>
      <c r="O2372" s="10">
        <f t="shared" si="189"/>
        <v>294.17222222214332</v>
      </c>
    </row>
    <row r="2373" spans="1:15">
      <c r="A2373" s="1" t="s">
        <v>2478</v>
      </c>
      <c r="B2373" s="23">
        <v>45163.228472222225</v>
      </c>
      <c r="C2373" s="1" t="s">
        <v>11</v>
      </c>
      <c r="D2373" s="1" t="s">
        <v>12</v>
      </c>
      <c r="E2373" s="1" t="s">
        <v>33</v>
      </c>
      <c r="F2373" s="1" t="s">
        <v>167</v>
      </c>
      <c r="G2373" s="1">
        <v>110</v>
      </c>
      <c r="H2373" s="23">
        <v>45163.463541666664</v>
      </c>
      <c r="I2373" s="1" t="b">
        <v>0</v>
      </c>
      <c r="J2373" s="1">
        <v>2</v>
      </c>
      <c r="K2373" s="10">
        <f t="shared" si="187"/>
        <v>5.6416666665463708</v>
      </c>
      <c r="L2373" s="1" t="str">
        <f t="shared" si="188"/>
        <v>OK</v>
      </c>
      <c r="M2373" s="1">
        <f t="shared" si="185"/>
        <v>1</v>
      </c>
      <c r="N2373" s="1">
        <f t="shared" si="186"/>
        <v>110</v>
      </c>
      <c r="O2373" s="10">
        <f t="shared" si="189"/>
        <v>5.6416666665463708</v>
      </c>
    </row>
    <row r="2374" spans="1:15">
      <c r="A2374" s="1" t="s">
        <v>2479</v>
      </c>
      <c r="B2374" s="23">
        <v>45163.313194444447</v>
      </c>
      <c r="C2374" s="1" t="s">
        <v>43</v>
      </c>
      <c r="D2374" s="1" t="s">
        <v>26</v>
      </c>
      <c r="E2374" s="1" t="s">
        <v>18</v>
      </c>
      <c r="F2374" s="1" t="s">
        <v>66</v>
      </c>
      <c r="G2374" s="1">
        <v>27</v>
      </c>
      <c r="H2374" s="23">
        <v>45168.597245370373</v>
      </c>
      <c r="I2374" s="1" t="b">
        <v>0</v>
      </c>
      <c r="J2374" s="1">
        <v>4</v>
      </c>
      <c r="K2374" s="10">
        <f t="shared" si="187"/>
        <v>126.81722222222015</v>
      </c>
      <c r="L2374" s="1" t="str">
        <f t="shared" si="188"/>
        <v>OK</v>
      </c>
      <c r="M2374" s="1">
        <f t="shared" si="185"/>
        <v>1</v>
      </c>
      <c r="N2374" s="1">
        <f t="shared" si="186"/>
        <v>27</v>
      </c>
      <c r="O2374" s="10">
        <f t="shared" si="189"/>
        <v>126.81722222222015</v>
      </c>
    </row>
    <row r="2375" spans="1:15">
      <c r="A2375" s="1" t="s">
        <v>2480</v>
      </c>
      <c r="B2375" s="23">
        <v>45163.327777777777</v>
      </c>
      <c r="C2375" s="1" t="s">
        <v>11</v>
      </c>
      <c r="D2375" s="1" t="s">
        <v>21</v>
      </c>
      <c r="E2375" s="1" t="s">
        <v>13</v>
      </c>
      <c r="F2375" s="1" t="s">
        <v>90</v>
      </c>
      <c r="G2375" s="1">
        <v>80</v>
      </c>
      <c r="H2375" s="23">
        <v>45163.462523148148</v>
      </c>
      <c r="I2375" s="1" t="b">
        <v>0</v>
      </c>
      <c r="K2375" s="10">
        <f t="shared" si="187"/>
        <v>3.2338888889062218</v>
      </c>
      <c r="L2375" s="1" t="str">
        <f t="shared" si="188"/>
        <v>OK</v>
      </c>
      <c r="M2375" s="1">
        <f t="shared" si="185"/>
        <v>1</v>
      </c>
      <c r="N2375" s="1">
        <f t="shared" si="186"/>
        <v>80</v>
      </c>
      <c r="O2375" s="10">
        <f t="shared" si="189"/>
        <v>3.2338888889062218</v>
      </c>
    </row>
    <row r="2376" spans="1:15">
      <c r="A2376" s="1" t="s">
        <v>2481</v>
      </c>
      <c r="B2376" s="23">
        <v>45163.366666666669</v>
      </c>
      <c r="C2376" s="1" t="s">
        <v>11</v>
      </c>
      <c r="D2376" s="1" t="s">
        <v>21</v>
      </c>
      <c r="E2376" s="1" t="s">
        <v>18</v>
      </c>
      <c r="F2376" s="1" t="s">
        <v>54</v>
      </c>
      <c r="G2376" s="1">
        <v>22</v>
      </c>
      <c r="H2376" s="23">
        <v>45163.59615740741</v>
      </c>
      <c r="I2376" s="1" t="b">
        <v>0</v>
      </c>
      <c r="K2376" s="10">
        <f t="shared" si="187"/>
        <v>5.5077777777914889</v>
      </c>
      <c r="L2376" s="1" t="str">
        <f t="shared" si="188"/>
        <v>OK</v>
      </c>
      <c r="M2376" s="1">
        <f t="shared" si="185"/>
        <v>1</v>
      </c>
      <c r="N2376" s="1">
        <f t="shared" si="186"/>
        <v>22</v>
      </c>
      <c r="O2376" s="10">
        <f t="shared" si="189"/>
        <v>5.5077777777914889</v>
      </c>
    </row>
    <row r="2377" spans="1:15">
      <c r="A2377" s="1" t="s">
        <v>2482</v>
      </c>
      <c r="B2377" s="23">
        <v>45163.416666666664</v>
      </c>
      <c r="C2377" s="1" t="s">
        <v>11</v>
      </c>
      <c r="D2377" s="1" t="s">
        <v>26</v>
      </c>
      <c r="E2377" s="1" t="s">
        <v>33</v>
      </c>
      <c r="F2377" s="1" t="s">
        <v>78</v>
      </c>
      <c r="G2377" s="1">
        <v>461</v>
      </c>
      <c r="H2377" s="23">
        <v>45166.665682870371</v>
      </c>
      <c r="I2377" s="1" t="b">
        <v>0</v>
      </c>
      <c r="K2377" s="10">
        <f t="shared" si="187"/>
        <v>77.976388888957445</v>
      </c>
      <c r="L2377" s="1" t="str">
        <f t="shared" si="188"/>
        <v>OK</v>
      </c>
      <c r="M2377" s="1">
        <f t="shared" si="185"/>
        <v>1</v>
      </c>
      <c r="N2377" s="1">
        <f t="shared" si="186"/>
        <v>461</v>
      </c>
      <c r="O2377" s="10">
        <f t="shared" si="189"/>
        <v>77.976388888957445</v>
      </c>
    </row>
    <row r="2378" spans="1:15">
      <c r="A2378" s="1" t="s">
        <v>2483</v>
      </c>
      <c r="B2378" s="23">
        <v>45163.426388888889</v>
      </c>
      <c r="C2378" s="1" t="s">
        <v>11</v>
      </c>
      <c r="D2378" s="1" t="s">
        <v>12</v>
      </c>
      <c r="E2378" s="1" t="s">
        <v>13</v>
      </c>
      <c r="F2378" s="1" t="s">
        <v>245</v>
      </c>
      <c r="G2378" s="1">
        <v>18</v>
      </c>
      <c r="H2378" s="23">
        <v>45163.586678240739</v>
      </c>
      <c r="I2378" s="1" t="b">
        <v>0</v>
      </c>
      <c r="K2378" s="10">
        <f t="shared" si="187"/>
        <v>3.8469444444053806</v>
      </c>
      <c r="L2378" s="1" t="str">
        <f t="shared" si="188"/>
        <v>OK</v>
      </c>
      <c r="M2378" s="1">
        <f t="shared" si="185"/>
        <v>1</v>
      </c>
      <c r="N2378" s="1">
        <f t="shared" si="186"/>
        <v>18</v>
      </c>
      <c r="O2378" s="10">
        <f t="shared" si="189"/>
        <v>3.8469444444053806</v>
      </c>
    </row>
    <row r="2379" spans="1:15">
      <c r="A2379" s="1" t="s">
        <v>2484</v>
      </c>
      <c r="B2379" s="23">
        <v>45163.50277777778</v>
      </c>
      <c r="C2379" s="1" t="s">
        <v>16</v>
      </c>
      <c r="D2379" s="1" t="s">
        <v>21</v>
      </c>
      <c r="E2379" s="1" t="s">
        <v>18</v>
      </c>
      <c r="F2379" s="1" t="s">
        <v>52</v>
      </c>
      <c r="G2379" s="1">
        <v>119</v>
      </c>
      <c r="H2379" s="23">
        <v>45164.835300925923</v>
      </c>
      <c r="I2379" s="1" t="b">
        <v>0</v>
      </c>
      <c r="K2379" s="10">
        <f t="shared" si="187"/>
        <v>31.980555555433966</v>
      </c>
      <c r="L2379" s="1" t="str">
        <f t="shared" si="188"/>
        <v>OK</v>
      </c>
      <c r="M2379" s="1">
        <f t="shared" si="185"/>
        <v>1</v>
      </c>
      <c r="N2379" s="1">
        <f t="shared" si="186"/>
        <v>119</v>
      </c>
      <c r="O2379" s="10">
        <f t="shared" si="189"/>
        <v>31.980555555433966</v>
      </c>
    </row>
    <row r="2380" spans="1:15">
      <c r="A2380" s="1" t="s">
        <v>2485</v>
      </c>
      <c r="B2380" s="23">
        <v>45163.802777777775</v>
      </c>
      <c r="C2380" s="1" t="s">
        <v>25</v>
      </c>
      <c r="D2380" s="1" t="s">
        <v>12</v>
      </c>
      <c r="E2380" s="1" t="s">
        <v>33</v>
      </c>
      <c r="F2380" s="1" t="s">
        <v>130</v>
      </c>
      <c r="G2380" s="1">
        <v>146</v>
      </c>
      <c r="H2380" s="23">
        <v>45165.264849537038</v>
      </c>
      <c r="I2380" s="1" t="b">
        <v>0</v>
      </c>
      <c r="K2380" s="10">
        <f t="shared" si="187"/>
        <v>35.089722222299315</v>
      </c>
      <c r="L2380" s="1" t="str">
        <f t="shared" si="188"/>
        <v>OK</v>
      </c>
      <c r="M2380" s="1">
        <f t="shared" si="185"/>
        <v>1</v>
      </c>
      <c r="N2380" s="1">
        <f t="shared" si="186"/>
        <v>146</v>
      </c>
      <c r="O2380" s="10">
        <f t="shared" si="189"/>
        <v>35.089722222299315</v>
      </c>
    </row>
    <row r="2381" spans="1:15">
      <c r="A2381" s="1" t="s">
        <v>2486</v>
      </c>
      <c r="B2381" s="23">
        <v>45163.845138888886</v>
      </c>
      <c r="C2381" s="1" t="s">
        <v>16</v>
      </c>
      <c r="D2381" s="1" t="s">
        <v>17</v>
      </c>
      <c r="E2381" s="1" t="s">
        <v>18</v>
      </c>
      <c r="F2381" s="1" t="s">
        <v>259</v>
      </c>
      <c r="G2381" s="1">
        <v>38</v>
      </c>
      <c r="H2381" s="23">
        <v>45163.997650462959</v>
      </c>
      <c r="I2381" s="1" t="b">
        <v>0</v>
      </c>
      <c r="J2381" s="1">
        <v>2</v>
      </c>
      <c r="K2381" s="10">
        <f t="shared" si="187"/>
        <v>3.6602777777588926</v>
      </c>
      <c r="L2381" s="1" t="str">
        <f t="shared" si="188"/>
        <v>OK</v>
      </c>
      <c r="M2381" s="1">
        <f t="shared" si="185"/>
        <v>1</v>
      </c>
      <c r="N2381" s="1">
        <f t="shared" si="186"/>
        <v>38</v>
      </c>
      <c r="O2381" s="10">
        <f t="shared" si="189"/>
        <v>3.6602777777588926</v>
      </c>
    </row>
    <row r="2382" spans="1:15">
      <c r="A2382" s="1" t="s">
        <v>2487</v>
      </c>
      <c r="B2382" s="23">
        <v>45164.214583333334</v>
      </c>
      <c r="C2382" s="1" t="s">
        <v>25</v>
      </c>
      <c r="D2382" s="1" t="s">
        <v>26</v>
      </c>
      <c r="E2382" s="1" t="s">
        <v>13</v>
      </c>
      <c r="F2382" s="1" t="s">
        <v>66</v>
      </c>
      <c r="G2382" s="1">
        <v>26</v>
      </c>
      <c r="H2382" s="23">
        <v>45166.579953703702</v>
      </c>
      <c r="I2382" s="1" t="b">
        <v>0</v>
      </c>
      <c r="J2382" s="1">
        <v>5</v>
      </c>
      <c r="K2382" s="10">
        <f t="shared" si="187"/>
        <v>56.768888888822403</v>
      </c>
      <c r="L2382" s="1" t="str">
        <f t="shared" si="188"/>
        <v>OK</v>
      </c>
      <c r="M2382" s="1">
        <f t="shared" si="185"/>
        <v>1</v>
      </c>
      <c r="N2382" s="1">
        <f t="shared" si="186"/>
        <v>26</v>
      </c>
      <c r="O2382" s="10">
        <f t="shared" si="189"/>
        <v>56.768888888822403</v>
      </c>
    </row>
    <row r="2383" spans="1:15">
      <c r="A2383" s="1" t="s">
        <v>2488</v>
      </c>
      <c r="B2383" s="23">
        <v>45164.240277777775</v>
      </c>
      <c r="C2383" s="1" t="s">
        <v>16</v>
      </c>
      <c r="D2383" s="1" t="s">
        <v>17</v>
      </c>
      <c r="E2383" s="1" t="s">
        <v>13</v>
      </c>
      <c r="F2383" s="1" t="s">
        <v>80</v>
      </c>
      <c r="G2383" s="1">
        <v>38</v>
      </c>
      <c r="H2383" s="23">
        <v>45165.308668981481</v>
      </c>
      <c r="I2383" s="1" t="b">
        <v>0</v>
      </c>
      <c r="J2383" s="1">
        <v>4</v>
      </c>
      <c r="K2383" s="10">
        <f t="shared" si="187"/>
        <v>25.64138888893649</v>
      </c>
      <c r="L2383" s="1" t="str">
        <f t="shared" si="188"/>
        <v>OK</v>
      </c>
      <c r="M2383" s="1">
        <f t="shared" si="185"/>
        <v>1</v>
      </c>
      <c r="N2383" s="1">
        <f t="shared" si="186"/>
        <v>38</v>
      </c>
      <c r="O2383" s="10">
        <f t="shared" si="189"/>
        <v>25.64138888893649</v>
      </c>
    </row>
    <row r="2384" spans="1:15">
      <c r="A2384" s="1" t="s">
        <v>2489</v>
      </c>
      <c r="B2384" s="23">
        <v>45164.472916666666</v>
      </c>
      <c r="C2384" s="1" t="s">
        <v>25</v>
      </c>
      <c r="D2384" s="1" t="s">
        <v>59</v>
      </c>
      <c r="E2384" s="1" t="s">
        <v>22</v>
      </c>
      <c r="F2384" s="1" t="s">
        <v>104</v>
      </c>
      <c r="G2384" s="1">
        <v>9</v>
      </c>
      <c r="H2384" s="23">
        <v>45164.598773148151</v>
      </c>
      <c r="I2384" s="1" t="b">
        <v>0</v>
      </c>
      <c r="K2384" s="10">
        <f t="shared" si="187"/>
        <v>3.0205555556458421</v>
      </c>
      <c r="L2384" s="1" t="str">
        <f t="shared" si="188"/>
        <v>OK</v>
      </c>
      <c r="M2384" s="1">
        <f t="shared" si="185"/>
        <v>1</v>
      </c>
      <c r="N2384" s="1">
        <f t="shared" si="186"/>
        <v>9</v>
      </c>
      <c r="O2384" s="10">
        <f t="shared" si="189"/>
        <v>3.0205555556458421</v>
      </c>
    </row>
    <row r="2385" spans="1:15">
      <c r="A2385" s="1" t="s">
        <v>2490</v>
      </c>
      <c r="B2385" s="23">
        <v>45164.501388888886</v>
      </c>
      <c r="C2385" s="1" t="s">
        <v>11</v>
      </c>
      <c r="D2385" s="1" t="s">
        <v>21</v>
      </c>
      <c r="E2385" s="1" t="s">
        <v>13</v>
      </c>
      <c r="F2385" s="1" t="s">
        <v>96</v>
      </c>
      <c r="G2385" s="1">
        <v>238</v>
      </c>
      <c r="H2385" s="23">
        <v>45165.445787037039</v>
      </c>
      <c r="I2385" s="1" t="b">
        <v>1</v>
      </c>
      <c r="J2385" s="1">
        <v>4</v>
      </c>
      <c r="K2385" s="10">
        <f t="shared" si="187"/>
        <v>22.665555555664469</v>
      </c>
      <c r="L2385" s="1" t="str">
        <f t="shared" si="188"/>
        <v>OK</v>
      </c>
      <c r="M2385" s="1">
        <f t="shared" si="185"/>
        <v>1</v>
      </c>
      <c r="N2385" s="1">
        <f t="shared" si="186"/>
        <v>238</v>
      </c>
      <c r="O2385" s="10">
        <f t="shared" si="189"/>
        <v>22.665555555664469</v>
      </c>
    </row>
    <row r="2386" spans="1:15">
      <c r="A2386" s="1" t="s">
        <v>2491</v>
      </c>
      <c r="B2386" s="23">
        <v>45164.561805555553</v>
      </c>
      <c r="C2386" s="1" t="s">
        <v>25</v>
      </c>
      <c r="D2386" s="1" t="s">
        <v>21</v>
      </c>
      <c r="E2386" s="1" t="s">
        <v>18</v>
      </c>
      <c r="F2386" s="1" t="s">
        <v>130</v>
      </c>
      <c r="G2386" s="1">
        <v>231</v>
      </c>
      <c r="H2386" s="23">
        <v>45164.705729166664</v>
      </c>
      <c r="I2386" s="1" t="b">
        <v>0</v>
      </c>
      <c r="J2386" s="1">
        <v>5</v>
      </c>
      <c r="K2386" s="10">
        <f t="shared" si="187"/>
        <v>3.4541666666627862</v>
      </c>
      <c r="L2386" s="1" t="str">
        <f t="shared" si="188"/>
        <v>Review</v>
      </c>
      <c r="M2386" s="1">
        <f t="shared" si="185"/>
        <v>1</v>
      </c>
      <c r="N2386" s="1" t="str">
        <f t="shared" si="186"/>
        <v/>
      </c>
      <c r="O2386" s="10" t="str">
        <f t="shared" si="189"/>
        <v/>
      </c>
    </row>
    <row r="2387" spans="1:15">
      <c r="A2387" s="1" t="s">
        <v>2492</v>
      </c>
      <c r="B2387" s="23">
        <v>45164.676388888889</v>
      </c>
      <c r="C2387" s="1" t="s">
        <v>43</v>
      </c>
      <c r="D2387" s="1" t="s">
        <v>21</v>
      </c>
      <c r="E2387" s="1" t="s">
        <v>18</v>
      </c>
      <c r="F2387" s="1" t="s">
        <v>68</v>
      </c>
      <c r="G2387" s="1">
        <v>638</v>
      </c>
      <c r="H2387" s="23">
        <v>45167.50640046296</v>
      </c>
      <c r="I2387" s="1" t="b">
        <v>0</v>
      </c>
      <c r="K2387" s="10">
        <f t="shared" si="187"/>
        <v>67.920277777709998</v>
      </c>
      <c r="L2387" s="1" t="str">
        <f t="shared" si="188"/>
        <v>OK</v>
      </c>
      <c r="M2387" s="1">
        <f t="shared" si="185"/>
        <v>1</v>
      </c>
      <c r="N2387" s="1">
        <f t="shared" si="186"/>
        <v>638</v>
      </c>
      <c r="O2387" s="10">
        <f t="shared" si="189"/>
        <v>67.920277777709998</v>
      </c>
    </row>
    <row r="2388" spans="1:15">
      <c r="A2388" s="1" t="s">
        <v>2493</v>
      </c>
      <c r="B2388" s="23">
        <v>45164.745138888888</v>
      </c>
      <c r="C2388" s="1" t="s">
        <v>16</v>
      </c>
      <c r="D2388" s="1" t="s">
        <v>21</v>
      </c>
      <c r="E2388" s="1" t="s">
        <v>13</v>
      </c>
      <c r="F2388" s="1" t="s">
        <v>186</v>
      </c>
      <c r="G2388" s="1">
        <v>16</v>
      </c>
      <c r="H2388" s="23">
        <v>45164.754467592589</v>
      </c>
      <c r="I2388" s="1" t="b">
        <v>0</v>
      </c>
      <c r="K2388" s="10">
        <f t="shared" si="187"/>
        <v>0.22388888883870095</v>
      </c>
      <c r="L2388" s="1" t="str">
        <f t="shared" si="188"/>
        <v>Review</v>
      </c>
      <c r="M2388" s="1">
        <f t="shared" si="185"/>
        <v>1</v>
      </c>
      <c r="N2388" s="1" t="str">
        <f t="shared" si="186"/>
        <v/>
      </c>
      <c r="O2388" s="10" t="str">
        <f t="shared" si="189"/>
        <v/>
      </c>
    </row>
    <row r="2389" spans="1:15">
      <c r="A2389" s="1" t="s">
        <v>2494</v>
      </c>
      <c r="B2389" s="23">
        <v>45164.781944444447</v>
      </c>
      <c r="C2389" s="1" t="s">
        <v>43</v>
      </c>
      <c r="D2389" s="1" t="s">
        <v>59</v>
      </c>
      <c r="E2389" s="1" t="s">
        <v>18</v>
      </c>
      <c r="F2389" s="1" t="s">
        <v>70</v>
      </c>
      <c r="G2389" s="1">
        <v>176</v>
      </c>
      <c r="H2389" s="23">
        <v>45166.79247685185</v>
      </c>
      <c r="I2389" s="1" t="b">
        <v>0</v>
      </c>
      <c r="K2389" s="10">
        <f t="shared" si="187"/>
        <v>48.252777777670417</v>
      </c>
      <c r="L2389" s="1" t="str">
        <f t="shared" si="188"/>
        <v>OK</v>
      </c>
      <c r="M2389" s="1">
        <f t="shared" si="185"/>
        <v>1</v>
      </c>
      <c r="N2389" s="1">
        <f t="shared" si="186"/>
        <v>176</v>
      </c>
      <c r="O2389" s="10">
        <f t="shared" si="189"/>
        <v>48.252777777670417</v>
      </c>
    </row>
    <row r="2390" spans="1:15">
      <c r="A2390" s="1" t="s">
        <v>2495</v>
      </c>
      <c r="B2390" s="23">
        <v>45164.859722222223</v>
      </c>
      <c r="C2390" s="1" t="s">
        <v>16</v>
      </c>
      <c r="D2390" s="1" t="s">
        <v>59</v>
      </c>
      <c r="E2390" s="1" t="s">
        <v>18</v>
      </c>
      <c r="F2390" s="1" t="s">
        <v>37</v>
      </c>
      <c r="G2390" s="1">
        <v>186</v>
      </c>
      <c r="H2390" s="23">
        <v>45165.349212962959</v>
      </c>
      <c r="I2390" s="1" t="b">
        <v>0</v>
      </c>
      <c r="K2390" s="10">
        <f t="shared" si="187"/>
        <v>11.74777777766576</v>
      </c>
      <c r="L2390" s="1" t="str">
        <f t="shared" si="188"/>
        <v>OK</v>
      </c>
      <c r="M2390" s="1">
        <f t="shared" si="185"/>
        <v>1</v>
      </c>
      <c r="N2390" s="1">
        <f t="shared" si="186"/>
        <v>186</v>
      </c>
      <c r="O2390" s="10">
        <f t="shared" si="189"/>
        <v>11.74777777766576</v>
      </c>
    </row>
    <row r="2391" spans="1:15">
      <c r="A2391" s="1" t="s">
        <v>2496</v>
      </c>
      <c r="B2391" s="23">
        <v>45164.884722222225</v>
      </c>
      <c r="C2391" s="1" t="s">
        <v>11</v>
      </c>
      <c r="D2391" s="1" t="s">
        <v>17</v>
      </c>
      <c r="E2391" s="1" t="s">
        <v>13</v>
      </c>
      <c r="F2391" s="1" t="s">
        <v>201</v>
      </c>
      <c r="G2391" s="1">
        <v>93</v>
      </c>
      <c r="H2391" s="23">
        <v>45164.945081018515</v>
      </c>
      <c r="I2391" s="1" t="b">
        <v>0</v>
      </c>
      <c r="K2391" s="10">
        <f t="shared" si="187"/>
        <v>1.4486111109727062</v>
      </c>
      <c r="L2391" s="1" t="str">
        <f t="shared" si="188"/>
        <v>Review</v>
      </c>
      <c r="M2391" s="1">
        <f t="shared" si="185"/>
        <v>1</v>
      </c>
      <c r="N2391" s="1" t="str">
        <f t="shared" si="186"/>
        <v/>
      </c>
      <c r="O2391" s="10" t="str">
        <f t="shared" si="189"/>
        <v/>
      </c>
    </row>
    <row r="2392" spans="1:15">
      <c r="A2392" s="1" t="s">
        <v>2497</v>
      </c>
      <c r="B2392" s="23">
        <v>45164.95416666667</v>
      </c>
      <c r="C2392" s="1" t="s">
        <v>43</v>
      </c>
      <c r="D2392" s="1" t="s">
        <v>17</v>
      </c>
      <c r="E2392" s="1" t="s">
        <v>18</v>
      </c>
      <c r="F2392" s="1" t="s">
        <v>226</v>
      </c>
      <c r="H2392" s="23">
        <v>45166.599039351851</v>
      </c>
      <c r="I2392" s="1" t="b">
        <v>0</v>
      </c>
      <c r="K2392" s="10">
        <f t="shared" si="187"/>
        <v>39.47694444435183</v>
      </c>
      <c r="L2392" s="1" t="str">
        <f t="shared" si="188"/>
        <v>Cannot check</v>
      </c>
      <c r="M2392" s="1">
        <f t="shared" si="185"/>
        <v>1</v>
      </c>
      <c r="N2392" s="1" t="str">
        <f t="shared" si="186"/>
        <v/>
      </c>
      <c r="O2392" s="10">
        <f t="shared" si="189"/>
        <v>39.47694444435183</v>
      </c>
    </row>
    <row r="2393" spans="1:15">
      <c r="A2393" s="1" t="s">
        <v>2498</v>
      </c>
      <c r="B2393" s="23">
        <v>45165.007638888892</v>
      </c>
      <c r="C2393" s="1" t="s">
        <v>16</v>
      </c>
      <c r="D2393" s="1" t="s">
        <v>17</v>
      </c>
      <c r="E2393" s="1" t="s">
        <v>33</v>
      </c>
      <c r="F2393" s="1" t="s">
        <v>88</v>
      </c>
      <c r="G2393" s="1">
        <v>1359</v>
      </c>
      <c r="H2393" s="23">
        <v>45182.831238425926</v>
      </c>
      <c r="I2393" s="1" t="b">
        <v>0</v>
      </c>
      <c r="J2393" s="1">
        <v>5</v>
      </c>
      <c r="K2393" s="10">
        <f t="shared" si="187"/>
        <v>427.76638888882007</v>
      </c>
      <c r="L2393" s="1" t="str">
        <f t="shared" si="188"/>
        <v>OK</v>
      </c>
      <c r="M2393" s="1">
        <f t="shared" si="185"/>
        <v>1</v>
      </c>
      <c r="N2393" s="1">
        <f t="shared" si="186"/>
        <v>1359</v>
      </c>
      <c r="O2393" s="10">
        <f t="shared" si="189"/>
        <v>427.76638888882007</v>
      </c>
    </row>
    <row r="2394" spans="1:15">
      <c r="A2394" s="1" t="s">
        <v>2499</v>
      </c>
      <c r="B2394" s="23">
        <v>45165.052083333336</v>
      </c>
      <c r="C2394" s="1" t="s">
        <v>11</v>
      </c>
      <c r="D2394" s="1" t="s">
        <v>12</v>
      </c>
      <c r="E2394" s="1" t="s">
        <v>18</v>
      </c>
      <c r="F2394" s="1" t="s">
        <v>98</v>
      </c>
      <c r="G2394" s="1">
        <v>67</v>
      </c>
      <c r="H2394" s="23">
        <v>45165.19840277778</v>
      </c>
      <c r="I2394" s="1" t="b">
        <v>0</v>
      </c>
      <c r="K2394" s="10">
        <f t="shared" si="187"/>
        <v>3.5116666666581295</v>
      </c>
      <c r="L2394" s="1" t="str">
        <f t="shared" si="188"/>
        <v>OK</v>
      </c>
      <c r="M2394" s="1">
        <f t="shared" si="185"/>
        <v>1</v>
      </c>
      <c r="N2394" s="1">
        <f t="shared" si="186"/>
        <v>67</v>
      </c>
      <c r="O2394" s="10">
        <f t="shared" si="189"/>
        <v>3.5116666666581295</v>
      </c>
    </row>
    <row r="2395" spans="1:15">
      <c r="A2395" s="1" t="s">
        <v>2500</v>
      </c>
      <c r="B2395" s="23">
        <v>45165.112500000003</v>
      </c>
      <c r="C2395" s="1" t="s">
        <v>11</v>
      </c>
      <c r="D2395" s="1" t="s">
        <v>17</v>
      </c>
      <c r="E2395" s="1" t="s">
        <v>18</v>
      </c>
      <c r="F2395" s="1" t="s">
        <v>68</v>
      </c>
      <c r="G2395" s="1">
        <v>128</v>
      </c>
      <c r="H2395" s="23">
        <v>45165.989976851852</v>
      </c>
      <c r="I2395" s="1" t="b">
        <v>0</v>
      </c>
      <c r="K2395" s="10">
        <f t="shared" si="187"/>
        <v>21.059444444370456</v>
      </c>
      <c r="L2395" s="1" t="str">
        <f t="shared" si="188"/>
        <v>OK</v>
      </c>
      <c r="M2395" s="1">
        <f t="shared" si="185"/>
        <v>1</v>
      </c>
      <c r="N2395" s="1">
        <f t="shared" si="186"/>
        <v>128</v>
      </c>
      <c r="O2395" s="10">
        <f t="shared" si="189"/>
        <v>21.059444444370456</v>
      </c>
    </row>
    <row r="2396" spans="1:15">
      <c r="A2396" s="1" t="s">
        <v>2501</v>
      </c>
      <c r="B2396" s="23">
        <v>45165.21597222222</v>
      </c>
      <c r="C2396" s="1" t="s">
        <v>25</v>
      </c>
      <c r="D2396" s="1" t="s">
        <v>21</v>
      </c>
      <c r="E2396" s="1" t="s">
        <v>18</v>
      </c>
      <c r="F2396" s="1" t="s">
        <v>19</v>
      </c>
      <c r="G2396" s="1">
        <v>225</v>
      </c>
      <c r="H2396" s="23">
        <v>45166.16715277778</v>
      </c>
      <c r="I2396" s="1" t="b">
        <v>0</v>
      </c>
      <c r="K2396" s="10">
        <f t="shared" si="187"/>
        <v>22.828333333425689</v>
      </c>
      <c r="L2396" s="1" t="str">
        <f t="shared" si="188"/>
        <v>OK</v>
      </c>
      <c r="M2396" s="1">
        <f t="shared" si="185"/>
        <v>1</v>
      </c>
      <c r="N2396" s="1">
        <f t="shared" si="186"/>
        <v>225</v>
      </c>
      <c r="O2396" s="10">
        <f t="shared" si="189"/>
        <v>22.828333333425689</v>
      </c>
    </row>
    <row r="2397" spans="1:15">
      <c r="A2397" s="1" t="s">
        <v>2502</v>
      </c>
      <c r="B2397" s="23">
        <v>45165.256249999999</v>
      </c>
      <c r="C2397" s="1" t="s">
        <v>25</v>
      </c>
      <c r="D2397" s="1" t="s">
        <v>17</v>
      </c>
      <c r="E2397" s="1" t="s">
        <v>18</v>
      </c>
      <c r="F2397" s="1" t="s">
        <v>326</v>
      </c>
      <c r="G2397" s="1">
        <v>113</v>
      </c>
      <c r="H2397" s="23">
        <v>45184.867256944446</v>
      </c>
      <c r="I2397" s="1" t="b">
        <v>0</v>
      </c>
      <c r="J2397" s="1">
        <v>2</v>
      </c>
      <c r="K2397" s="10">
        <f t="shared" si="187"/>
        <v>470.66416666674195</v>
      </c>
      <c r="L2397" s="1" t="str">
        <f t="shared" si="188"/>
        <v>OK</v>
      </c>
      <c r="M2397" s="1">
        <f t="shared" si="185"/>
        <v>1</v>
      </c>
      <c r="N2397" s="1">
        <f t="shared" si="186"/>
        <v>113</v>
      </c>
      <c r="O2397" s="10">
        <f t="shared" si="189"/>
        <v>470.66416666674195</v>
      </c>
    </row>
    <row r="2398" spans="1:15">
      <c r="A2398" s="1" t="s">
        <v>2503</v>
      </c>
      <c r="B2398" s="23">
        <v>45165.327777777777</v>
      </c>
      <c r="C2398" s="1" t="s">
        <v>16</v>
      </c>
      <c r="D2398" s="1" t="s">
        <v>21</v>
      </c>
      <c r="E2398" s="1" t="s">
        <v>18</v>
      </c>
      <c r="F2398" s="1" t="s">
        <v>78</v>
      </c>
      <c r="G2398" s="1">
        <v>29</v>
      </c>
      <c r="H2398" s="23">
        <v>45165.656331018516</v>
      </c>
      <c r="I2398" s="1" t="b">
        <v>0</v>
      </c>
      <c r="K2398" s="10">
        <f t="shared" si="187"/>
        <v>7.8852777777356096</v>
      </c>
      <c r="L2398" s="1" t="str">
        <f t="shared" si="188"/>
        <v>OK</v>
      </c>
      <c r="M2398" s="1">
        <f t="shared" si="185"/>
        <v>1</v>
      </c>
      <c r="N2398" s="1">
        <f t="shared" si="186"/>
        <v>29</v>
      </c>
      <c r="O2398" s="10">
        <f t="shared" si="189"/>
        <v>7.8852777777356096</v>
      </c>
    </row>
    <row r="2399" spans="1:15">
      <c r="A2399" s="1" t="s">
        <v>2504</v>
      </c>
      <c r="B2399" s="23">
        <v>45165.601388888892</v>
      </c>
      <c r="C2399" s="1" t="s">
        <v>16</v>
      </c>
      <c r="D2399" s="1" t="s">
        <v>59</v>
      </c>
      <c r="E2399" s="1" t="s">
        <v>33</v>
      </c>
      <c r="F2399" s="1" t="s">
        <v>54</v>
      </c>
      <c r="G2399" s="1">
        <v>1419</v>
      </c>
      <c r="H2399" s="23">
        <v>45168.362476851849</v>
      </c>
      <c r="I2399" s="1" t="b">
        <v>0</v>
      </c>
      <c r="K2399" s="10">
        <f t="shared" si="187"/>
        <v>66.266111110977363</v>
      </c>
      <c r="L2399" s="1" t="str">
        <f t="shared" si="188"/>
        <v>OK</v>
      </c>
      <c r="M2399" s="1">
        <f t="shared" si="185"/>
        <v>1</v>
      </c>
      <c r="N2399" s="1">
        <f t="shared" si="186"/>
        <v>1419</v>
      </c>
      <c r="O2399" s="10">
        <f t="shared" si="189"/>
        <v>66.266111110977363</v>
      </c>
    </row>
    <row r="2400" spans="1:15">
      <c r="A2400" s="1" t="s">
        <v>2505</v>
      </c>
      <c r="B2400" s="23">
        <v>45165.612500000003</v>
      </c>
      <c r="C2400" s="1" t="s">
        <v>43</v>
      </c>
      <c r="D2400" s="1" t="s">
        <v>21</v>
      </c>
      <c r="E2400" s="1" t="s">
        <v>18</v>
      </c>
      <c r="F2400" s="1" t="s">
        <v>50</v>
      </c>
      <c r="G2400" s="1">
        <v>59</v>
      </c>
      <c r="I2400" s="1" t="b">
        <v>0</v>
      </c>
      <c r="K2400" s="10" t="str">
        <f t="shared" si="187"/>
        <v/>
      </c>
      <c r="L2400" s="1" t="str">
        <f t="shared" si="188"/>
        <v>Cannot check</v>
      </c>
      <c r="M2400" s="1">
        <f t="shared" si="185"/>
        <v>1</v>
      </c>
      <c r="N2400" s="1">
        <f t="shared" si="186"/>
        <v>59</v>
      </c>
      <c r="O2400" s="10" t="str">
        <f t="shared" si="189"/>
        <v/>
      </c>
    </row>
    <row r="2401" spans="1:15">
      <c r="A2401" s="1" t="s">
        <v>2506</v>
      </c>
      <c r="B2401" s="23">
        <v>45165.65</v>
      </c>
      <c r="C2401" s="1" t="s">
        <v>16</v>
      </c>
      <c r="D2401" s="1" t="s">
        <v>59</v>
      </c>
      <c r="E2401" s="1" t="s">
        <v>18</v>
      </c>
      <c r="F2401" s="1" t="s">
        <v>92</v>
      </c>
      <c r="G2401" s="1">
        <v>202</v>
      </c>
      <c r="H2401" s="23">
        <v>45166.703668981485</v>
      </c>
      <c r="I2401" s="1" t="b">
        <v>0</v>
      </c>
      <c r="K2401" s="10">
        <f t="shared" si="187"/>
        <v>25.288055555603933</v>
      </c>
      <c r="L2401" s="1" t="str">
        <f t="shared" si="188"/>
        <v>OK</v>
      </c>
      <c r="M2401" s="1">
        <f t="shared" si="185"/>
        <v>1</v>
      </c>
      <c r="N2401" s="1">
        <f t="shared" si="186"/>
        <v>202</v>
      </c>
      <c r="O2401" s="10">
        <f t="shared" si="189"/>
        <v>25.288055555603933</v>
      </c>
    </row>
    <row r="2402" spans="1:15">
      <c r="A2402" s="1" t="s">
        <v>2507</v>
      </c>
      <c r="B2402" s="23">
        <v>45165.661111111112</v>
      </c>
      <c r="C2402" s="1" t="s">
        <v>16</v>
      </c>
      <c r="D2402" s="1" t="s">
        <v>21</v>
      </c>
      <c r="E2402" s="1" t="s">
        <v>33</v>
      </c>
      <c r="F2402" s="1" t="s">
        <v>60</v>
      </c>
      <c r="G2402" s="1">
        <v>58</v>
      </c>
      <c r="H2402" s="23">
        <v>45165.967581018522</v>
      </c>
      <c r="I2402" s="1" t="b">
        <v>0</v>
      </c>
      <c r="J2402" s="1">
        <v>5</v>
      </c>
      <c r="K2402" s="10">
        <f t="shared" si="187"/>
        <v>7.3552777778240852</v>
      </c>
      <c r="L2402" s="1" t="str">
        <f t="shared" si="188"/>
        <v>OK</v>
      </c>
      <c r="M2402" s="1">
        <f t="shared" si="185"/>
        <v>1</v>
      </c>
      <c r="N2402" s="1">
        <f t="shared" si="186"/>
        <v>58</v>
      </c>
      <c r="O2402" s="10">
        <f t="shared" si="189"/>
        <v>7.3552777778240852</v>
      </c>
    </row>
    <row r="2403" spans="1:15">
      <c r="A2403" s="1" t="s">
        <v>2508</v>
      </c>
      <c r="B2403" s="23">
        <v>45165.726388888892</v>
      </c>
      <c r="C2403" s="1" t="s">
        <v>25</v>
      </c>
      <c r="D2403" s="1" t="s">
        <v>26</v>
      </c>
      <c r="E2403" s="1" t="s">
        <v>18</v>
      </c>
      <c r="F2403" s="1" t="s">
        <v>130</v>
      </c>
      <c r="G2403" s="1">
        <v>38</v>
      </c>
      <c r="H2403" s="23">
        <v>45167.291990740741</v>
      </c>
      <c r="I2403" s="1" t="b">
        <v>0</v>
      </c>
      <c r="J2403" s="1">
        <v>4</v>
      </c>
      <c r="K2403" s="10">
        <f t="shared" si="187"/>
        <v>37.574444444384426</v>
      </c>
      <c r="L2403" s="1" t="str">
        <f t="shared" si="188"/>
        <v>OK</v>
      </c>
      <c r="M2403" s="1">
        <f t="shared" si="185"/>
        <v>1</v>
      </c>
      <c r="N2403" s="1">
        <f t="shared" si="186"/>
        <v>38</v>
      </c>
      <c r="O2403" s="10">
        <f t="shared" si="189"/>
        <v>37.574444444384426</v>
      </c>
    </row>
    <row r="2404" spans="1:15">
      <c r="A2404" s="1" t="s">
        <v>2509</v>
      </c>
      <c r="B2404" s="23">
        <v>45165.813194444447</v>
      </c>
      <c r="C2404" s="1" t="s">
        <v>16</v>
      </c>
      <c r="D2404" s="1" t="s">
        <v>59</v>
      </c>
      <c r="E2404" s="1" t="s">
        <v>18</v>
      </c>
      <c r="F2404" s="1" t="s">
        <v>114</v>
      </c>
      <c r="G2404" s="1">
        <v>84</v>
      </c>
      <c r="H2404" s="23">
        <v>45167.228043981479</v>
      </c>
      <c r="I2404" s="1" t="b">
        <v>0</v>
      </c>
      <c r="J2404" s="1">
        <v>3</v>
      </c>
      <c r="K2404" s="10">
        <f t="shared" si="187"/>
        <v>33.956388888764195</v>
      </c>
      <c r="L2404" s="1" t="str">
        <f t="shared" si="188"/>
        <v>OK</v>
      </c>
      <c r="M2404" s="1">
        <f t="shared" si="185"/>
        <v>1</v>
      </c>
      <c r="N2404" s="1">
        <f t="shared" si="186"/>
        <v>84</v>
      </c>
      <c r="O2404" s="10">
        <f t="shared" si="189"/>
        <v>33.956388888764195</v>
      </c>
    </row>
    <row r="2405" spans="1:15">
      <c r="A2405" s="1" t="s">
        <v>2510</v>
      </c>
      <c r="B2405" s="23">
        <v>45166.05</v>
      </c>
      <c r="C2405" s="1" t="s">
        <v>25</v>
      </c>
      <c r="D2405" s="1" t="s">
        <v>17</v>
      </c>
      <c r="E2405" s="1" t="s">
        <v>22</v>
      </c>
      <c r="F2405" s="1" t="s">
        <v>27</v>
      </c>
      <c r="G2405" s="1">
        <v>61</v>
      </c>
      <c r="H2405" s="23">
        <v>45166.480312500003</v>
      </c>
      <c r="I2405" s="1" t="b">
        <v>0</v>
      </c>
      <c r="J2405" s="1">
        <v>5</v>
      </c>
      <c r="K2405" s="10">
        <f t="shared" si="187"/>
        <v>10.32750000001397</v>
      </c>
      <c r="L2405" s="1" t="str">
        <f t="shared" si="188"/>
        <v>OK</v>
      </c>
      <c r="M2405" s="1">
        <f t="shared" si="185"/>
        <v>1</v>
      </c>
      <c r="N2405" s="1">
        <f t="shared" si="186"/>
        <v>61</v>
      </c>
      <c r="O2405" s="10">
        <f t="shared" si="189"/>
        <v>10.32750000001397</v>
      </c>
    </row>
    <row r="2406" spans="1:15">
      <c r="A2406" s="1" t="s">
        <v>2511</v>
      </c>
      <c r="B2406" s="23">
        <v>45166.055555555555</v>
      </c>
      <c r="C2406" s="1" t="s">
        <v>16</v>
      </c>
      <c r="D2406" s="1" t="s">
        <v>17</v>
      </c>
      <c r="E2406" s="1" t="s">
        <v>33</v>
      </c>
      <c r="F2406" s="1" t="s">
        <v>215</v>
      </c>
      <c r="G2406" s="1">
        <v>833</v>
      </c>
      <c r="H2406" s="23">
        <v>45166.645312499997</v>
      </c>
      <c r="I2406" s="1" t="b">
        <v>0</v>
      </c>
      <c r="K2406" s="10">
        <f t="shared" si="187"/>
        <v>14.15416666661622</v>
      </c>
      <c r="L2406" s="1" t="str">
        <f t="shared" si="188"/>
        <v>OK</v>
      </c>
      <c r="M2406" s="1">
        <f t="shared" si="185"/>
        <v>1</v>
      </c>
      <c r="N2406" s="1">
        <f t="shared" si="186"/>
        <v>833</v>
      </c>
      <c r="O2406" s="10">
        <f t="shared" si="189"/>
        <v>14.15416666661622</v>
      </c>
    </row>
    <row r="2407" spans="1:15">
      <c r="A2407" s="1" t="s">
        <v>2512</v>
      </c>
      <c r="B2407" s="23">
        <v>45166.290972222225</v>
      </c>
      <c r="C2407" s="1" t="s">
        <v>11</v>
      </c>
      <c r="D2407" s="1" t="s">
        <v>12</v>
      </c>
      <c r="E2407" s="1" t="s">
        <v>13</v>
      </c>
      <c r="F2407" s="1" t="s">
        <v>198</v>
      </c>
      <c r="G2407" s="1">
        <v>9</v>
      </c>
      <c r="H2407" s="23">
        <v>45166.380486111113</v>
      </c>
      <c r="I2407" s="1" t="b">
        <v>0</v>
      </c>
      <c r="J2407" s="1">
        <v>4</v>
      </c>
      <c r="K2407" s="10">
        <f t="shared" si="187"/>
        <v>2.1483333333162591</v>
      </c>
      <c r="L2407" s="1" t="str">
        <f t="shared" si="188"/>
        <v>OK</v>
      </c>
      <c r="M2407" s="1">
        <f t="shared" si="185"/>
        <v>1</v>
      </c>
      <c r="N2407" s="1">
        <f t="shared" si="186"/>
        <v>9</v>
      </c>
      <c r="O2407" s="10">
        <f t="shared" si="189"/>
        <v>2.1483333333162591</v>
      </c>
    </row>
    <row r="2408" spans="1:15">
      <c r="A2408" s="1" t="s">
        <v>2513</v>
      </c>
      <c r="B2408" s="23">
        <v>45166.373611111114</v>
      </c>
      <c r="C2408" s="1" t="s">
        <v>11</v>
      </c>
      <c r="D2408" s="1" t="s">
        <v>59</v>
      </c>
      <c r="E2408" s="1" t="s">
        <v>13</v>
      </c>
      <c r="F2408" s="1" t="s">
        <v>367</v>
      </c>
      <c r="G2408" s="1">
        <v>6</v>
      </c>
      <c r="H2408" s="23">
        <v>45166.605717592596</v>
      </c>
      <c r="I2408" s="1" t="b">
        <v>0</v>
      </c>
      <c r="K2408" s="10">
        <f t="shared" si="187"/>
        <v>5.5705555555759929</v>
      </c>
      <c r="L2408" s="1" t="str">
        <f t="shared" si="188"/>
        <v>OK</v>
      </c>
      <c r="M2408" s="1">
        <f t="shared" si="185"/>
        <v>1</v>
      </c>
      <c r="N2408" s="1">
        <f t="shared" si="186"/>
        <v>6</v>
      </c>
      <c r="O2408" s="10">
        <f t="shared" si="189"/>
        <v>5.5705555555759929</v>
      </c>
    </row>
    <row r="2409" spans="1:15">
      <c r="A2409" s="1" t="s">
        <v>2514</v>
      </c>
      <c r="B2409" s="23">
        <v>45166.406944444447</v>
      </c>
      <c r="C2409" s="1" t="s">
        <v>16</v>
      </c>
      <c r="D2409" s="1" t="s">
        <v>59</v>
      </c>
      <c r="E2409" s="1" t="s">
        <v>13</v>
      </c>
      <c r="F2409" s="1" t="s">
        <v>198</v>
      </c>
      <c r="G2409" s="1">
        <v>23</v>
      </c>
      <c r="H2409" s="23">
        <v>45166.795740740738</v>
      </c>
      <c r="I2409" s="1" t="b">
        <v>0</v>
      </c>
      <c r="K2409" s="10">
        <f t="shared" si="187"/>
        <v>9.3311111109796911</v>
      </c>
      <c r="L2409" s="1" t="str">
        <f t="shared" si="188"/>
        <v>OK</v>
      </c>
      <c r="M2409" s="1">
        <f t="shared" si="185"/>
        <v>1</v>
      </c>
      <c r="N2409" s="1">
        <f t="shared" si="186"/>
        <v>23</v>
      </c>
      <c r="O2409" s="10">
        <f t="shared" si="189"/>
        <v>9.3311111109796911</v>
      </c>
    </row>
    <row r="2410" spans="1:15">
      <c r="A2410" s="1" t="s">
        <v>2515</v>
      </c>
      <c r="B2410" s="23">
        <v>45166.45208333333</v>
      </c>
      <c r="C2410" s="1" t="s">
        <v>25</v>
      </c>
      <c r="D2410" s="1" t="s">
        <v>26</v>
      </c>
      <c r="E2410" s="1" t="s">
        <v>18</v>
      </c>
      <c r="F2410" s="1" t="s">
        <v>35</v>
      </c>
      <c r="G2410" s="1">
        <v>145</v>
      </c>
      <c r="H2410" s="23">
        <v>45172.674629629626</v>
      </c>
      <c r="I2410" s="1" t="b">
        <v>0</v>
      </c>
      <c r="J2410" s="1">
        <v>4</v>
      </c>
      <c r="K2410" s="10">
        <f t="shared" si="187"/>
        <v>149.34111111110542</v>
      </c>
      <c r="L2410" s="1" t="str">
        <f t="shared" si="188"/>
        <v>OK</v>
      </c>
      <c r="M2410" s="1">
        <f t="shared" si="185"/>
        <v>1</v>
      </c>
      <c r="N2410" s="1">
        <f t="shared" si="186"/>
        <v>145</v>
      </c>
      <c r="O2410" s="10">
        <f t="shared" si="189"/>
        <v>149.34111111110542</v>
      </c>
    </row>
    <row r="2411" spans="1:15">
      <c r="A2411" s="1" t="s">
        <v>2516</v>
      </c>
      <c r="B2411" s="23">
        <v>45166.590277777781</v>
      </c>
      <c r="C2411" s="1" t="s">
        <v>25</v>
      </c>
      <c r="D2411" s="1" t="s">
        <v>17</v>
      </c>
      <c r="E2411" s="1" t="s">
        <v>13</v>
      </c>
      <c r="F2411" s="1" t="s">
        <v>198</v>
      </c>
      <c r="G2411" s="1">
        <v>35</v>
      </c>
      <c r="H2411" s="23">
        <v>45166.740439814814</v>
      </c>
      <c r="I2411" s="1" t="b">
        <v>0</v>
      </c>
      <c r="K2411" s="10">
        <f t="shared" si="187"/>
        <v>3.6038888887851499</v>
      </c>
      <c r="L2411" s="1" t="str">
        <f t="shared" si="188"/>
        <v>OK</v>
      </c>
      <c r="M2411" s="1">
        <f t="shared" si="185"/>
        <v>1</v>
      </c>
      <c r="N2411" s="1">
        <f t="shared" si="186"/>
        <v>35</v>
      </c>
      <c r="O2411" s="10">
        <f t="shared" si="189"/>
        <v>3.6038888887851499</v>
      </c>
    </row>
    <row r="2412" spans="1:15">
      <c r="A2412" s="1" t="s">
        <v>2517</v>
      </c>
      <c r="B2412" s="23">
        <v>45166.878472222219</v>
      </c>
      <c r="C2412" s="1" t="s">
        <v>16</v>
      </c>
      <c r="D2412" s="1" t="s">
        <v>17</v>
      </c>
      <c r="E2412" s="1" t="s">
        <v>18</v>
      </c>
      <c r="F2412" s="1" t="s">
        <v>57</v>
      </c>
      <c r="G2412" s="1">
        <v>174</v>
      </c>
      <c r="H2412" s="23">
        <v>45167.916504629633</v>
      </c>
      <c r="I2412" s="1" t="b">
        <v>0</v>
      </c>
      <c r="K2412" s="10">
        <f t="shared" si="187"/>
        <v>24.912777777935844</v>
      </c>
      <c r="L2412" s="1" t="str">
        <f t="shared" si="188"/>
        <v>OK</v>
      </c>
      <c r="M2412" s="1">
        <f t="shared" si="185"/>
        <v>1</v>
      </c>
      <c r="N2412" s="1">
        <f t="shared" si="186"/>
        <v>174</v>
      </c>
      <c r="O2412" s="10">
        <f t="shared" si="189"/>
        <v>24.912777777935844</v>
      </c>
    </row>
    <row r="2413" spans="1:15">
      <c r="A2413" s="1" t="s">
        <v>2518</v>
      </c>
      <c r="B2413" s="23">
        <v>45166.96597222222</v>
      </c>
      <c r="C2413" s="1" t="s">
        <v>16</v>
      </c>
      <c r="D2413" s="1" t="s">
        <v>59</v>
      </c>
      <c r="E2413" s="1" t="s">
        <v>18</v>
      </c>
      <c r="F2413" s="1" t="s">
        <v>74</v>
      </c>
      <c r="G2413" s="1">
        <v>60</v>
      </c>
      <c r="H2413" s="23">
        <v>45168.514131944445</v>
      </c>
      <c r="I2413" s="1" t="b">
        <v>0</v>
      </c>
      <c r="J2413" s="1">
        <v>5</v>
      </c>
      <c r="K2413" s="10">
        <f t="shared" si="187"/>
        <v>37.155833333381452</v>
      </c>
      <c r="L2413" s="1" t="str">
        <f t="shared" si="188"/>
        <v>OK</v>
      </c>
      <c r="M2413" s="1">
        <f t="shared" si="185"/>
        <v>1</v>
      </c>
      <c r="N2413" s="1">
        <f t="shared" si="186"/>
        <v>60</v>
      </c>
      <c r="O2413" s="10">
        <f t="shared" si="189"/>
        <v>37.155833333381452</v>
      </c>
    </row>
    <row r="2414" spans="1:15">
      <c r="A2414" s="1" t="s">
        <v>2519</v>
      </c>
      <c r="B2414" s="23">
        <v>45167.157638888886</v>
      </c>
      <c r="C2414" s="1" t="s">
        <v>25</v>
      </c>
      <c r="D2414" s="1" t="s">
        <v>17</v>
      </c>
      <c r="E2414" s="1" t="s">
        <v>33</v>
      </c>
      <c r="F2414" s="1" t="s">
        <v>134</v>
      </c>
      <c r="G2414" s="1">
        <v>71</v>
      </c>
      <c r="H2414" s="23">
        <v>45169.168391203704</v>
      </c>
      <c r="I2414" s="1" t="b">
        <v>0</v>
      </c>
      <c r="K2414" s="10">
        <f t="shared" si="187"/>
        <v>48.258055555634201</v>
      </c>
      <c r="L2414" s="1" t="str">
        <f t="shared" si="188"/>
        <v>OK</v>
      </c>
      <c r="M2414" s="1">
        <f t="shared" si="185"/>
        <v>1</v>
      </c>
      <c r="N2414" s="1">
        <f t="shared" si="186"/>
        <v>71</v>
      </c>
      <c r="O2414" s="10">
        <f t="shared" si="189"/>
        <v>48.258055555634201</v>
      </c>
    </row>
    <row r="2415" spans="1:15">
      <c r="A2415" s="1" t="s">
        <v>2520</v>
      </c>
      <c r="B2415" s="23">
        <v>45167.170138888891</v>
      </c>
      <c r="C2415" s="1" t="s">
        <v>16</v>
      </c>
      <c r="D2415" s="1" t="s">
        <v>17</v>
      </c>
      <c r="E2415" s="1" t="s">
        <v>13</v>
      </c>
      <c r="F2415" s="1" t="s">
        <v>237</v>
      </c>
      <c r="G2415" s="1">
        <v>30</v>
      </c>
      <c r="H2415" s="23">
        <v>45168.888888888891</v>
      </c>
      <c r="I2415" s="1" t="b">
        <v>0</v>
      </c>
      <c r="K2415" s="10">
        <f t="shared" si="187"/>
        <v>41.25</v>
      </c>
      <c r="L2415" s="1" t="str">
        <f t="shared" si="188"/>
        <v>OK</v>
      </c>
      <c r="M2415" s="1">
        <f t="shared" si="185"/>
        <v>1</v>
      </c>
      <c r="N2415" s="1">
        <f t="shared" si="186"/>
        <v>30</v>
      </c>
      <c r="O2415" s="10">
        <f t="shared" si="189"/>
        <v>41.25</v>
      </c>
    </row>
    <row r="2416" spans="1:15">
      <c r="A2416" s="1" t="s">
        <v>2521</v>
      </c>
      <c r="B2416" s="23">
        <v>45167.334722222222</v>
      </c>
      <c r="C2416" s="1" t="s">
        <v>25</v>
      </c>
      <c r="D2416" s="1" t="s">
        <v>17</v>
      </c>
      <c r="E2416" s="1" t="s">
        <v>18</v>
      </c>
      <c r="F2416" s="1" t="s">
        <v>64</v>
      </c>
      <c r="G2416" s="1">
        <v>90</v>
      </c>
      <c r="H2416" s="23">
        <v>45170.172222222223</v>
      </c>
      <c r="I2416" s="1" t="b">
        <v>0</v>
      </c>
      <c r="K2416" s="10">
        <f t="shared" si="187"/>
        <v>68.100000000034925</v>
      </c>
      <c r="L2416" s="1" t="str">
        <f t="shared" si="188"/>
        <v>OK</v>
      </c>
      <c r="M2416" s="1">
        <f t="shared" si="185"/>
        <v>1</v>
      </c>
      <c r="N2416" s="1">
        <f t="shared" si="186"/>
        <v>90</v>
      </c>
      <c r="O2416" s="10">
        <f t="shared" si="189"/>
        <v>68.100000000034925</v>
      </c>
    </row>
    <row r="2417" spans="1:15">
      <c r="A2417" s="1" t="s">
        <v>2522</v>
      </c>
      <c r="B2417" s="23">
        <v>45167.336805555555</v>
      </c>
      <c r="C2417" s="1" t="s">
        <v>16</v>
      </c>
      <c r="D2417" s="1" t="s">
        <v>17</v>
      </c>
      <c r="E2417" s="1" t="s">
        <v>33</v>
      </c>
      <c r="F2417" s="1" t="s">
        <v>118</v>
      </c>
      <c r="G2417" s="1">
        <v>269</v>
      </c>
      <c r="H2417" s="23">
        <v>45175.898877314816</v>
      </c>
      <c r="I2417" s="1" t="b">
        <v>0</v>
      </c>
      <c r="K2417" s="10">
        <f t="shared" si="187"/>
        <v>205.48972222226439</v>
      </c>
      <c r="L2417" s="1" t="str">
        <f t="shared" si="188"/>
        <v>OK</v>
      </c>
      <c r="M2417" s="1">
        <f t="shared" si="185"/>
        <v>1</v>
      </c>
      <c r="N2417" s="1">
        <f t="shared" si="186"/>
        <v>269</v>
      </c>
      <c r="O2417" s="10">
        <f t="shared" si="189"/>
        <v>205.48972222226439</v>
      </c>
    </row>
    <row r="2418" spans="1:15">
      <c r="A2418" s="1" t="s">
        <v>2523</v>
      </c>
      <c r="B2418" s="23">
        <v>45167.507638888892</v>
      </c>
      <c r="C2418" s="1" t="s">
        <v>16</v>
      </c>
      <c r="D2418" s="1" t="s">
        <v>17</v>
      </c>
      <c r="E2418" s="1" t="s">
        <v>33</v>
      </c>
      <c r="F2418" s="1" t="s">
        <v>96</v>
      </c>
      <c r="G2418" s="1">
        <v>116</v>
      </c>
      <c r="H2418" s="23">
        <v>45171.34103009259</v>
      </c>
      <c r="I2418" s="1" t="b">
        <v>0</v>
      </c>
      <c r="K2418" s="10">
        <f t="shared" si="187"/>
        <v>92.001388888747897</v>
      </c>
      <c r="L2418" s="1" t="str">
        <f t="shared" si="188"/>
        <v>OK</v>
      </c>
      <c r="M2418" s="1">
        <f t="shared" si="185"/>
        <v>1</v>
      </c>
      <c r="N2418" s="1">
        <f t="shared" si="186"/>
        <v>116</v>
      </c>
      <c r="O2418" s="10">
        <f t="shared" si="189"/>
        <v>92.001388888747897</v>
      </c>
    </row>
    <row r="2419" spans="1:15">
      <c r="A2419" s="1" t="s">
        <v>2524</v>
      </c>
      <c r="B2419" s="23">
        <v>45167.533333333333</v>
      </c>
      <c r="C2419" s="1" t="s">
        <v>25</v>
      </c>
      <c r="D2419" s="1" t="s">
        <v>59</v>
      </c>
      <c r="E2419" s="1" t="s">
        <v>13</v>
      </c>
      <c r="F2419" s="1" t="s">
        <v>345</v>
      </c>
      <c r="G2419" s="1">
        <v>105</v>
      </c>
      <c r="H2419" s="23">
        <v>45167.847326388888</v>
      </c>
      <c r="I2419" s="1" t="b">
        <v>0</v>
      </c>
      <c r="J2419" s="1">
        <v>4</v>
      </c>
      <c r="K2419" s="10">
        <f t="shared" si="187"/>
        <v>7.5358333333279006</v>
      </c>
      <c r="L2419" s="1" t="str">
        <f t="shared" si="188"/>
        <v>OK</v>
      </c>
      <c r="M2419" s="1">
        <f t="shared" si="185"/>
        <v>1</v>
      </c>
      <c r="N2419" s="1">
        <f t="shared" si="186"/>
        <v>105</v>
      </c>
      <c r="O2419" s="10">
        <f t="shared" si="189"/>
        <v>7.5358333333279006</v>
      </c>
    </row>
    <row r="2420" spans="1:15">
      <c r="A2420" s="1" t="s">
        <v>2525</v>
      </c>
      <c r="B2420" s="23">
        <v>45167.711805555555</v>
      </c>
      <c r="C2420" s="1" t="s">
        <v>16</v>
      </c>
      <c r="D2420" s="1" t="s">
        <v>26</v>
      </c>
      <c r="E2420" s="1" t="s">
        <v>18</v>
      </c>
      <c r="F2420" s="1" t="s">
        <v>486</v>
      </c>
      <c r="G2420" s="1">
        <v>105</v>
      </c>
      <c r="H2420" s="23">
        <v>45168.06890046296</v>
      </c>
      <c r="I2420" s="1" t="b">
        <v>0</v>
      </c>
      <c r="K2420" s="10">
        <f t="shared" si="187"/>
        <v>8.5702777777332813</v>
      </c>
      <c r="L2420" s="1" t="str">
        <f t="shared" si="188"/>
        <v>OK</v>
      </c>
      <c r="M2420" s="1">
        <f t="shared" si="185"/>
        <v>1</v>
      </c>
      <c r="N2420" s="1">
        <f t="shared" si="186"/>
        <v>105</v>
      </c>
      <c r="O2420" s="10">
        <f t="shared" si="189"/>
        <v>8.5702777777332813</v>
      </c>
    </row>
    <row r="2421" spans="1:15">
      <c r="A2421" s="1" t="s">
        <v>2526</v>
      </c>
      <c r="B2421" s="23">
        <v>45167.796527777777</v>
      </c>
      <c r="C2421" s="1" t="s">
        <v>16</v>
      </c>
      <c r="D2421" s="1" t="s">
        <v>12</v>
      </c>
      <c r="E2421" s="1" t="s">
        <v>13</v>
      </c>
      <c r="F2421" s="1" t="s">
        <v>234</v>
      </c>
      <c r="G2421" s="1">
        <v>43</v>
      </c>
      <c r="H2421" s="23">
        <v>45168.135405092595</v>
      </c>
      <c r="I2421" s="1" t="b">
        <v>0</v>
      </c>
      <c r="K2421" s="10">
        <f t="shared" si="187"/>
        <v>8.1330555556342006</v>
      </c>
      <c r="L2421" s="1" t="str">
        <f t="shared" si="188"/>
        <v>OK</v>
      </c>
      <c r="M2421" s="1">
        <f t="shared" si="185"/>
        <v>1</v>
      </c>
      <c r="N2421" s="1">
        <f t="shared" si="186"/>
        <v>43</v>
      </c>
      <c r="O2421" s="10">
        <f t="shared" si="189"/>
        <v>8.1330555556342006</v>
      </c>
    </row>
    <row r="2422" spans="1:15">
      <c r="A2422" s="1" t="s">
        <v>2527</v>
      </c>
      <c r="B2422" s="23">
        <v>45167.95</v>
      </c>
      <c r="C2422" s="1" t="s">
        <v>11</v>
      </c>
      <c r="D2422" s="1" t="s">
        <v>59</v>
      </c>
      <c r="E2422" s="1" t="s">
        <v>13</v>
      </c>
      <c r="F2422" s="1" t="s">
        <v>44</v>
      </c>
      <c r="G2422" s="1">
        <v>73</v>
      </c>
      <c r="H2422" s="23">
        <v>45168.09684027778</v>
      </c>
      <c r="I2422" s="1" t="b">
        <v>0</v>
      </c>
      <c r="K2422" s="10">
        <f t="shared" si="187"/>
        <v>3.5241666667861864</v>
      </c>
      <c r="L2422" s="1" t="str">
        <f t="shared" si="188"/>
        <v>OK</v>
      </c>
      <c r="M2422" s="1">
        <f t="shared" si="185"/>
        <v>1</v>
      </c>
      <c r="N2422" s="1">
        <f t="shared" si="186"/>
        <v>73</v>
      </c>
      <c r="O2422" s="10">
        <f t="shared" si="189"/>
        <v>3.5241666667861864</v>
      </c>
    </row>
    <row r="2423" spans="1:15">
      <c r="A2423" s="1" t="s">
        <v>2528</v>
      </c>
      <c r="B2423" s="23">
        <v>45168.084027777775</v>
      </c>
      <c r="C2423" s="1" t="s">
        <v>11</v>
      </c>
      <c r="D2423" s="1" t="s">
        <v>59</v>
      </c>
      <c r="E2423" s="1" t="s">
        <v>13</v>
      </c>
      <c r="F2423" s="1" t="s">
        <v>128</v>
      </c>
      <c r="G2423" s="1">
        <v>24</v>
      </c>
      <c r="H2423" s="23">
        <v>45168.971770833334</v>
      </c>
      <c r="I2423" s="1" t="b">
        <v>0</v>
      </c>
      <c r="J2423" s="1">
        <v>4</v>
      </c>
      <c r="K2423" s="10">
        <f t="shared" si="187"/>
        <v>21.305833333404735</v>
      </c>
      <c r="L2423" s="1" t="str">
        <f t="shared" si="188"/>
        <v>OK</v>
      </c>
      <c r="M2423" s="1">
        <f t="shared" si="185"/>
        <v>1</v>
      </c>
      <c r="N2423" s="1">
        <f t="shared" si="186"/>
        <v>24</v>
      </c>
      <c r="O2423" s="10">
        <f t="shared" si="189"/>
        <v>21.305833333404735</v>
      </c>
    </row>
    <row r="2424" spans="1:15">
      <c r="A2424" s="1" t="s">
        <v>2529</v>
      </c>
      <c r="B2424" s="23">
        <v>45168.140972222223</v>
      </c>
      <c r="C2424" s="1" t="s">
        <v>25</v>
      </c>
      <c r="D2424" s="1" t="s">
        <v>21</v>
      </c>
      <c r="E2424" s="1" t="s">
        <v>18</v>
      </c>
      <c r="F2424" s="1" t="s">
        <v>237</v>
      </c>
      <c r="G2424" s="1">
        <v>50</v>
      </c>
      <c r="H2424" s="23">
        <v>45169.584386574075</v>
      </c>
      <c r="I2424" s="1" t="b">
        <v>1</v>
      </c>
      <c r="J2424" s="1">
        <v>5</v>
      </c>
      <c r="K2424" s="10">
        <f t="shared" si="187"/>
        <v>34.64194444444729</v>
      </c>
      <c r="L2424" s="1" t="str">
        <f t="shared" si="188"/>
        <v>OK</v>
      </c>
      <c r="M2424" s="1">
        <f t="shared" si="185"/>
        <v>1</v>
      </c>
      <c r="N2424" s="1">
        <f t="shared" si="186"/>
        <v>50</v>
      </c>
      <c r="O2424" s="10">
        <f t="shared" si="189"/>
        <v>34.64194444444729</v>
      </c>
    </row>
    <row r="2425" spans="1:15">
      <c r="A2425" s="1" t="s">
        <v>2530</v>
      </c>
      <c r="B2425" s="23">
        <v>45168.160416666666</v>
      </c>
      <c r="C2425" s="1" t="s">
        <v>16</v>
      </c>
      <c r="D2425" s="1" t="s">
        <v>17</v>
      </c>
      <c r="E2425" s="1" t="s">
        <v>33</v>
      </c>
      <c r="F2425" s="1" t="s">
        <v>132</v>
      </c>
      <c r="G2425" s="1">
        <v>19</v>
      </c>
      <c r="H2425" s="23">
        <v>45175.899687500001</v>
      </c>
      <c r="I2425" s="1" t="b">
        <v>0</v>
      </c>
      <c r="K2425" s="10">
        <f t="shared" si="187"/>
        <v>185.74250000005122</v>
      </c>
      <c r="L2425" s="1" t="str">
        <f t="shared" si="188"/>
        <v>OK</v>
      </c>
      <c r="M2425" s="1">
        <f t="shared" si="185"/>
        <v>1</v>
      </c>
      <c r="N2425" s="1">
        <f t="shared" si="186"/>
        <v>19</v>
      </c>
      <c r="O2425" s="10">
        <f t="shared" si="189"/>
        <v>185.74250000005122</v>
      </c>
    </row>
    <row r="2426" spans="1:15">
      <c r="A2426" s="1" t="s">
        <v>2531</v>
      </c>
      <c r="B2426" s="23">
        <v>45168.320833333331</v>
      </c>
      <c r="C2426" s="1" t="s">
        <v>16</v>
      </c>
      <c r="D2426" s="1" t="s">
        <v>21</v>
      </c>
      <c r="E2426" s="1" t="s">
        <v>13</v>
      </c>
      <c r="F2426" s="1" t="s">
        <v>14</v>
      </c>
      <c r="G2426" s="1">
        <v>38</v>
      </c>
      <c r="H2426" s="23">
        <v>45168.599872685183</v>
      </c>
      <c r="I2426" s="1" t="b">
        <v>0</v>
      </c>
      <c r="K2426" s="10">
        <f t="shared" si="187"/>
        <v>6.6969444444403052</v>
      </c>
      <c r="L2426" s="1" t="str">
        <f t="shared" si="188"/>
        <v>OK</v>
      </c>
      <c r="M2426" s="1">
        <f t="shared" si="185"/>
        <v>1</v>
      </c>
      <c r="N2426" s="1">
        <f t="shared" si="186"/>
        <v>38</v>
      </c>
      <c r="O2426" s="10">
        <f t="shared" si="189"/>
        <v>6.6969444444403052</v>
      </c>
    </row>
    <row r="2427" spans="1:15">
      <c r="A2427" s="1" t="s">
        <v>2532</v>
      </c>
      <c r="B2427" s="23">
        <v>45168.37777777778</v>
      </c>
      <c r="C2427" s="1" t="s">
        <v>16</v>
      </c>
      <c r="D2427" s="1" t="s">
        <v>21</v>
      </c>
      <c r="E2427" s="1" t="s">
        <v>22</v>
      </c>
      <c r="F2427" s="1" t="s">
        <v>62</v>
      </c>
      <c r="G2427" s="1">
        <v>2</v>
      </c>
      <c r="H2427" s="23">
        <v>45169.050509259258</v>
      </c>
      <c r="I2427" s="1" t="b">
        <v>0</v>
      </c>
      <c r="J2427" s="1">
        <v>4</v>
      </c>
      <c r="K2427" s="10">
        <f t="shared" si="187"/>
        <v>16.145555555471219</v>
      </c>
      <c r="L2427" s="1" t="str">
        <f t="shared" si="188"/>
        <v>OK</v>
      </c>
      <c r="M2427" s="1">
        <f t="shared" si="185"/>
        <v>1</v>
      </c>
      <c r="N2427" s="1">
        <f t="shared" si="186"/>
        <v>2</v>
      </c>
      <c r="O2427" s="10">
        <f t="shared" si="189"/>
        <v>16.145555555471219</v>
      </c>
    </row>
    <row r="2428" spans="1:15">
      <c r="A2428" s="1" t="s">
        <v>2533</v>
      </c>
      <c r="B2428" s="23">
        <v>45168.486111111109</v>
      </c>
      <c r="C2428" s="1" t="s">
        <v>16</v>
      </c>
      <c r="D2428" s="1" t="s">
        <v>12</v>
      </c>
      <c r="E2428" s="1" t="s">
        <v>33</v>
      </c>
      <c r="F2428" s="1" t="s">
        <v>228</v>
      </c>
      <c r="G2428" s="1">
        <v>195</v>
      </c>
      <c r="H2428" s="23">
        <v>45169.254340277781</v>
      </c>
      <c r="I2428" s="1" t="b">
        <v>0</v>
      </c>
      <c r="J2428" s="1">
        <v>5</v>
      </c>
      <c r="K2428" s="10">
        <f t="shared" si="187"/>
        <v>18.437500000116415</v>
      </c>
      <c r="L2428" s="1" t="str">
        <f t="shared" si="188"/>
        <v>OK</v>
      </c>
      <c r="M2428" s="1">
        <f t="shared" si="185"/>
        <v>1</v>
      </c>
      <c r="N2428" s="1">
        <f t="shared" si="186"/>
        <v>195</v>
      </c>
      <c r="O2428" s="10">
        <f t="shared" si="189"/>
        <v>18.437500000116415</v>
      </c>
    </row>
    <row r="2429" spans="1:15">
      <c r="A2429" s="1" t="s">
        <v>2534</v>
      </c>
      <c r="B2429" s="23">
        <v>45168.668055555558</v>
      </c>
      <c r="C2429" s="1" t="s">
        <v>25</v>
      </c>
      <c r="D2429" s="1" t="s">
        <v>26</v>
      </c>
      <c r="E2429" s="1" t="s">
        <v>13</v>
      </c>
      <c r="F2429" s="1" t="s">
        <v>110</v>
      </c>
      <c r="G2429" s="1">
        <v>37</v>
      </c>
      <c r="H2429" s="23">
        <v>45170.210578703707</v>
      </c>
      <c r="I2429" s="1" t="b">
        <v>0</v>
      </c>
      <c r="K2429" s="10">
        <f t="shared" si="187"/>
        <v>37.020555555587634</v>
      </c>
      <c r="L2429" s="1" t="str">
        <f t="shared" si="188"/>
        <v>OK</v>
      </c>
      <c r="M2429" s="1">
        <f t="shared" si="185"/>
        <v>1</v>
      </c>
      <c r="N2429" s="1">
        <f t="shared" si="186"/>
        <v>37</v>
      </c>
      <c r="O2429" s="10">
        <f t="shared" si="189"/>
        <v>37.020555555587634</v>
      </c>
    </row>
    <row r="2430" spans="1:15">
      <c r="A2430" s="1" t="s">
        <v>2535</v>
      </c>
      <c r="B2430" s="23">
        <v>45168.697916666664</v>
      </c>
      <c r="C2430" s="1" t="s">
        <v>25</v>
      </c>
      <c r="D2430" s="1" t="s">
        <v>59</v>
      </c>
      <c r="E2430" s="1" t="s">
        <v>13</v>
      </c>
      <c r="F2430" s="1" t="s">
        <v>76</v>
      </c>
      <c r="G2430" s="1">
        <v>14</v>
      </c>
      <c r="H2430" s="23">
        <v>45170.776238425926</v>
      </c>
      <c r="I2430" s="1" t="b">
        <v>0</v>
      </c>
      <c r="K2430" s="10">
        <f t="shared" si="187"/>
        <v>49.87972222227836</v>
      </c>
      <c r="L2430" s="1" t="str">
        <f t="shared" si="188"/>
        <v>OK</v>
      </c>
      <c r="M2430" s="1">
        <f t="shared" si="185"/>
        <v>1</v>
      </c>
      <c r="N2430" s="1">
        <f t="shared" si="186"/>
        <v>14</v>
      </c>
      <c r="O2430" s="10">
        <f t="shared" si="189"/>
        <v>49.87972222227836</v>
      </c>
    </row>
    <row r="2431" spans="1:15">
      <c r="A2431" s="1" t="s">
        <v>2536</v>
      </c>
      <c r="B2431" s="23">
        <v>45168.984027777777</v>
      </c>
      <c r="C2431" s="1" t="s">
        <v>25</v>
      </c>
      <c r="D2431" s="1" t="s">
        <v>59</v>
      </c>
      <c r="E2431" s="1" t="s">
        <v>18</v>
      </c>
      <c r="F2431" s="1" t="s">
        <v>46</v>
      </c>
      <c r="G2431" s="1">
        <v>64</v>
      </c>
      <c r="H2431" s="23">
        <v>45169.170937499999</v>
      </c>
      <c r="I2431" s="1" t="b">
        <v>0</v>
      </c>
      <c r="J2431" s="1">
        <v>5</v>
      </c>
      <c r="K2431" s="10">
        <f t="shared" si="187"/>
        <v>4.4858333333395422</v>
      </c>
      <c r="L2431" s="1" t="str">
        <f t="shared" si="188"/>
        <v>OK</v>
      </c>
      <c r="M2431" s="1">
        <f t="shared" si="185"/>
        <v>1</v>
      </c>
      <c r="N2431" s="1">
        <f t="shared" si="186"/>
        <v>64</v>
      </c>
      <c r="O2431" s="10">
        <f t="shared" si="189"/>
        <v>4.4858333333395422</v>
      </c>
    </row>
    <row r="2432" spans="1:15">
      <c r="A2432" s="1" t="s">
        <v>2537</v>
      </c>
      <c r="B2432" s="23">
        <v>45169.046527777777</v>
      </c>
      <c r="C2432" s="1" t="s">
        <v>11</v>
      </c>
      <c r="D2432" s="1" t="s">
        <v>59</v>
      </c>
      <c r="E2432" s="1" t="s">
        <v>33</v>
      </c>
      <c r="F2432" s="1" t="s">
        <v>162</v>
      </c>
      <c r="G2432" s="1">
        <v>105</v>
      </c>
      <c r="H2432" s="23">
        <v>45169.737685185188</v>
      </c>
      <c r="I2432" s="1" t="b">
        <v>0</v>
      </c>
      <c r="K2432" s="10">
        <f t="shared" si="187"/>
        <v>16.587777777865995</v>
      </c>
      <c r="L2432" s="1" t="str">
        <f t="shared" si="188"/>
        <v>OK</v>
      </c>
      <c r="M2432" s="1">
        <f t="shared" si="185"/>
        <v>1</v>
      </c>
      <c r="N2432" s="1">
        <f t="shared" si="186"/>
        <v>105</v>
      </c>
      <c r="O2432" s="10">
        <f t="shared" si="189"/>
        <v>16.587777777865995</v>
      </c>
    </row>
    <row r="2433" spans="1:15">
      <c r="A2433" s="1" t="s">
        <v>2538</v>
      </c>
      <c r="B2433" s="23">
        <v>45169.061805555553</v>
      </c>
      <c r="C2433" s="1" t="s">
        <v>16</v>
      </c>
      <c r="D2433" s="1" t="s">
        <v>21</v>
      </c>
      <c r="E2433" s="1" t="s">
        <v>18</v>
      </c>
      <c r="F2433" s="1" t="s">
        <v>92</v>
      </c>
      <c r="G2433" s="1">
        <v>397</v>
      </c>
      <c r="H2433" s="23">
        <v>45169.266701388886</v>
      </c>
      <c r="I2433" s="1" t="b">
        <v>0</v>
      </c>
      <c r="K2433" s="10">
        <f t="shared" si="187"/>
        <v>4.9174999999813735</v>
      </c>
      <c r="L2433" s="1" t="str">
        <f t="shared" si="188"/>
        <v>Review</v>
      </c>
      <c r="M2433" s="1">
        <f t="shared" si="185"/>
        <v>1</v>
      </c>
      <c r="N2433" s="1" t="str">
        <f t="shared" si="186"/>
        <v/>
      </c>
      <c r="O2433" s="10" t="str">
        <f t="shared" si="189"/>
        <v/>
      </c>
    </row>
    <row r="2434" spans="1:15">
      <c r="A2434" s="1" t="s">
        <v>2539</v>
      </c>
      <c r="B2434" s="23">
        <v>45169.146527777775</v>
      </c>
      <c r="C2434" s="1" t="s">
        <v>16</v>
      </c>
      <c r="D2434" s="1" t="s">
        <v>12</v>
      </c>
      <c r="E2434" s="1" t="s">
        <v>18</v>
      </c>
      <c r="F2434" s="1" t="s">
        <v>50</v>
      </c>
      <c r="G2434" s="1">
        <v>87</v>
      </c>
      <c r="H2434" s="23">
        <v>45169.379837962966</v>
      </c>
      <c r="I2434" s="1" t="b">
        <v>0</v>
      </c>
      <c r="K2434" s="10">
        <f t="shared" si="187"/>
        <v>5.5994444445823319</v>
      </c>
      <c r="L2434" s="1" t="str">
        <f t="shared" si="188"/>
        <v>OK</v>
      </c>
      <c r="M2434" s="1">
        <f t="shared" ref="M2434:M2497" si="190">COUNTIF($A$2:$A$4001,A2434)</f>
        <v>1</v>
      </c>
      <c r="N2434" s="1">
        <f t="shared" ref="N2434:N2497" si="191">IF(OR(L2434="Review",G2434=""),"",G2434)</f>
        <v>87</v>
      </c>
      <c r="O2434" s="10">
        <f t="shared" si="189"/>
        <v>5.5994444445823319</v>
      </c>
    </row>
    <row r="2435" spans="1:15">
      <c r="A2435" s="1" t="s">
        <v>2540</v>
      </c>
      <c r="B2435" s="23">
        <v>45169.236805555556</v>
      </c>
      <c r="C2435" s="1" t="s">
        <v>16</v>
      </c>
      <c r="D2435" s="1" t="s">
        <v>17</v>
      </c>
      <c r="E2435" s="1" t="s">
        <v>18</v>
      </c>
      <c r="F2435" s="1" t="s">
        <v>302</v>
      </c>
      <c r="G2435" s="1">
        <v>194</v>
      </c>
      <c r="H2435" s="23">
        <v>45171.746122685188</v>
      </c>
      <c r="I2435" s="1" t="b">
        <v>0</v>
      </c>
      <c r="K2435" s="10">
        <f t="shared" ref="K2435:K2498" si="192">IF(H2435="","",(H2435-B2435)*24)</f>
        <v>60.223611111170612</v>
      </c>
      <c r="L2435" s="1" t="str">
        <f t="shared" ref="L2435:L2498" si="193">IF(OR(G2435="",K2435=""),"Cannot check",IF(G2435&gt;K2435*60,"Review","OK"))</f>
        <v>OK</v>
      </c>
      <c r="M2435" s="1">
        <f t="shared" si="190"/>
        <v>1</v>
      </c>
      <c r="N2435" s="1">
        <f t="shared" si="191"/>
        <v>194</v>
      </c>
      <c r="O2435" s="10">
        <f t="shared" ref="O2435:O2498" si="194">IF(OR(L2435="Review",K2435=""),"",K2435)</f>
        <v>60.223611111170612</v>
      </c>
    </row>
    <row r="2436" spans="1:15">
      <c r="A2436" s="1" t="s">
        <v>2541</v>
      </c>
      <c r="B2436" s="23">
        <v>45169.710416666669</v>
      </c>
      <c r="C2436" s="1" t="s">
        <v>16</v>
      </c>
      <c r="D2436" s="1" t="s">
        <v>12</v>
      </c>
      <c r="E2436" s="1" t="s">
        <v>22</v>
      </c>
      <c r="F2436" s="1" t="s">
        <v>159</v>
      </c>
      <c r="G2436" s="1">
        <v>13</v>
      </c>
      <c r="H2436" s="23">
        <v>45169.813090277778</v>
      </c>
      <c r="I2436" s="1" t="b">
        <v>0</v>
      </c>
      <c r="K2436" s="10">
        <f t="shared" si="192"/>
        <v>2.4641666666138917</v>
      </c>
      <c r="L2436" s="1" t="str">
        <f t="shared" si="193"/>
        <v>OK</v>
      </c>
      <c r="M2436" s="1">
        <f t="shared" si="190"/>
        <v>1</v>
      </c>
      <c r="N2436" s="1">
        <f t="shared" si="191"/>
        <v>13</v>
      </c>
      <c r="O2436" s="10">
        <f t="shared" si="194"/>
        <v>2.4641666666138917</v>
      </c>
    </row>
    <row r="2437" spans="1:15">
      <c r="A2437" s="1" t="s">
        <v>2542</v>
      </c>
      <c r="B2437" s="23">
        <v>45169.765972222223</v>
      </c>
      <c r="C2437" s="1" t="s">
        <v>43</v>
      </c>
      <c r="D2437" s="1" t="s">
        <v>12</v>
      </c>
      <c r="E2437" s="1" t="s">
        <v>18</v>
      </c>
      <c r="F2437" s="1" t="s">
        <v>134</v>
      </c>
      <c r="G2437" s="1">
        <v>56</v>
      </c>
      <c r="H2437" s="23">
        <v>45169.884074074071</v>
      </c>
      <c r="I2437" s="1" t="b">
        <v>0</v>
      </c>
      <c r="K2437" s="10">
        <f t="shared" si="192"/>
        <v>2.8344444443355314</v>
      </c>
      <c r="L2437" s="1" t="str">
        <f t="shared" si="193"/>
        <v>OK</v>
      </c>
      <c r="M2437" s="1">
        <f t="shared" si="190"/>
        <v>1</v>
      </c>
      <c r="N2437" s="1">
        <f t="shared" si="191"/>
        <v>56</v>
      </c>
      <c r="O2437" s="10">
        <f t="shared" si="194"/>
        <v>2.8344444443355314</v>
      </c>
    </row>
    <row r="2438" spans="1:15">
      <c r="A2438" s="1" t="s">
        <v>2543</v>
      </c>
      <c r="B2438" s="23">
        <v>45169.847916666666</v>
      </c>
      <c r="C2438" s="1" t="s">
        <v>11</v>
      </c>
      <c r="D2438" s="1" t="s">
        <v>12</v>
      </c>
      <c r="E2438" s="1" t="s">
        <v>18</v>
      </c>
      <c r="F2438" s="1" t="s">
        <v>198</v>
      </c>
      <c r="G2438" s="1">
        <v>168</v>
      </c>
      <c r="H2438" s="23">
        <v>45169.984930555554</v>
      </c>
      <c r="I2438" s="1" t="b">
        <v>0</v>
      </c>
      <c r="K2438" s="10">
        <f t="shared" si="192"/>
        <v>3.2883333333302289</v>
      </c>
      <c r="L2438" s="1" t="str">
        <f t="shared" si="193"/>
        <v>OK</v>
      </c>
      <c r="M2438" s="1">
        <f t="shared" si="190"/>
        <v>1</v>
      </c>
      <c r="N2438" s="1">
        <f t="shared" si="191"/>
        <v>168</v>
      </c>
      <c r="O2438" s="10">
        <f t="shared" si="194"/>
        <v>3.2883333333302289</v>
      </c>
    </row>
    <row r="2439" spans="1:15">
      <c r="A2439" s="1" t="s">
        <v>2544</v>
      </c>
      <c r="B2439" s="23">
        <v>45169.890972222223</v>
      </c>
      <c r="C2439" s="1" t="s">
        <v>16</v>
      </c>
      <c r="D2439" s="1" t="s">
        <v>21</v>
      </c>
      <c r="E2439" s="1" t="s">
        <v>13</v>
      </c>
      <c r="F2439" s="1" t="s">
        <v>153</v>
      </c>
      <c r="G2439" s="1">
        <v>150</v>
      </c>
      <c r="H2439" s="23">
        <v>45170.525960648149</v>
      </c>
      <c r="I2439" s="1" t="b">
        <v>0</v>
      </c>
      <c r="K2439" s="10">
        <f t="shared" si="192"/>
        <v>15.239722222206183</v>
      </c>
      <c r="L2439" s="1" t="str">
        <f t="shared" si="193"/>
        <v>OK</v>
      </c>
      <c r="M2439" s="1">
        <f t="shared" si="190"/>
        <v>1</v>
      </c>
      <c r="N2439" s="1">
        <f t="shared" si="191"/>
        <v>150</v>
      </c>
      <c r="O2439" s="10">
        <f t="shared" si="194"/>
        <v>15.239722222206183</v>
      </c>
    </row>
    <row r="2440" spans="1:15">
      <c r="A2440" s="1" t="s">
        <v>2545</v>
      </c>
      <c r="B2440" s="23">
        <v>45170.182638888888</v>
      </c>
      <c r="C2440" s="1" t="s">
        <v>11</v>
      </c>
      <c r="D2440" s="1" t="s">
        <v>26</v>
      </c>
      <c r="E2440" s="1" t="s">
        <v>33</v>
      </c>
      <c r="F2440" s="1" t="s">
        <v>27</v>
      </c>
      <c r="G2440" s="1">
        <v>352</v>
      </c>
      <c r="H2440" s="23">
        <v>45171.31925925926</v>
      </c>
      <c r="I2440" s="1" t="b">
        <v>0</v>
      </c>
      <c r="J2440" s="1">
        <v>5</v>
      </c>
      <c r="K2440" s="10">
        <f t="shared" si="192"/>
        <v>27.278888888948131</v>
      </c>
      <c r="L2440" s="1" t="str">
        <f t="shared" si="193"/>
        <v>OK</v>
      </c>
      <c r="M2440" s="1">
        <f t="shared" si="190"/>
        <v>1</v>
      </c>
      <c r="N2440" s="1">
        <f t="shared" si="191"/>
        <v>352</v>
      </c>
      <c r="O2440" s="10">
        <f t="shared" si="194"/>
        <v>27.278888888948131</v>
      </c>
    </row>
    <row r="2441" spans="1:15">
      <c r="A2441" s="1" t="s">
        <v>2546</v>
      </c>
      <c r="B2441" s="23">
        <v>45170.256944444445</v>
      </c>
      <c r="C2441" s="1" t="s">
        <v>11</v>
      </c>
      <c r="D2441" s="1" t="s">
        <v>17</v>
      </c>
      <c r="E2441" s="1" t="s">
        <v>13</v>
      </c>
      <c r="F2441" s="1" t="s">
        <v>167</v>
      </c>
      <c r="G2441" s="1">
        <v>20</v>
      </c>
      <c r="H2441" s="23">
        <v>45171.376689814817</v>
      </c>
      <c r="I2441" s="1" t="b">
        <v>0</v>
      </c>
      <c r="J2441" s="1">
        <v>3</v>
      </c>
      <c r="K2441" s="10">
        <f t="shared" si="192"/>
        <v>26.873888888920192</v>
      </c>
      <c r="L2441" s="1" t="str">
        <f t="shared" si="193"/>
        <v>OK</v>
      </c>
      <c r="M2441" s="1">
        <f t="shared" si="190"/>
        <v>1</v>
      </c>
      <c r="N2441" s="1">
        <f t="shared" si="191"/>
        <v>20</v>
      </c>
      <c r="O2441" s="10">
        <f t="shared" si="194"/>
        <v>26.873888888920192</v>
      </c>
    </row>
    <row r="2442" spans="1:15">
      <c r="A2442" s="1" t="s">
        <v>2547</v>
      </c>
      <c r="B2442" s="23">
        <v>45170.271527777775</v>
      </c>
      <c r="C2442" s="1" t="s">
        <v>16</v>
      </c>
      <c r="D2442" s="1" t="s">
        <v>59</v>
      </c>
      <c r="E2442" s="1" t="s">
        <v>13</v>
      </c>
      <c r="F2442" s="1" t="s">
        <v>326</v>
      </c>
      <c r="G2442" s="1">
        <v>6</v>
      </c>
      <c r="H2442" s="23">
        <v>45170.749108796299</v>
      </c>
      <c r="I2442" s="1" t="b">
        <v>0</v>
      </c>
      <c r="K2442" s="10">
        <f t="shared" si="192"/>
        <v>11.46194444457069</v>
      </c>
      <c r="L2442" s="1" t="str">
        <f t="shared" si="193"/>
        <v>OK</v>
      </c>
      <c r="M2442" s="1">
        <f t="shared" si="190"/>
        <v>1</v>
      </c>
      <c r="N2442" s="1">
        <f t="shared" si="191"/>
        <v>6</v>
      </c>
      <c r="O2442" s="10">
        <f t="shared" si="194"/>
        <v>11.46194444457069</v>
      </c>
    </row>
    <row r="2443" spans="1:15">
      <c r="A2443" s="1" t="s">
        <v>2548</v>
      </c>
      <c r="B2443" s="23">
        <v>45170.313888888886</v>
      </c>
      <c r="C2443" s="1" t="s">
        <v>25</v>
      </c>
      <c r="D2443" s="1" t="s">
        <v>26</v>
      </c>
      <c r="E2443" s="1" t="s">
        <v>33</v>
      </c>
      <c r="F2443" s="1" t="s">
        <v>167</v>
      </c>
      <c r="G2443" s="1">
        <v>1176</v>
      </c>
      <c r="H2443" s="23">
        <v>45176.63925925926</v>
      </c>
      <c r="I2443" s="1" t="b">
        <v>0</v>
      </c>
      <c r="J2443" s="1">
        <v>4</v>
      </c>
      <c r="K2443" s="10">
        <f t="shared" si="192"/>
        <v>151.80888888897607</v>
      </c>
      <c r="L2443" s="1" t="str">
        <f t="shared" si="193"/>
        <v>OK</v>
      </c>
      <c r="M2443" s="1">
        <f t="shared" si="190"/>
        <v>1</v>
      </c>
      <c r="N2443" s="1">
        <f t="shared" si="191"/>
        <v>1176</v>
      </c>
      <c r="O2443" s="10">
        <f t="shared" si="194"/>
        <v>151.80888888897607</v>
      </c>
    </row>
    <row r="2444" spans="1:15">
      <c r="A2444" s="1" t="s">
        <v>2549</v>
      </c>
      <c r="B2444" s="23">
        <v>45170.407638888886</v>
      </c>
      <c r="C2444" s="1" t="s">
        <v>25</v>
      </c>
      <c r="D2444" s="1" t="s">
        <v>17</v>
      </c>
      <c r="E2444" s="1" t="s">
        <v>13</v>
      </c>
      <c r="F2444" s="1" t="s">
        <v>178</v>
      </c>
      <c r="G2444" s="1">
        <v>17</v>
      </c>
      <c r="H2444" s="23">
        <v>45170.634791666664</v>
      </c>
      <c r="I2444" s="1" t="b">
        <v>0</v>
      </c>
      <c r="K2444" s="10">
        <f t="shared" si="192"/>
        <v>5.4516666666604578</v>
      </c>
      <c r="L2444" s="1" t="str">
        <f t="shared" si="193"/>
        <v>OK</v>
      </c>
      <c r="M2444" s="1">
        <f t="shared" si="190"/>
        <v>1</v>
      </c>
      <c r="N2444" s="1">
        <f t="shared" si="191"/>
        <v>17</v>
      </c>
      <c r="O2444" s="10">
        <f t="shared" si="194"/>
        <v>5.4516666666604578</v>
      </c>
    </row>
    <row r="2445" spans="1:15">
      <c r="A2445" s="1" t="s">
        <v>2550</v>
      </c>
      <c r="B2445" s="23">
        <v>45170.492361111108</v>
      </c>
      <c r="C2445" s="1" t="s">
        <v>16</v>
      </c>
      <c r="D2445" s="1" t="s">
        <v>12</v>
      </c>
      <c r="E2445" s="1" t="s">
        <v>18</v>
      </c>
      <c r="F2445" s="1" t="s">
        <v>116</v>
      </c>
      <c r="G2445" s="1">
        <v>223</v>
      </c>
      <c r="H2445" s="23">
        <v>45173.835613425923</v>
      </c>
      <c r="I2445" s="1" t="b">
        <v>0</v>
      </c>
      <c r="K2445" s="10">
        <f t="shared" si="192"/>
        <v>80.238055555557366</v>
      </c>
      <c r="L2445" s="1" t="str">
        <f t="shared" si="193"/>
        <v>OK</v>
      </c>
      <c r="M2445" s="1">
        <f t="shared" si="190"/>
        <v>1</v>
      </c>
      <c r="N2445" s="1">
        <f t="shared" si="191"/>
        <v>223</v>
      </c>
      <c r="O2445" s="10">
        <f t="shared" si="194"/>
        <v>80.238055555557366</v>
      </c>
    </row>
    <row r="2446" spans="1:15">
      <c r="A2446" s="1" t="s">
        <v>2551</v>
      </c>
      <c r="B2446" s="23">
        <v>45170.726388888892</v>
      </c>
      <c r="C2446" s="1" t="s">
        <v>43</v>
      </c>
      <c r="D2446" s="1" t="s">
        <v>21</v>
      </c>
      <c r="E2446" s="1" t="s">
        <v>18</v>
      </c>
      <c r="F2446" s="1" t="s">
        <v>128</v>
      </c>
      <c r="H2446" s="23">
        <v>45171.894317129627</v>
      </c>
      <c r="I2446" s="1" t="b">
        <v>1</v>
      </c>
      <c r="K2446" s="10">
        <f t="shared" si="192"/>
        <v>28.030277777637821</v>
      </c>
      <c r="L2446" s="1" t="str">
        <f t="shared" si="193"/>
        <v>Cannot check</v>
      </c>
      <c r="M2446" s="1">
        <f t="shared" si="190"/>
        <v>1</v>
      </c>
      <c r="N2446" s="1" t="str">
        <f t="shared" si="191"/>
        <v/>
      </c>
      <c r="O2446" s="10">
        <f t="shared" si="194"/>
        <v>28.030277777637821</v>
      </c>
    </row>
    <row r="2447" spans="1:15">
      <c r="A2447" s="1" t="s">
        <v>2552</v>
      </c>
      <c r="B2447" s="23">
        <v>45170.829861111109</v>
      </c>
      <c r="C2447" s="1" t="s">
        <v>11</v>
      </c>
      <c r="D2447" s="1" t="s">
        <v>21</v>
      </c>
      <c r="E2447" s="1" t="s">
        <v>33</v>
      </c>
      <c r="F2447" s="1" t="s">
        <v>94</v>
      </c>
      <c r="G2447" s="1">
        <v>70</v>
      </c>
      <c r="H2447" s="23">
        <v>45171.978784722225</v>
      </c>
      <c r="I2447" s="1" t="b">
        <v>0</v>
      </c>
      <c r="K2447" s="10">
        <f t="shared" si="192"/>
        <v>27.574166666774545</v>
      </c>
      <c r="L2447" s="1" t="str">
        <f t="shared" si="193"/>
        <v>OK</v>
      </c>
      <c r="M2447" s="1">
        <f t="shared" si="190"/>
        <v>1</v>
      </c>
      <c r="N2447" s="1">
        <f t="shared" si="191"/>
        <v>70</v>
      </c>
      <c r="O2447" s="10">
        <f t="shared" si="194"/>
        <v>27.574166666774545</v>
      </c>
    </row>
    <row r="2448" spans="1:15">
      <c r="A2448" s="1" t="s">
        <v>2553</v>
      </c>
      <c r="B2448" s="23">
        <v>45170.836111111108</v>
      </c>
      <c r="C2448" s="1" t="s">
        <v>25</v>
      </c>
      <c r="D2448" s="1" t="s">
        <v>59</v>
      </c>
      <c r="E2448" s="1" t="s">
        <v>13</v>
      </c>
      <c r="F2448" s="1" t="s">
        <v>57</v>
      </c>
      <c r="G2448" s="1">
        <v>15</v>
      </c>
      <c r="H2448" s="23">
        <v>45171.772627314815</v>
      </c>
      <c r="I2448" s="1" t="b">
        <v>0</v>
      </c>
      <c r="K2448" s="10">
        <f t="shared" si="192"/>
        <v>22.476388888957445</v>
      </c>
      <c r="L2448" s="1" t="str">
        <f t="shared" si="193"/>
        <v>OK</v>
      </c>
      <c r="M2448" s="1">
        <f t="shared" si="190"/>
        <v>1</v>
      </c>
      <c r="N2448" s="1">
        <f t="shared" si="191"/>
        <v>15</v>
      </c>
      <c r="O2448" s="10">
        <f t="shared" si="194"/>
        <v>22.476388888957445</v>
      </c>
    </row>
    <row r="2449" spans="1:15">
      <c r="A2449" s="1" t="s">
        <v>2554</v>
      </c>
      <c r="B2449" s="23">
        <v>45170.907638888886</v>
      </c>
      <c r="C2449" s="1" t="s">
        <v>16</v>
      </c>
      <c r="D2449" s="1" t="s">
        <v>21</v>
      </c>
      <c r="E2449" s="1" t="s">
        <v>22</v>
      </c>
      <c r="F2449" s="1" t="s">
        <v>74</v>
      </c>
      <c r="G2449" s="1">
        <v>10</v>
      </c>
      <c r="H2449" s="23">
        <v>45171.03056712963</v>
      </c>
      <c r="I2449" s="1" t="b">
        <v>0</v>
      </c>
      <c r="K2449" s="10">
        <f t="shared" si="192"/>
        <v>2.9502777778543532</v>
      </c>
      <c r="L2449" s="1" t="str">
        <f t="shared" si="193"/>
        <v>OK</v>
      </c>
      <c r="M2449" s="1">
        <f t="shared" si="190"/>
        <v>1</v>
      </c>
      <c r="N2449" s="1">
        <f t="shared" si="191"/>
        <v>10</v>
      </c>
      <c r="O2449" s="10">
        <f t="shared" si="194"/>
        <v>2.9502777778543532</v>
      </c>
    </row>
    <row r="2450" spans="1:15">
      <c r="A2450" s="1" t="s">
        <v>2555</v>
      </c>
      <c r="B2450" s="23">
        <v>45170.972222222219</v>
      </c>
      <c r="C2450" s="1" t="s">
        <v>11</v>
      </c>
      <c r="D2450" s="1" t="s">
        <v>59</v>
      </c>
      <c r="E2450" s="1" t="s">
        <v>18</v>
      </c>
      <c r="F2450" s="1" t="s">
        <v>198</v>
      </c>
      <c r="G2450" s="1">
        <v>183</v>
      </c>
      <c r="H2450" s="23">
        <v>45174.305532407408</v>
      </c>
      <c r="I2450" s="1" t="b">
        <v>0</v>
      </c>
      <c r="J2450" s="1">
        <v>4</v>
      </c>
      <c r="K2450" s="10">
        <f t="shared" si="192"/>
        <v>79.999444444547407</v>
      </c>
      <c r="L2450" s="1" t="str">
        <f t="shared" si="193"/>
        <v>OK</v>
      </c>
      <c r="M2450" s="1">
        <f t="shared" si="190"/>
        <v>1</v>
      </c>
      <c r="N2450" s="1">
        <f t="shared" si="191"/>
        <v>183</v>
      </c>
      <c r="O2450" s="10">
        <f t="shared" si="194"/>
        <v>79.999444444547407</v>
      </c>
    </row>
    <row r="2451" spans="1:15">
      <c r="A2451" s="1" t="s">
        <v>2556</v>
      </c>
      <c r="B2451" s="23">
        <v>45170.984027777777</v>
      </c>
      <c r="C2451" s="1" t="s">
        <v>25</v>
      </c>
      <c r="D2451" s="1" t="s">
        <v>26</v>
      </c>
      <c r="E2451" s="1" t="s">
        <v>18</v>
      </c>
      <c r="F2451" s="1" t="s">
        <v>14</v>
      </c>
      <c r="H2451" s="23">
        <v>45173.552233796298</v>
      </c>
      <c r="I2451" s="1" t="b">
        <v>0</v>
      </c>
      <c r="J2451" s="1">
        <v>5</v>
      </c>
      <c r="K2451" s="10">
        <f t="shared" si="192"/>
        <v>61.636944444500841</v>
      </c>
      <c r="L2451" s="1" t="str">
        <f t="shared" si="193"/>
        <v>Cannot check</v>
      </c>
      <c r="M2451" s="1">
        <f t="shared" si="190"/>
        <v>1</v>
      </c>
      <c r="N2451" s="1" t="str">
        <f t="shared" si="191"/>
        <v/>
      </c>
      <c r="O2451" s="10">
        <f t="shared" si="194"/>
        <v>61.636944444500841</v>
      </c>
    </row>
    <row r="2452" spans="1:15">
      <c r="A2452" s="1" t="s">
        <v>2557</v>
      </c>
      <c r="B2452" s="23">
        <v>45170.989583333336</v>
      </c>
      <c r="C2452" s="1" t="s">
        <v>25</v>
      </c>
      <c r="D2452" s="1" t="s">
        <v>59</v>
      </c>
      <c r="E2452" s="1" t="s">
        <v>22</v>
      </c>
      <c r="F2452" s="1" t="s">
        <v>60</v>
      </c>
      <c r="G2452" s="1">
        <v>15</v>
      </c>
      <c r="H2452" s="23">
        <v>45171.082465277781</v>
      </c>
      <c r="I2452" s="1" t="b">
        <v>0</v>
      </c>
      <c r="J2452" s="1">
        <v>5</v>
      </c>
      <c r="K2452" s="10">
        <f t="shared" si="192"/>
        <v>2.2291666666860692</v>
      </c>
      <c r="L2452" s="1" t="str">
        <f t="shared" si="193"/>
        <v>OK</v>
      </c>
      <c r="M2452" s="1">
        <f t="shared" si="190"/>
        <v>1</v>
      </c>
      <c r="N2452" s="1">
        <f t="shared" si="191"/>
        <v>15</v>
      </c>
      <c r="O2452" s="10">
        <f t="shared" si="194"/>
        <v>2.2291666666860692</v>
      </c>
    </row>
    <row r="2453" spans="1:15">
      <c r="A2453" s="1" t="s">
        <v>2558</v>
      </c>
      <c r="B2453" s="23">
        <v>45171.245138888888</v>
      </c>
      <c r="C2453" s="1" t="s">
        <v>16</v>
      </c>
      <c r="D2453" s="1" t="s">
        <v>17</v>
      </c>
      <c r="E2453" s="1" t="s">
        <v>18</v>
      </c>
      <c r="F2453" s="1" t="s">
        <v>198</v>
      </c>
      <c r="G2453" s="1">
        <v>66</v>
      </c>
      <c r="H2453" s="23">
        <v>45172.119525462964</v>
      </c>
      <c r="I2453" s="1" t="b">
        <v>0</v>
      </c>
      <c r="K2453" s="10">
        <f t="shared" si="192"/>
        <v>20.985277777828742</v>
      </c>
      <c r="L2453" s="1" t="str">
        <f t="shared" si="193"/>
        <v>OK</v>
      </c>
      <c r="M2453" s="1">
        <f t="shared" si="190"/>
        <v>1</v>
      </c>
      <c r="N2453" s="1">
        <f t="shared" si="191"/>
        <v>66</v>
      </c>
      <c r="O2453" s="10">
        <f t="shared" si="194"/>
        <v>20.985277777828742</v>
      </c>
    </row>
    <row r="2454" spans="1:15">
      <c r="A2454" s="1" t="s">
        <v>2559</v>
      </c>
      <c r="B2454" s="23">
        <v>45171.255555555559</v>
      </c>
      <c r="C2454" s="1" t="s">
        <v>43</v>
      </c>
      <c r="D2454" s="1" t="s">
        <v>12</v>
      </c>
      <c r="E2454" s="1" t="s">
        <v>18</v>
      </c>
      <c r="F2454" s="1" t="s">
        <v>345</v>
      </c>
      <c r="G2454" s="1">
        <v>318</v>
      </c>
      <c r="H2454" s="23">
        <v>45174.858958333331</v>
      </c>
      <c r="I2454" s="1" t="b">
        <v>0</v>
      </c>
      <c r="K2454" s="10">
        <f t="shared" si="192"/>
        <v>86.481666666513775</v>
      </c>
      <c r="L2454" s="1" t="str">
        <f t="shared" si="193"/>
        <v>OK</v>
      </c>
      <c r="M2454" s="1">
        <f t="shared" si="190"/>
        <v>1</v>
      </c>
      <c r="N2454" s="1">
        <f t="shared" si="191"/>
        <v>318</v>
      </c>
      <c r="O2454" s="10">
        <f t="shared" si="194"/>
        <v>86.481666666513775</v>
      </c>
    </row>
    <row r="2455" spans="1:15">
      <c r="A2455" s="1" t="s">
        <v>2560</v>
      </c>
      <c r="B2455" s="23">
        <v>45171.274305555555</v>
      </c>
      <c r="C2455" s="1" t="s">
        <v>16</v>
      </c>
      <c r="D2455" s="1" t="s">
        <v>21</v>
      </c>
      <c r="E2455" s="1" t="s">
        <v>18</v>
      </c>
      <c r="F2455" s="1" t="s">
        <v>118</v>
      </c>
      <c r="G2455" s="1">
        <v>274</v>
      </c>
      <c r="H2455" s="23">
        <v>45171.39508101852</v>
      </c>
      <c r="I2455" s="1" t="b">
        <v>0</v>
      </c>
      <c r="K2455" s="10">
        <f t="shared" si="192"/>
        <v>2.8986111111589707</v>
      </c>
      <c r="L2455" s="1" t="str">
        <f t="shared" si="193"/>
        <v>Review</v>
      </c>
      <c r="M2455" s="1">
        <f t="shared" si="190"/>
        <v>1</v>
      </c>
      <c r="N2455" s="1" t="str">
        <f t="shared" si="191"/>
        <v/>
      </c>
      <c r="O2455" s="10" t="str">
        <f t="shared" si="194"/>
        <v/>
      </c>
    </row>
    <row r="2456" spans="1:15">
      <c r="A2456" s="1" t="s">
        <v>2561</v>
      </c>
      <c r="B2456" s="23">
        <v>45171.465277777781</v>
      </c>
      <c r="C2456" s="1" t="s">
        <v>25</v>
      </c>
      <c r="D2456" s="1" t="s">
        <v>17</v>
      </c>
      <c r="E2456" s="1" t="s">
        <v>18</v>
      </c>
      <c r="F2456" s="1" t="s">
        <v>68</v>
      </c>
      <c r="G2456" s="1">
        <v>26</v>
      </c>
      <c r="H2456" s="23">
        <v>45172.405578703707</v>
      </c>
      <c r="I2456" s="1" t="b">
        <v>0</v>
      </c>
      <c r="K2456" s="10">
        <f t="shared" si="192"/>
        <v>22.567222222220153</v>
      </c>
      <c r="L2456" s="1" t="str">
        <f t="shared" si="193"/>
        <v>OK</v>
      </c>
      <c r="M2456" s="1">
        <f t="shared" si="190"/>
        <v>1</v>
      </c>
      <c r="N2456" s="1">
        <f t="shared" si="191"/>
        <v>26</v>
      </c>
      <c r="O2456" s="10">
        <f t="shared" si="194"/>
        <v>22.567222222220153</v>
      </c>
    </row>
    <row r="2457" spans="1:15">
      <c r="A2457" s="1" t="s">
        <v>2562</v>
      </c>
      <c r="B2457" s="23">
        <v>45171.520833333336</v>
      </c>
      <c r="C2457" s="1" t="s">
        <v>25</v>
      </c>
      <c r="D2457" s="1" t="s">
        <v>21</v>
      </c>
      <c r="E2457" s="1" t="s">
        <v>18</v>
      </c>
      <c r="F2457" s="1" t="s">
        <v>392</v>
      </c>
      <c r="G2457" s="1">
        <v>37</v>
      </c>
      <c r="H2457" s="23">
        <v>45172.768692129626</v>
      </c>
      <c r="I2457" s="1" t="b">
        <v>0</v>
      </c>
      <c r="K2457" s="10">
        <f t="shared" si="192"/>
        <v>29.948611110972706</v>
      </c>
      <c r="L2457" s="1" t="str">
        <f t="shared" si="193"/>
        <v>OK</v>
      </c>
      <c r="M2457" s="1">
        <f t="shared" si="190"/>
        <v>1</v>
      </c>
      <c r="N2457" s="1">
        <f t="shared" si="191"/>
        <v>37</v>
      </c>
      <c r="O2457" s="10">
        <f t="shared" si="194"/>
        <v>29.948611110972706</v>
      </c>
    </row>
    <row r="2458" spans="1:15">
      <c r="A2458" s="1" t="s">
        <v>2563</v>
      </c>
      <c r="B2458" s="23">
        <v>45171.575694444444</v>
      </c>
      <c r="C2458" s="1" t="s">
        <v>43</v>
      </c>
      <c r="D2458" s="1" t="s">
        <v>59</v>
      </c>
      <c r="E2458" s="1" t="s">
        <v>18</v>
      </c>
      <c r="F2458" s="1" t="s">
        <v>116</v>
      </c>
      <c r="G2458" s="1">
        <v>176</v>
      </c>
      <c r="H2458" s="23">
        <v>45173.529629629629</v>
      </c>
      <c r="I2458" s="1" t="b">
        <v>0</v>
      </c>
      <c r="J2458" s="1">
        <v>5</v>
      </c>
      <c r="K2458" s="10">
        <f t="shared" si="192"/>
        <v>46.894444444449618</v>
      </c>
      <c r="L2458" s="1" t="str">
        <f t="shared" si="193"/>
        <v>OK</v>
      </c>
      <c r="M2458" s="1">
        <f t="shared" si="190"/>
        <v>1</v>
      </c>
      <c r="N2458" s="1">
        <f t="shared" si="191"/>
        <v>176</v>
      </c>
      <c r="O2458" s="10">
        <f t="shared" si="194"/>
        <v>46.894444444449618</v>
      </c>
    </row>
    <row r="2459" spans="1:15">
      <c r="A2459" s="1" t="s">
        <v>2564</v>
      </c>
      <c r="B2459" s="23">
        <v>45171.696527777778</v>
      </c>
      <c r="C2459" s="1" t="s">
        <v>11</v>
      </c>
      <c r="D2459" s="1" t="s">
        <v>59</v>
      </c>
      <c r="E2459" s="1" t="s">
        <v>18</v>
      </c>
      <c r="F2459" s="1" t="s">
        <v>159</v>
      </c>
      <c r="G2459" s="1">
        <v>292</v>
      </c>
      <c r="H2459" s="23">
        <v>45173.322604166664</v>
      </c>
      <c r="I2459" s="1" t="b">
        <v>0</v>
      </c>
      <c r="K2459" s="10">
        <f t="shared" si="192"/>
        <v>39.02583333326038</v>
      </c>
      <c r="L2459" s="1" t="str">
        <f t="shared" si="193"/>
        <v>OK</v>
      </c>
      <c r="M2459" s="1">
        <f t="shared" si="190"/>
        <v>1</v>
      </c>
      <c r="N2459" s="1">
        <f t="shared" si="191"/>
        <v>292</v>
      </c>
      <c r="O2459" s="10">
        <f t="shared" si="194"/>
        <v>39.02583333326038</v>
      </c>
    </row>
    <row r="2460" spans="1:15">
      <c r="A2460" s="1" t="s">
        <v>2565</v>
      </c>
      <c r="B2460" s="23">
        <v>45171.873611111114</v>
      </c>
      <c r="C2460" s="1" t="s">
        <v>25</v>
      </c>
      <c r="D2460" s="1" t="s">
        <v>17</v>
      </c>
      <c r="E2460" s="1" t="s">
        <v>13</v>
      </c>
      <c r="F2460" s="1" t="s">
        <v>345</v>
      </c>
      <c r="G2460" s="1">
        <v>27</v>
      </c>
      <c r="H2460" s="23">
        <v>45172.175486111111</v>
      </c>
      <c r="I2460" s="1" t="b">
        <v>0</v>
      </c>
      <c r="K2460" s="10">
        <f t="shared" si="192"/>
        <v>7.2449999999371357</v>
      </c>
      <c r="L2460" s="1" t="str">
        <f t="shared" si="193"/>
        <v>OK</v>
      </c>
      <c r="M2460" s="1">
        <f t="shared" si="190"/>
        <v>1</v>
      </c>
      <c r="N2460" s="1">
        <f t="shared" si="191"/>
        <v>27</v>
      </c>
      <c r="O2460" s="10">
        <f t="shared" si="194"/>
        <v>7.2449999999371357</v>
      </c>
    </row>
    <row r="2461" spans="1:15">
      <c r="A2461" s="1" t="s">
        <v>2566</v>
      </c>
      <c r="B2461" s="23">
        <v>45171.905555555553</v>
      </c>
      <c r="C2461" s="1" t="s">
        <v>16</v>
      </c>
      <c r="D2461" s="1" t="s">
        <v>21</v>
      </c>
      <c r="E2461" s="1" t="s">
        <v>33</v>
      </c>
      <c r="F2461" s="1" t="s">
        <v>35</v>
      </c>
      <c r="G2461" s="1">
        <v>13</v>
      </c>
      <c r="H2461" s="23">
        <v>45172.747812499998</v>
      </c>
      <c r="I2461" s="1" t="b">
        <v>0</v>
      </c>
      <c r="J2461" s="1">
        <v>5</v>
      </c>
      <c r="K2461" s="10">
        <f t="shared" si="192"/>
        <v>20.214166666672099</v>
      </c>
      <c r="L2461" s="1" t="str">
        <f t="shared" si="193"/>
        <v>OK</v>
      </c>
      <c r="M2461" s="1">
        <f t="shared" si="190"/>
        <v>1</v>
      </c>
      <c r="N2461" s="1">
        <f t="shared" si="191"/>
        <v>13</v>
      </c>
      <c r="O2461" s="10">
        <f t="shared" si="194"/>
        <v>20.214166666672099</v>
      </c>
    </row>
    <row r="2462" spans="1:15">
      <c r="A2462" s="1" t="s">
        <v>2567</v>
      </c>
      <c r="B2462" s="23">
        <v>45172.052777777775</v>
      </c>
      <c r="C2462" s="1" t="s">
        <v>43</v>
      </c>
      <c r="D2462" s="1" t="s">
        <v>17</v>
      </c>
      <c r="E2462" s="1" t="s">
        <v>18</v>
      </c>
      <c r="F2462" s="1" t="s">
        <v>35</v>
      </c>
      <c r="G2462" s="1">
        <v>34</v>
      </c>
      <c r="H2462" s="23">
        <v>45173.457800925928</v>
      </c>
      <c r="I2462" s="1" t="b">
        <v>0</v>
      </c>
      <c r="J2462" s="1">
        <v>4</v>
      </c>
      <c r="K2462" s="10">
        <f t="shared" si="192"/>
        <v>33.720555555657484</v>
      </c>
      <c r="L2462" s="1" t="str">
        <f t="shared" si="193"/>
        <v>OK</v>
      </c>
      <c r="M2462" s="1">
        <f t="shared" si="190"/>
        <v>1</v>
      </c>
      <c r="N2462" s="1">
        <f t="shared" si="191"/>
        <v>34</v>
      </c>
      <c r="O2462" s="10">
        <f t="shared" si="194"/>
        <v>33.720555555657484</v>
      </c>
    </row>
    <row r="2463" spans="1:15">
      <c r="A2463" s="1" t="s">
        <v>2568</v>
      </c>
      <c r="B2463" s="23">
        <v>45172.087500000001</v>
      </c>
      <c r="C2463" s="1" t="s">
        <v>16</v>
      </c>
      <c r="D2463" s="1" t="s">
        <v>59</v>
      </c>
      <c r="E2463" s="1" t="s">
        <v>33</v>
      </c>
      <c r="F2463" s="1" t="s">
        <v>96</v>
      </c>
      <c r="G2463" s="1">
        <v>965</v>
      </c>
      <c r="H2463" s="23">
        <v>45179.341215277775</v>
      </c>
      <c r="I2463" s="1" t="b">
        <v>0</v>
      </c>
      <c r="J2463" s="1">
        <v>5</v>
      </c>
      <c r="K2463" s="10">
        <f t="shared" si="192"/>
        <v>174.08916666655568</v>
      </c>
      <c r="L2463" s="1" t="str">
        <f t="shared" si="193"/>
        <v>OK</v>
      </c>
      <c r="M2463" s="1">
        <f t="shared" si="190"/>
        <v>1</v>
      </c>
      <c r="N2463" s="1">
        <f t="shared" si="191"/>
        <v>965</v>
      </c>
      <c r="O2463" s="10">
        <f t="shared" si="194"/>
        <v>174.08916666655568</v>
      </c>
    </row>
    <row r="2464" spans="1:15">
      <c r="A2464" s="1" t="s">
        <v>2569</v>
      </c>
      <c r="B2464" s="23">
        <v>45172.113888888889</v>
      </c>
      <c r="C2464" s="1" t="s">
        <v>25</v>
      </c>
      <c r="D2464" s="1" t="s">
        <v>59</v>
      </c>
      <c r="E2464" s="1" t="s">
        <v>13</v>
      </c>
      <c r="F2464" s="1" t="s">
        <v>94</v>
      </c>
      <c r="G2464" s="1">
        <v>12</v>
      </c>
      <c r="H2464" s="23">
        <v>45173.781446759262</v>
      </c>
      <c r="I2464" s="1" t="b">
        <v>0</v>
      </c>
      <c r="J2464" s="1">
        <v>5</v>
      </c>
      <c r="K2464" s="10">
        <f t="shared" si="192"/>
        <v>40.021388888941146</v>
      </c>
      <c r="L2464" s="1" t="str">
        <f t="shared" si="193"/>
        <v>OK</v>
      </c>
      <c r="M2464" s="1">
        <f t="shared" si="190"/>
        <v>1</v>
      </c>
      <c r="N2464" s="1">
        <f t="shared" si="191"/>
        <v>12</v>
      </c>
      <c r="O2464" s="10">
        <f t="shared" si="194"/>
        <v>40.021388888941146</v>
      </c>
    </row>
    <row r="2465" spans="1:15">
      <c r="A2465" s="1" t="s">
        <v>2570</v>
      </c>
      <c r="B2465" s="23">
        <v>45172.140277777777</v>
      </c>
      <c r="C2465" s="1" t="s">
        <v>16</v>
      </c>
      <c r="D2465" s="1" t="s">
        <v>26</v>
      </c>
      <c r="E2465" s="1" t="s">
        <v>18</v>
      </c>
      <c r="F2465" s="1" t="s">
        <v>102</v>
      </c>
      <c r="G2465" s="1">
        <v>27</v>
      </c>
      <c r="H2465" s="23">
        <v>45177.280416666668</v>
      </c>
      <c r="I2465" s="1" t="b">
        <v>0</v>
      </c>
      <c r="K2465" s="10">
        <f t="shared" si="192"/>
        <v>123.36333333340008</v>
      </c>
      <c r="L2465" s="1" t="str">
        <f t="shared" si="193"/>
        <v>OK</v>
      </c>
      <c r="M2465" s="1">
        <f t="shared" si="190"/>
        <v>1</v>
      </c>
      <c r="N2465" s="1">
        <f t="shared" si="191"/>
        <v>27</v>
      </c>
      <c r="O2465" s="10">
        <f t="shared" si="194"/>
        <v>123.36333333340008</v>
      </c>
    </row>
    <row r="2466" spans="1:15">
      <c r="A2466" s="1" t="s">
        <v>2571</v>
      </c>
      <c r="B2466" s="23">
        <v>45172.337500000001</v>
      </c>
      <c r="C2466" s="1" t="s">
        <v>43</v>
      </c>
      <c r="D2466" s="1" t="s">
        <v>26</v>
      </c>
      <c r="E2466" s="1" t="s">
        <v>33</v>
      </c>
      <c r="F2466" s="1" t="s">
        <v>27</v>
      </c>
      <c r="G2466" s="1">
        <v>95</v>
      </c>
      <c r="H2466" s="23">
        <v>45173.461435185185</v>
      </c>
      <c r="I2466" s="1" t="b">
        <v>0</v>
      </c>
      <c r="J2466" s="1">
        <v>4</v>
      </c>
      <c r="K2466" s="10">
        <f t="shared" si="192"/>
        <v>26.974444444407709</v>
      </c>
      <c r="L2466" s="1" t="str">
        <f t="shared" si="193"/>
        <v>OK</v>
      </c>
      <c r="M2466" s="1">
        <f t="shared" si="190"/>
        <v>1</v>
      </c>
      <c r="N2466" s="1">
        <f t="shared" si="191"/>
        <v>95</v>
      </c>
      <c r="O2466" s="10">
        <f t="shared" si="194"/>
        <v>26.974444444407709</v>
      </c>
    </row>
    <row r="2467" spans="1:15">
      <c r="A2467" s="1" t="s">
        <v>2572</v>
      </c>
      <c r="B2467" s="23">
        <v>45172.504166666666</v>
      </c>
      <c r="C2467" s="1" t="s">
        <v>16</v>
      </c>
      <c r="D2467" s="1" t="s">
        <v>12</v>
      </c>
      <c r="E2467" s="1" t="s">
        <v>18</v>
      </c>
      <c r="F2467" s="1" t="s">
        <v>14</v>
      </c>
      <c r="G2467" s="1">
        <v>367</v>
      </c>
      <c r="H2467" s="23">
        <v>45172.747118055559</v>
      </c>
      <c r="I2467" s="1" t="b">
        <v>0</v>
      </c>
      <c r="J2467" s="1">
        <v>4</v>
      </c>
      <c r="K2467" s="10">
        <f t="shared" si="192"/>
        <v>5.8308333334280178</v>
      </c>
      <c r="L2467" s="1" t="str">
        <f t="shared" si="193"/>
        <v>Review</v>
      </c>
      <c r="M2467" s="1">
        <f t="shared" si="190"/>
        <v>1</v>
      </c>
      <c r="N2467" s="1" t="str">
        <f t="shared" si="191"/>
        <v/>
      </c>
      <c r="O2467" s="10" t="str">
        <f t="shared" si="194"/>
        <v/>
      </c>
    </row>
    <row r="2468" spans="1:15">
      <c r="A2468" s="1" t="s">
        <v>2573</v>
      </c>
      <c r="B2468" s="23">
        <v>45172.523611111108</v>
      </c>
      <c r="C2468" s="1" t="s">
        <v>11</v>
      </c>
      <c r="D2468" s="1" t="s">
        <v>17</v>
      </c>
      <c r="E2468" s="1" t="s">
        <v>18</v>
      </c>
      <c r="F2468" s="1" t="s">
        <v>48</v>
      </c>
      <c r="G2468" s="1">
        <v>75</v>
      </c>
      <c r="H2468" s="23">
        <v>45173.086157407408</v>
      </c>
      <c r="I2468" s="1" t="b">
        <v>0</v>
      </c>
      <c r="J2468" s="1">
        <v>1</v>
      </c>
      <c r="K2468" s="10">
        <f t="shared" si="192"/>
        <v>13.501111111196224</v>
      </c>
      <c r="L2468" s="1" t="str">
        <f t="shared" si="193"/>
        <v>OK</v>
      </c>
      <c r="M2468" s="1">
        <f t="shared" si="190"/>
        <v>1</v>
      </c>
      <c r="N2468" s="1">
        <f t="shared" si="191"/>
        <v>75</v>
      </c>
      <c r="O2468" s="10">
        <f t="shared" si="194"/>
        <v>13.501111111196224</v>
      </c>
    </row>
    <row r="2469" spans="1:15">
      <c r="A2469" s="1" t="s">
        <v>2574</v>
      </c>
      <c r="B2469" s="23">
        <v>45172.65347222222</v>
      </c>
      <c r="C2469" s="1" t="s">
        <v>11</v>
      </c>
      <c r="D2469" s="1" t="s">
        <v>21</v>
      </c>
      <c r="E2469" s="1" t="s">
        <v>18</v>
      </c>
      <c r="F2469" s="1" t="s">
        <v>239</v>
      </c>
      <c r="G2469" s="1">
        <v>71</v>
      </c>
      <c r="H2469" s="23">
        <v>45174.154062499998</v>
      </c>
      <c r="I2469" s="1" t="b">
        <v>0</v>
      </c>
      <c r="K2469" s="10">
        <f t="shared" si="192"/>
        <v>36.014166666660458</v>
      </c>
      <c r="L2469" s="1" t="str">
        <f t="shared" si="193"/>
        <v>OK</v>
      </c>
      <c r="M2469" s="1">
        <f t="shared" si="190"/>
        <v>1</v>
      </c>
      <c r="N2469" s="1">
        <f t="shared" si="191"/>
        <v>71</v>
      </c>
      <c r="O2469" s="10">
        <f t="shared" si="194"/>
        <v>36.014166666660458</v>
      </c>
    </row>
    <row r="2470" spans="1:15">
      <c r="A2470" s="1" t="s">
        <v>2575</v>
      </c>
      <c r="B2470" s="23">
        <v>45172.737500000003</v>
      </c>
      <c r="C2470" s="1" t="s">
        <v>25</v>
      </c>
      <c r="D2470" s="1" t="s">
        <v>12</v>
      </c>
      <c r="E2470" s="1" t="s">
        <v>13</v>
      </c>
      <c r="F2470" s="1" t="s">
        <v>132</v>
      </c>
      <c r="G2470" s="1">
        <v>16</v>
      </c>
      <c r="H2470" s="23">
        <v>45172.798703703702</v>
      </c>
      <c r="I2470" s="1" t="b">
        <v>0</v>
      </c>
      <c r="J2470" s="1">
        <v>4</v>
      </c>
      <c r="K2470" s="10">
        <f t="shared" si="192"/>
        <v>1.4688888887758367</v>
      </c>
      <c r="L2470" s="1" t="str">
        <f t="shared" si="193"/>
        <v>OK</v>
      </c>
      <c r="M2470" s="1">
        <f t="shared" si="190"/>
        <v>1</v>
      </c>
      <c r="N2470" s="1">
        <f t="shared" si="191"/>
        <v>16</v>
      </c>
      <c r="O2470" s="10">
        <f t="shared" si="194"/>
        <v>1.4688888887758367</v>
      </c>
    </row>
    <row r="2471" spans="1:15">
      <c r="A2471" s="1" t="s">
        <v>2576</v>
      </c>
      <c r="B2471" s="23">
        <v>45172.754166666666</v>
      </c>
      <c r="C2471" s="1" t="s">
        <v>11</v>
      </c>
      <c r="D2471" s="1" t="s">
        <v>26</v>
      </c>
      <c r="E2471" s="1" t="s">
        <v>18</v>
      </c>
      <c r="F2471" s="1" t="s">
        <v>84</v>
      </c>
      <c r="G2471" s="1">
        <v>69</v>
      </c>
      <c r="H2471" s="23">
        <v>45174.92046296296</v>
      </c>
      <c r="I2471" s="1" t="b">
        <v>0</v>
      </c>
      <c r="J2471" s="1">
        <v>5</v>
      </c>
      <c r="K2471" s="10">
        <f t="shared" si="192"/>
        <v>51.991111111070495</v>
      </c>
      <c r="L2471" s="1" t="str">
        <f t="shared" si="193"/>
        <v>OK</v>
      </c>
      <c r="M2471" s="1">
        <f t="shared" si="190"/>
        <v>1</v>
      </c>
      <c r="N2471" s="1">
        <f t="shared" si="191"/>
        <v>69</v>
      </c>
      <c r="O2471" s="10">
        <f t="shared" si="194"/>
        <v>51.991111111070495</v>
      </c>
    </row>
    <row r="2472" spans="1:15">
      <c r="A2472" s="1" t="s">
        <v>2577</v>
      </c>
      <c r="B2472" s="23">
        <v>45172.938888888886</v>
      </c>
      <c r="C2472" s="1" t="s">
        <v>25</v>
      </c>
      <c r="D2472" s="1" t="s">
        <v>17</v>
      </c>
      <c r="E2472" s="1" t="s">
        <v>13</v>
      </c>
      <c r="F2472" s="1" t="s">
        <v>128</v>
      </c>
      <c r="G2472" s="1">
        <v>98</v>
      </c>
      <c r="H2472" s="23">
        <v>45173.095567129632</v>
      </c>
      <c r="I2472" s="1" t="b">
        <v>0</v>
      </c>
      <c r="K2472" s="10">
        <f t="shared" si="192"/>
        <v>3.7602777779102325</v>
      </c>
      <c r="L2472" s="1" t="str">
        <f t="shared" si="193"/>
        <v>OK</v>
      </c>
      <c r="M2472" s="1">
        <f t="shared" si="190"/>
        <v>1</v>
      </c>
      <c r="N2472" s="1">
        <f t="shared" si="191"/>
        <v>98</v>
      </c>
      <c r="O2472" s="10">
        <f t="shared" si="194"/>
        <v>3.7602777779102325</v>
      </c>
    </row>
    <row r="2473" spans="1:15">
      <c r="A2473" s="1" t="s">
        <v>2578</v>
      </c>
      <c r="B2473" s="23">
        <v>45173.157638888886</v>
      </c>
      <c r="C2473" s="1" t="s">
        <v>11</v>
      </c>
      <c r="D2473" s="1" t="s">
        <v>26</v>
      </c>
      <c r="E2473" s="1" t="s">
        <v>18</v>
      </c>
      <c r="F2473" s="1" t="s">
        <v>68</v>
      </c>
      <c r="G2473" s="1">
        <v>40</v>
      </c>
      <c r="H2473" s="23">
        <v>45173.992048611108</v>
      </c>
      <c r="I2473" s="1" t="b">
        <v>0</v>
      </c>
      <c r="K2473" s="10">
        <f t="shared" si="192"/>
        <v>20.025833333318587</v>
      </c>
      <c r="L2473" s="1" t="str">
        <f t="shared" si="193"/>
        <v>OK</v>
      </c>
      <c r="M2473" s="1">
        <f t="shared" si="190"/>
        <v>1</v>
      </c>
      <c r="N2473" s="1">
        <f t="shared" si="191"/>
        <v>40</v>
      </c>
      <c r="O2473" s="10">
        <f t="shared" si="194"/>
        <v>20.025833333318587</v>
      </c>
    </row>
    <row r="2474" spans="1:15">
      <c r="A2474" s="1" t="s">
        <v>2579</v>
      </c>
      <c r="B2474" s="23">
        <v>45173.798611111109</v>
      </c>
      <c r="C2474" s="1" t="s">
        <v>16</v>
      </c>
      <c r="D2474" s="1" t="s">
        <v>59</v>
      </c>
      <c r="E2474" s="1" t="s">
        <v>13</v>
      </c>
      <c r="F2474" s="1" t="s">
        <v>37</v>
      </c>
      <c r="G2474" s="1">
        <v>25</v>
      </c>
      <c r="H2474" s="23">
        <v>45174.796481481484</v>
      </c>
      <c r="I2474" s="1" t="b">
        <v>0</v>
      </c>
      <c r="J2474" s="1">
        <v>5</v>
      </c>
      <c r="K2474" s="10">
        <f t="shared" si="192"/>
        <v>23.948888888990041</v>
      </c>
      <c r="L2474" s="1" t="str">
        <f t="shared" si="193"/>
        <v>OK</v>
      </c>
      <c r="M2474" s="1">
        <f t="shared" si="190"/>
        <v>1</v>
      </c>
      <c r="N2474" s="1">
        <f t="shared" si="191"/>
        <v>25</v>
      </c>
      <c r="O2474" s="10">
        <f t="shared" si="194"/>
        <v>23.948888888990041</v>
      </c>
    </row>
    <row r="2475" spans="1:15">
      <c r="A2475" s="1" t="s">
        <v>2580</v>
      </c>
      <c r="B2475" s="23">
        <v>45173.804861111108</v>
      </c>
      <c r="C2475" s="1" t="s">
        <v>25</v>
      </c>
      <c r="D2475" s="1" t="s">
        <v>26</v>
      </c>
      <c r="E2475" s="1" t="s">
        <v>18</v>
      </c>
      <c r="F2475" s="1" t="s">
        <v>392</v>
      </c>
      <c r="G2475" s="1">
        <v>47</v>
      </c>
      <c r="H2475" s="23">
        <v>45177.427777777775</v>
      </c>
      <c r="I2475" s="1" t="b">
        <v>0</v>
      </c>
      <c r="K2475" s="10">
        <f t="shared" si="192"/>
        <v>86.950000000011642</v>
      </c>
      <c r="L2475" s="1" t="str">
        <f t="shared" si="193"/>
        <v>OK</v>
      </c>
      <c r="M2475" s="1">
        <f t="shared" si="190"/>
        <v>1</v>
      </c>
      <c r="N2475" s="1">
        <f t="shared" si="191"/>
        <v>47</v>
      </c>
      <c r="O2475" s="10">
        <f t="shared" si="194"/>
        <v>86.950000000011642</v>
      </c>
    </row>
    <row r="2476" spans="1:15">
      <c r="A2476" s="1" t="s">
        <v>2581</v>
      </c>
      <c r="B2476" s="23">
        <v>45173.84652777778</v>
      </c>
      <c r="C2476" s="1" t="s">
        <v>16</v>
      </c>
      <c r="D2476" s="1" t="s">
        <v>21</v>
      </c>
      <c r="E2476" s="1" t="s">
        <v>13</v>
      </c>
      <c r="F2476" s="1" t="s">
        <v>76</v>
      </c>
      <c r="G2476" s="1">
        <v>40</v>
      </c>
      <c r="H2476" s="23">
        <v>45173.884884259256</v>
      </c>
      <c r="I2476" s="1" t="b">
        <v>0</v>
      </c>
      <c r="K2476" s="10">
        <f t="shared" si="192"/>
        <v>0.92055555543629453</v>
      </c>
      <c r="L2476" s="1" t="str">
        <f t="shared" si="193"/>
        <v>OK</v>
      </c>
      <c r="M2476" s="1">
        <f t="shared" si="190"/>
        <v>1</v>
      </c>
      <c r="N2476" s="1">
        <f t="shared" si="191"/>
        <v>40</v>
      </c>
      <c r="O2476" s="10">
        <f t="shared" si="194"/>
        <v>0.92055555543629453</v>
      </c>
    </row>
    <row r="2477" spans="1:15">
      <c r="A2477" s="1" t="s">
        <v>2582</v>
      </c>
      <c r="B2477" s="23">
        <v>45173.893750000003</v>
      </c>
      <c r="C2477" s="1" t="s">
        <v>16</v>
      </c>
      <c r="D2477" s="1" t="s">
        <v>26</v>
      </c>
      <c r="E2477" s="1" t="s">
        <v>18</v>
      </c>
      <c r="F2477" s="1" t="s">
        <v>102</v>
      </c>
      <c r="G2477" s="1">
        <v>202</v>
      </c>
      <c r="H2477" s="23">
        <v>45175.044409722221</v>
      </c>
      <c r="I2477" s="1" t="b">
        <v>0</v>
      </c>
      <c r="K2477" s="10">
        <f t="shared" si="192"/>
        <v>27.615833333227783</v>
      </c>
      <c r="L2477" s="1" t="str">
        <f t="shared" si="193"/>
        <v>OK</v>
      </c>
      <c r="M2477" s="1">
        <f t="shared" si="190"/>
        <v>1</v>
      </c>
      <c r="N2477" s="1">
        <f t="shared" si="191"/>
        <v>202</v>
      </c>
      <c r="O2477" s="10">
        <f t="shared" si="194"/>
        <v>27.615833333227783</v>
      </c>
    </row>
    <row r="2478" spans="1:15">
      <c r="A2478" s="1" t="s">
        <v>2583</v>
      </c>
      <c r="B2478" s="23">
        <v>45173.984722222223</v>
      </c>
      <c r="C2478" s="1" t="s">
        <v>11</v>
      </c>
      <c r="D2478" s="1" t="s">
        <v>59</v>
      </c>
      <c r="E2478" s="1" t="s">
        <v>18</v>
      </c>
      <c r="F2478" s="1" t="s">
        <v>70</v>
      </c>
      <c r="G2478" s="1">
        <v>81</v>
      </c>
      <c r="H2478" s="23">
        <v>45175.744803240741</v>
      </c>
      <c r="I2478" s="1" t="b">
        <v>1</v>
      </c>
      <c r="K2478" s="10">
        <f t="shared" si="192"/>
        <v>42.241944444424007</v>
      </c>
      <c r="L2478" s="1" t="str">
        <f t="shared" si="193"/>
        <v>OK</v>
      </c>
      <c r="M2478" s="1">
        <f t="shared" si="190"/>
        <v>1</v>
      </c>
      <c r="N2478" s="1">
        <f t="shared" si="191"/>
        <v>81</v>
      </c>
      <c r="O2478" s="10">
        <f t="shared" si="194"/>
        <v>42.241944444424007</v>
      </c>
    </row>
    <row r="2479" spans="1:15">
      <c r="A2479" s="1" t="s">
        <v>2584</v>
      </c>
      <c r="B2479" s="23">
        <v>45174.046527777777</v>
      </c>
      <c r="C2479" s="1" t="s">
        <v>11</v>
      </c>
      <c r="D2479" s="1" t="s">
        <v>21</v>
      </c>
      <c r="E2479" s="1" t="s">
        <v>13</v>
      </c>
      <c r="F2479" s="1" t="s">
        <v>392</v>
      </c>
      <c r="G2479" s="1">
        <v>19</v>
      </c>
      <c r="H2479" s="23">
        <v>45174.290324074071</v>
      </c>
      <c r="I2479" s="1" t="b">
        <v>0</v>
      </c>
      <c r="J2479" s="1">
        <v>5</v>
      </c>
      <c r="K2479" s="10">
        <f t="shared" si="192"/>
        <v>5.8511111110565253</v>
      </c>
      <c r="L2479" s="1" t="str">
        <f t="shared" si="193"/>
        <v>OK</v>
      </c>
      <c r="M2479" s="1">
        <f t="shared" si="190"/>
        <v>1</v>
      </c>
      <c r="N2479" s="1">
        <f t="shared" si="191"/>
        <v>19</v>
      </c>
      <c r="O2479" s="10">
        <f t="shared" si="194"/>
        <v>5.8511111110565253</v>
      </c>
    </row>
    <row r="2480" spans="1:15">
      <c r="A2480" s="1" t="s">
        <v>2585</v>
      </c>
      <c r="B2480" s="23">
        <v>45174.06527777778</v>
      </c>
      <c r="C2480" s="1" t="s">
        <v>25</v>
      </c>
      <c r="D2480" s="1" t="s">
        <v>26</v>
      </c>
      <c r="E2480" s="1" t="s">
        <v>22</v>
      </c>
      <c r="F2480" s="1" t="s">
        <v>50</v>
      </c>
      <c r="G2480" s="1">
        <v>58</v>
      </c>
      <c r="H2480" s="23">
        <v>45176.249479166669</v>
      </c>
      <c r="I2480" s="1" t="b">
        <v>0</v>
      </c>
      <c r="J2480" s="1">
        <v>5</v>
      </c>
      <c r="K2480" s="10">
        <f t="shared" si="192"/>
        <v>52.420833333337214</v>
      </c>
      <c r="L2480" s="1" t="str">
        <f t="shared" si="193"/>
        <v>OK</v>
      </c>
      <c r="M2480" s="1">
        <f t="shared" si="190"/>
        <v>1</v>
      </c>
      <c r="N2480" s="1">
        <f t="shared" si="191"/>
        <v>58</v>
      </c>
      <c r="O2480" s="10">
        <f t="shared" si="194"/>
        <v>52.420833333337214</v>
      </c>
    </row>
    <row r="2481" spans="1:15">
      <c r="A2481" s="1" t="s">
        <v>2586</v>
      </c>
      <c r="B2481" s="23">
        <v>45174.09652777778</v>
      </c>
      <c r="C2481" s="1" t="s">
        <v>25</v>
      </c>
      <c r="D2481" s="1" t="s">
        <v>17</v>
      </c>
      <c r="E2481" s="1" t="s">
        <v>13</v>
      </c>
      <c r="F2481" s="1" t="s">
        <v>104</v>
      </c>
      <c r="G2481" s="1">
        <v>10</v>
      </c>
      <c r="H2481" s="23">
        <v>45175.044027777774</v>
      </c>
      <c r="I2481" s="1" t="b">
        <v>0</v>
      </c>
      <c r="K2481" s="10">
        <f t="shared" si="192"/>
        <v>22.739999999874271</v>
      </c>
      <c r="L2481" s="1" t="str">
        <f t="shared" si="193"/>
        <v>OK</v>
      </c>
      <c r="M2481" s="1">
        <f t="shared" si="190"/>
        <v>1</v>
      </c>
      <c r="N2481" s="1">
        <f t="shared" si="191"/>
        <v>10</v>
      </c>
      <c r="O2481" s="10">
        <f t="shared" si="194"/>
        <v>22.739999999874271</v>
      </c>
    </row>
    <row r="2482" spans="1:15">
      <c r="A2482" s="1" t="s">
        <v>2587</v>
      </c>
      <c r="B2482" s="23">
        <v>45174.359722222223</v>
      </c>
      <c r="C2482" s="1" t="s">
        <v>43</v>
      </c>
      <c r="D2482" s="1" t="s">
        <v>21</v>
      </c>
      <c r="E2482" s="1" t="s">
        <v>33</v>
      </c>
      <c r="F2482" s="1" t="s">
        <v>116</v>
      </c>
      <c r="G2482" s="1">
        <v>856</v>
      </c>
      <c r="H2482" s="23">
        <v>45177.438414351855</v>
      </c>
      <c r="I2482" s="1" t="b">
        <v>0</v>
      </c>
      <c r="J2482" s="1">
        <v>4</v>
      </c>
      <c r="K2482" s="10">
        <f t="shared" si="192"/>
        <v>73.888611111149658</v>
      </c>
      <c r="L2482" s="1" t="str">
        <f t="shared" si="193"/>
        <v>OK</v>
      </c>
      <c r="M2482" s="1">
        <f t="shared" si="190"/>
        <v>1</v>
      </c>
      <c r="N2482" s="1">
        <f t="shared" si="191"/>
        <v>856</v>
      </c>
      <c r="O2482" s="10">
        <f t="shared" si="194"/>
        <v>73.888611111149658</v>
      </c>
    </row>
    <row r="2483" spans="1:15">
      <c r="A2483" s="1" t="s">
        <v>2588</v>
      </c>
      <c r="B2483" s="23">
        <v>45174.411805555559</v>
      </c>
      <c r="C2483" s="1" t="s">
        <v>16</v>
      </c>
      <c r="D2483" s="1" t="s">
        <v>26</v>
      </c>
      <c r="E2483" s="1" t="s">
        <v>33</v>
      </c>
      <c r="F2483" s="1" t="s">
        <v>345</v>
      </c>
      <c r="G2483" s="1">
        <v>138</v>
      </c>
      <c r="H2483" s="23">
        <v>45178.299317129633</v>
      </c>
      <c r="I2483" s="1" t="b">
        <v>0</v>
      </c>
      <c r="K2483" s="10">
        <f t="shared" si="192"/>
        <v>93.300277777772862</v>
      </c>
      <c r="L2483" s="1" t="str">
        <f t="shared" si="193"/>
        <v>OK</v>
      </c>
      <c r="M2483" s="1">
        <f t="shared" si="190"/>
        <v>1</v>
      </c>
      <c r="N2483" s="1">
        <f t="shared" si="191"/>
        <v>138</v>
      </c>
      <c r="O2483" s="10">
        <f t="shared" si="194"/>
        <v>93.300277777772862</v>
      </c>
    </row>
    <row r="2484" spans="1:15">
      <c r="A2484" s="1" t="s">
        <v>2589</v>
      </c>
      <c r="B2484" s="23">
        <v>45174.420138888891</v>
      </c>
      <c r="C2484" s="1" t="s">
        <v>43</v>
      </c>
      <c r="D2484" s="1" t="s">
        <v>17</v>
      </c>
      <c r="E2484" s="1" t="s">
        <v>13</v>
      </c>
      <c r="F2484" s="1" t="s">
        <v>48</v>
      </c>
      <c r="G2484" s="1">
        <v>80</v>
      </c>
      <c r="H2484" s="23">
        <v>45174.526550925926</v>
      </c>
      <c r="I2484" s="1" t="b">
        <v>0</v>
      </c>
      <c r="K2484" s="10">
        <f t="shared" si="192"/>
        <v>2.5538888888549991</v>
      </c>
      <c r="L2484" s="1" t="str">
        <f t="shared" si="193"/>
        <v>OK</v>
      </c>
      <c r="M2484" s="1">
        <f t="shared" si="190"/>
        <v>1</v>
      </c>
      <c r="N2484" s="1">
        <f t="shared" si="191"/>
        <v>80</v>
      </c>
      <c r="O2484" s="10">
        <f t="shared" si="194"/>
        <v>2.5538888888549991</v>
      </c>
    </row>
    <row r="2485" spans="1:15">
      <c r="A2485" s="1" t="s">
        <v>2590</v>
      </c>
      <c r="B2485" s="23">
        <v>45174.508333333331</v>
      </c>
      <c r="C2485" s="1" t="s">
        <v>11</v>
      </c>
      <c r="D2485" s="1" t="s">
        <v>26</v>
      </c>
      <c r="E2485" s="1" t="s">
        <v>33</v>
      </c>
      <c r="F2485" s="1" t="s">
        <v>48</v>
      </c>
      <c r="G2485" s="1">
        <v>544</v>
      </c>
      <c r="H2485" s="23">
        <v>45178.306319444448</v>
      </c>
      <c r="I2485" s="1" t="b">
        <v>0</v>
      </c>
      <c r="J2485" s="1">
        <v>4</v>
      </c>
      <c r="K2485" s="10">
        <f t="shared" si="192"/>
        <v>91.151666666788515</v>
      </c>
      <c r="L2485" s="1" t="str">
        <f t="shared" si="193"/>
        <v>OK</v>
      </c>
      <c r="M2485" s="1">
        <f t="shared" si="190"/>
        <v>1</v>
      </c>
      <c r="N2485" s="1">
        <f t="shared" si="191"/>
        <v>544</v>
      </c>
      <c r="O2485" s="10">
        <f t="shared" si="194"/>
        <v>91.151666666788515</v>
      </c>
    </row>
    <row r="2486" spans="1:15">
      <c r="A2486" s="1" t="s">
        <v>2591</v>
      </c>
      <c r="B2486" s="23">
        <v>45174.573611111111</v>
      </c>
      <c r="C2486" s="1" t="s">
        <v>16</v>
      </c>
      <c r="D2486" s="1" t="s">
        <v>12</v>
      </c>
      <c r="E2486" s="1" t="s">
        <v>33</v>
      </c>
      <c r="F2486" s="1" t="s">
        <v>100</v>
      </c>
      <c r="G2486" s="1">
        <v>390</v>
      </c>
      <c r="H2486" s="23">
        <v>45182.207488425927</v>
      </c>
      <c r="I2486" s="1" t="b">
        <v>0</v>
      </c>
      <c r="K2486" s="10">
        <f t="shared" si="192"/>
        <v>183.21305555559229</v>
      </c>
      <c r="L2486" s="1" t="str">
        <f t="shared" si="193"/>
        <v>OK</v>
      </c>
      <c r="M2486" s="1">
        <f t="shared" si="190"/>
        <v>1</v>
      </c>
      <c r="N2486" s="1">
        <f t="shared" si="191"/>
        <v>390</v>
      </c>
      <c r="O2486" s="10">
        <f t="shared" si="194"/>
        <v>183.21305555559229</v>
      </c>
    </row>
    <row r="2487" spans="1:15">
      <c r="A2487" s="1" t="s">
        <v>2592</v>
      </c>
      <c r="B2487" s="23">
        <v>45174.633333333331</v>
      </c>
      <c r="C2487" s="1" t="s">
        <v>25</v>
      </c>
      <c r="D2487" s="1" t="s">
        <v>26</v>
      </c>
      <c r="E2487" s="1" t="s">
        <v>18</v>
      </c>
      <c r="F2487" s="1" t="s">
        <v>54</v>
      </c>
      <c r="G2487" s="1">
        <v>48</v>
      </c>
      <c r="H2487" s="23">
        <v>45175.077719907407</v>
      </c>
      <c r="I2487" s="1" t="b">
        <v>0</v>
      </c>
      <c r="K2487" s="10">
        <f t="shared" si="192"/>
        <v>10.665277777821757</v>
      </c>
      <c r="L2487" s="1" t="str">
        <f t="shared" si="193"/>
        <v>OK</v>
      </c>
      <c r="M2487" s="1">
        <f t="shared" si="190"/>
        <v>1</v>
      </c>
      <c r="N2487" s="1">
        <f t="shared" si="191"/>
        <v>48</v>
      </c>
      <c r="O2487" s="10">
        <f t="shared" si="194"/>
        <v>10.665277777821757</v>
      </c>
    </row>
    <row r="2488" spans="1:15">
      <c r="A2488" s="1" t="s">
        <v>2593</v>
      </c>
      <c r="B2488" s="23">
        <v>45174.731944444444</v>
      </c>
      <c r="C2488" s="1" t="s">
        <v>25</v>
      </c>
      <c r="D2488" s="1" t="s">
        <v>17</v>
      </c>
      <c r="E2488" s="1" t="s">
        <v>18</v>
      </c>
      <c r="F2488" s="1" t="s">
        <v>74</v>
      </c>
      <c r="G2488" s="1">
        <v>48</v>
      </c>
      <c r="H2488" s="23">
        <v>45175.161099537036</v>
      </c>
      <c r="I2488" s="1" t="b">
        <v>0</v>
      </c>
      <c r="J2488" s="1">
        <v>2</v>
      </c>
      <c r="K2488" s="10">
        <f t="shared" si="192"/>
        <v>10.299722222203854</v>
      </c>
      <c r="L2488" s="1" t="str">
        <f t="shared" si="193"/>
        <v>OK</v>
      </c>
      <c r="M2488" s="1">
        <f t="shared" si="190"/>
        <v>1</v>
      </c>
      <c r="N2488" s="1">
        <f t="shared" si="191"/>
        <v>48</v>
      </c>
      <c r="O2488" s="10">
        <f t="shared" si="194"/>
        <v>10.299722222203854</v>
      </c>
    </row>
    <row r="2489" spans="1:15">
      <c r="A2489" s="1" t="s">
        <v>2594</v>
      </c>
      <c r="B2489" s="23">
        <v>45174.810416666667</v>
      </c>
      <c r="C2489" s="1" t="s">
        <v>25</v>
      </c>
      <c r="D2489" s="1" t="s">
        <v>12</v>
      </c>
      <c r="E2489" s="1" t="s">
        <v>33</v>
      </c>
      <c r="F2489" s="1" t="s">
        <v>228</v>
      </c>
      <c r="G2489" s="1">
        <v>156</v>
      </c>
      <c r="H2489" s="23">
        <v>45183.401134259257</v>
      </c>
      <c r="I2489" s="1" t="b">
        <v>0</v>
      </c>
      <c r="J2489" s="1">
        <v>5</v>
      </c>
      <c r="K2489" s="10">
        <f t="shared" si="192"/>
        <v>206.17722222214798</v>
      </c>
      <c r="L2489" s="1" t="str">
        <f t="shared" si="193"/>
        <v>OK</v>
      </c>
      <c r="M2489" s="1">
        <f t="shared" si="190"/>
        <v>1</v>
      </c>
      <c r="N2489" s="1">
        <f t="shared" si="191"/>
        <v>156</v>
      </c>
      <c r="O2489" s="10">
        <f t="shared" si="194"/>
        <v>206.17722222214798</v>
      </c>
    </row>
    <row r="2490" spans="1:15">
      <c r="A2490" s="1" t="s">
        <v>2595</v>
      </c>
      <c r="B2490" s="23">
        <v>45174.979166666664</v>
      </c>
      <c r="C2490" s="1" t="s">
        <v>43</v>
      </c>
      <c r="D2490" s="1" t="s">
        <v>21</v>
      </c>
      <c r="E2490" s="1" t="s">
        <v>18</v>
      </c>
      <c r="F2490" s="1" t="s">
        <v>96</v>
      </c>
      <c r="G2490" s="1">
        <v>305</v>
      </c>
      <c r="H2490" s="23">
        <v>45176.136574074073</v>
      </c>
      <c r="I2490" s="1" t="b">
        <v>0</v>
      </c>
      <c r="J2490" s="1">
        <v>5</v>
      </c>
      <c r="K2490" s="10">
        <f t="shared" si="192"/>
        <v>27.777777777810115</v>
      </c>
      <c r="L2490" s="1" t="str">
        <f t="shared" si="193"/>
        <v>OK</v>
      </c>
      <c r="M2490" s="1">
        <f t="shared" si="190"/>
        <v>1</v>
      </c>
      <c r="N2490" s="1">
        <f t="shared" si="191"/>
        <v>305</v>
      </c>
      <c r="O2490" s="10">
        <f t="shared" si="194"/>
        <v>27.777777777810115</v>
      </c>
    </row>
    <row r="2491" spans="1:15">
      <c r="A2491" s="1" t="s">
        <v>2596</v>
      </c>
      <c r="B2491" s="23">
        <v>45174.984722222223</v>
      </c>
      <c r="C2491" s="1" t="s">
        <v>16</v>
      </c>
      <c r="D2491" s="1" t="s">
        <v>12</v>
      </c>
      <c r="E2491" s="1" t="s">
        <v>33</v>
      </c>
      <c r="F2491" s="1" t="s">
        <v>148</v>
      </c>
      <c r="G2491" s="1">
        <v>115</v>
      </c>
      <c r="H2491" s="23">
        <v>45175.266331018516</v>
      </c>
      <c r="I2491" s="1" t="b">
        <v>0</v>
      </c>
      <c r="K2491" s="10">
        <f t="shared" si="192"/>
        <v>6.7586111110285856</v>
      </c>
      <c r="L2491" s="1" t="str">
        <f t="shared" si="193"/>
        <v>OK</v>
      </c>
      <c r="M2491" s="1">
        <f t="shared" si="190"/>
        <v>1</v>
      </c>
      <c r="N2491" s="1">
        <f t="shared" si="191"/>
        <v>115</v>
      </c>
      <c r="O2491" s="10">
        <f t="shared" si="194"/>
        <v>6.7586111110285856</v>
      </c>
    </row>
    <row r="2492" spans="1:15">
      <c r="A2492" s="1" t="s">
        <v>2597</v>
      </c>
      <c r="B2492" s="23">
        <v>45175.045138888891</v>
      </c>
      <c r="C2492" s="1" t="s">
        <v>11</v>
      </c>
      <c r="D2492" s="1" t="s">
        <v>12</v>
      </c>
      <c r="E2492" s="1" t="s">
        <v>13</v>
      </c>
      <c r="F2492" s="1" t="s">
        <v>106</v>
      </c>
      <c r="G2492" s="1">
        <v>45</v>
      </c>
      <c r="H2492" s="23">
        <v>45175.781527777777</v>
      </c>
      <c r="I2492" s="1" t="b">
        <v>0</v>
      </c>
      <c r="J2492" s="1">
        <v>4</v>
      </c>
      <c r="K2492" s="10">
        <f t="shared" si="192"/>
        <v>17.673333333281334</v>
      </c>
      <c r="L2492" s="1" t="str">
        <f t="shared" si="193"/>
        <v>OK</v>
      </c>
      <c r="M2492" s="1">
        <f t="shared" si="190"/>
        <v>1</v>
      </c>
      <c r="N2492" s="1">
        <f t="shared" si="191"/>
        <v>45</v>
      </c>
      <c r="O2492" s="10">
        <f t="shared" si="194"/>
        <v>17.673333333281334</v>
      </c>
    </row>
    <row r="2493" spans="1:15">
      <c r="A2493" s="1" t="s">
        <v>2598</v>
      </c>
      <c r="B2493" s="23">
        <v>45175.381249999999</v>
      </c>
      <c r="C2493" s="1" t="s">
        <v>25</v>
      </c>
      <c r="D2493" s="1" t="s">
        <v>59</v>
      </c>
      <c r="E2493" s="1" t="s">
        <v>18</v>
      </c>
      <c r="F2493" s="1" t="s">
        <v>100</v>
      </c>
      <c r="G2493" s="1">
        <v>85</v>
      </c>
      <c r="H2493" s="23">
        <v>45175.429837962962</v>
      </c>
      <c r="I2493" s="1" t="b">
        <v>0</v>
      </c>
      <c r="J2493" s="1">
        <v>5</v>
      </c>
      <c r="K2493" s="10">
        <f t="shared" si="192"/>
        <v>1.1661111111170612</v>
      </c>
      <c r="L2493" s="1" t="str">
        <f t="shared" si="193"/>
        <v>Review</v>
      </c>
      <c r="M2493" s="1">
        <f t="shared" si="190"/>
        <v>1</v>
      </c>
      <c r="N2493" s="1" t="str">
        <f t="shared" si="191"/>
        <v/>
      </c>
      <c r="O2493" s="10" t="str">
        <f t="shared" si="194"/>
        <v/>
      </c>
    </row>
    <row r="2494" spans="1:15">
      <c r="A2494" s="1" t="s">
        <v>2599</v>
      </c>
      <c r="B2494" s="23">
        <v>45175.415972222225</v>
      </c>
      <c r="C2494" s="1" t="s">
        <v>25</v>
      </c>
      <c r="D2494" s="1" t="s">
        <v>12</v>
      </c>
      <c r="E2494" s="1" t="s">
        <v>22</v>
      </c>
      <c r="F2494" s="1" t="s">
        <v>86</v>
      </c>
      <c r="G2494" s="1">
        <v>77</v>
      </c>
      <c r="H2494" s="23">
        <v>45175.883738425924</v>
      </c>
      <c r="I2494" s="1" t="b">
        <v>0</v>
      </c>
      <c r="K2494" s="10">
        <f t="shared" si="192"/>
        <v>11.226388888782822</v>
      </c>
      <c r="L2494" s="1" t="str">
        <f t="shared" si="193"/>
        <v>OK</v>
      </c>
      <c r="M2494" s="1">
        <f t="shared" si="190"/>
        <v>1</v>
      </c>
      <c r="N2494" s="1">
        <f t="shared" si="191"/>
        <v>77</v>
      </c>
      <c r="O2494" s="10">
        <f t="shared" si="194"/>
        <v>11.226388888782822</v>
      </c>
    </row>
    <row r="2495" spans="1:15">
      <c r="A2495" s="1" t="s">
        <v>2600</v>
      </c>
      <c r="B2495" s="23">
        <v>45175.85</v>
      </c>
      <c r="C2495" s="1" t="s">
        <v>16</v>
      </c>
      <c r="D2495" s="1" t="s">
        <v>17</v>
      </c>
      <c r="E2495" s="1" t="s">
        <v>18</v>
      </c>
      <c r="F2495" s="1" t="s">
        <v>52</v>
      </c>
      <c r="G2495" s="1">
        <v>25</v>
      </c>
      <c r="H2495" s="23">
        <v>45176.495983796296</v>
      </c>
      <c r="I2495" s="1" t="b">
        <v>0</v>
      </c>
      <c r="J2495" s="1">
        <v>3</v>
      </c>
      <c r="K2495" s="10">
        <f t="shared" si="192"/>
        <v>15.503611111140344</v>
      </c>
      <c r="L2495" s="1" t="str">
        <f t="shared" si="193"/>
        <v>OK</v>
      </c>
      <c r="M2495" s="1">
        <f t="shared" si="190"/>
        <v>1</v>
      </c>
      <c r="N2495" s="1">
        <f t="shared" si="191"/>
        <v>25</v>
      </c>
      <c r="O2495" s="10">
        <f t="shared" si="194"/>
        <v>15.503611111140344</v>
      </c>
    </row>
    <row r="2496" spans="1:15">
      <c r="A2496" s="1" t="s">
        <v>2601</v>
      </c>
      <c r="B2496" s="23">
        <v>45175.907638888886</v>
      </c>
      <c r="C2496" s="1" t="s">
        <v>25</v>
      </c>
      <c r="D2496" s="1" t="s">
        <v>17</v>
      </c>
      <c r="E2496" s="1" t="s">
        <v>13</v>
      </c>
      <c r="F2496" s="1" t="s">
        <v>108</v>
      </c>
      <c r="G2496" s="1">
        <v>17</v>
      </c>
      <c r="I2496" s="1" t="b">
        <v>0</v>
      </c>
      <c r="K2496" s="10" t="str">
        <f t="shared" si="192"/>
        <v/>
      </c>
      <c r="L2496" s="1" t="str">
        <f t="shared" si="193"/>
        <v>Cannot check</v>
      </c>
      <c r="M2496" s="1">
        <f t="shared" si="190"/>
        <v>1</v>
      </c>
      <c r="N2496" s="1">
        <f t="shared" si="191"/>
        <v>17</v>
      </c>
      <c r="O2496" s="10" t="str">
        <f t="shared" si="194"/>
        <v/>
      </c>
    </row>
    <row r="2497" spans="1:15">
      <c r="A2497" s="1" t="s">
        <v>2602</v>
      </c>
      <c r="B2497" s="23">
        <v>45176.151388888888</v>
      </c>
      <c r="C2497" s="1" t="s">
        <v>25</v>
      </c>
      <c r="D2497" s="1" t="s">
        <v>17</v>
      </c>
      <c r="E2497" s="1" t="s">
        <v>13</v>
      </c>
      <c r="F2497" s="1" t="s">
        <v>114</v>
      </c>
      <c r="G2497" s="1">
        <v>49</v>
      </c>
      <c r="H2497" s="23">
        <v>45177.50708333333</v>
      </c>
      <c r="I2497" s="1" t="b">
        <v>0</v>
      </c>
      <c r="J2497" s="1">
        <v>1</v>
      </c>
      <c r="K2497" s="10">
        <f t="shared" si="192"/>
        <v>32.536666666623205</v>
      </c>
      <c r="L2497" s="1" t="str">
        <f t="shared" si="193"/>
        <v>OK</v>
      </c>
      <c r="M2497" s="1">
        <f t="shared" si="190"/>
        <v>1</v>
      </c>
      <c r="N2497" s="1">
        <f t="shared" si="191"/>
        <v>49</v>
      </c>
      <c r="O2497" s="10">
        <f t="shared" si="194"/>
        <v>32.536666666623205</v>
      </c>
    </row>
    <row r="2498" spans="1:15">
      <c r="A2498" s="1" t="s">
        <v>2603</v>
      </c>
      <c r="B2498" s="23">
        <v>45176.436805555553</v>
      </c>
      <c r="C2498" s="1" t="s">
        <v>11</v>
      </c>
      <c r="D2498" s="1" t="s">
        <v>21</v>
      </c>
      <c r="E2498" s="1" t="s">
        <v>18</v>
      </c>
      <c r="F2498" s="1" t="s">
        <v>201</v>
      </c>
      <c r="G2498" s="1">
        <v>22</v>
      </c>
      <c r="H2498" s="23">
        <v>45177.390706018516</v>
      </c>
      <c r="I2498" s="1" t="b">
        <v>0</v>
      </c>
      <c r="K2498" s="10">
        <f t="shared" si="192"/>
        <v>22.893611111096106</v>
      </c>
      <c r="L2498" s="1" t="str">
        <f t="shared" si="193"/>
        <v>OK</v>
      </c>
      <c r="M2498" s="1">
        <f t="shared" ref="M2498:M2561" si="195">COUNTIF($A$2:$A$4001,A2498)</f>
        <v>1</v>
      </c>
      <c r="N2498" s="1">
        <f t="shared" ref="N2498:N2561" si="196">IF(OR(L2498="Review",G2498=""),"",G2498)</f>
        <v>22</v>
      </c>
      <c r="O2498" s="10">
        <f t="shared" si="194"/>
        <v>22.893611111096106</v>
      </c>
    </row>
    <row r="2499" spans="1:15">
      <c r="A2499" s="1" t="s">
        <v>2604</v>
      </c>
      <c r="B2499" s="23">
        <v>45176.706944444442</v>
      </c>
      <c r="C2499" s="1" t="s">
        <v>16</v>
      </c>
      <c r="D2499" s="1" t="s">
        <v>59</v>
      </c>
      <c r="E2499" s="1" t="s">
        <v>18</v>
      </c>
      <c r="F2499" s="1" t="s">
        <v>110</v>
      </c>
      <c r="G2499" s="1">
        <v>56</v>
      </c>
      <c r="H2499" s="23">
        <v>45179.940046296295</v>
      </c>
      <c r="I2499" s="1" t="b">
        <v>0</v>
      </c>
      <c r="J2499" s="1">
        <v>4</v>
      </c>
      <c r="K2499" s="10">
        <f t="shared" ref="K2499:K2562" si="197">IF(H2499="","",(H2499-B2499)*24)</f>
        <v>77.59444444446126</v>
      </c>
      <c r="L2499" s="1" t="str">
        <f t="shared" ref="L2499:L2562" si="198">IF(OR(G2499="",K2499=""),"Cannot check",IF(G2499&gt;K2499*60,"Review","OK"))</f>
        <v>OK</v>
      </c>
      <c r="M2499" s="1">
        <f t="shared" si="195"/>
        <v>1</v>
      </c>
      <c r="N2499" s="1">
        <f t="shared" si="196"/>
        <v>56</v>
      </c>
      <c r="O2499" s="10">
        <f t="shared" ref="O2499:O2562" si="199">IF(OR(L2499="Review",K2499=""),"",K2499)</f>
        <v>77.59444444446126</v>
      </c>
    </row>
    <row r="2500" spans="1:15">
      <c r="A2500" s="1" t="s">
        <v>2605</v>
      </c>
      <c r="B2500" s="23">
        <v>45176.742361111108</v>
      </c>
      <c r="C2500" s="1" t="s">
        <v>16</v>
      </c>
      <c r="D2500" s="1" t="s">
        <v>21</v>
      </c>
      <c r="E2500" s="1" t="s">
        <v>33</v>
      </c>
      <c r="F2500" s="1" t="s">
        <v>31</v>
      </c>
      <c r="G2500" s="1">
        <v>218</v>
      </c>
      <c r="H2500" s="23">
        <v>45184.709976851853</v>
      </c>
      <c r="I2500" s="1" t="b">
        <v>0</v>
      </c>
      <c r="J2500" s="1">
        <v>5</v>
      </c>
      <c r="K2500" s="10">
        <f t="shared" si="197"/>
        <v>191.22277777787531</v>
      </c>
      <c r="L2500" s="1" t="str">
        <f t="shared" si="198"/>
        <v>OK</v>
      </c>
      <c r="M2500" s="1">
        <f t="shared" si="195"/>
        <v>1</v>
      </c>
      <c r="N2500" s="1">
        <f t="shared" si="196"/>
        <v>218</v>
      </c>
      <c r="O2500" s="10">
        <f t="shared" si="199"/>
        <v>191.22277777787531</v>
      </c>
    </row>
    <row r="2501" spans="1:15">
      <c r="A2501" s="1" t="s">
        <v>2606</v>
      </c>
      <c r="B2501" s="23">
        <v>45176.831250000003</v>
      </c>
      <c r="C2501" s="1" t="s">
        <v>11</v>
      </c>
      <c r="D2501" s="1" t="s">
        <v>17</v>
      </c>
      <c r="E2501" s="1" t="s">
        <v>22</v>
      </c>
      <c r="F2501" s="1" t="s">
        <v>60</v>
      </c>
      <c r="G2501" s="1">
        <v>12</v>
      </c>
      <c r="H2501" s="23">
        <v>45177.084976851853</v>
      </c>
      <c r="I2501" s="1" t="b">
        <v>0</v>
      </c>
      <c r="K2501" s="10">
        <f t="shared" si="197"/>
        <v>6.0894444443983957</v>
      </c>
      <c r="L2501" s="1" t="str">
        <f t="shared" si="198"/>
        <v>OK</v>
      </c>
      <c r="M2501" s="1">
        <f t="shared" si="195"/>
        <v>1</v>
      </c>
      <c r="N2501" s="1">
        <f t="shared" si="196"/>
        <v>12</v>
      </c>
      <c r="O2501" s="10">
        <f t="shared" si="199"/>
        <v>6.0894444443983957</v>
      </c>
    </row>
    <row r="2502" spans="1:15">
      <c r="A2502" s="1" t="s">
        <v>2607</v>
      </c>
      <c r="B2502" s="23">
        <v>45176.896527777775</v>
      </c>
      <c r="C2502" s="1" t="s">
        <v>11</v>
      </c>
      <c r="D2502" s="1" t="s">
        <v>12</v>
      </c>
      <c r="E2502" s="1" t="s">
        <v>33</v>
      </c>
      <c r="F2502" s="1" t="s">
        <v>167</v>
      </c>
      <c r="G2502" s="1">
        <v>433</v>
      </c>
      <c r="H2502" s="23">
        <v>45178.330520833333</v>
      </c>
      <c r="I2502" s="1" t="b">
        <v>0</v>
      </c>
      <c r="K2502" s="10">
        <f t="shared" si="197"/>
        <v>34.415833333390765</v>
      </c>
      <c r="L2502" s="1" t="str">
        <f t="shared" si="198"/>
        <v>OK</v>
      </c>
      <c r="M2502" s="1">
        <f t="shared" si="195"/>
        <v>1</v>
      </c>
      <c r="N2502" s="1">
        <f t="shared" si="196"/>
        <v>433</v>
      </c>
      <c r="O2502" s="10">
        <f t="shared" si="199"/>
        <v>34.415833333390765</v>
      </c>
    </row>
    <row r="2503" spans="1:15">
      <c r="A2503" s="1" t="s">
        <v>2608</v>
      </c>
      <c r="B2503" s="23">
        <v>45177.220138888886</v>
      </c>
      <c r="C2503" s="1" t="s">
        <v>11</v>
      </c>
      <c r="D2503" s="1" t="s">
        <v>59</v>
      </c>
      <c r="E2503" s="1" t="s">
        <v>18</v>
      </c>
      <c r="F2503" s="1" t="s">
        <v>39</v>
      </c>
      <c r="G2503" s="1">
        <v>37</v>
      </c>
      <c r="H2503" s="23">
        <v>45177.950254629628</v>
      </c>
      <c r="I2503" s="1" t="b">
        <v>0</v>
      </c>
      <c r="K2503" s="10">
        <f t="shared" si="197"/>
        <v>17.522777777805459</v>
      </c>
      <c r="L2503" s="1" t="str">
        <f t="shared" si="198"/>
        <v>OK</v>
      </c>
      <c r="M2503" s="1">
        <f t="shared" si="195"/>
        <v>1</v>
      </c>
      <c r="N2503" s="1">
        <f t="shared" si="196"/>
        <v>37</v>
      </c>
      <c r="O2503" s="10">
        <f t="shared" si="199"/>
        <v>17.522777777805459</v>
      </c>
    </row>
    <row r="2504" spans="1:15">
      <c r="A2504" s="1" t="s">
        <v>2609</v>
      </c>
      <c r="B2504" s="23">
        <v>45177.279166666667</v>
      </c>
      <c r="C2504" s="1" t="s">
        <v>16</v>
      </c>
      <c r="D2504" s="1" t="s">
        <v>12</v>
      </c>
      <c r="E2504" s="1" t="s">
        <v>18</v>
      </c>
      <c r="F2504" s="1" t="s">
        <v>37</v>
      </c>
      <c r="G2504" s="1">
        <v>240</v>
      </c>
      <c r="H2504" s="23">
        <v>45178.011550925927</v>
      </c>
      <c r="I2504" s="1" t="b">
        <v>0</v>
      </c>
      <c r="K2504" s="10">
        <f t="shared" si="197"/>
        <v>17.577222222229466</v>
      </c>
      <c r="L2504" s="1" t="str">
        <f t="shared" si="198"/>
        <v>OK</v>
      </c>
      <c r="M2504" s="1">
        <f t="shared" si="195"/>
        <v>1</v>
      </c>
      <c r="N2504" s="1">
        <f t="shared" si="196"/>
        <v>240</v>
      </c>
      <c r="O2504" s="10">
        <f t="shared" si="199"/>
        <v>17.577222222229466</v>
      </c>
    </row>
    <row r="2505" spans="1:15">
      <c r="A2505" s="1" t="s">
        <v>2610</v>
      </c>
      <c r="B2505" s="23">
        <v>45177.477083333331</v>
      </c>
      <c r="C2505" s="1" t="s">
        <v>25</v>
      </c>
      <c r="D2505" s="1" t="s">
        <v>59</v>
      </c>
      <c r="E2505" s="1" t="s">
        <v>18</v>
      </c>
      <c r="F2505" s="1" t="s">
        <v>186</v>
      </c>
      <c r="G2505" s="1">
        <v>223</v>
      </c>
      <c r="H2505" s="23">
        <v>45178.06181712963</v>
      </c>
      <c r="I2505" s="1" t="b">
        <v>0</v>
      </c>
      <c r="K2505" s="10">
        <f t="shared" si="197"/>
        <v>14.033611111168284</v>
      </c>
      <c r="L2505" s="1" t="str">
        <f t="shared" si="198"/>
        <v>OK</v>
      </c>
      <c r="M2505" s="1">
        <f t="shared" si="195"/>
        <v>1</v>
      </c>
      <c r="N2505" s="1">
        <f t="shared" si="196"/>
        <v>223</v>
      </c>
      <c r="O2505" s="10">
        <f t="shared" si="199"/>
        <v>14.033611111168284</v>
      </c>
    </row>
    <row r="2506" spans="1:15">
      <c r="A2506" s="1" t="s">
        <v>2611</v>
      </c>
      <c r="B2506" s="23">
        <v>45178.02847222222</v>
      </c>
      <c r="C2506" s="1" t="s">
        <v>16</v>
      </c>
      <c r="D2506" s="1" t="s">
        <v>12</v>
      </c>
      <c r="E2506" s="1" t="s">
        <v>18</v>
      </c>
      <c r="F2506" s="1" t="s">
        <v>74</v>
      </c>
      <c r="G2506" s="1">
        <v>40</v>
      </c>
      <c r="H2506" s="23">
        <v>45179.026319444441</v>
      </c>
      <c r="I2506" s="1" t="b">
        <v>0</v>
      </c>
      <c r="K2506" s="10">
        <f t="shared" si="197"/>
        <v>23.948333333304618</v>
      </c>
      <c r="L2506" s="1" t="str">
        <f t="shared" si="198"/>
        <v>OK</v>
      </c>
      <c r="M2506" s="1">
        <f t="shared" si="195"/>
        <v>1</v>
      </c>
      <c r="N2506" s="1">
        <f t="shared" si="196"/>
        <v>40</v>
      </c>
      <c r="O2506" s="10">
        <f t="shared" si="199"/>
        <v>23.948333333304618</v>
      </c>
    </row>
    <row r="2507" spans="1:15">
      <c r="A2507" s="1" t="s">
        <v>2612</v>
      </c>
      <c r="B2507" s="23">
        <v>45178.043749999997</v>
      </c>
      <c r="C2507" s="1" t="s">
        <v>16</v>
      </c>
      <c r="D2507" s="1" t="s">
        <v>12</v>
      </c>
      <c r="E2507" s="1" t="s">
        <v>33</v>
      </c>
      <c r="F2507" s="1" t="s">
        <v>226</v>
      </c>
      <c r="G2507" s="1">
        <v>418</v>
      </c>
      <c r="H2507" s="23">
        <v>45178.154687499999</v>
      </c>
      <c r="I2507" s="1" t="b">
        <v>0</v>
      </c>
      <c r="K2507" s="10">
        <f t="shared" si="197"/>
        <v>2.6625000000349246</v>
      </c>
      <c r="L2507" s="1" t="str">
        <f t="shared" si="198"/>
        <v>Review</v>
      </c>
      <c r="M2507" s="1">
        <f t="shared" si="195"/>
        <v>1</v>
      </c>
      <c r="N2507" s="1" t="str">
        <f t="shared" si="196"/>
        <v/>
      </c>
      <c r="O2507" s="10" t="str">
        <f t="shared" si="199"/>
        <v/>
      </c>
    </row>
    <row r="2508" spans="1:15">
      <c r="A2508" s="1" t="s">
        <v>2613</v>
      </c>
      <c r="B2508" s="23">
        <v>45178.447222222225</v>
      </c>
      <c r="C2508" s="1" t="s">
        <v>11</v>
      </c>
      <c r="D2508" s="1" t="s">
        <v>59</v>
      </c>
      <c r="E2508" s="1" t="s">
        <v>33</v>
      </c>
      <c r="F2508" s="1" t="s">
        <v>234</v>
      </c>
      <c r="G2508" s="1">
        <v>423</v>
      </c>
      <c r="H2508" s="23">
        <v>45180.109131944446</v>
      </c>
      <c r="I2508" s="1" t="b">
        <v>0</v>
      </c>
      <c r="J2508" s="1">
        <v>4</v>
      </c>
      <c r="K2508" s="10">
        <f t="shared" si="197"/>
        <v>39.885833333304618</v>
      </c>
      <c r="L2508" s="1" t="str">
        <f t="shared" si="198"/>
        <v>OK</v>
      </c>
      <c r="M2508" s="1">
        <f t="shared" si="195"/>
        <v>1</v>
      </c>
      <c r="N2508" s="1">
        <f t="shared" si="196"/>
        <v>423</v>
      </c>
      <c r="O2508" s="10">
        <f t="shared" si="199"/>
        <v>39.885833333304618</v>
      </c>
    </row>
    <row r="2509" spans="1:15">
      <c r="A2509" s="1" t="s">
        <v>2614</v>
      </c>
      <c r="B2509" s="23">
        <v>45178.470138888886</v>
      </c>
      <c r="C2509" s="1" t="s">
        <v>16</v>
      </c>
      <c r="D2509" s="1" t="s">
        <v>17</v>
      </c>
      <c r="E2509" s="1" t="s">
        <v>13</v>
      </c>
      <c r="F2509" s="1" t="s">
        <v>130</v>
      </c>
      <c r="G2509" s="1">
        <v>89</v>
      </c>
      <c r="H2509" s="23">
        <v>45178.837488425925</v>
      </c>
      <c r="I2509" s="1" t="b">
        <v>0</v>
      </c>
      <c r="K2509" s="10">
        <f t="shared" si="197"/>
        <v>8.8163888889248483</v>
      </c>
      <c r="L2509" s="1" t="str">
        <f t="shared" si="198"/>
        <v>OK</v>
      </c>
      <c r="M2509" s="1">
        <f t="shared" si="195"/>
        <v>1</v>
      </c>
      <c r="N2509" s="1">
        <f t="shared" si="196"/>
        <v>89</v>
      </c>
      <c r="O2509" s="10">
        <f t="shared" si="199"/>
        <v>8.8163888889248483</v>
      </c>
    </row>
    <row r="2510" spans="1:15">
      <c r="A2510" s="1" t="s">
        <v>2615</v>
      </c>
      <c r="B2510" s="23">
        <v>45178.744444444441</v>
      </c>
      <c r="C2510" s="1" t="s">
        <v>25</v>
      </c>
      <c r="D2510" s="1" t="s">
        <v>17</v>
      </c>
      <c r="E2510" s="1" t="s">
        <v>18</v>
      </c>
      <c r="F2510" s="1" t="s">
        <v>224</v>
      </c>
      <c r="G2510" s="1">
        <v>57</v>
      </c>
      <c r="H2510" s="23">
        <v>45187.714780092596</v>
      </c>
      <c r="I2510" s="1" t="b">
        <v>0</v>
      </c>
      <c r="J2510" s="1">
        <v>5</v>
      </c>
      <c r="K2510" s="10">
        <f t="shared" si="197"/>
        <v>215.28805555572035</v>
      </c>
      <c r="L2510" s="1" t="str">
        <f t="shared" si="198"/>
        <v>OK</v>
      </c>
      <c r="M2510" s="1">
        <f t="shared" si="195"/>
        <v>1</v>
      </c>
      <c r="N2510" s="1">
        <f t="shared" si="196"/>
        <v>57</v>
      </c>
      <c r="O2510" s="10">
        <f t="shared" si="199"/>
        <v>215.28805555572035</v>
      </c>
    </row>
    <row r="2511" spans="1:15">
      <c r="A2511" s="1" t="s">
        <v>2616</v>
      </c>
      <c r="B2511" s="23">
        <v>45178.822222222225</v>
      </c>
      <c r="C2511" s="1" t="s">
        <v>16</v>
      </c>
      <c r="D2511" s="1" t="s">
        <v>17</v>
      </c>
      <c r="E2511" s="1" t="s">
        <v>13</v>
      </c>
      <c r="F2511" s="1" t="s">
        <v>259</v>
      </c>
      <c r="G2511" s="1">
        <v>28</v>
      </c>
      <c r="H2511" s="23">
        <v>45181.360439814816</v>
      </c>
      <c r="I2511" s="1" t="b">
        <v>0</v>
      </c>
      <c r="K2511" s="10">
        <f t="shared" si="197"/>
        <v>60.91722222219687</v>
      </c>
      <c r="L2511" s="1" t="str">
        <f t="shared" si="198"/>
        <v>OK</v>
      </c>
      <c r="M2511" s="1">
        <f t="shared" si="195"/>
        <v>1</v>
      </c>
      <c r="N2511" s="1">
        <f t="shared" si="196"/>
        <v>28</v>
      </c>
      <c r="O2511" s="10">
        <f t="shared" si="199"/>
        <v>60.91722222219687</v>
      </c>
    </row>
    <row r="2512" spans="1:15">
      <c r="A2512" s="1" t="s">
        <v>2617</v>
      </c>
      <c r="B2512" s="23">
        <v>45178.926388888889</v>
      </c>
      <c r="C2512" s="1" t="s">
        <v>25</v>
      </c>
      <c r="D2512" s="1" t="s">
        <v>17</v>
      </c>
      <c r="E2512" s="1" t="s">
        <v>18</v>
      </c>
      <c r="F2512" s="1" t="s">
        <v>175</v>
      </c>
      <c r="G2512" s="1">
        <v>102</v>
      </c>
      <c r="H2512" s="23">
        <v>45182.628993055558</v>
      </c>
      <c r="I2512" s="1" t="b">
        <v>0</v>
      </c>
      <c r="J2512" s="1">
        <v>2</v>
      </c>
      <c r="K2512" s="10">
        <f t="shared" si="197"/>
        <v>88.862500000046566</v>
      </c>
      <c r="L2512" s="1" t="str">
        <f t="shared" si="198"/>
        <v>OK</v>
      </c>
      <c r="M2512" s="1">
        <f t="shared" si="195"/>
        <v>1</v>
      </c>
      <c r="N2512" s="1">
        <f t="shared" si="196"/>
        <v>102</v>
      </c>
      <c r="O2512" s="10">
        <f t="shared" si="199"/>
        <v>88.862500000046566</v>
      </c>
    </row>
    <row r="2513" spans="1:15">
      <c r="A2513" s="1" t="s">
        <v>2618</v>
      </c>
      <c r="B2513" s="23">
        <v>45178.955555555556</v>
      </c>
      <c r="C2513" s="1" t="s">
        <v>16</v>
      </c>
      <c r="D2513" s="1" t="s">
        <v>21</v>
      </c>
      <c r="E2513" s="1" t="s">
        <v>33</v>
      </c>
      <c r="F2513" s="1" t="s">
        <v>35</v>
      </c>
      <c r="G2513" s="1">
        <v>151</v>
      </c>
      <c r="H2513" s="23">
        <v>45189.434548611112</v>
      </c>
      <c r="I2513" s="1" t="b">
        <v>0</v>
      </c>
      <c r="J2513" s="1">
        <v>4</v>
      </c>
      <c r="K2513" s="10">
        <f t="shared" si="197"/>
        <v>251.49583333334886</v>
      </c>
      <c r="L2513" s="1" t="str">
        <f t="shared" si="198"/>
        <v>OK</v>
      </c>
      <c r="M2513" s="1">
        <f t="shared" si="195"/>
        <v>1</v>
      </c>
      <c r="N2513" s="1">
        <f t="shared" si="196"/>
        <v>151</v>
      </c>
      <c r="O2513" s="10">
        <f t="shared" si="199"/>
        <v>251.49583333334886</v>
      </c>
    </row>
    <row r="2514" spans="1:15">
      <c r="A2514" s="1" t="s">
        <v>2619</v>
      </c>
      <c r="B2514" s="23">
        <v>45178.975694444445</v>
      </c>
      <c r="C2514" s="1" t="s">
        <v>25</v>
      </c>
      <c r="D2514" s="1" t="s">
        <v>12</v>
      </c>
      <c r="E2514" s="1" t="s">
        <v>18</v>
      </c>
      <c r="F2514" s="1" t="s">
        <v>74</v>
      </c>
      <c r="G2514" s="1">
        <v>7</v>
      </c>
      <c r="H2514" s="23">
        <v>45181.668194444443</v>
      </c>
      <c r="I2514" s="1" t="b">
        <v>1</v>
      </c>
      <c r="K2514" s="10">
        <f t="shared" si="197"/>
        <v>64.619999999937136</v>
      </c>
      <c r="L2514" s="1" t="str">
        <f t="shared" si="198"/>
        <v>OK</v>
      </c>
      <c r="M2514" s="1">
        <f t="shared" si="195"/>
        <v>1</v>
      </c>
      <c r="N2514" s="1">
        <f t="shared" si="196"/>
        <v>7</v>
      </c>
      <c r="O2514" s="10">
        <f t="shared" si="199"/>
        <v>64.619999999937136</v>
      </c>
    </row>
    <row r="2515" spans="1:15">
      <c r="A2515" s="1" t="s">
        <v>2620</v>
      </c>
      <c r="B2515" s="23">
        <v>45179.36041666667</v>
      </c>
      <c r="C2515" s="1" t="s">
        <v>25</v>
      </c>
      <c r="D2515" s="1" t="s">
        <v>59</v>
      </c>
      <c r="E2515" s="1" t="s">
        <v>13</v>
      </c>
      <c r="F2515" s="1" t="s">
        <v>245</v>
      </c>
      <c r="G2515" s="1">
        <v>51</v>
      </c>
      <c r="H2515" s="23">
        <v>45180.036111111112</v>
      </c>
      <c r="I2515" s="1" t="b">
        <v>0</v>
      </c>
      <c r="K2515" s="10">
        <f t="shared" si="197"/>
        <v>16.21666666661622</v>
      </c>
      <c r="L2515" s="1" t="str">
        <f t="shared" si="198"/>
        <v>OK</v>
      </c>
      <c r="M2515" s="1">
        <f t="shared" si="195"/>
        <v>1</v>
      </c>
      <c r="N2515" s="1">
        <f t="shared" si="196"/>
        <v>51</v>
      </c>
      <c r="O2515" s="10">
        <f t="shared" si="199"/>
        <v>16.21666666661622</v>
      </c>
    </row>
    <row r="2516" spans="1:15">
      <c r="A2516" s="1" t="s">
        <v>2621</v>
      </c>
      <c r="B2516" s="23">
        <v>45179.392361111109</v>
      </c>
      <c r="C2516" s="1" t="s">
        <v>11</v>
      </c>
      <c r="D2516" s="1" t="s">
        <v>21</v>
      </c>
      <c r="E2516" s="1" t="s">
        <v>33</v>
      </c>
      <c r="F2516" s="1" t="s">
        <v>106</v>
      </c>
      <c r="G2516" s="1">
        <v>69</v>
      </c>
      <c r="H2516" s="23">
        <v>45179.974490740744</v>
      </c>
      <c r="I2516" s="1" t="b">
        <v>0</v>
      </c>
      <c r="J2516" s="1">
        <v>2</v>
      </c>
      <c r="K2516" s="10">
        <f t="shared" si="197"/>
        <v>13.971111111226492</v>
      </c>
      <c r="L2516" s="1" t="str">
        <f t="shared" si="198"/>
        <v>OK</v>
      </c>
      <c r="M2516" s="1">
        <f t="shared" si="195"/>
        <v>1</v>
      </c>
      <c r="N2516" s="1">
        <f t="shared" si="196"/>
        <v>69</v>
      </c>
      <c r="O2516" s="10">
        <f t="shared" si="199"/>
        <v>13.971111111226492</v>
      </c>
    </row>
    <row r="2517" spans="1:15">
      <c r="A2517" s="1" t="s">
        <v>2622</v>
      </c>
      <c r="B2517" s="23">
        <v>45179.855555555558</v>
      </c>
      <c r="C2517" s="1" t="s">
        <v>43</v>
      </c>
      <c r="D2517" s="1" t="s">
        <v>17</v>
      </c>
      <c r="E2517" s="1" t="s">
        <v>18</v>
      </c>
      <c r="F2517" s="1" t="s">
        <v>100</v>
      </c>
      <c r="G2517" s="1">
        <v>196</v>
      </c>
      <c r="H2517" s="23">
        <v>45180.048831018517</v>
      </c>
      <c r="I2517" s="1" t="b">
        <v>0</v>
      </c>
      <c r="K2517" s="10">
        <f t="shared" si="197"/>
        <v>4.6386111110332422</v>
      </c>
      <c r="L2517" s="1" t="str">
        <f t="shared" si="198"/>
        <v>OK</v>
      </c>
      <c r="M2517" s="1">
        <f t="shared" si="195"/>
        <v>1</v>
      </c>
      <c r="N2517" s="1">
        <f t="shared" si="196"/>
        <v>196</v>
      </c>
      <c r="O2517" s="10">
        <f t="shared" si="199"/>
        <v>4.6386111110332422</v>
      </c>
    </row>
    <row r="2518" spans="1:15">
      <c r="A2518" s="1" t="s">
        <v>2623</v>
      </c>
      <c r="B2518" s="23">
        <v>45179.884027777778</v>
      </c>
      <c r="C2518" s="1" t="s">
        <v>16</v>
      </c>
      <c r="D2518" s="1" t="s">
        <v>17</v>
      </c>
      <c r="E2518" s="1" t="s">
        <v>33</v>
      </c>
      <c r="F2518" s="1" t="s">
        <v>326</v>
      </c>
      <c r="G2518" s="1">
        <v>231</v>
      </c>
      <c r="H2518" s="23">
        <v>45199.30572916667</v>
      </c>
      <c r="I2518" s="1" t="b">
        <v>0</v>
      </c>
      <c r="K2518" s="10">
        <f t="shared" si="197"/>
        <v>466.12083333340706</v>
      </c>
      <c r="L2518" s="1" t="str">
        <f t="shared" si="198"/>
        <v>OK</v>
      </c>
      <c r="M2518" s="1">
        <f t="shared" si="195"/>
        <v>1</v>
      </c>
      <c r="N2518" s="1">
        <f t="shared" si="196"/>
        <v>231</v>
      </c>
      <c r="O2518" s="10">
        <f t="shared" si="199"/>
        <v>466.12083333340706</v>
      </c>
    </row>
    <row r="2519" spans="1:15">
      <c r="A2519" s="1" t="s">
        <v>2624</v>
      </c>
      <c r="B2519" s="23">
        <v>45180.067361111112</v>
      </c>
      <c r="C2519" s="1" t="s">
        <v>25</v>
      </c>
      <c r="D2519" s="1" t="s">
        <v>21</v>
      </c>
      <c r="E2519" s="1" t="s">
        <v>22</v>
      </c>
      <c r="F2519" s="1" t="s">
        <v>128</v>
      </c>
      <c r="G2519" s="1">
        <v>9</v>
      </c>
      <c r="H2519" s="23">
        <v>45180.153680555559</v>
      </c>
      <c r="I2519" s="1" t="b">
        <v>1</v>
      </c>
      <c r="K2519" s="10">
        <f t="shared" si="197"/>
        <v>2.0716666667140089</v>
      </c>
      <c r="L2519" s="1" t="str">
        <f t="shared" si="198"/>
        <v>OK</v>
      </c>
      <c r="M2519" s="1">
        <f t="shared" si="195"/>
        <v>1</v>
      </c>
      <c r="N2519" s="1">
        <f t="shared" si="196"/>
        <v>9</v>
      </c>
      <c r="O2519" s="10">
        <f t="shared" si="199"/>
        <v>2.0716666667140089</v>
      </c>
    </row>
    <row r="2520" spans="1:15">
      <c r="A2520" s="1" t="s">
        <v>2625</v>
      </c>
      <c r="B2520" s="23">
        <v>45180.217361111114</v>
      </c>
      <c r="C2520" s="1" t="s">
        <v>11</v>
      </c>
      <c r="D2520" s="1" t="s">
        <v>12</v>
      </c>
      <c r="E2520" s="1" t="s">
        <v>33</v>
      </c>
      <c r="F2520" s="1" t="s">
        <v>64</v>
      </c>
      <c r="G2520" s="1">
        <v>102</v>
      </c>
      <c r="H2520" s="23">
        <v>45214.100104166668</v>
      </c>
      <c r="I2520" s="1" t="b">
        <v>1</v>
      </c>
      <c r="J2520" s="1">
        <v>5</v>
      </c>
      <c r="K2520" s="10">
        <f t="shared" si="197"/>
        <v>813.18583333329298</v>
      </c>
      <c r="L2520" s="1" t="str">
        <f t="shared" si="198"/>
        <v>OK</v>
      </c>
      <c r="M2520" s="1">
        <f t="shared" si="195"/>
        <v>1</v>
      </c>
      <c r="N2520" s="1">
        <f t="shared" si="196"/>
        <v>102</v>
      </c>
      <c r="O2520" s="10">
        <f t="shared" si="199"/>
        <v>813.18583333329298</v>
      </c>
    </row>
    <row r="2521" spans="1:15">
      <c r="A2521" s="1" t="s">
        <v>2626</v>
      </c>
      <c r="B2521" s="23">
        <v>45180.324305555558</v>
      </c>
      <c r="C2521" s="1" t="s">
        <v>16</v>
      </c>
      <c r="D2521" s="1" t="s">
        <v>21</v>
      </c>
      <c r="E2521" s="1" t="s">
        <v>18</v>
      </c>
      <c r="F2521" s="1" t="s">
        <v>96</v>
      </c>
      <c r="G2521" s="1">
        <v>283</v>
      </c>
      <c r="H2521" s="23">
        <v>45181.39503472222</v>
      </c>
      <c r="I2521" s="1" t="b">
        <v>0</v>
      </c>
      <c r="K2521" s="10">
        <f t="shared" si="197"/>
        <v>25.697499999892898</v>
      </c>
      <c r="L2521" s="1" t="str">
        <f t="shared" si="198"/>
        <v>OK</v>
      </c>
      <c r="M2521" s="1">
        <f t="shared" si="195"/>
        <v>1</v>
      </c>
      <c r="N2521" s="1">
        <f t="shared" si="196"/>
        <v>283</v>
      </c>
      <c r="O2521" s="10">
        <f t="shared" si="199"/>
        <v>25.697499999892898</v>
      </c>
    </row>
    <row r="2522" spans="1:15">
      <c r="A2522" s="1" t="s">
        <v>2627</v>
      </c>
      <c r="B2522" s="23">
        <v>45180.376388888886</v>
      </c>
      <c r="C2522" s="1" t="s">
        <v>43</v>
      </c>
      <c r="D2522" s="1" t="s">
        <v>26</v>
      </c>
      <c r="E2522" s="1" t="s">
        <v>18</v>
      </c>
      <c r="F2522" s="1" t="s">
        <v>145</v>
      </c>
      <c r="G2522" s="1">
        <v>190</v>
      </c>
      <c r="H2522" s="23">
        <v>45184.486516203702</v>
      </c>
      <c r="I2522" s="1" t="b">
        <v>0</v>
      </c>
      <c r="K2522" s="10">
        <f t="shared" si="197"/>
        <v>98.643055555585306</v>
      </c>
      <c r="L2522" s="1" t="str">
        <f t="shared" si="198"/>
        <v>OK</v>
      </c>
      <c r="M2522" s="1">
        <f t="shared" si="195"/>
        <v>1</v>
      </c>
      <c r="N2522" s="1">
        <f t="shared" si="196"/>
        <v>190</v>
      </c>
      <c r="O2522" s="10">
        <f t="shared" si="199"/>
        <v>98.643055555585306</v>
      </c>
    </row>
    <row r="2523" spans="1:15">
      <c r="A2523" s="1" t="s">
        <v>2628</v>
      </c>
      <c r="B2523" s="23">
        <v>45180.51458333333</v>
      </c>
      <c r="C2523" s="1" t="s">
        <v>25</v>
      </c>
      <c r="D2523" s="1" t="s">
        <v>21</v>
      </c>
      <c r="E2523" s="1" t="s">
        <v>18</v>
      </c>
      <c r="F2523" s="1" t="s">
        <v>256</v>
      </c>
      <c r="G2523" s="1">
        <v>59</v>
      </c>
      <c r="H2523" s="23">
        <v>45182.442557870374</v>
      </c>
      <c r="I2523" s="1" t="b">
        <v>0</v>
      </c>
      <c r="J2523" s="1">
        <v>5</v>
      </c>
      <c r="K2523" s="10">
        <f t="shared" si="197"/>
        <v>46.271388889057562</v>
      </c>
      <c r="L2523" s="1" t="str">
        <f t="shared" si="198"/>
        <v>OK</v>
      </c>
      <c r="M2523" s="1">
        <f t="shared" si="195"/>
        <v>1</v>
      </c>
      <c r="N2523" s="1">
        <f t="shared" si="196"/>
        <v>59</v>
      </c>
      <c r="O2523" s="10">
        <f t="shared" si="199"/>
        <v>46.271388889057562</v>
      </c>
    </row>
    <row r="2524" spans="1:15">
      <c r="A2524" s="1" t="s">
        <v>2629</v>
      </c>
      <c r="B2524" s="23">
        <v>45180.546527777777</v>
      </c>
      <c r="C2524" s="1" t="s">
        <v>25</v>
      </c>
      <c r="D2524" s="1" t="s">
        <v>59</v>
      </c>
      <c r="E2524" s="1" t="s">
        <v>13</v>
      </c>
      <c r="F2524" s="1" t="s">
        <v>175</v>
      </c>
      <c r="G2524" s="1">
        <v>40</v>
      </c>
      <c r="H2524" s="23">
        <v>45181.401018518518</v>
      </c>
      <c r="I2524" s="1" t="b">
        <v>0</v>
      </c>
      <c r="J2524" s="1">
        <v>2</v>
      </c>
      <c r="K2524" s="10">
        <f t="shared" si="197"/>
        <v>20.507777777791489</v>
      </c>
      <c r="L2524" s="1" t="str">
        <f t="shared" si="198"/>
        <v>OK</v>
      </c>
      <c r="M2524" s="1">
        <f t="shared" si="195"/>
        <v>1</v>
      </c>
      <c r="N2524" s="1">
        <f t="shared" si="196"/>
        <v>40</v>
      </c>
      <c r="O2524" s="10">
        <f t="shared" si="199"/>
        <v>20.507777777791489</v>
      </c>
    </row>
    <row r="2525" spans="1:15">
      <c r="A2525" s="1" t="s">
        <v>2630</v>
      </c>
      <c r="B2525" s="23">
        <v>45180.679166666669</v>
      </c>
      <c r="C2525" s="1" t="s">
        <v>25</v>
      </c>
      <c r="D2525" s="1" t="s">
        <v>17</v>
      </c>
      <c r="E2525" s="1" t="s">
        <v>13</v>
      </c>
      <c r="F2525" s="1" t="s">
        <v>206</v>
      </c>
      <c r="G2525" s="1">
        <v>46</v>
      </c>
      <c r="H2525" s="23">
        <v>45181.161365740743</v>
      </c>
      <c r="I2525" s="1" t="b">
        <v>0</v>
      </c>
      <c r="K2525" s="10">
        <f t="shared" si="197"/>
        <v>11.572777777793817</v>
      </c>
      <c r="L2525" s="1" t="str">
        <f t="shared" si="198"/>
        <v>OK</v>
      </c>
      <c r="M2525" s="1">
        <f t="shared" si="195"/>
        <v>1</v>
      </c>
      <c r="N2525" s="1">
        <f t="shared" si="196"/>
        <v>46</v>
      </c>
      <c r="O2525" s="10">
        <f t="shared" si="199"/>
        <v>11.572777777793817</v>
      </c>
    </row>
    <row r="2526" spans="1:15">
      <c r="A2526" s="1" t="s">
        <v>2631</v>
      </c>
      <c r="B2526" s="23">
        <v>45181.070833333331</v>
      </c>
      <c r="C2526" s="1" t="s">
        <v>11</v>
      </c>
      <c r="D2526" s="1" t="s">
        <v>17</v>
      </c>
      <c r="E2526" s="1" t="s">
        <v>33</v>
      </c>
      <c r="F2526" s="1" t="s">
        <v>367</v>
      </c>
      <c r="G2526" s="1">
        <v>104</v>
      </c>
      <c r="H2526" s="23">
        <v>45183.888020833336</v>
      </c>
      <c r="I2526" s="1" t="b">
        <v>0</v>
      </c>
      <c r="K2526" s="10">
        <f t="shared" si="197"/>
        <v>67.612500000104774</v>
      </c>
      <c r="L2526" s="1" t="str">
        <f t="shared" si="198"/>
        <v>OK</v>
      </c>
      <c r="M2526" s="1">
        <f t="shared" si="195"/>
        <v>1</v>
      </c>
      <c r="N2526" s="1">
        <f t="shared" si="196"/>
        <v>104</v>
      </c>
      <c r="O2526" s="10">
        <f t="shared" si="199"/>
        <v>67.612500000104774</v>
      </c>
    </row>
    <row r="2527" spans="1:15">
      <c r="A2527" s="1" t="s">
        <v>2632</v>
      </c>
      <c r="B2527" s="23">
        <v>45181.081250000003</v>
      </c>
      <c r="C2527" s="1" t="s">
        <v>11</v>
      </c>
      <c r="D2527" s="1" t="s">
        <v>17</v>
      </c>
      <c r="E2527" s="1" t="s">
        <v>18</v>
      </c>
      <c r="F2527" s="1" t="s">
        <v>256</v>
      </c>
      <c r="G2527" s="1">
        <v>489</v>
      </c>
      <c r="H2527" s="23">
        <v>45187.339756944442</v>
      </c>
      <c r="I2527" s="1" t="b">
        <v>0</v>
      </c>
      <c r="K2527" s="10">
        <f t="shared" si="197"/>
        <v>150.20416666654637</v>
      </c>
      <c r="L2527" s="1" t="str">
        <f t="shared" si="198"/>
        <v>OK</v>
      </c>
      <c r="M2527" s="1">
        <f t="shared" si="195"/>
        <v>1</v>
      </c>
      <c r="N2527" s="1">
        <f t="shared" si="196"/>
        <v>489</v>
      </c>
      <c r="O2527" s="10">
        <f t="shared" si="199"/>
        <v>150.20416666654637</v>
      </c>
    </row>
    <row r="2528" spans="1:15">
      <c r="A2528" s="1" t="s">
        <v>2633</v>
      </c>
      <c r="B2528" s="23">
        <v>45181.323611111111</v>
      </c>
      <c r="C2528" s="1" t="s">
        <v>25</v>
      </c>
      <c r="D2528" s="1" t="s">
        <v>26</v>
      </c>
      <c r="E2528" s="1" t="s">
        <v>18</v>
      </c>
      <c r="F2528" s="1" t="s">
        <v>14</v>
      </c>
      <c r="H2528" s="23">
        <v>45182.211006944446</v>
      </c>
      <c r="I2528" s="1" t="b">
        <v>0</v>
      </c>
      <c r="K2528" s="10">
        <f t="shared" si="197"/>
        <v>21.297500000044238</v>
      </c>
      <c r="L2528" s="1" t="str">
        <f t="shared" si="198"/>
        <v>Cannot check</v>
      </c>
      <c r="M2528" s="1">
        <f t="shared" si="195"/>
        <v>1</v>
      </c>
      <c r="N2528" s="1" t="str">
        <f t="shared" si="196"/>
        <v/>
      </c>
      <c r="O2528" s="10">
        <f t="shared" si="199"/>
        <v>21.297500000044238</v>
      </c>
    </row>
    <row r="2529" spans="1:15">
      <c r="A2529" s="1" t="s">
        <v>2634</v>
      </c>
      <c r="B2529" s="23">
        <v>45181.527083333334</v>
      </c>
      <c r="C2529" s="1" t="s">
        <v>11</v>
      </c>
      <c r="D2529" s="1" t="s">
        <v>26</v>
      </c>
      <c r="E2529" s="1" t="s">
        <v>13</v>
      </c>
      <c r="F2529" s="1" t="s">
        <v>54</v>
      </c>
      <c r="G2529" s="1">
        <v>36</v>
      </c>
      <c r="H2529" s="23">
        <v>45182.033460648148</v>
      </c>
      <c r="I2529" s="1" t="b">
        <v>0</v>
      </c>
      <c r="J2529" s="1">
        <v>5</v>
      </c>
      <c r="K2529" s="10">
        <f t="shared" si="197"/>
        <v>12.153055555536412</v>
      </c>
      <c r="L2529" s="1" t="str">
        <f t="shared" si="198"/>
        <v>OK</v>
      </c>
      <c r="M2529" s="1">
        <f t="shared" si="195"/>
        <v>1</v>
      </c>
      <c r="N2529" s="1">
        <f t="shared" si="196"/>
        <v>36</v>
      </c>
      <c r="O2529" s="10">
        <f t="shared" si="199"/>
        <v>12.153055555536412</v>
      </c>
    </row>
    <row r="2530" spans="1:15">
      <c r="A2530" s="1" t="s">
        <v>2635</v>
      </c>
      <c r="B2530" s="23">
        <v>45181.813194444447</v>
      </c>
      <c r="C2530" s="1" t="s">
        <v>16</v>
      </c>
      <c r="D2530" s="1" t="s">
        <v>17</v>
      </c>
      <c r="E2530" s="1" t="s">
        <v>33</v>
      </c>
      <c r="F2530" s="1" t="s">
        <v>326</v>
      </c>
      <c r="G2530" s="1">
        <v>69</v>
      </c>
      <c r="H2530" s="23">
        <v>45184.380509259259</v>
      </c>
      <c r="I2530" s="1" t="b">
        <v>0</v>
      </c>
      <c r="J2530" s="1">
        <v>5</v>
      </c>
      <c r="K2530" s="10">
        <f t="shared" si="197"/>
        <v>61.615555555501487</v>
      </c>
      <c r="L2530" s="1" t="str">
        <f t="shared" si="198"/>
        <v>OK</v>
      </c>
      <c r="M2530" s="1">
        <f t="shared" si="195"/>
        <v>1</v>
      </c>
      <c r="N2530" s="1">
        <f t="shared" si="196"/>
        <v>69</v>
      </c>
      <c r="O2530" s="10">
        <f t="shared" si="199"/>
        <v>61.615555555501487</v>
      </c>
    </row>
    <row r="2531" spans="1:15">
      <c r="A2531" s="1" t="s">
        <v>2636</v>
      </c>
      <c r="B2531" s="23">
        <v>45181.87777777778</v>
      </c>
      <c r="C2531" s="1" t="s">
        <v>43</v>
      </c>
      <c r="D2531" s="1" t="s">
        <v>21</v>
      </c>
      <c r="E2531" s="1" t="s">
        <v>18</v>
      </c>
      <c r="F2531" s="1" t="s">
        <v>31</v>
      </c>
      <c r="G2531" s="1">
        <v>641</v>
      </c>
      <c r="H2531" s="23">
        <v>45182.241863425923</v>
      </c>
      <c r="I2531" s="1" t="b">
        <v>1</v>
      </c>
      <c r="K2531" s="10">
        <f t="shared" si="197"/>
        <v>8.7380555554409511</v>
      </c>
      <c r="L2531" s="1" t="str">
        <f t="shared" si="198"/>
        <v>Review</v>
      </c>
      <c r="M2531" s="1">
        <f t="shared" si="195"/>
        <v>1</v>
      </c>
      <c r="N2531" s="1" t="str">
        <f t="shared" si="196"/>
        <v/>
      </c>
      <c r="O2531" s="10" t="str">
        <f t="shared" si="199"/>
        <v/>
      </c>
    </row>
    <row r="2532" spans="1:15">
      <c r="A2532" s="1" t="s">
        <v>2637</v>
      </c>
      <c r="B2532" s="23">
        <v>45181.970833333333</v>
      </c>
      <c r="C2532" s="1" t="s">
        <v>16</v>
      </c>
      <c r="D2532" s="1" t="s">
        <v>59</v>
      </c>
      <c r="E2532" s="1" t="s">
        <v>33</v>
      </c>
      <c r="F2532" s="1" t="s">
        <v>94</v>
      </c>
      <c r="G2532" s="1">
        <v>333</v>
      </c>
      <c r="H2532" s="23">
        <v>45183.181979166664</v>
      </c>
      <c r="I2532" s="1" t="b">
        <v>0</v>
      </c>
      <c r="K2532" s="10">
        <f t="shared" si="197"/>
        <v>29.067499999946449</v>
      </c>
      <c r="L2532" s="1" t="str">
        <f t="shared" si="198"/>
        <v>OK</v>
      </c>
      <c r="M2532" s="1">
        <f t="shared" si="195"/>
        <v>1</v>
      </c>
      <c r="N2532" s="1">
        <f t="shared" si="196"/>
        <v>333</v>
      </c>
      <c r="O2532" s="10">
        <f t="shared" si="199"/>
        <v>29.067499999946449</v>
      </c>
    </row>
    <row r="2533" spans="1:15">
      <c r="A2533" s="1" t="s">
        <v>2638</v>
      </c>
      <c r="B2533" s="23">
        <v>45182.003472222219</v>
      </c>
      <c r="C2533" s="1" t="s">
        <v>16</v>
      </c>
      <c r="D2533" s="1" t="s">
        <v>17</v>
      </c>
      <c r="E2533" s="1" t="s">
        <v>18</v>
      </c>
      <c r="F2533" s="1" t="s">
        <v>326</v>
      </c>
      <c r="G2533" s="1">
        <v>38</v>
      </c>
      <c r="H2533" s="23">
        <v>45182.151909722219</v>
      </c>
      <c r="I2533" s="1" t="b">
        <v>0</v>
      </c>
      <c r="K2533" s="10">
        <f t="shared" si="197"/>
        <v>3.5625</v>
      </c>
      <c r="L2533" s="1" t="str">
        <f t="shared" si="198"/>
        <v>OK</v>
      </c>
      <c r="M2533" s="1">
        <f t="shared" si="195"/>
        <v>1</v>
      </c>
      <c r="N2533" s="1">
        <f t="shared" si="196"/>
        <v>38</v>
      </c>
      <c r="O2533" s="10">
        <f t="shared" si="199"/>
        <v>3.5625</v>
      </c>
    </row>
    <row r="2534" spans="1:15">
      <c r="A2534" s="1" t="s">
        <v>2639</v>
      </c>
      <c r="B2534" s="23">
        <v>45182.064583333333</v>
      </c>
      <c r="C2534" s="1" t="s">
        <v>16</v>
      </c>
      <c r="D2534" s="1" t="s">
        <v>59</v>
      </c>
      <c r="E2534" s="1" t="s">
        <v>33</v>
      </c>
      <c r="F2534" s="1" t="s">
        <v>186</v>
      </c>
      <c r="G2534" s="1">
        <v>50</v>
      </c>
      <c r="H2534" s="23">
        <v>45182.165196759262</v>
      </c>
      <c r="I2534" s="1" t="b">
        <v>0</v>
      </c>
      <c r="J2534" s="1">
        <v>4</v>
      </c>
      <c r="K2534" s="10">
        <f t="shared" si="197"/>
        <v>2.4147222223109566</v>
      </c>
      <c r="L2534" s="1" t="str">
        <f t="shared" si="198"/>
        <v>OK</v>
      </c>
      <c r="M2534" s="1">
        <f t="shared" si="195"/>
        <v>1</v>
      </c>
      <c r="N2534" s="1">
        <f t="shared" si="196"/>
        <v>50</v>
      </c>
      <c r="O2534" s="10">
        <f t="shared" si="199"/>
        <v>2.4147222223109566</v>
      </c>
    </row>
    <row r="2535" spans="1:15">
      <c r="A2535" s="1" t="s">
        <v>2640</v>
      </c>
      <c r="B2535" s="23">
        <v>45182.443749999999</v>
      </c>
      <c r="C2535" s="1" t="s">
        <v>25</v>
      </c>
      <c r="D2535" s="1" t="s">
        <v>12</v>
      </c>
      <c r="E2535" s="1" t="s">
        <v>22</v>
      </c>
      <c r="F2535" s="1" t="s">
        <v>78</v>
      </c>
      <c r="G2535" s="1">
        <v>5</v>
      </c>
      <c r="H2535" s="23">
        <v>45182.867384259262</v>
      </c>
      <c r="I2535" s="1" t="b">
        <v>0</v>
      </c>
      <c r="K2535" s="10">
        <f t="shared" si="197"/>
        <v>10.167222222313285</v>
      </c>
      <c r="L2535" s="1" t="str">
        <f t="shared" si="198"/>
        <v>OK</v>
      </c>
      <c r="M2535" s="1">
        <f t="shared" si="195"/>
        <v>1</v>
      </c>
      <c r="N2535" s="1">
        <f t="shared" si="196"/>
        <v>5</v>
      </c>
      <c r="O2535" s="10">
        <f t="shared" si="199"/>
        <v>10.167222222313285</v>
      </c>
    </row>
    <row r="2536" spans="1:15">
      <c r="A2536" s="1" t="s">
        <v>2641</v>
      </c>
      <c r="B2536" s="23">
        <v>45182.529166666667</v>
      </c>
      <c r="C2536" s="1" t="s">
        <v>25</v>
      </c>
      <c r="D2536" s="1" t="s">
        <v>21</v>
      </c>
      <c r="E2536" s="1" t="s">
        <v>22</v>
      </c>
      <c r="F2536" s="1" t="s">
        <v>90</v>
      </c>
      <c r="G2536" s="1">
        <v>57</v>
      </c>
      <c r="I2536" s="1" t="b">
        <v>0</v>
      </c>
      <c r="K2536" s="10" t="str">
        <f t="shared" si="197"/>
        <v/>
      </c>
      <c r="L2536" s="1" t="str">
        <f t="shared" si="198"/>
        <v>Cannot check</v>
      </c>
      <c r="M2536" s="1">
        <f t="shared" si="195"/>
        <v>1</v>
      </c>
      <c r="N2536" s="1">
        <f t="shared" si="196"/>
        <v>57</v>
      </c>
      <c r="O2536" s="10" t="str">
        <f t="shared" si="199"/>
        <v/>
      </c>
    </row>
    <row r="2537" spans="1:15">
      <c r="A2537" s="1" t="s">
        <v>2642</v>
      </c>
      <c r="B2537" s="23">
        <v>45182.589583333334</v>
      </c>
      <c r="C2537" s="1" t="s">
        <v>25</v>
      </c>
      <c r="D2537" s="1" t="s">
        <v>17</v>
      </c>
      <c r="E2537" s="1" t="s">
        <v>22</v>
      </c>
      <c r="F2537" s="1" t="s">
        <v>54</v>
      </c>
      <c r="G2537" s="1">
        <v>11</v>
      </c>
      <c r="H2537" s="23">
        <v>45182.889131944445</v>
      </c>
      <c r="I2537" s="1" t="b">
        <v>0</v>
      </c>
      <c r="K2537" s="10">
        <f t="shared" si="197"/>
        <v>7.1891666666488163</v>
      </c>
      <c r="L2537" s="1" t="str">
        <f t="shared" si="198"/>
        <v>OK</v>
      </c>
      <c r="M2537" s="1">
        <f t="shared" si="195"/>
        <v>1</v>
      </c>
      <c r="N2537" s="1">
        <f t="shared" si="196"/>
        <v>11</v>
      </c>
      <c r="O2537" s="10">
        <f t="shared" si="199"/>
        <v>7.1891666666488163</v>
      </c>
    </row>
    <row r="2538" spans="1:15">
      <c r="A2538" s="1" t="s">
        <v>2643</v>
      </c>
      <c r="B2538" s="23">
        <v>45182.603472222225</v>
      </c>
      <c r="C2538" s="1" t="s">
        <v>25</v>
      </c>
      <c r="D2538" s="1" t="s">
        <v>21</v>
      </c>
      <c r="E2538" s="1" t="s">
        <v>33</v>
      </c>
      <c r="F2538" s="1" t="s">
        <v>239</v>
      </c>
      <c r="G2538" s="1">
        <v>291</v>
      </c>
      <c r="H2538" s="23">
        <v>45182.726273148146</v>
      </c>
      <c r="I2538" s="1" t="b">
        <v>0</v>
      </c>
      <c r="K2538" s="10">
        <f t="shared" si="197"/>
        <v>2.9472222221083939</v>
      </c>
      <c r="L2538" s="1" t="str">
        <f t="shared" si="198"/>
        <v>Review</v>
      </c>
      <c r="M2538" s="1">
        <f t="shared" si="195"/>
        <v>1</v>
      </c>
      <c r="N2538" s="1" t="str">
        <f t="shared" si="196"/>
        <v/>
      </c>
      <c r="O2538" s="10" t="str">
        <f t="shared" si="199"/>
        <v/>
      </c>
    </row>
    <row r="2539" spans="1:15">
      <c r="A2539" s="1" t="s">
        <v>2644</v>
      </c>
      <c r="B2539" s="23">
        <v>45182.67291666667</v>
      </c>
      <c r="C2539" s="1" t="s">
        <v>25</v>
      </c>
      <c r="D2539" s="1" t="s">
        <v>17</v>
      </c>
      <c r="E2539" s="1" t="s">
        <v>33</v>
      </c>
      <c r="F2539" s="1" t="s">
        <v>317</v>
      </c>
      <c r="G2539" s="1">
        <v>56</v>
      </c>
      <c r="H2539" s="23">
        <v>45183.446504629632</v>
      </c>
      <c r="I2539" s="1" t="b">
        <v>0</v>
      </c>
      <c r="K2539" s="10">
        <f t="shared" si="197"/>
        <v>18.566111111082137</v>
      </c>
      <c r="L2539" s="1" t="str">
        <f t="shared" si="198"/>
        <v>OK</v>
      </c>
      <c r="M2539" s="1">
        <f t="shared" si="195"/>
        <v>1</v>
      </c>
      <c r="N2539" s="1">
        <f t="shared" si="196"/>
        <v>56</v>
      </c>
      <c r="O2539" s="10">
        <f t="shared" si="199"/>
        <v>18.566111111082137</v>
      </c>
    </row>
    <row r="2540" spans="1:15">
      <c r="A2540" s="1" t="s">
        <v>2645</v>
      </c>
      <c r="B2540" s="23">
        <v>45182.761805555558</v>
      </c>
      <c r="C2540" s="1" t="s">
        <v>25</v>
      </c>
      <c r="D2540" s="1" t="s">
        <v>21</v>
      </c>
      <c r="E2540" s="1" t="s">
        <v>33</v>
      </c>
      <c r="F2540" s="1" t="s">
        <v>245</v>
      </c>
      <c r="G2540" s="1">
        <v>254</v>
      </c>
      <c r="H2540" s="23">
        <v>45185.776273148149</v>
      </c>
      <c r="I2540" s="1" t="b">
        <v>0</v>
      </c>
      <c r="K2540" s="10">
        <f t="shared" si="197"/>
        <v>72.347222222189885</v>
      </c>
      <c r="L2540" s="1" t="str">
        <f t="shared" si="198"/>
        <v>OK</v>
      </c>
      <c r="M2540" s="1">
        <f t="shared" si="195"/>
        <v>1</v>
      </c>
      <c r="N2540" s="1">
        <f t="shared" si="196"/>
        <v>254</v>
      </c>
      <c r="O2540" s="10">
        <f t="shared" si="199"/>
        <v>72.347222222189885</v>
      </c>
    </row>
    <row r="2541" spans="1:15">
      <c r="A2541" s="1" t="s">
        <v>2646</v>
      </c>
      <c r="B2541" s="23">
        <v>45182.878472222219</v>
      </c>
      <c r="C2541" s="1" t="s">
        <v>25</v>
      </c>
      <c r="D2541" s="1" t="s">
        <v>17</v>
      </c>
      <c r="E2541" s="1" t="s">
        <v>18</v>
      </c>
      <c r="F2541" s="1" t="s">
        <v>345</v>
      </c>
      <c r="G2541" s="1">
        <v>569</v>
      </c>
      <c r="H2541" s="23">
        <v>45183.415034722224</v>
      </c>
      <c r="I2541" s="1" t="b">
        <v>0</v>
      </c>
      <c r="K2541" s="10">
        <f t="shared" si="197"/>
        <v>12.877500000118744</v>
      </c>
      <c r="L2541" s="1" t="str">
        <f t="shared" si="198"/>
        <v>OK</v>
      </c>
      <c r="M2541" s="1">
        <f t="shared" si="195"/>
        <v>1</v>
      </c>
      <c r="N2541" s="1">
        <f t="shared" si="196"/>
        <v>569</v>
      </c>
      <c r="O2541" s="10">
        <f t="shared" si="199"/>
        <v>12.877500000118744</v>
      </c>
    </row>
    <row r="2542" spans="1:15">
      <c r="A2542" s="1" t="s">
        <v>2647</v>
      </c>
      <c r="B2542" s="23">
        <v>45182.972222222219</v>
      </c>
      <c r="C2542" s="1" t="s">
        <v>25</v>
      </c>
      <c r="D2542" s="1" t="s">
        <v>59</v>
      </c>
      <c r="E2542" s="1" t="s">
        <v>18</v>
      </c>
      <c r="F2542" s="1" t="s">
        <v>224</v>
      </c>
      <c r="G2542" s="1">
        <v>27</v>
      </c>
      <c r="H2542" s="23">
        <v>45183.209618055553</v>
      </c>
      <c r="I2542" s="1" t="b">
        <v>0</v>
      </c>
      <c r="J2542" s="1">
        <v>4</v>
      </c>
      <c r="K2542" s="10">
        <f t="shared" si="197"/>
        <v>5.6975000000093132</v>
      </c>
      <c r="L2542" s="1" t="str">
        <f t="shared" si="198"/>
        <v>OK</v>
      </c>
      <c r="M2542" s="1">
        <f t="shared" si="195"/>
        <v>1</v>
      </c>
      <c r="N2542" s="1">
        <f t="shared" si="196"/>
        <v>27</v>
      </c>
      <c r="O2542" s="10">
        <f t="shared" si="199"/>
        <v>5.6975000000093132</v>
      </c>
    </row>
    <row r="2543" spans="1:15">
      <c r="A2543" s="1" t="s">
        <v>2648</v>
      </c>
      <c r="B2543" s="23">
        <v>45182.987500000003</v>
      </c>
      <c r="C2543" s="1" t="s">
        <v>43</v>
      </c>
      <c r="D2543" s="1" t="s">
        <v>17</v>
      </c>
      <c r="E2543" s="1" t="s">
        <v>22</v>
      </c>
      <c r="F2543" s="1" t="s">
        <v>239</v>
      </c>
      <c r="G2543" s="1">
        <v>11</v>
      </c>
      <c r="H2543" s="23">
        <v>45183.009606481479</v>
      </c>
      <c r="I2543" s="1" t="b">
        <v>0</v>
      </c>
      <c r="J2543" s="1">
        <v>5</v>
      </c>
      <c r="K2543" s="10">
        <f t="shared" si="197"/>
        <v>0.53055555542232469</v>
      </c>
      <c r="L2543" s="1" t="str">
        <f t="shared" si="198"/>
        <v>OK</v>
      </c>
      <c r="M2543" s="1">
        <f t="shared" si="195"/>
        <v>1</v>
      </c>
      <c r="N2543" s="1">
        <f t="shared" si="196"/>
        <v>11</v>
      </c>
      <c r="O2543" s="10">
        <f t="shared" si="199"/>
        <v>0.53055555542232469</v>
      </c>
    </row>
    <row r="2544" spans="1:15">
      <c r="A2544" s="1" t="s">
        <v>2649</v>
      </c>
      <c r="B2544" s="23">
        <v>45183.198611111111</v>
      </c>
      <c r="C2544" s="1" t="s">
        <v>16</v>
      </c>
      <c r="D2544" s="1" t="s">
        <v>59</v>
      </c>
      <c r="E2544" s="1" t="s">
        <v>18</v>
      </c>
      <c r="F2544" s="1" t="s">
        <v>237</v>
      </c>
      <c r="G2544" s="1">
        <v>114</v>
      </c>
      <c r="H2544" s="23">
        <v>45183.460416666669</v>
      </c>
      <c r="I2544" s="1" t="b">
        <v>0</v>
      </c>
      <c r="K2544" s="10">
        <f t="shared" si="197"/>
        <v>6.28333333338378</v>
      </c>
      <c r="L2544" s="1" t="str">
        <f t="shared" si="198"/>
        <v>OK</v>
      </c>
      <c r="M2544" s="1">
        <f t="shared" si="195"/>
        <v>1</v>
      </c>
      <c r="N2544" s="1">
        <f t="shared" si="196"/>
        <v>114</v>
      </c>
      <c r="O2544" s="10">
        <f t="shared" si="199"/>
        <v>6.28333333338378</v>
      </c>
    </row>
    <row r="2545" spans="1:15">
      <c r="A2545" s="1" t="s">
        <v>2650</v>
      </c>
      <c r="B2545" s="23">
        <v>45183.198611111111</v>
      </c>
      <c r="C2545" s="1" t="s">
        <v>16</v>
      </c>
      <c r="D2545" s="1" t="s">
        <v>17</v>
      </c>
      <c r="E2545" s="1" t="s">
        <v>18</v>
      </c>
      <c r="F2545" s="1" t="s">
        <v>94</v>
      </c>
      <c r="G2545" s="1">
        <v>223</v>
      </c>
      <c r="I2545" s="1" t="b">
        <v>0</v>
      </c>
      <c r="K2545" s="10" t="str">
        <f t="shared" si="197"/>
        <v/>
      </c>
      <c r="L2545" s="1" t="str">
        <f t="shared" si="198"/>
        <v>Cannot check</v>
      </c>
      <c r="M2545" s="1">
        <f t="shared" si="195"/>
        <v>1</v>
      </c>
      <c r="N2545" s="1">
        <f t="shared" si="196"/>
        <v>223</v>
      </c>
      <c r="O2545" s="10" t="str">
        <f t="shared" si="199"/>
        <v/>
      </c>
    </row>
    <row r="2546" spans="1:15">
      <c r="A2546" s="1" t="s">
        <v>2651</v>
      </c>
      <c r="B2546" s="23">
        <v>45183.224999999999</v>
      </c>
      <c r="C2546" s="1" t="s">
        <v>11</v>
      </c>
      <c r="D2546" s="1" t="s">
        <v>12</v>
      </c>
      <c r="E2546" s="1" t="s">
        <v>18</v>
      </c>
      <c r="F2546" s="1" t="s">
        <v>162</v>
      </c>
      <c r="G2546" s="1">
        <v>53</v>
      </c>
      <c r="H2546" s="23">
        <v>45184.616516203707</v>
      </c>
      <c r="I2546" s="1" t="b">
        <v>0</v>
      </c>
      <c r="K2546" s="10">
        <f t="shared" si="197"/>
        <v>33.396388888999354</v>
      </c>
      <c r="L2546" s="1" t="str">
        <f t="shared" si="198"/>
        <v>OK</v>
      </c>
      <c r="M2546" s="1">
        <f t="shared" si="195"/>
        <v>1</v>
      </c>
      <c r="N2546" s="1">
        <f t="shared" si="196"/>
        <v>53</v>
      </c>
      <c r="O2546" s="10">
        <f t="shared" si="199"/>
        <v>33.396388888999354</v>
      </c>
    </row>
    <row r="2547" spans="1:15">
      <c r="A2547" s="1" t="s">
        <v>2652</v>
      </c>
      <c r="B2547" s="23">
        <v>45183.379861111112</v>
      </c>
      <c r="C2547" s="1" t="s">
        <v>16</v>
      </c>
      <c r="D2547" s="1" t="s">
        <v>17</v>
      </c>
      <c r="E2547" s="1" t="s">
        <v>33</v>
      </c>
      <c r="F2547" s="1" t="s">
        <v>102</v>
      </c>
      <c r="G2547" s="1">
        <v>191</v>
      </c>
      <c r="H2547" s="23">
        <v>45185.23</v>
      </c>
      <c r="I2547" s="1" t="b">
        <v>0</v>
      </c>
      <c r="K2547" s="10">
        <f t="shared" si="197"/>
        <v>44.403333333379123</v>
      </c>
      <c r="L2547" s="1" t="str">
        <f t="shared" si="198"/>
        <v>OK</v>
      </c>
      <c r="M2547" s="1">
        <f t="shared" si="195"/>
        <v>1</v>
      </c>
      <c r="N2547" s="1">
        <f t="shared" si="196"/>
        <v>191</v>
      </c>
      <c r="O2547" s="10">
        <f t="shared" si="199"/>
        <v>44.403333333379123</v>
      </c>
    </row>
    <row r="2548" spans="1:15">
      <c r="A2548" s="1" t="s">
        <v>2653</v>
      </c>
      <c r="B2548" s="23">
        <v>45183.415972222225</v>
      </c>
      <c r="C2548" s="1" t="s">
        <v>16</v>
      </c>
      <c r="D2548" s="1" t="s">
        <v>59</v>
      </c>
      <c r="E2548" s="1" t="s">
        <v>13</v>
      </c>
      <c r="F2548" s="1" t="s">
        <v>234</v>
      </c>
      <c r="G2548" s="1">
        <v>31</v>
      </c>
      <c r="H2548" s="23">
        <v>45183.525752314818</v>
      </c>
      <c r="I2548" s="1" t="b">
        <v>0</v>
      </c>
      <c r="K2548" s="10">
        <f t="shared" si="197"/>
        <v>2.6347222222248092</v>
      </c>
      <c r="L2548" s="1" t="str">
        <f t="shared" si="198"/>
        <v>OK</v>
      </c>
      <c r="M2548" s="1">
        <f t="shared" si="195"/>
        <v>1</v>
      </c>
      <c r="N2548" s="1">
        <f t="shared" si="196"/>
        <v>31</v>
      </c>
      <c r="O2548" s="10">
        <f t="shared" si="199"/>
        <v>2.6347222222248092</v>
      </c>
    </row>
    <row r="2549" spans="1:15">
      <c r="A2549" s="1" t="s">
        <v>2654</v>
      </c>
      <c r="B2549" s="23">
        <v>45184.334027777775</v>
      </c>
      <c r="C2549" s="1" t="s">
        <v>25</v>
      </c>
      <c r="D2549" s="1" t="s">
        <v>12</v>
      </c>
      <c r="E2549" s="1" t="s">
        <v>22</v>
      </c>
      <c r="F2549" s="1" t="s">
        <v>86</v>
      </c>
      <c r="G2549" s="1">
        <v>7</v>
      </c>
      <c r="H2549" s="23">
        <v>45184.402141203704</v>
      </c>
      <c r="I2549" s="1" t="b">
        <v>1</v>
      </c>
      <c r="J2549" s="1">
        <v>5</v>
      </c>
      <c r="K2549" s="10">
        <f t="shared" si="197"/>
        <v>1.6347222222830169</v>
      </c>
      <c r="L2549" s="1" t="str">
        <f t="shared" si="198"/>
        <v>OK</v>
      </c>
      <c r="M2549" s="1">
        <f t="shared" si="195"/>
        <v>1</v>
      </c>
      <c r="N2549" s="1">
        <f t="shared" si="196"/>
        <v>7</v>
      </c>
      <c r="O2549" s="10">
        <f t="shared" si="199"/>
        <v>1.6347222222830169</v>
      </c>
    </row>
    <row r="2550" spans="1:15">
      <c r="A2550" s="1" t="s">
        <v>2655</v>
      </c>
      <c r="B2550" s="23">
        <v>45184.499305555553</v>
      </c>
      <c r="C2550" s="1" t="s">
        <v>43</v>
      </c>
      <c r="D2550" s="1" t="s">
        <v>17</v>
      </c>
      <c r="E2550" s="1" t="s">
        <v>18</v>
      </c>
      <c r="F2550" s="1" t="s">
        <v>130</v>
      </c>
      <c r="G2550" s="1">
        <v>47</v>
      </c>
      <c r="H2550" s="23">
        <v>45187.520254629628</v>
      </c>
      <c r="I2550" s="1" t="b">
        <v>0</v>
      </c>
      <c r="K2550" s="10">
        <f t="shared" si="197"/>
        <v>72.502777777786832</v>
      </c>
      <c r="L2550" s="1" t="str">
        <f t="shared" si="198"/>
        <v>OK</v>
      </c>
      <c r="M2550" s="1">
        <f t="shared" si="195"/>
        <v>1</v>
      </c>
      <c r="N2550" s="1">
        <f t="shared" si="196"/>
        <v>47</v>
      </c>
      <c r="O2550" s="10">
        <f t="shared" si="199"/>
        <v>72.502777777786832</v>
      </c>
    </row>
    <row r="2551" spans="1:15">
      <c r="A2551" s="1" t="s">
        <v>2656</v>
      </c>
      <c r="B2551" s="23">
        <v>45184.522916666669</v>
      </c>
      <c r="C2551" s="1" t="s">
        <v>25</v>
      </c>
      <c r="D2551" s="1" t="s">
        <v>17</v>
      </c>
      <c r="E2551" s="1" t="s">
        <v>13</v>
      </c>
      <c r="F2551" s="1" t="s">
        <v>256</v>
      </c>
      <c r="G2551" s="1">
        <v>6</v>
      </c>
      <c r="H2551" s="23">
        <v>45185.385231481479</v>
      </c>
      <c r="I2551" s="1" t="b">
        <v>0</v>
      </c>
      <c r="K2551" s="10">
        <f t="shared" si="197"/>
        <v>20.695555555459578</v>
      </c>
      <c r="L2551" s="1" t="str">
        <f t="shared" si="198"/>
        <v>OK</v>
      </c>
      <c r="M2551" s="1">
        <f t="shared" si="195"/>
        <v>1</v>
      </c>
      <c r="N2551" s="1">
        <f t="shared" si="196"/>
        <v>6</v>
      </c>
      <c r="O2551" s="10">
        <f t="shared" si="199"/>
        <v>20.695555555459578</v>
      </c>
    </row>
    <row r="2552" spans="1:15">
      <c r="A2552" s="1" t="s">
        <v>2657</v>
      </c>
      <c r="B2552" s="23">
        <v>45184.531944444447</v>
      </c>
      <c r="C2552" s="1" t="s">
        <v>43</v>
      </c>
      <c r="D2552" s="1" t="s">
        <v>59</v>
      </c>
      <c r="E2552" s="1" t="s">
        <v>18</v>
      </c>
      <c r="F2552" s="1" t="s">
        <v>198</v>
      </c>
      <c r="G2552" s="1">
        <v>406</v>
      </c>
      <c r="H2552" s="23">
        <v>45190.866168981483</v>
      </c>
      <c r="I2552" s="1" t="b">
        <v>0</v>
      </c>
      <c r="J2552" s="1">
        <v>3</v>
      </c>
      <c r="K2552" s="10">
        <f t="shared" si="197"/>
        <v>152.02138888888294</v>
      </c>
      <c r="L2552" s="1" t="str">
        <f t="shared" si="198"/>
        <v>OK</v>
      </c>
      <c r="M2552" s="1">
        <f t="shared" si="195"/>
        <v>1</v>
      </c>
      <c r="N2552" s="1">
        <f t="shared" si="196"/>
        <v>406</v>
      </c>
      <c r="O2552" s="10">
        <f t="shared" si="199"/>
        <v>152.02138888888294</v>
      </c>
    </row>
    <row r="2553" spans="1:15">
      <c r="A2553" s="1" t="s">
        <v>2658</v>
      </c>
      <c r="B2553" s="23">
        <v>45184.649305555555</v>
      </c>
      <c r="C2553" s="1" t="s">
        <v>11</v>
      </c>
      <c r="D2553" s="1" t="s">
        <v>59</v>
      </c>
      <c r="E2553" s="1" t="s">
        <v>18</v>
      </c>
      <c r="F2553" s="1" t="s">
        <v>39</v>
      </c>
      <c r="G2553" s="1">
        <v>436</v>
      </c>
      <c r="H2553" s="23">
        <v>45185.160405092596</v>
      </c>
      <c r="I2553" s="1" t="b">
        <v>0</v>
      </c>
      <c r="J2553" s="1">
        <v>4</v>
      </c>
      <c r="K2553" s="10">
        <f t="shared" si="197"/>
        <v>12.266388888994697</v>
      </c>
      <c r="L2553" s="1" t="str">
        <f t="shared" si="198"/>
        <v>OK</v>
      </c>
      <c r="M2553" s="1">
        <f t="shared" si="195"/>
        <v>1</v>
      </c>
      <c r="N2553" s="1">
        <f t="shared" si="196"/>
        <v>436</v>
      </c>
      <c r="O2553" s="10">
        <f t="shared" si="199"/>
        <v>12.266388888994697</v>
      </c>
    </row>
    <row r="2554" spans="1:15">
      <c r="A2554" s="1" t="s">
        <v>2659</v>
      </c>
      <c r="B2554" s="23">
        <v>45184.720138888886</v>
      </c>
      <c r="C2554" s="1" t="s">
        <v>11</v>
      </c>
      <c r="D2554" s="1" t="s">
        <v>17</v>
      </c>
      <c r="E2554" s="1" t="s">
        <v>13</v>
      </c>
      <c r="F2554" s="1" t="s">
        <v>90</v>
      </c>
      <c r="G2554" s="1">
        <v>46</v>
      </c>
      <c r="H2554" s="23">
        <v>45185.996574074074</v>
      </c>
      <c r="I2554" s="1" t="b">
        <v>0</v>
      </c>
      <c r="K2554" s="10">
        <f t="shared" si="197"/>
        <v>30.634444444498513</v>
      </c>
      <c r="L2554" s="1" t="str">
        <f t="shared" si="198"/>
        <v>OK</v>
      </c>
      <c r="M2554" s="1">
        <f t="shared" si="195"/>
        <v>1</v>
      </c>
      <c r="N2554" s="1">
        <f t="shared" si="196"/>
        <v>46</v>
      </c>
      <c r="O2554" s="10">
        <f t="shared" si="199"/>
        <v>30.634444444498513</v>
      </c>
    </row>
    <row r="2555" spans="1:15">
      <c r="A2555" s="1" t="s">
        <v>2660</v>
      </c>
      <c r="B2555" s="23">
        <v>45185.243750000001</v>
      </c>
      <c r="C2555" s="1" t="s">
        <v>11</v>
      </c>
      <c r="D2555" s="1" t="s">
        <v>26</v>
      </c>
      <c r="E2555" s="1" t="s">
        <v>18</v>
      </c>
      <c r="F2555" s="1" t="s">
        <v>215</v>
      </c>
      <c r="G2555" s="1">
        <v>2076</v>
      </c>
      <c r="I2555" s="1" t="b">
        <v>0</v>
      </c>
      <c r="K2555" s="10" t="str">
        <f t="shared" si="197"/>
        <v/>
      </c>
      <c r="L2555" s="1" t="str">
        <f t="shared" si="198"/>
        <v>Cannot check</v>
      </c>
      <c r="M2555" s="1">
        <f t="shared" si="195"/>
        <v>1</v>
      </c>
      <c r="N2555" s="1">
        <f t="shared" si="196"/>
        <v>2076</v>
      </c>
      <c r="O2555" s="10" t="str">
        <f t="shared" si="199"/>
        <v/>
      </c>
    </row>
    <row r="2556" spans="1:15">
      <c r="A2556" s="1" t="s">
        <v>2661</v>
      </c>
      <c r="B2556" s="23">
        <v>45185.305555555555</v>
      </c>
      <c r="C2556" s="1" t="s">
        <v>16</v>
      </c>
      <c r="D2556" s="1" t="s">
        <v>17</v>
      </c>
      <c r="E2556" s="1" t="s">
        <v>33</v>
      </c>
      <c r="F2556" s="1" t="s">
        <v>134</v>
      </c>
      <c r="G2556" s="1">
        <v>150</v>
      </c>
      <c r="H2556" s="23">
        <v>45194.025972222225</v>
      </c>
      <c r="I2556" s="1" t="b">
        <v>0</v>
      </c>
      <c r="K2556" s="10">
        <f t="shared" si="197"/>
        <v>209.29000000009546</v>
      </c>
      <c r="L2556" s="1" t="str">
        <f t="shared" si="198"/>
        <v>OK</v>
      </c>
      <c r="M2556" s="1">
        <f t="shared" si="195"/>
        <v>1</v>
      </c>
      <c r="N2556" s="1">
        <f t="shared" si="196"/>
        <v>150</v>
      </c>
      <c r="O2556" s="10">
        <f t="shared" si="199"/>
        <v>209.29000000009546</v>
      </c>
    </row>
    <row r="2557" spans="1:15">
      <c r="A2557" s="1" t="s">
        <v>2662</v>
      </c>
      <c r="B2557" s="23">
        <v>45185.354861111111</v>
      </c>
      <c r="C2557" s="1" t="s">
        <v>43</v>
      </c>
      <c r="D2557" s="1" t="s">
        <v>12</v>
      </c>
      <c r="E2557" s="1" t="s">
        <v>33</v>
      </c>
      <c r="F2557" s="1" t="s">
        <v>162</v>
      </c>
      <c r="G2557" s="1">
        <v>187</v>
      </c>
      <c r="H2557" s="23">
        <v>45189.365173611113</v>
      </c>
      <c r="I2557" s="1" t="b">
        <v>0</v>
      </c>
      <c r="K2557" s="10">
        <f t="shared" si="197"/>
        <v>96.247500000055879</v>
      </c>
      <c r="L2557" s="1" t="str">
        <f t="shared" si="198"/>
        <v>OK</v>
      </c>
      <c r="M2557" s="1">
        <f t="shared" si="195"/>
        <v>1</v>
      </c>
      <c r="N2557" s="1">
        <f t="shared" si="196"/>
        <v>187</v>
      </c>
      <c r="O2557" s="10">
        <f t="shared" si="199"/>
        <v>96.247500000055879</v>
      </c>
    </row>
    <row r="2558" spans="1:15">
      <c r="A2558" s="1" t="s">
        <v>2663</v>
      </c>
      <c r="B2558" s="23">
        <v>45185.459722222222</v>
      </c>
      <c r="C2558" s="1" t="s">
        <v>16</v>
      </c>
      <c r="D2558" s="1" t="s">
        <v>17</v>
      </c>
      <c r="E2558" s="1" t="s">
        <v>13</v>
      </c>
      <c r="F2558" s="1" t="s">
        <v>48</v>
      </c>
      <c r="G2558" s="1">
        <v>24</v>
      </c>
      <c r="H2558" s="23">
        <v>45186.163761574076</v>
      </c>
      <c r="I2558" s="1" t="b">
        <v>0</v>
      </c>
      <c r="K2558" s="10">
        <f t="shared" si="197"/>
        <v>16.896944444510154</v>
      </c>
      <c r="L2558" s="1" t="str">
        <f t="shared" si="198"/>
        <v>OK</v>
      </c>
      <c r="M2558" s="1">
        <f t="shared" si="195"/>
        <v>1</v>
      </c>
      <c r="N2558" s="1">
        <f t="shared" si="196"/>
        <v>24</v>
      </c>
      <c r="O2558" s="10">
        <f t="shared" si="199"/>
        <v>16.896944444510154</v>
      </c>
    </row>
    <row r="2559" spans="1:15">
      <c r="A2559" s="1" t="s">
        <v>2664</v>
      </c>
      <c r="B2559" s="23">
        <v>45185.520138888889</v>
      </c>
      <c r="C2559" s="1" t="s">
        <v>16</v>
      </c>
      <c r="D2559" s="1" t="s">
        <v>21</v>
      </c>
      <c r="E2559" s="1" t="s">
        <v>18</v>
      </c>
      <c r="F2559" s="1" t="s">
        <v>128</v>
      </c>
      <c r="G2559" s="1">
        <v>56</v>
      </c>
      <c r="H2559" s="23">
        <v>45187.111597222225</v>
      </c>
      <c r="I2559" s="1" t="b">
        <v>0</v>
      </c>
      <c r="J2559" s="1">
        <v>4</v>
      </c>
      <c r="K2559" s="10">
        <f t="shared" si="197"/>
        <v>38.195000000065193</v>
      </c>
      <c r="L2559" s="1" t="str">
        <f t="shared" si="198"/>
        <v>OK</v>
      </c>
      <c r="M2559" s="1">
        <f t="shared" si="195"/>
        <v>1</v>
      </c>
      <c r="N2559" s="1">
        <f t="shared" si="196"/>
        <v>56</v>
      </c>
      <c r="O2559" s="10">
        <f t="shared" si="199"/>
        <v>38.195000000065193</v>
      </c>
    </row>
    <row r="2560" spans="1:15">
      <c r="A2560" s="1" t="s">
        <v>2665</v>
      </c>
      <c r="B2560" s="23">
        <v>45185.756944444445</v>
      </c>
      <c r="C2560" s="1" t="s">
        <v>16</v>
      </c>
      <c r="D2560" s="1" t="s">
        <v>59</v>
      </c>
      <c r="E2560" s="1" t="s">
        <v>33</v>
      </c>
      <c r="F2560" s="1" t="s">
        <v>88</v>
      </c>
      <c r="G2560" s="1">
        <v>92</v>
      </c>
      <c r="H2560" s="23">
        <v>45188.802106481482</v>
      </c>
      <c r="I2560" s="1" t="b">
        <v>0</v>
      </c>
      <c r="J2560" s="1">
        <v>4</v>
      </c>
      <c r="K2560" s="10">
        <f t="shared" si="197"/>
        <v>73.083888888882939</v>
      </c>
      <c r="L2560" s="1" t="str">
        <f t="shared" si="198"/>
        <v>OK</v>
      </c>
      <c r="M2560" s="1">
        <f t="shared" si="195"/>
        <v>1</v>
      </c>
      <c r="N2560" s="1">
        <f t="shared" si="196"/>
        <v>92</v>
      </c>
      <c r="O2560" s="10">
        <f t="shared" si="199"/>
        <v>73.083888888882939</v>
      </c>
    </row>
    <row r="2561" spans="1:15">
      <c r="A2561" s="1" t="s">
        <v>2666</v>
      </c>
      <c r="B2561" s="23">
        <v>45185.774305555555</v>
      </c>
      <c r="C2561" s="1" t="s">
        <v>43</v>
      </c>
      <c r="D2561" s="1" t="s">
        <v>21</v>
      </c>
      <c r="E2561" s="1" t="s">
        <v>18</v>
      </c>
      <c r="F2561" s="1" t="s">
        <v>148</v>
      </c>
      <c r="G2561" s="1">
        <v>341</v>
      </c>
      <c r="H2561" s="23">
        <v>45186.295613425929</v>
      </c>
      <c r="I2561" s="1" t="b">
        <v>0</v>
      </c>
      <c r="J2561" s="1">
        <v>5</v>
      </c>
      <c r="K2561" s="10">
        <f t="shared" si="197"/>
        <v>12.511388888990041</v>
      </c>
      <c r="L2561" s="1" t="str">
        <f t="shared" si="198"/>
        <v>OK</v>
      </c>
      <c r="M2561" s="1">
        <f t="shared" si="195"/>
        <v>1</v>
      </c>
      <c r="N2561" s="1">
        <f t="shared" si="196"/>
        <v>341</v>
      </c>
      <c r="O2561" s="10">
        <f t="shared" si="199"/>
        <v>12.511388888990041</v>
      </c>
    </row>
    <row r="2562" spans="1:15">
      <c r="A2562" s="1" t="s">
        <v>2667</v>
      </c>
      <c r="B2562" s="23">
        <v>45185.87222222222</v>
      </c>
      <c r="C2562" s="1" t="s">
        <v>25</v>
      </c>
      <c r="D2562" s="1" t="s">
        <v>17</v>
      </c>
      <c r="E2562" s="1" t="s">
        <v>13</v>
      </c>
      <c r="F2562" s="1" t="s">
        <v>237</v>
      </c>
      <c r="G2562" s="1">
        <v>171</v>
      </c>
      <c r="I2562" s="1" t="b">
        <v>0</v>
      </c>
      <c r="K2562" s="10" t="str">
        <f t="shared" si="197"/>
        <v/>
      </c>
      <c r="L2562" s="1" t="str">
        <f t="shared" si="198"/>
        <v>Cannot check</v>
      </c>
      <c r="M2562" s="1">
        <f t="shared" ref="M2562:M2625" si="200">COUNTIF($A$2:$A$4001,A2562)</f>
        <v>1</v>
      </c>
      <c r="N2562" s="1">
        <f t="shared" ref="N2562:N2625" si="201">IF(OR(L2562="Review",G2562=""),"",G2562)</f>
        <v>171</v>
      </c>
      <c r="O2562" s="10" t="str">
        <f t="shared" si="199"/>
        <v/>
      </c>
    </row>
    <row r="2563" spans="1:15">
      <c r="A2563" s="1" t="s">
        <v>2668</v>
      </c>
      <c r="B2563" s="23">
        <v>45185.9375</v>
      </c>
      <c r="C2563" s="1" t="s">
        <v>25</v>
      </c>
      <c r="D2563" s="1" t="s">
        <v>21</v>
      </c>
      <c r="E2563" s="1" t="s">
        <v>13</v>
      </c>
      <c r="F2563" s="1" t="s">
        <v>486</v>
      </c>
      <c r="G2563" s="1">
        <v>306</v>
      </c>
      <c r="H2563" s="23">
        <v>45189.33394675926</v>
      </c>
      <c r="I2563" s="1" t="b">
        <v>0</v>
      </c>
      <c r="K2563" s="10">
        <f t="shared" ref="K2563:K2626" si="202">IF(H2563="","",(H2563-B2563)*24)</f>
        <v>81.514722222229466</v>
      </c>
      <c r="L2563" s="1" t="str">
        <f t="shared" ref="L2563:L2626" si="203">IF(OR(G2563="",K2563=""),"Cannot check",IF(G2563&gt;K2563*60,"Review","OK"))</f>
        <v>OK</v>
      </c>
      <c r="M2563" s="1">
        <f t="shared" si="200"/>
        <v>1</v>
      </c>
      <c r="N2563" s="1">
        <f t="shared" si="201"/>
        <v>306</v>
      </c>
      <c r="O2563" s="10">
        <f t="shared" ref="O2563:O2626" si="204">IF(OR(L2563="Review",K2563=""),"",K2563)</f>
        <v>81.514722222229466</v>
      </c>
    </row>
    <row r="2564" spans="1:15">
      <c r="A2564" s="1" t="s">
        <v>2669</v>
      </c>
      <c r="B2564" s="23">
        <v>45185.948611111111</v>
      </c>
      <c r="C2564" s="1" t="s">
        <v>16</v>
      </c>
      <c r="D2564" s="1" t="s">
        <v>21</v>
      </c>
      <c r="E2564" s="1" t="s">
        <v>18</v>
      </c>
      <c r="F2564" s="1" t="s">
        <v>239</v>
      </c>
      <c r="G2564" s="1">
        <v>271</v>
      </c>
      <c r="H2564" s="23">
        <v>45191.011041666665</v>
      </c>
      <c r="I2564" s="1" t="b">
        <v>1</v>
      </c>
      <c r="K2564" s="10">
        <f t="shared" si="202"/>
        <v>121.49833333329298</v>
      </c>
      <c r="L2564" s="1" t="str">
        <f t="shared" si="203"/>
        <v>OK</v>
      </c>
      <c r="M2564" s="1">
        <f t="shared" si="200"/>
        <v>1</v>
      </c>
      <c r="N2564" s="1">
        <f t="shared" si="201"/>
        <v>271</v>
      </c>
      <c r="O2564" s="10">
        <f t="shared" si="204"/>
        <v>121.49833333329298</v>
      </c>
    </row>
    <row r="2565" spans="1:15">
      <c r="A2565" s="1" t="s">
        <v>2670</v>
      </c>
      <c r="B2565" s="23">
        <v>45185.975694444445</v>
      </c>
      <c r="C2565" s="1" t="s">
        <v>25</v>
      </c>
      <c r="D2565" s="1" t="s">
        <v>26</v>
      </c>
      <c r="E2565" s="1" t="s">
        <v>18</v>
      </c>
      <c r="F2565" s="1" t="s">
        <v>116</v>
      </c>
      <c r="G2565" s="1">
        <v>162</v>
      </c>
      <c r="I2565" s="1" t="b">
        <v>0</v>
      </c>
      <c r="K2565" s="10" t="str">
        <f t="shared" si="202"/>
        <v/>
      </c>
      <c r="L2565" s="1" t="str">
        <f t="shared" si="203"/>
        <v>Cannot check</v>
      </c>
      <c r="M2565" s="1">
        <f t="shared" si="200"/>
        <v>1</v>
      </c>
      <c r="N2565" s="1">
        <f t="shared" si="201"/>
        <v>162</v>
      </c>
      <c r="O2565" s="10" t="str">
        <f t="shared" si="204"/>
        <v/>
      </c>
    </row>
    <row r="2566" spans="1:15">
      <c r="A2566" s="1" t="s">
        <v>2671</v>
      </c>
      <c r="B2566" s="23">
        <v>45186.147916666669</v>
      </c>
      <c r="C2566" s="1" t="s">
        <v>11</v>
      </c>
      <c r="D2566" s="1" t="s">
        <v>17</v>
      </c>
      <c r="E2566" s="1" t="s">
        <v>18</v>
      </c>
      <c r="F2566" s="1" t="s">
        <v>90</v>
      </c>
      <c r="G2566" s="1">
        <v>424</v>
      </c>
      <c r="H2566" s="23">
        <v>45186.863298611112</v>
      </c>
      <c r="I2566" s="1" t="b">
        <v>0</v>
      </c>
      <c r="K2566" s="10">
        <f t="shared" si="202"/>
        <v>17.16916666663019</v>
      </c>
      <c r="L2566" s="1" t="str">
        <f t="shared" si="203"/>
        <v>OK</v>
      </c>
      <c r="M2566" s="1">
        <f t="shared" si="200"/>
        <v>1</v>
      </c>
      <c r="N2566" s="1">
        <f t="shared" si="201"/>
        <v>424</v>
      </c>
      <c r="O2566" s="10">
        <f t="shared" si="204"/>
        <v>17.16916666663019</v>
      </c>
    </row>
    <row r="2567" spans="1:15">
      <c r="A2567" s="1" t="s">
        <v>2672</v>
      </c>
      <c r="B2567" s="23">
        <v>45186.216666666667</v>
      </c>
      <c r="C2567" s="1" t="s">
        <v>16</v>
      </c>
      <c r="D2567" s="1" t="s">
        <v>17</v>
      </c>
      <c r="E2567" s="1" t="s">
        <v>18</v>
      </c>
      <c r="F2567" s="1" t="s">
        <v>326</v>
      </c>
      <c r="G2567" s="1">
        <v>271</v>
      </c>
      <c r="H2567" s="23">
        <v>45187.577743055554</v>
      </c>
      <c r="I2567" s="1" t="b">
        <v>0</v>
      </c>
      <c r="K2567" s="10">
        <f t="shared" si="202"/>
        <v>32.66583333327435</v>
      </c>
      <c r="L2567" s="1" t="str">
        <f t="shared" si="203"/>
        <v>OK</v>
      </c>
      <c r="M2567" s="1">
        <f t="shared" si="200"/>
        <v>1</v>
      </c>
      <c r="N2567" s="1">
        <f t="shared" si="201"/>
        <v>271</v>
      </c>
      <c r="O2567" s="10">
        <f t="shared" si="204"/>
        <v>32.66583333327435</v>
      </c>
    </row>
    <row r="2568" spans="1:15">
      <c r="A2568" s="1" t="s">
        <v>2673</v>
      </c>
      <c r="B2568" s="23">
        <v>45186.274305555555</v>
      </c>
      <c r="C2568" s="1" t="s">
        <v>25</v>
      </c>
      <c r="D2568" s="1" t="s">
        <v>12</v>
      </c>
      <c r="E2568" s="1" t="s">
        <v>18</v>
      </c>
      <c r="F2568" s="1" t="s">
        <v>110</v>
      </c>
      <c r="G2568" s="1">
        <v>92</v>
      </c>
      <c r="H2568" s="23">
        <v>45187.433263888888</v>
      </c>
      <c r="I2568" s="1" t="b">
        <v>0</v>
      </c>
      <c r="J2568" s="1">
        <v>5</v>
      </c>
      <c r="K2568" s="10">
        <f t="shared" si="202"/>
        <v>27.815000000002328</v>
      </c>
      <c r="L2568" s="1" t="str">
        <f t="shared" si="203"/>
        <v>OK</v>
      </c>
      <c r="M2568" s="1">
        <f t="shared" si="200"/>
        <v>1</v>
      </c>
      <c r="N2568" s="1">
        <f t="shared" si="201"/>
        <v>92</v>
      </c>
      <c r="O2568" s="10">
        <f t="shared" si="204"/>
        <v>27.815000000002328</v>
      </c>
    </row>
    <row r="2569" spans="1:15">
      <c r="A2569" s="1" t="s">
        <v>2674</v>
      </c>
      <c r="B2569" s="23">
        <v>45186.390972222223</v>
      </c>
      <c r="C2569" s="1" t="s">
        <v>16</v>
      </c>
      <c r="D2569" s="1" t="s">
        <v>17</v>
      </c>
      <c r="E2569" s="1" t="s">
        <v>18</v>
      </c>
      <c r="F2569" s="1" t="s">
        <v>19</v>
      </c>
      <c r="G2569" s="1">
        <v>25</v>
      </c>
      <c r="H2569" s="23">
        <v>45188.592430555553</v>
      </c>
      <c r="I2569" s="1" t="b">
        <v>0</v>
      </c>
      <c r="J2569" s="1">
        <v>3</v>
      </c>
      <c r="K2569" s="10">
        <f t="shared" si="202"/>
        <v>52.834999999904539</v>
      </c>
      <c r="L2569" s="1" t="str">
        <f t="shared" si="203"/>
        <v>OK</v>
      </c>
      <c r="M2569" s="1">
        <f t="shared" si="200"/>
        <v>1</v>
      </c>
      <c r="N2569" s="1">
        <f t="shared" si="201"/>
        <v>25</v>
      </c>
      <c r="O2569" s="10">
        <f t="shared" si="204"/>
        <v>52.834999999904539</v>
      </c>
    </row>
    <row r="2570" spans="1:15">
      <c r="A2570" s="1" t="s">
        <v>2675</v>
      </c>
      <c r="B2570" s="23">
        <v>45186.722916666666</v>
      </c>
      <c r="C2570" s="1" t="s">
        <v>11</v>
      </c>
      <c r="D2570" s="1" t="s">
        <v>12</v>
      </c>
      <c r="E2570" s="1" t="s">
        <v>18</v>
      </c>
      <c r="F2570" s="1" t="s">
        <v>228</v>
      </c>
      <c r="G2570" s="1">
        <v>215</v>
      </c>
      <c r="H2570" s="23">
        <v>45188.500474537039</v>
      </c>
      <c r="I2570" s="1" t="b">
        <v>0</v>
      </c>
      <c r="J2570" s="1">
        <v>4</v>
      </c>
      <c r="K2570" s="10">
        <f t="shared" si="202"/>
        <v>42.661388888955116</v>
      </c>
      <c r="L2570" s="1" t="str">
        <f t="shared" si="203"/>
        <v>OK</v>
      </c>
      <c r="M2570" s="1">
        <f t="shared" si="200"/>
        <v>1</v>
      </c>
      <c r="N2570" s="1">
        <f t="shared" si="201"/>
        <v>215</v>
      </c>
      <c r="O2570" s="10">
        <f t="shared" si="204"/>
        <v>42.661388888955116</v>
      </c>
    </row>
    <row r="2571" spans="1:15">
      <c r="A2571" s="1" t="s">
        <v>2676</v>
      </c>
      <c r="B2571" s="23">
        <v>45186.790277777778</v>
      </c>
      <c r="C2571" s="1" t="s">
        <v>25</v>
      </c>
      <c r="D2571" s="1" t="s">
        <v>59</v>
      </c>
      <c r="E2571" s="1" t="s">
        <v>18</v>
      </c>
      <c r="F2571" s="1" t="s">
        <v>29</v>
      </c>
      <c r="G2571" s="1">
        <v>50</v>
      </c>
      <c r="H2571" s="23">
        <v>45187.118842592594</v>
      </c>
      <c r="I2571" s="1" t="b">
        <v>0</v>
      </c>
      <c r="J2571" s="1">
        <v>5</v>
      </c>
      <c r="K2571" s="10">
        <f t="shared" si="202"/>
        <v>7.8855555555783212</v>
      </c>
      <c r="L2571" s="1" t="str">
        <f t="shared" si="203"/>
        <v>OK</v>
      </c>
      <c r="M2571" s="1">
        <f t="shared" si="200"/>
        <v>1</v>
      </c>
      <c r="N2571" s="1">
        <f t="shared" si="201"/>
        <v>50</v>
      </c>
      <c r="O2571" s="10">
        <f t="shared" si="204"/>
        <v>7.8855555555783212</v>
      </c>
    </row>
    <row r="2572" spans="1:15">
      <c r="A2572" s="1" t="s">
        <v>2677</v>
      </c>
      <c r="B2572" s="23">
        <v>45186.974999999999</v>
      </c>
      <c r="C2572" s="1" t="s">
        <v>25</v>
      </c>
      <c r="D2572" s="1" t="s">
        <v>21</v>
      </c>
      <c r="E2572" s="1" t="s">
        <v>13</v>
      </c>
      <c r="F2572" s="1" t="s">
        <v>46</v>
      </c>
      <c r="G2572" s="1">
        <v>37</v>
      </c>
      <c r="H2572" s="23">
        <v>45187.231099537035</v>
      </c>
      <c r="I2572" s="1" t="b">
        <v>0</v>
      </c>
      <c r="K2572" s="10">
        <f t="shared" si="202"/>
        <v>6.1463888888829388</v>
      </c>
      <c r="L2572" s="1" t="str">
        <f t="shared" si="203"/>
        <v>OK</v>
      </c>
      <c r="M2572" s="1">
        <f t="shared" si="200"/>
        <v>1</v>
      </c>
      <c r="N2572" s="1">
        <f t="shared" si="201"/>
        <v>37</v>
      </c>
      <c r="O2572" s="10">
        <f t="shared" si="204"/>
        <v>6.1463888888829388</v>
      </c>
    </row>
    <row r="2573" spans="1:15">
      <c r="A2573" s="1" t="s">
        <v>2678</v>
      </c>
      <c r="B2573" s="23">
        <v>45187.095138888886</v>
      </c>
      <c r="C2573" s="1" t="s">
        <v>25</v>
      </c>
      <c r="D2573" s="1" t="s">
        <v>21</v>
      </c>
      <c r="E2573" s="1" t="s">
        <v>13</v>
      </c>
      <c r="F2573" s="1" t="s">
        <v>274</v>
      </c>
      <c r="G2573" s="1">
        <v>141</v>
      </c>
      <c r="H2573" s="23">
        <v>45187.530868055554</v>
      </c>
      <c r="I2573" s="1" t="b">
        <v>0</v>
      </c>
      <c r="K2573" s="10">
        <f t="shared" si="202"/>
        <v>10.457500000018626</v>
      </c>
      <c r="L2573" s="1" t="str">
        <f t="shared" si="203"/>
        <v>OK</v>
      </c>
      <c r="M2573" s="1">
        <f t="shared" si="200"/>
        <v>1</v>
      </c>
      <c r="N2573" s="1">
        <f t="shared" si="201"/>
        <v>141</v>
      </c>
      <c r="O2573" s="10">
        <f t="shared" si="204"/>
        <v>10.457500000018626</v>
      </c>
    </row>
    <row r="2574" spans="1:15">
      <c r="A2574" s="1" t="s">
        <v>2679</v>
      </c>
      <c r="B2574" s="23">
        <v>45187.719444444447</v>
      </c>
      <c r="C2574" s="1" t="s">
        <v>16</v>
      </c>
      <c r="D2574" s="1" t="s">
        <v>17</v>
      </c>
      <c r="E2574" s="1" t="s">
        <v>13</v>
      </c>
      <c r="F2574" s="1" t="s">
        <v>76</v>
      </c>
      <c r="G2574" s="1">
        <v>96</v>
      </c>
      <c r="H2574" s="23">
        <v>45188.416643518518</v>
      </c>
      <c r="I2574" s="1" t="b">
        <v>0</v>
      </c>
      <c r="J2574" s="1">
        <v>5</v>
      </c>
      <c r="K2574" s="10">
        <f t="shared" si="202"/>
        <v>16.732777777709998</v>
      </c>
      <c r="L2574" s="1" t="str">
        <f t="shared" si="203"/>
        <v>OK</v>
      </c>
      <c r="M2574" s="1">
        <f t="shared" si="200"/>
        <v>1</v>
      </c>
      <c r="N2574" s="1">
        <f t="shared" si="201"/>
        <v>96</v>
      </c>
      <c r="O2574" s="10">
        <f t="shared" si="204"/>
        <v>16.732777777709998</v>
      </c>
    </row>
    <row r="2575" spans="1:15">
      <c r="A2575" s="1" t="s">
        <v>2680</v>
      </c>
      <c r="B2575" s="23">
        <v>45187.771527777775</v>
      </c>
      <c r="C2575" s="1" t="s">
        <v>11</v>
      </c>
      <c r="D2575" s="1" t="s">
        <v>21</v>
      </c>
      <c r="E2575" s="1" t="s">
        <v>18</v>
      </c>
      <c r="F2575" s="1" t="s">
        <v>148</v>
      </c>
      <c r="G2575" s="1">
        <v>55</v>
      </c>
      <c r="H2575" s="23">
        <v>45188.234375</v>
      </c>
      <c r="I2575" s="1" t="b">
        <v>0</v>
      </c>
      <c r="J2575" s="1">
        <v>4</v>
      </c>
      <c r="K2575" s="10">
        <f t="shared" si="202"/>
        <v>11.108333333395422</v>
      </c>
      <c r="L2575" s="1" t="str">
        <f t="shared" si="203"/>
        <v>OK</v>
      </c>
      <c r="M2575" s="1">
        <f t="shared" si="200"/>
        <v>1</v>
      </c>
      <c r="N2575" s="1">
        <f t="shared" si="201"/>
        <v>55</v>
      </c>
      <c r="O2575" s="10">
        <f t="shared" si="204"/>
        <v>11.108333333395422</v>
      </c>
    </row>
    <row r="2576" spans="1:15">
      <c r="A2576" s="1" t="s">
        <v>2681</v>
      </c>
      <c r="B2576" s="23">
        <v>45187.773611111108</v>
      </c>
      <c r="C2576" s="1" t="s">
        <v>16</v>
      </c>
      <c r="D2576" s="1" t="s">
        <v>21</v>
      </c>
      <c r="E2576" s="1" t="s">
        <v>18</v>
      </c>
      <c r="F2576" s="1" t="s">
        <v>64</v>
      </c>
      <c r="G2576" s="1">
        <v>70</v>
      </c>
      <c r="H2576" s="23">
        <v>45187.883611111109</v>
      </c>
      <c r="I2576" s="1" t="b">
        <v>1</v>
      </c>
      <c r="K2576" s="10">
        <f t="shared" si="202"/>
        <v>2.6400000000139698</v>
      </c>
      <c r="L2576" s="1" t="str">
        <f t="shared" si="203"/>
        <v>OK</v>
      </c>
      <c r="M2576" s="1">
        <f t="shared" si="200"/>
        <v>1</v>
      </c>
      <c r="N2576" s="1">
        <f t="shared" si="201"/>
        <v>70</v>
      </c>
      <c r="O2576" s="10">
        <f t="shared" si="204"/>
        <v>2.6400000000139698</v>
      </c>
    </row>
    <row r="2577" spans="1:15">
      <c r="A2577" s="1" t="s">
        <v>2682</v>
      </c>
      <c r="B2577" s="23">
        <v>45188.072222222225</v>
      </c>
      <c r="C2577" s="1" t="s">
        <v>25</v>
      </c>
      <c r="D2577" s="1" t="s">
        <v>17</v>
      </c>
      <c r="E2577" s="1" t="s">
        <v>33</v>
      </c>
      <c r="F2577" s="1" t="s">
        <v>64</v>
      </c>
      <c r="G2577" s="1">
        <v>450</v>
      </c>
      <c r="H2577" s="23">
        <v>45205.535034722219</v>
      </c>
      <c r="I2577" s="1" t="b">
        <v>0</v>
      </c>
      <c r="K2577" s="10">
        <f t="shared" si="202"/>
        <v>419.10749999986729</v>
      </c>
      <c r="L2577" s="1" t="str">
        <f t="shared" si="203"/>
        <v>OK</v>
      </c>
      <c r="M2577" s="1">
        <f t="shared" si="200"/>
        <v>1</v>
      </c>
      <c r="N2577" s="1">
        <f t="shared" si="201"/>
        <v>450</v>
      </c>
      <c r="O2577" s="10">
        <f t="shared" si="204"/>
        <v>419.10749999986729</v>
      </c>
    </row>
    <row r="2578" spans="1:15">
      <c r="A2578" s="1" t="s">
        <v>2683</v>
      </c>
      <c r="B2578" s="23">
        <v>45188.26458333333</v>
      </c>
      <c r="C2578" s="1" t="s">
        <v>16</v>
      </c>
      <c r="D2578" s="1" t="s">
        <v>17</v>
      </c>
      <c r="E2578" s="1" t="s">
        <v>18</v>
      </c>
      <c r="F2578" s="1" t="s">
        <v>66</v>
      </c>
      <c r="G2578" s="1">
        <v>66</v>
      </c>
      <c r="H2578" s="23">
        <v>45197.464328703703</v>
      </c>
      <c r="I2578" s="1" t="b">
        <v>0</v>
      </c>
      <c r="K2578" s="10">
        <f t="shared" si="202"/>
        <v>220.7938888889621</v>
      </c>
      <c r="L2578" s="1" t="str">
        <f t="shared" si="203"/>
        <v>OK</v>
      </c>
      <c r="M2578" s="1">
        <f t="shared" si="200"/>
        <v>1</v>
      </c>
      <c r="N2578" s="1">
        <f t="shared" si="201"/>
        <v>66</v>
      </c>
      <c r="O2578" s="10">
        <f t="shared" si="204"/>
        <v>220.7938888889621</v>
      </c>
    </row>
    <row r="2579" spans="1:15">
      <c r="A2579" s="1" t="s">
        <v>2684</v>
      </c>
      <c r="B2579" s="23">
        <v>45188.305555555555</v>
      </c>
      <c r="C2579" s="1" t="s">
        <v>16</v>
      </c>
      <c r="D2579" s="1" t="s">
        <v>26</v>
      </c>
      <c r="E2579" s="1" t="s">
        <v>18</v>
      </c>
      <c r="F2579" s="1" t="s">
        <v>14</v>
      </c>
      <c r="G2579" s="1">
        <v>23</v>
      </c>
      <c r="H2579" s="23">
        <v>45199.148090277777</v>
      </c>
      <c r="I2579" s="1" t="b">
        <v>0</v>
      </c>
      <c r="K2579" s="10">
        <f t="shared" si="202"/>
        <v>260.22083333332557</v>
      </c>
      <c r="L2579" s="1" t="str">
        <f t="shared" si="203"/>
        <v>OK</v>
      </c>
      <c r="M2579" s="1">
        <f t="shared" si="200"/>
        <v>1</v>
      </c>
      <c r="N2579" s="1">
        <f t="shared" si="201"/>
        <v>23</v>
      </c>
      <c r="O2579" s="10">
        <f t="shared" si="204"/>
        <v>260.22083333332557</v>
      </c>
    </row>
    <row r="2580" spans="1:15">
      <c r="A2580" s="1" t="s">
        <v>2685</v>
      </c>
      <c r="B2580" s="23">
        <v>45188.466666666667</v>
      </c>
      <c r="C2580" s="1" t="s">
        <v>11</v>
      </c>
      <c r="D2580" s="1" t="s">
        <v>12</v>
      </c>
      <c r="E2580" s="1" t="s">
        <v>22</v>
      </c>
      <c r="F2580" s="1" t="s">
        <v>326</v>
      </c>
      <c r="G2580" s="1">
        <v>21</v>
      </c>
      <c r="H2580" s="23">
        <v>45188.539155092592</v>
      </c>
      <c r="I2580" s="1" t="b">
        <v>0</v>
      </c>
      <c r="K2580" s="10">
        <f t="shared" si="202"/>
        <v>1.7397222222061828</v>
      </c>
      <c r="L2580" s="1" t="str">
        <f t="shared" si="203"/>
        <v>OK</v>
      </c>
      <c r="M2580" s="1">
        <f t="shared" si="200"/>
        <v>1</v>
      </c>
      <c r="N2580" s="1">
        <f t="shared" si="201"/>
        <v>21</v>
      </c>
      <c r="O2580" s="10">
        <f t="shared" si="204"/>
        <v>1.7397222222061828</v>
      </c>
    </row>
    <row r="2581" spans="1:15">
      <c r="A2581" s="1" t="s">
        <v>2686</v>
      </c>
      <c r="B2581" s="23">
        <v>45188.520138888889</v>
      </c>
      <c r="C2581" s="1" t="s">
        <v>16</v>
      </c>
      <c r="D2581" s="1" t="s">
        <v>21</v>
      </c>
      <c r="E2581" s="1" t="s">
        <v>22</v>
      </c>
      <c r="F2581" s="1" t="s">
        <v>186</v>
      </c>
      <c r="G2581" s="1">
        <v>32</v>
      </c>
      <c r="H2581" s="23">
        <v>45188.649594907409</v>
      </c>
      <c r="I2581" s="1" t="b">
        <v>0</v>
      </c>
      <c r="K2581" s="10">
        <f t="shared" si="202"/>
        <v>3.1069444444729015</v>
      </c>
      <c r="L2581" s="1" t="str">
        <f t="shared" si="203"/>
        <v>OK</v>
      </c>
      <c r="M2581" s="1">
        <f t="shared" si="200"/>
        <v>1</v>
      </c>
      <c r="N2581" s="1">
        <f t="shared" si="201"/>
        <v>32</v>
      </c>
      <c r="O2581" s="10">
        <f t="shared" si="204"/>
        <v>3.1069444444729015</v>
      </c>
    </row>
    <row r="2582" spans="1:15">
      <c r="A2582" s="1" t="s">
        <v>2687</v>
      </c>
      <c r="B2582" s="23">
        <v>45188.668055555558</v>
      </c>
      <c r="C2582" s="1" t="s">
        <v>16</v>
      </c>
      <c r="D2582" s="1" t="s">
        <v>21</v>
      </c>
      <c r="E2582" s="1" t="s">
        <v>18</v>
      </c>
      <c r="F2582" s="1" t="s">
        <v>70</v>
      </c>
      <c r="G2582" s="1">
        <v>89</v>
      </c>
      <c r="H2582" s="23">
        <v>45190.176354166666</v>
      </c>
      <c r="I2582" s="1" t="b">
        <v>0</v>
      </c>
      <c r="K2582" s="10">
        <f t="shared" si="202"/>
        <v>36.199166666599922</v>
      </c>
      <c r="L2582" s="1" t="str">
        <f t="shared" si="203"/>
        <v>OK</v>
      </c>
      <c r="M2582" s="1">
        <f t="shared" si="200"/>
        <v>1</v>
      </c>
      <c r="N2582" s="1">
        <f t="shared" si="201"/>
        <v>89</v>
      </c>
      <c r="O2582" s="10">
        <f t="shared" si="204"/>
        <v>36.199166666599922</v>
      </c>
    </row>
    <row r="2583" spans="1:15">
      <c r="A2583" s="1" t="s">
        <v>2688</v>
      </c>
      <c r="B2583" s="23">
        <v>45188.770138888889</v>
      </c>
      <c r="C2583" s="1" t="s">
        <v>11</v>
      </c>
      <c r="D2583" s="1" t="s">
        <v>17</v>
      </c>
      <c r="E2583" s="1" t="s">
        <v>33</v>
      </c>
      <c r="F2583" s="1" t="s">
        <v>68</v>
      </c>
      <c r="H2583" s="23">
        <v>45194.561712962961</v>
      </c>
      <c r="I2583" s="1" t="b">
        <v>1</v>
      </c>
      <c r="K2583" s="10">
        <f t="shared" si="202"/>
        <v>138.99777777772397</v>
      </c>
      <c r="L2583" s="1" t="str">
        <f t="shared" si="203"/>
        <v>Cannot check</v>
      </c>
      <c r="M2583" s="1">
        <f t="shared" si="200"/>
        <v>1</v>
      </c>
      <c r="N2583" s="1" t="str">
        <f t="shared" si="201"/>
        <v/>
      </c>
      <c r="O2583" s="10">
        <f t="shared" si="204"/>
        <v>138.99777777772397</v>
      </c>
    </row>
    <row r="2584" spans="1:15">
      <c r="A2584" s="1" t="s">
        <v>2689</v>
      </c>
      <c r="B2584" s="23">
        <v>45188.851388888892</v>
      </c>
      <c r="C2584" s="1" t="s">
        <v>16</v>
      </c>
      <c r="D2584" s="1" t="s">
        <v>21</v>
      </c>
      <c r="E2584" s="1" t="s">
        <v>22</v>
      </c>
      <c r="F2584" s="1" t="s">
        <v>392</v>
      </c>
      <c r="G2584" s="1">
        <v>25</v>
      </c>
      <c r="H2584" s="23">
        <v>45189.012650462966</v>
      </c>
      <c r="I2584" s="1" t="b">
        <v>0</v>
      </c>
      <c r="K2584" s="10">
        <f t="shared" si="202"/>
        <v>3.8702777777798474</v>
      </c>
      <c r="L2584" s="1" t="str">
        <f t="shared" si="203"/>
        <v>OK</v>
      </c>
      <c r="M2584" s="1">
        <f t="shared" si="200"/>
        <v>1</v>
      </c>
      <c r="N2584" s="1">
        <f t="shared" si="201"/>
        <v>25</v>
      </c>
      <c r="O2584" s="10">
        <f t="shared" si="204"/>
        <v>3.8702777777798474</v>
      </c>
    </row>
    <row r="2585" spans="1:15">
      <c r="A2585" s="1" t="s">
        <v>2690</v>
      </c>
      <c r="B2585" s="23">
        <v>45188.884722222225</v>
      </c>
      <c r="C2585" s="1" t="s">
        <v>25</v>
      </c>
      <c r="D2585" s="1" t="s">
        <v>21</v>
      </c>
      <c r="E2585" s="1" t="s">
        <v>18</v>
      </c>
      <c r="F2585" s="1" t="s">
        <v>46</v>
      </c>
      <c r="G2585" s="1">
        <v>70</v>
      </c>
      <c r="H2585" s="23">
        <v>45189.408310185187</v>
      </c>
      <c r="I2585" s="1" t="b">
        <v>0</v>
      </c>
      <c r="J2585" s="1">
        <v>4</v>
      </c>
      <c r="K2585" s="10">
        <f t="shared" si="202"/>
        <v>12.566111111082137</v>
      </c>
      <c r="L2585" s="1" t="str">
        <f t="shared" si="203"/>
        <v>OK</v>
      </c>
      <c r="M2585" s="1">
        <f t="shared" si="200"/>
        <v>1</v>
      </c>
      <c r="N2585" s="1">
        <f t="shared" si="201"/>
        <v>70</v>
      </c>
      <c r="O2585" s="10">
        <f t="shared" si="204"/>
        <v>12.566111111082137</v>
      </c>
    </row>
    <row r="2586" spans="1:15">
      <c r="A2586" s="1" t="s">
        <v>2691</v>
      </c>
      <c r="B2586" s="23">
        <v>45188.893055555556</v>
      </c>
      <c r="C2586" s="1" t="s">
        <v>16</v>
      </c>
      <c r="D2586" s="1" t="s">
        <v>26</v>
      </c>
      <c r="E2586" s="1" t="s">
        <v>18</v>
      </c>
      <c r="F2586" s="1" t="s">
        <v>52</v>
      </c>
      <c r="G2586" s="1">
        <v>756</v>
      </c>
      <c r="H2586" s="23">
        <v>45189.77783564815</v>
      </c>
      <c r="I2586" s="1" t="b">
        <v>0</v>
      </c>
      <c r="K2586" s="10">
        <f t="shared" si="202"/>
        <v>21.234722222259734</v>
      </c>
      <c r="L2586" s="1" t="str">
        <f t="shared" si="203"/>
        <v>OK</v>
      </c>
      <c r="M2586" s="1">
        <f t="shared" si="200"/>
        <v>1</v>
      </c>
      <c r="N2586" s="1">
        <f t="shared" si="201"/>
        <v>756</v>
      </c>
      <c r="O2586" s="10">
        <f t="shared" si="204"/>
        <v>21.234722222259734</v>
      </c>
    </row>
    <row r="2587" spans="1:15">
      <c r="A2587" s="1" t="s">
        <v>2692</v>
      </c>
      <c r="B2587" s="23">
        <v>45189.058333333334</v>
      </c>
      <c r="C2587" s="1" t="s">
        <v>16</v>
      </c>
      <c r="D2587" s="1" t="s">
        <v>17</v>
      </c>
      <c r="E2587" s="1" t="s">
        <v>18</v>
      </c>
      <c r="F2587" s="1" t="s">
        <v>226</v>
      </c>
      <c r="G2587" s="1">
        <v>303</v>
      </c>
      <c r="H2587" s="23">
        <v>45190.478449074071</v>
      </c>
      <c r="I2587" s="1" t="b">
        <v>0</v>
      </c>
      <c r="K2587" s="10">
        <f t="shared" si="202"/>
        <v>34.082777777686715</v>
      </c>
      <c r="L2587" s="1" t="str">
        <f t="shared" si="203"/>
        <v>OK</v>
      </c>
      <c r="M2587" s="1">
        <f t="shared" si="200"/>
        <v>1</v>
      </c>
      <c r="N2587" s="1">
        <f t="shared" si="201"/>
        <v>303</v>
      </c>
      <c r="O2587" s="10">
        <f t="shared" si="204"/>
        <v>34.082777777686715</v>
      </c>
    </row>
    <row r="2588" spans="1:15">
      <c r="A2588" s="1" t="s">
        <v>2693</v>
      </c>
      <c r="B2588" s="23">
        <v>45189.243750000001</v>
      </c>
      <c r="C2588" s="1" t="s">
        <v>16</v>
      </c>
      <c r="D2588" s="1" t="s">
        <v>12</v>
      </c>
      <c r="E2588" s="1" t="s">
        <v>18</v>
      </c>
      <c r="F2588" s="1" t="s">
        <v>44</v>
      </c>
      <c r="G2588" s="1">
        <v>67</v>
      </c>
      <c r="H2588" s="23">
        <v>45190.177465277775</v>
      </c>
      <c r="I2588" s="1" t="b">
        <v>0</v>
      </c>
      <c r="J2588" s="1">
        <v>2</v>
      </c>
      <c r="K2588" s="10">
        <f t="shared" si="202"/>
        <v>22.409166666562669</v>
      </c>
      <c r="L2588" s="1" t="str">
        <f t="shared" si="203"/>
        <v>OK</v>
      </c>
      <c r="M2588" s="1">
        <f t="shared" si="200"/>
        <v>1</v>
      </c>
      <c r="N2588" s="1">
        <f t="shared" si="201"/>
        <v>67</v>
      </c>
      <c r="O2588" s="10">
        <f t="shared" si="204"/>
        <v>22.409166666562669</v>
      </c>
    </row>
    <row r="2589" spans="1:15">
      <c r="A2589" s="1" t="s">
        <v>2694</v>
      </c>
      <c r="B2589" s="23">
        <v>45189.259722222225</v>
      </c>
      <c r="C2589" s="1" t="s">
        <v>25</v>
      </c>
      <c r="D2589" s="1" t="s">
        <v>26</v>
      </c>
      <c r="E2589" s="1" t="s">
        <v>18</v>
      </c>
      <c r="F2589" s="1" t="s">
        <v>239</v>
      </c>
      <c r="G2589" s="1">
        <v>79</v>
      </c>
      <c r="I2589" s="1" t="b">
        <v>0</v>
      </c>
      <c r="K2589" s="10" t="str">
        <f t="shared" si="202"/>
        <v/>
      </c>
      <c r="L2589" s="1" t="str">
        <f t="shared" si="203"/>
        <v>Cannot check</v>
      </c>
      <c r="M2589" s="1">
        <f t="shared" si="200"/>
        <v>1</v>
      </c>
      <c r="N2589" s="1">
        <f t="shared" si="201"/>
        <v>79</v>
      </c>
      <c r="O2589" s="10" t="str">
        <f t="shared" si="204"/>
        <v/>
      </c>
    </row>
    <row r="2590" spans="1:15">
      <c r="A2590" s="1" t="s">
        <v>2695</v>
      </c>
      <c r="B2590" s="23">
        <v>45189.342361111114</v>
      </c>
      <c r="C2590" s="1" t="s">
        <v>11</v>
      </c>
      <c r="D2590" s="1" t="s">
        <v>21</v>
      </c>
      <c r="E2590" s="1" t="s">
        <v>18</v>
      </c>
      <c r="F2590" s="1" t="s">
        <v>84</v>
      </c>
      <c r="G2590" s="1">
        <v>154</v>
      </c>
      <c r="H2590" s="23">
        <v>45195.92324074074</v>
      </c>
      <c r="I2590" s="1" t="b">
        <v>0</v>
      </c>
      <c r="J2590" s="1">
        <v>3</v>
      </c>
      <c r="K2590" s="10">
        <f t="shared" si="202"/>
        <v>157.94111111102393</v>
      </c>
      <c r="L2590" s="1" t="str">
        <f t="shared" si="203"/>
        <v>OK</v>
      </c>
      <c r="M2590" s="1">
        <f t="shared" si="200"/>
        <v>1</v>
      </c>
      <c r="N2590" s="1">
        <f t="shared" si="201"/>
        <v>154</v>
      </c>
      <c r="O2590" s="10">
        <f t="shared" si="204"/>
        <v>157.94111111102393</v>
      </c>
    </row>
    <row r="2591" spans="1:15">
      <c r="A2591" s="1" t="s">
        <v>2696</v>
      </c>
      <c r="B2591" s="23">
        <v>45189.351388888892</v>
      </c>
      <c r="C2591" s="1" t="s">
        <v>25</v>
      </c>
      <c r="D2591" s="1" t="s">
        <v>21</v>
      </c>
      <c r="E2591" s="1" t="s">
        <v>33</v>
      </c>
      <c r="F2591" s="1" t="s">
        <v>153</v>
      </c>
      <c r="G2591" s="1">
        <v>300</v>
      </c>
      <c r="H2591" s="23">
        <v>45193.10465277778</v>
      </c>
      <c r="I2591" s="1" t="b">
        <v>0</v>
      </c>
      <c r="K2591" s="10">
        <f t="shared" si="202"/>
        <v>90.078333333309274</v>
      </c>
      <c r="L2591" s="1" t="str">
        <f t="shared" si="203"/>
        <v>OK</v>
      </c>
      <c r="M2591" s="1">
        <f t="shared" si="200"/>
        <v>1</v>
      </c>
      <c r="N2591" s="1">
        <f t="shared" si="201"/>
        <v>300</v>
      </c>
      <c r="O2591" s="10">
        <f t="shared" si="204"/>
        <v>90.078333333309274</v>
      </c>
    </row>
    <row r="2592" spans="1:15">
      <c r="A2592" s="1" t="s">
        <v>2697</v>
      </c>
      <c r="B2592" s="23">
        <v>45189.352083333331</v>
      </c>
      <c r="C2592" s="1" t="s">
        <v>25</v>
      </c>
      <c r="D2592" s="1" t="s">
        <v>21</v>
      </c>
      <c r="E2592" s="1" t="s">
        <v>18</v>
      </c>
      <c r="F2592" s="1" t="s">
        <v>37</v>
      </c>
      <c r="G2592" s="1">
        <v>162</v>
      </c>
      <c r="H2592" s="23">
        <v>45189.77616898148</v>
      </c>
      <c r="I2592" s="1" t="b">
        <v>0</v>
      </c>
      <c r="K2592" s="10">
        <f t="shared" si="202"/>
        <v>10.178055555559695</v>
      </c>
      <c r="L2592" s="1" t="str">
        <f t="shared" si="203"/>
        <v>OK</v>
      </c>
      <c r="M2592" s="1">
        <f t="shared" si="200"/>
        <v>1</v>
      </c>
      <c r="N2592" s="1">
        <f t="shared" si="201"/>
        <v>162</v>
      </c>
      <c r="O2592" s="10">
        <f t="shared" si="204"/>
        <v>10.178055555559695</v>
      </c>
    </row>
    <row r="2593" spans="1:15">
      <c r="A2593" s="1" t="s">
        <v>2698</v>
      </c>
      <c r="B2593" s="23">
        <v>45189.365277777775</v>
      </c>
      <c r="C2593" s="1" t="s">
        <v>16</v>
      </c>
      <c r="D2593" s="1" t="s">
        <v>17</v>
      </c>
      <c r="E2593" s="1" t="s">
        <v>18</v>
      </c>
      <c r="F2593" s="1" t="s">
        <v>29</v>
      </c>
      <c r="G2593" s="1">
        <v>41</v>
      </c>
      <c r="H2593" s="23">
        <v>45190.172233796293</v>
      </c>
      <c r="I2593" s="1" t="b">
        <v>0</v>
      </c>
      <c r="K2593" s="10">
        <f t="shared" si="202"/>
        <v>19.366944444424007</v>
      </c>
      <c r="L2593" s="1" t="str">
        <f t="shared" si="203"/>
        <v>OK</v>
      </c>
      <c r="M2593" s="1">
        <f t="shared" si="200"/>
        <v>1</v>
      </c>
      <c r="N2593" s="1">
        <f t="shared" si="201"/>
        <v>41</v>
      </c>
      <c r="O2593" s="10">
        <f t="shared" si="204"/>
        <v>19.366944444424007</v>
      </c>
    </row>
    <row r="2594" spans="1:15">
      <c r="A2594" s="1" t="s">
        <v>2699</v>
      </c>
      <c r="B2594" s="23">
        <v>45189.512499999997</v>
      </c>
      <c r="C2594" s="1" t="s">
        <v>25</v>
      </c>
      <c r="D2594" s="1" t="s">
        <v>12</v>
      </c>
      <c r="E2594" s="1" t="s">
        <v>18</v>
      </c>
      <c r="F2594" s="1" t="s">
        <v>709</v>
      </c>
      <c r="G2594" s="1">
        <v>85</v>
      </c>
      <c r="H2594" s="23">
        <v>45190.39984953704</v>
      </c>
      <c r="I2594" s="1" t="b">
        <v>0</v>
      </c>
      <c r="J2594" s="1">
        <v>4</v>
      </c>
      <c r="K2594" s="10">
        <f t="shared" si="202"/>
        <v>21.296388889022637</v>
      </c>
      <c r="L2594" s="1" t="str">
        <f t="shared" si="203"/>
        <v>OK</v>
      </c>
      <c r="M2594" s="1">
        <f t="shared" si="200"/>
        <v>1</v>
      </c>
      <c r="N2594" s="1">
        <f t="shared" si="201"/>
        <v>85</v>
      </c>
      <c r="O2594" s="10">
        <f t="shared" si="204"/>
        <v>21.296388889022637</v>
      </c>
    </row>
    <row r="2595" spans="1:15">
      <c r="A2595" s="1" t="s">
        <v>2700</v>
      </c>
      <c r="B2595" s="23">
        <v>45189.60833333333</v>
      </c>
      <c r="C2595" s="1" t="s">
        <v>16</v>
      </c>
      <c r="D2595" s="1" t="s">
        <v>12</v>
      </c>
      <c r="E2595" s="1" t="s">
        <v>18</v>
      </c>
      <c r="F2595" s="1" t="s">
        <v>128</v>
      </c>
      <c r="G2595" s="1">
        <v>78</v>
      </c>
      <c r="H2595" s="23">
        <v>45190.329212962963</v>
      </c>
      <c r="I2595" s="1" t="b">
        <v>0</v>
      </c>
      <c r="K2595" s="10">
        <f t="shared" si="202"/>
        <v>17.301111111184582</v>
      </c>
      <c r="L2595" s="1" t="str">
        <f t="shared" si="203"/>
        <v>OK</v>
      </c>
      <c r="M2595" s="1">
        <f t="shared" si="200"/>
        <v>1</v>
      </c>
      <c r="N2595" s="1">
        <f t="shared" si="201"/>
        <v>78</v>
      </c>
      <c r="O2595" s="10">
        <f t="shared" si="204"/>
        <v>17.301111111184582</v>
      </c>
    </row>
    <row r="2596" spans="1:15">
      <c r="A2596" s="1" t="s">
        <v>2701</v>
      </c>
      <c r="B2596" s="23">
        <v>45189.727083333331</v>
      </c>
      <c r="C2596" s="1" t="s">
        <v>16</v>
      </c>
      <c r="D2596" s="1" t="s">
        <v>59</v>
      </c>
      <c r="E2596" s="1" t="s">
        <v>33</v>
      </c>
      <c r="F2596" s="1" t="s">
        <v>120</v>
      </c>
      <c r="G2596" s="1">
        <v>458</v>
      </c>
      <c r="H2596" s="23">
        <v>45191.157581018517</v>
      </c>
      <c r="I2596" s="1" t="b">
        <v>0</v>
      </c>
      <c r="K2596" s="10">
        <f t="shared" si="202"/>
        <v>34.331944444449618</v>
      </c>
      <c r="L2596" s="1" t="str">
        <f t="shared" si="203"/>
        <v>OK</v>
      </c>
      <c r="M2596" s="1">
        <f t="shared" si="200"/>
        <v>1</v>
      </c>
      <c r="N2596" s="1">
        <f t="shared" si="201"/>
        <v>458</v>
      </c>
      <c r="O2596" s="10">
        <f t="shared" si="204"/>
        <v>34.331944444449618</v>
      </c>
    </row>
    <row r="2597" spans="1:15">
      <c r="A2597" s="1" t="s">
        <v>2702</v>
      </c>
      <c r="B2597" s="23">
        <v>45189.84375</v>
      </c>
      <c r="C2597" s="1" t="s">
        <v>25</v>
      </c>
      <c r="D2597" s="1" t="s">
        <v>12</v>
      </c>
      <c r="E2597" s="1" t="s">
        <v>13</v>
      </c>
      <c r="F2597" s="1" t="s">
        <v>245</v>
      </c>
      <c r="G2597" s="1">
        <v>30</v>
      </c>
      <c r="H2597" s="23">
        <v>45190.06726851852</v>
      </c>
      <c r="I2597" s="1" t="b">
        <v>0</v>
      </c>
      <c r="J2597" s="1">
        <v>4</v>
      </c>
      <c r="K2597" s="10">
        <f t="shared" si="202"/>
        <v>5.3644444444798864</v>
      </c>
      <c r="L2597" s="1" t="str">
        <f t="shared" si="203"/>
        <v>OK</v>
      </c>
      <c r="M2597" s="1">
        <f t="shared" si="200"/>
        <v>1</v>
      </c>
      <c r="N2597" s="1">
        <f t="shared" si="201"/>
        <v>30</v>
      </c>
      <c r="O2597" s="10">
        <f t="shared" si="204"/>
        <v>5.3644444444798864</v>
      </c>
    </row>
    <row r="2598" spans="1:15">
      <c r="A2598" s="1" t="s">
        <v>2703</v>
      </c>
      <c r="B2598" s="23">
        <v>45189.95416666667</v>
      </c>
      <c r="C2598" s="1" t="s">
        <v>43</v>
      </c>
      <c r="D2598" s="1" t="s">
        <v>21</v>
      </c>
      <c r="E2598" s="1" t="s">
        <v>18</v>
      </c>
      <c r="F2598" s="1" t="s">
        <v>178</v>
      </c>
      <c r="G2598" s="1">
        <v>51</v>
      </c>
      <c r="H2598" s="23">
        <v>45190.184861111113</v>
      </c>
      <c r="I2598" s="1" t="b">
        <v>0</v>
      </c>
      <c r="J2598" s="1">
        <v>5</v>
      </c>
      <c r="K2598" s="10">
        <f t="shared" si="202"/>
        <v>5.5366666666232049</v>
      </c>
      <c r="L2598" s="1" t="str">
        <f t="shared" si="203"/>
        <v>OK</v>
      </c>
      <c r="M2598" s="1">
        <f t="shared" si="200"/>
        <v>1</v>
      </c>
      <c r="N2598" s="1">
        <f t="shared" si="201"/>
        <v>51</v>
      </c>
      <c r="O2598" s="10">
        <f t="shared" si="204"/>
        <v>5.5366666666232049</v>
      </c>
    </row>
    <row r="2599" spans="1:15">
      <c r="A2599" s="1" t="s">
        <v>2704</v>
      </c>
      <c r="B2599" s="23">
        <v>45190.03125</v>
      </c>
      <c r="C2599" s="1" t="s">
        <v>25</v>
      </c>
      <c r="D2599" s="1" t="s">
        <v>59</v>
      </c>
      <c r="E2599" s="1" t="s">
        <v>33</v>
      </c>
      <c r="F2599" s="1" t="s">
        <v>57</v>
      </c>
      <c r="G2599" s="1">
        <v>547</v>
      </c>
      <c r="H2599" s="23">
        <v>45191.311967592592</v>
      </c>
      <c r="I2599" s="1" t="b">
        <v>0</v>
      </c>
      <c r="K2599" s="10">
        <f t="shared" si="202"/>
        <v>30.737222222203854</v>
      </c>
      <c r="L2599" s="1" t="str">
        <f t="shared" si="203"/>
        <v>OK</v>
      </c>
      <c r="M2599" s="1">
        <f t="shared" si="200"/>
        <v>1</v>
      </c>
      <c r="N2599" s="1">
        <f t="shared" si="201"/>
        <v>547</v>
      </c>
      <c r="O2599" s="10">
        <f t="shared" si="204"/>
        <v>30.737222222203854</v>
      </c>
    </row>
    <row r="2600" spans="1:15">
      <c r="A2600" s="1" t="s">
        <v>2705</v>
      </c>
      <c r="B2600" s="23">
        <v>45190.03402777778</v>
      </c>
      <c r="C2600" s="1" t="s">
        <v>16</v>
      </c>
      <c r="D2600" s="1" t="s">
        <v>17</v>
      </c>
      <c r="E2600" s="1" t="s">
        <v>18</v>
      </c>
      <c r="F2600" s="1" t="s">
        <v>256</v>
      </c>
      <c r="G2600" s="1">
        <v>27</v>
      </c>
      <c r="H2600" s="23">
        <v>45191.208726851852</v>
      </c>
      <c r="I2600" s="1" t="b">
        <v>0</v>
      </c>
      <c r="K2600" s="10">
        <f t="shared" si="202"/>
        <v>28.192777777730953</v>
      </c>
      <c r="L2600" s="1" t="str">
        <f t="shared" si="203"/>
        <v>OK</v>
      </c>
      <c r="M2600" s="1">
        <f t="shared" si="200"/>
        <v>1</v>
      </c>
      <c r="N2600" s="1">
        <f t="shared" si="201"/>
        <v>27</v>
      </c>
      <c r="O2600" s="10">
        <f t="shared" si="204"/>
        <v>28.192777777730953</v>
      </c>
    </row>
    <row r="2601" spans="1:15">
      <c r="A2601" s="1" t="s">
        <v>2706</v>
      </c>
      <c r="B2601" s="23">
        <v>45190.068749999999</v>
      </c>
      <c r="C2601" s="1" t="s">
        <v>25</v>
      </c>
      <c r="D2601" s="1" t="s">
        <v>17</v>
      </c>
      <c r="E2601" s="1" t="s">
        <v>22</v>
      </c>
      <c r="F2601" s="1" t="s">
        <v>23</v>
      </c>
      <c r="G2601" s="1">
        <v>17</v>
      </c>
      <c r="H2601" s="23">
        <v>45190.280405092592</v>
      </c>
      <c r="I2601" s="1" t="b">
        <v>0</v>
      </c>
      <c r="J2601" s="1">
        <v>5</v>
      </c>
      <c r="K2601" s="10">
        <f t="shared" si="202"/>
        <v>5.0797222222317941</v>
      </c>
      <c r="L2601" s="1" t="str">
        <f t="shared" si="203"/>
        <v>OK</v>
      </c>
      <c r="M2601" s="1">
        <f t="shared" si="200"/>
        <v>1</v>
      </c>
      <c r="N2601" s="1">
        <f t="shared" si="201"/>
        <v>17</v>
      </c>
      <c r="O2601" s="10">
        <f t="shared" si="204"/>
        <v>5.0797222222317941</v>
      </c>
    </row>
    <row r="2602" spans="1:15">
      <c r="A2602" s="1" t="s">
        <v>2707</v>
      </c>
      <c r="B2602" s="23">
        <v>45190.154861111114</v>
      </c>
      <c r="C2602" s="1" t="s">
        <v>16</v>
      </c>
      <c r="D2602" s="1" t="s">
        <v>59</v>
      </c>
      <c r="E2602" s="1" t="s">
        <v>13</v>
      </c>
      <c r="F2602" s="1" t="s">
        <v>98</v>
      </c>
      <c r="G2602" s="1">
        <v>32</v>
      </c>
      <c r="H2602" s="23">
        <v>45193.329305555555</v>
      </c>
      <c r="I2602" s="1" t="b">
        <v>0</v>
      </c>
      <c r="K2602" s="10">
        <f t="shared" si="202"/>
        <v>76.18666666658828</v>
      </c>
      <c r="L2602" s="1" t="str">
        <f t="shared" si="203"/>
        <v>OK</v>
      </c>
      <c r="M2602" s="1">
        <f t="shared" si="200"/>
        <v>1</v>
      </c>
      <c r="N2602" s="1">
        <f t="shared" si="201"/>
        <v>32</v>
      </c>
      <c r="O2602" s="10">
        <f t="shared" si="204"/>
        <v>76.18666666658828</v>
      </c>
    </row>
    <row r="2603" spans="1:15">
      <c r="A2603" s="1" t="s">
        <v>2708</v>
      </c>
      <c r="B2603" s="23">
        <v>45190.174305555556</v>
      </c>
      <c r="C2603" s="1" t="s">
        <v>16</v>
      </c>
      <c r="D2603" s="1" t="s">
        <v>17</v>
      </c>
      <c r="E2603" s="1" t="s">
        <v>33</v>
      </c>
      <c r="F2603" s="1" t="s">
        <v>50</v>
      </c>
      <c r="G2603" s="1">
        <v>465</v>
      </c>
      <c r="H2603" s="23">
        <v>45192.310046296298</v>
      </c>
      <c r="I2603" s="1" t="b">
        <v>0</v>
      </c>
      <c r="K2603" s="10">
        <f t="shared" si="202"/>
        <v>51.257777777791489</v>
      </c>
      <c r="L2603" s="1" t="str">
        <f t="shared" si="203"/>
        <v>OK</v>
      </c>
      <c r="M2603" s="1">
        <f t="shared" si="200"/>
        <v>1</v>
      </c>
      <c r="N2603" s="1">
        <f t="shared" si="201"/>
        <v>465</v>
      </c>
      <c r="O2603" s="10">
        <f t="shared" si="204"/>
        <v>51.257777777791489</v>
      </c>
    </row>
    <row r="2604" spans="1:15">
      <c r="A2604" s="1" t="s">
        <v>2709</v>
      </c>
      <c r="B2604" s="23">
        <v>45190.368055555555</v>
      </c>
      <c r="C2604" s="1" t="s">
        <v>16</v>
      </c>
      <c r="D2604" s="1" t="s">
        <v>21</v>
      </c>
      <c r="E2604" s="1" t="s">
        <v>33</v>
      </c>
      <c r="F2604" s="1" t="s">
        <v>112</v>
      </c>
      <c r="G2604" s="1">
        <v>1031</v>
      </c>
      <c r="H2604" s="23">
        <v>45193.568888888891</v>
      </c>
      <c r="I2604" s="1" t="b">
        <v>0</v>
      </c>
      <c r="K2604" s="10">
        <f t="shared" si="202"/>
        <v>76.820000000065193</v>
      </c>
      <c r="L2604" s="1" t="str">
        <f t="shared" si="203"/>
        <v>OK</v>
      </c>
      <c r="M2604" s="1">
        <f t="shared" si="200"/>
        <v>1</v>
      </c>
      <c r="N2604" s="1">
        <f t="shared" si="201"/>
        <v>1031</v>
      </c>
      <c r="O2604" s="10">
        <f t="shared" si="204"/>
        <v>76.820000000065193</v>
      </c>
    </row>
    <row r="2605" spans="1:15">
      <c r="A2605" s="1" t="s">
        <v>2710</v>
      </c>
      <c r="B2605" s="23">
        <v>45190.507638888892</v>
      </c>
      <c r="C2605" s="1" t="s">
        <v>25</v>
      </c>
      <c r="D2605" s="1" t="s">
        <v>17</v>
      </c>
      <c r="E2605" s="1" t="s">
        <v>18</v>
      </c>
      <c r="F2605" s="1" t="s">
        <v>68</v>
      </c>
      <c r="G2605" s="1">
        <v>214</v>
      </c>
      <c r="H2605" s="23">
        <v>45191.760659722226</v>
      </c>
      <c r="I2605" s="1" t="b">
        <v>0</v>
      </c>
      <c r="K2605" s="10">
        <f t="shared" si="202"/>
        <v>30.072500000009313</v>
      </c>
      <c r="L2605" s="1" t="str">
        <f t="shared" si="203"/>
        <v>OK</v>
      </c>
      <c r="M2605" s="1">
        <f t="shared" si="200"/>
        <v>1</v>
      </c>
      <c r="N2605" s="1">
        <f t="shared" si="201"/>
        <v>214</v>
      </c>
      <c r="O2605" s="10">
        <f t="shared" si="204"/>
        <v>30.072500000009313</v>
      </c>
    </row>
    <row r="2606" spans="1:15">
      <c r="A2606" s="1" t="s">
        <v>2711</v>
      </c>
      <c r="B2606" s="23">
        <v>45190.633333333331</v>
      </c>
      <c r="C2606" s="1" t="s">
        <v>25</v>
      </c>
      <c r="D2606" s="1" t="s">
        <v>26</v>
      </c>
      <c r="E2606" s="1" t="s">
        <v>18</v>
      </c>
      <c r="F2606" s="1" t="s">
        <v>29</v>
      </c>
      <c r="G2606" s="1">
        <v>103</v>
      </c>
      <c r="H2606" s="23">
        <v>45202.779247685183</v>
      </c>
      <c r="I2606" s="1" t="b">
        <v>0</v>
      </c>
      <c r="J2606" s="1">
        <v>3</v>
      </c>
      <c r="K2606" s="10">
        <f t="shared" si="202"/>
        <v>291.50194444443332</v>
      </c>
      <c r="L2606" s="1" t="str">
        <f t="shared" si="203"/>
        <v>OK</v>
      </c>
      <c r="M2606" s="1">
        <f t="shared" si="200"/>
        <v>1</v>
      </c>
      <c r="N2606" s="1">
        <f t="shared" si="201"/>
        <v>103</v>
      </c>
      <c r="O2606" s="10">
        <f t="shared" si="204"/>
        <v>291.50194444443332</v>
      </c>
    </row>
    <row r="2607" spans="1:15">
      <c r="A2607" s="1" t="s">
        <v>2712</v>
      </c>
      <c r="B2607" s="23">
        <v>45190.754166666666</v>
      </c>
      <c r="C2607" s="1" t="s">
        <v>16</v>
      </c>
      <c r="D2607" s="1" t="s">
        <v>12</v>
      </c>
      <c r="E2607" s="1" t="s">
        <v>18</v>
      </c>
      <c r="F2607" s="1" t="s">
        <v>259</v>
      </c>
      <c r="H2607" s="23">
        <v>45191.966851851852</v>
      </c>
      <c r="I2607" s="1" t="b">
        <v>0</v>
      </c>
      <c r="J2607" s="1">
        <v>5</v>
      </c>
      <c r="K2607" s="10">
        <f t="shared" si="202"/>
        <v>29.104444444470573</v>
      </c>
      <c r="L2607" s="1" t="str">
        <f t="shared" si="203"/>
        <v>Cannot check</v>
      </c>
      <c r="M2607" s="1">
        <f t="shared" si="200"/>
        <v>1</v>
      </c>
      <c r="N2607" s="1" t="str">
        <f t="shared" si="201"/>
        <v/>
      </c>
      <c r="O2607" s="10">
        <f t="shared" si="204"/>
        <v>29.104444444470573</v>
      </c>
    </row>
    <row r="2608" spans="1:15">
      <c r="A2608" s="1" t="s">
        <v>2713</v>
      </c>
      <c r="B2608" s="23">
        <v>45191.076388888891</v>
      </c>
      <c r="C2608" s="1" t="s">
        <v>25</v>
      </c>
      <c r="D2608" s="1" t="s">
        <v>26</v>
      </c>
      <c r="E2608" s="1" t="s">
        <v>33</v>
      </c>
      <c r="F2608" s="1" t="s">
        <v>134</v>
      </c>
      <c r="G2608" s="1">
        <v>122</v>
      </c>
      <c r="H2608" s="23">
        <v>45192.02065972222</v>
      </c>
      <c r="I2608" s="1" t="b">
        <v>0</v>
      </c>
      <c r="J2608" s="1">
        <v>5</v>
      </c>
      <c r="K2608" s="10">
        <f t="shared" si="202"/>
        <v>22.662499999918509</v>
      </c>
      <c r="L2608" s="1" t="str">
        <f t="shared" si="203"/>
        <v>OK</v>
      </c>
      <c r="M2608" s="1">
        <f t="shared" si="200"/>
        <v>1</v>
      </c>
      <c r="N2608" s="1">
        <f t="shared" si="201"/>
        <v>122</v>
      </c>
      <c r="O2608" s="10">
        <f t="shared" si="204"/>
        <v>22.662499999918509</v>
      </c>
    </row>
    <row r="2609" spans="1:15">
      <c r="A2609" s="1" t="s">
        <v>2714</v>
      </c>
      <c r="B2609" s="23">
        <v>45191.113194444442</v>
      </c>
      <c r="C2609" s="1" t="s">
        <v>43</v>
      </c>
      <c r="D2609" s="1" t="s">
        <v>21</v>
      </c>
      <c r="E2609" s="1" t="s">
        <v>13</v>
      </c>
      <c r="F2609" s="1" t="s">
        <v>37</v>
      </c>
      <c r="G2609" s="1">
        <v>29</v>
      </c>
      <c r="H2609" s="23">
        <v>45191.231226851851</v>
      </c>
      <c r="I2609" s="1" t="b">
        <v>0</v>
      </c>
      <c r="K2609" s="10">
        <f t="shared" si="202"/>
        <v>2.8327777778031304</v>
      </c>
      <c r="L2609" s="1" t="str">
        <f t="shared" si="203"/>
        <v>OK</v>
      </c>
      <c r="M2609" s="1">
        <f t="shared" si="200"/>
        <v>1</v>
      </c>
      <c r="N2609" s="1">
        <f t="shared" si="201"/>
        <v>29</v>
      </c>
      <c r="O2609" s="10">
        <f t="shared" si="204"/>
        <v>2.8327777778031304</v>
      </c>
    </row>
    <row r="2610" spans="1:15">
      <c r="A2610" s="1" t="s">
        <v>2715</v>
      </c>
      <c r="B2610" s="23">
        <v>45191.32708333333</v>
      </c>
      <c r="C2610" s="1" t="s">
        <v>16</v>
      </c>
      <c r="D2610" s="1" t="s">
        <v>21</v>
      </c>
      <c r="E2610" s="1" t="s">
        <v>33</v>
      </c>
      <c r="F2610" s="1" t="s">
        <v>326</v>
      </c>
      <c r="G2610" s="1">
        <v>55</v>
      </c>
      <c r="H2610" s="23">
        <v>45191.814976851849</v>
      </c>
      <c r="I2610" s="1" t="b">
        <v>0</v>
      </c>
      <c r="J2610" s="1">
        <v>4</v>
      </c>
      <c r="K2610" s="10">
        <f t="shared" si="202"/>
        <v>11.709444444451947</v>
      </c>
      <c r="L2610" s="1" t="str">
        <f t="shared" si="203"/>
        <v>OK</v>
      </c>
      <c r="M2610" s="1">
        <f t="shared" si="200"/>
        <v>1</v>
      </c>
      <c r="N2610" s="1">
        <f t="shared" si="201"/>
        <v>55</v>
      </c>
      <c r="O2610" s="10">
        <f t="shared" si="204"/>
        <v>11.709444444451947</v>
      </c>
    </row>
    <row r="2611" spans="1:15">
      <c r="A2611" s="1" t="s">
        <v>2716</v>
      </c>
      <c r="B2611" s="23">
        <v>45191.394444444442</v>
      </c>
      <c r="C2611" s="1" t="s">
        <v>25</v>
      </c>
      <c r="D2611" s="1" t="s">
        <v>17</v>
      </c>
      <c r="E2611" s="1" t="s">
        <v>33</v>
      </c>
      <c r="F2611" s="1" t="s">
        <v>186</v>
      </c>
      <c r="G2611" s="1">
        <v>386</v>
      </c>
      <c r="H2611" s="23">
        <v>45193.611655092594</v>
      </c>
      <c r="I2611" s="1" t="b">
        <v>0</v>
      </c>
      <c r="K2611" s="10">
        <f t="shared" si="202"/>
        <v>53.213055555650499</v>
      </c>
      <c r="L2611" s="1" t="str">
        <f t="shared" si="203"/>
        <v>OK</v>
      </c>
      <c r="M2611" s="1">
        <f t="shared" si="200"/>
        <v>1</v>
      </c>
      <c r="N2611" s="1">
        <f t="shared" si="201"/>
        <v>386</v>
      </c>
      <c r="O2611" s="10">
        <f t="shared" si="204"/>
        <v>53.213055555650499</v>
      </c>
    </row>
    <row r="2612" spans="1:15">
      <c r="A2612" s="1" t="s">
        <v>2717</v>
      </c>
      <c r="B2612" s="23">
        <v>45191.468055555553</v>
      </c>
      <c r="C2612" s="1" t="s">
        <v>43</v>
      </c>
      <c r="D2612" s="1" t="s">
        <v>17</v>
      </c>
      <c r="E2612" s="1" t="s">
        <v>13</v>
      </c>
      <c r="F2612" s="1" t="s">
        <v>46</v>
      </c>
      <c r="G2612" s="1">
        <v>21</v>
      </c>
      <c r="H2612" s="23">
        <v>45191.721180555556</v>
      </c>
      <c r="I2612" s="1" t="b">
        <v>0</v>
      </c>
      <c r="J2612" s="1">
        <v>5</v>
      </c>
      <c r="K2612" s="10">
        <f t="shared" si="202"/>
        <v>6.0750000000698492</v>
      </c>
      <c r="L2612" s="1" t="str">
        <f t="shared" si="203"/>
        <v>OK</v>
      </c>
      <c r="M2612" s="1">
        <f t="shared" si="200"/>
        <v>1</v>
      </c>
      <c r="N2612" s="1">
        <f t="shared" si="201"/>
        <v>21</v>
      </c>
      <c r="O2612" s="10">
        <f t="shared" si="204"/>
        <v>6.0750000000698492</v>
      </c>
    </row>
    <row r="2613" spans="1:15">
      <c r="A2613" s="1" t="s">
        <v>2718</v>
      </c>
      <c r="B2613" s="23">
        <v>45191.517361111109</v>
      </c>
      <c r="C2613" s="1" t="s">
        <v>25</v>
      </c>
      <c r="D2613" s="1" t="s">
        <v>59</v>
      </c>
      <c r="E2613" s="1" t="s">
        <v>33</v>
      </c>
      <c r="F2613" s="1" t="s">
        <v>74</v>
      </c>
      <c r="G2613" s="1">
        <v>115</v>
      </c>
      <c r="I2613" s="1" t="b">
        <v>0</v>
      </c>
      <c r="K2613" s="10" t="str">
        <f t="shared" si="202"/>
        <v/>
      </c>
      <c r="L2613" s="1" t="str">
        <f t="shared" si="203"/>
        <v>Cannot check</v>
      </c>
      <c r="M2613" s="1">
        <f t="shared" si="200"/>
        <v>1</v>
      </c>
      <c r="N2613" s="1">
        <f t="shared" si="201"/>
        <v>115</v>
      </c>
      <c r="O2613" s="10" t="str">
        <f t="shared" si="204"/>
        <v/>
      </c>
    </row>
    <row r="2614" spans="1:15">
      <c r="A2614" s="1" t="s">
        <v>2719</v>
      </c>
      <c r="B2614" s="23">
        <v>45191.574999999997</v>
      </c>
      <c r="C2614" s="1" t="s">
        <v>16</v>
      </c>
      <c r="D2614" s="1" t="s">
        <v>17</v>
      </c>
      <c r="E2614" s="1" t="s">
        <v>33</v>
      </c>
      <c r="F2614" s="1" t="s">
        <v>86</v>
      </c>
      <c r="G2614" s="1">
        <v>526</v>
      </c>
      <c r="H2614" s="23">
        <v>45194.791504629633</v>
      </c>
      <c r="I2614" s="1" t="b">
        <v>0</v>
      </c>
      <c r="K2614" s="10">
        <f t="shared" si="202"/>
        <v>77.196111111261416</v>
      </c>
      <c r="L2614" s="1" t="str">
        <f t="shared" si="203"/>
        <v>OK</v>
      </c>
      <c r="M2614" s="1">
        <f t="shared" si="200"/>
        <v>1</v>
      </c>
      <c r="N2614" s="1">
        <f t="shared" si="201"/>
        <v>526</v>
      </c>
      <c r="O2614" s="10">
        <f t="shared" si="204"/>
        <v>77.196111111261416</v>
      </c>
    </row>
    <row r="2615" spans="1:15">
      <c r="A2615" s="1" t="s">
        <v>2720</v>
      </c>
      <c r="B2615" s="23">
        <v>45191.592361111114</v>
      </c>
      <c r="C2615" s="1" t="s">
        <v>11</v>
      </c>
      <c r="D2615" s="1" t="s">
        <v>17</v>
      </c>
      <c r="E2615" s="1" t="s">
        <v>33</v>
      </c>
      <c r="F2615" s="1" t="s">
        <v>46</v>
      </c>
      <c r="G2615" s="1">
        <v>73</v>
      </c>
      <c r="H2615" s="23">
        <v>45197.931840277779</v>
      </c>
      <c r="I2615" s="1" t="b">
        <v>0</v>
      </c>
      <c r="J2615" s="1">
        <v>5</v>
      </c>
      <c r="K2615" s="10">
        <f t="shared" si="202"/>
        <v>152.14749999996275</v>
      </c>
      <c r="L2615" s="1" t="str">
        <f t="shared" si="203"/>
        <v>OK</v>
      </c>
      <c r="M2615" s="1">
        <f t="shared" si="200"/>
        <v>1</v>
      </c>
      <c r="N2615" s="1">
        <f t="shared" si="201"/>
        <v>73</v>
      </c>
      <c r="O2615" s="10">
        <f t="shared" si="204"/>
        <v>152.14749999996275</v>
      </c>
    </row>
    <row r="2616" spans="1:15">
      <c r="A2616" s="1" t="s">
        <v>2721</v>
      </c>
      <c r="B2616" s="23">
        <v>45191.63958333333</v>
      </c>
      <c r="C2616" s="1" t="s">
        <v>16</v>
      </c>
      <c r="D2616" s="1" t="s">
        <v>12</v>
      </c>
      <c r="E2616" s="1" t="s">
        <v>33</v>
      </c>
      <c r="F2616" s="1" t="s">
        <v>31</v>
      </c>
      <c r="G2616" s="1">
        <v>138</v>
      </c>
      <c r="H2616" s="23">
        <v>45191.845995370371</v>
      </c>
      <c r="I2616" s="1" t="b">
        <v>0</v>
      </c>
      <c r="K2616" s="10">
        <f t="shared" si="202"/>
        <v>4.9538888889946975</v>
      </c>
      <c r="L2616" s="1" t="str">
        <f t="shared" si="203"/>
        <v>OK</v>
      </c>
      <c r="M2616" s="1">
        <f t="shared" si="200"/>
        <v>1</v>
      </c>
      <c r="N2616" s="1">
        <f t="shared" si="201"/>
        <v>138</v>
      </c>
      <c r="O2616" s="10">
        <f t="shared" si="204"/>
        <v>4.9538888889946975</v>
      </c>
    </row>
    <row r="2617" spans="1:15">
      <c r="A2617" s="1" t="s">
        <v>2722</v>
      </c>
      <c r="B2617" s="23">
        <v>45191.890277777777</v>
      </c>
      <c r="C2617" s="1" t="s">
        <v>43</v>
      </c>
      <c r="D2617" s="1" t="s">
        <v>12</v>
      </c>
      <c r="E2617" s="1" t="s">
        <v>33</v>
      </c>
      <c r="F2617" s="1" t="s">
        <v>226</v>
      </c>
      <c r="G2617" s="1">
        <v>26</v>
      </c>
      <c r="H2617" s="23">
        <v>45193.414548611108</v>
      </c>
      <c r="I2617" s="1" t="b">
        <v>0</v>
      </c>
      <c r="K2617" s="10">
        <f t="shared" si="202"/>
        <v>36.582499999960419</v>
      </c>
      <c r="L2617" s="1" t="str">
        <f t="shared" si="203"/>
        <v>OK</v>
      </c>
      <c r="M2617" s="1">
        <f t="shared" si="200"/>
        <v>1</v>
      </c>
      <c r="N2617" s="1">
        <f t="shared" si="201"/>
        <v>26</v>
      </c>
      <c r="O2617" s="10">
        <f t="shared" si="204"/>
        <v>36.582499999960419</v>
      </c>
    </row>
    <row r="2618" spans="1:15">
      <c r="A2618" s="1" t="s">
        <v>2723</v>
      </c>
      <c r="B2618" s="23">
        <v>45191.984027777777</v>
      </c>
      <c r="C2618" s="1" t="s">
        <v>16</v>
      </c>
      <c r="D2618" s="1" t="s">
        <v>21</v>
      </c>
      <c r="E2618" s="1" t="s">
        <v>18</v>
      </c>
      <c r="F2618" s="1" t="s">
        <v>100</v>
      </c>
      <c r="G2618" s="1">
        <v>104</v>
      </c>
      <c r="H2618" s="23">
        <v>45192.478634259256</v>
      </c>
      <c r="I2618" s="1" t="b">
        <v>0</v>
      </c>
      <c r="K2618" s="10">
        <f t="shared" si="202"/>
        <v>11.870555555506144</v>
      </c>
      <c r="L2618" s="1" t="str">
        <f t="shared" si="203"/>
        <v>OK</v>
      </c>
      <c r="M2618" s="1">
        <f t="shared" si="200"/>
        <v>1</v>
      </c>
      <c r="N2618" s="1">
        <f t="shared" si="201"/>
        <v>104</v>
      </c>
      <c r="O2618" s="10">
        <f t="shared" si="204"/>
        <v>11.870555555506144</v>
      </c>
    </row>
    <row r="2619" spans="1:15">
      <c r="A2619" s="1" t="s">
        <v>2724</v>
      </c>
      <c r="B2619" s="23">
        <v>45192.186805555553</v>
      </c>
      <c r="C2619" s="1" t="s">
        <v>16</v>
      </c>
      <c r="D2619" s="1" t="s">
        <v>21</v>
      </c>
      <c r="E2619" s="1" t="s">
        <v>18</v>
      </c>
      <c r="F2619" s="1" t="s">
        <v>74</v>
      </c>
      <c r="G2619" s="1">
        <v>233</v>
      </c>
      <c r="H2619" s="23">
        <v>45193.442164351851</v>
      </c>
      <c r="I2619" s="1" t="b">
        <v>0</v>
      </c>
      <c r="K2619" s="10">
        <f t="shared" si="202"/>
        <v>30.128611111140344</v>
      </c>
      <c r="L2619" s="1" t="str">
        <f t="shared" si="203"/>
        <v>OK</v>
      </c>
      <c r="M2619" s="1">
        <f t="shared" si="200"/>
        <v>1</v>
      </c>
      <c r="N2619" s="1">
        <f t="shared" si="201"/>
        <v>233</v>
      </c>
      <c r="O2619" s="10">
        <f t="shared" si="204"/>
        <v>30.128611111140344</v>
      </c>
    </row>
    <row r="2620" spans="1:15">
      <c r="A2620" s="1" t="s">
        <v>2725</v>
      </c>
      <c r="B2620" s="23">
        <v>45192.654166666667</v>
      </c>
      <c r="C2620" s="1" t="s">
        <v>11</v>
      </c>
      <c r="D2620" s="1" t="s">
        <v>21</v>
      </c>
      <c r="E2620" s="1" t="s">
        <v>13</v>
      </c>
      <c r="F2620" s="1" t="s">
        <v>215</v>
      </c>
      <c r="G2620" s="1">
        <v>50</v>
      </c>
      <c r="H2620" s="23">
        <v>45192.8828587963</v>
      </c>
      <c r="I2620" s="1" t="b">
        <v>0</v>
      </c>
      <c r="J2620" s="1">
        <v>2</v>
      </c>
      <c r="K2620" s="10">
        <f t="shared" si="202"/>
        <v>5.4886111111845821</v>
      </c>
      <c r="L2620" s="1" t="str">
        <f t="shared" si="203"/>
        <v>OK</v>
      </c>
      <c r="M2620" s="1">
        <f t="shared" si="200"/>
        <v>1</v>
      </c>
      <c r="N2620" s="1">
        <f t="shared" si="201"/>
        <v>50</v>
      </c>
      <c r="O2620" s="10">
        <f t="shared" si="204"/>
        <v>5.4886111111845821</v>
      </c>
    </row>
    <row r="2621" spans="1:15">
      <c r="A2621" s="1" t="s">
        <v>2726</v>
      </c>
      <c r="B2621" s="23">
        <v>45192.657638888886</v>
      </c>
      <c r="C2621" s="1" t="s">
        <v>43</v>
      </c>
      <c r="D2621" s="1" t="s">
        <v>59</v>
      </c>
      <c r="E2621" s="1" t="s">
        <v>33</v>
      </c>
      <c r="F2621" s="1" t="s">
        <v>78</v>
      </c>
      <c r="G2621" s="1">
        <v>209</v>
      </c>
      <c r="H2621" s="23">
        <v>45192.820520833331</v>
      </c>
      <c r="I2621" s="1" t="b">
        <v>1</v>
      </c>
      <c r="J2621" s="1">
        <v>5</v>
      </c>
      <c r="K2621" s="10">
        <f t="shared" si="202"/>
        <v>3.9091666666790843</v>
      </c>
      <c r="L2621" s="1" t="str">
        <f t="shared" si="203"/>
        <v>OK</v>
      </c>
      <c r="M2621" s="1">
        <f t="shared" si="200"/>
        <v>1</v>
      </c>
      <c r="N2621" s="1">
        <f t="shared" si="201"/>
        <v>209</v>
      </c>
      <c r="O2621" s="10">
        <f t="shared" si="204"/>
        <v>3.9091666666790843</v>
      </c>
    </row>
    <row r="2622" spans="1:15">
      <c r="A2622" s="1" t="s">
        <v>2727</v>
      </c>
      <c r="B2622" s="23">
        <v>45192.676388888889</v>
      </c>
      <c r="C2622" s="1" t="s">
        <v>11</v>
      </c>
      <c r="D2622" s="1" t="s">
        <v>17</v>
      </c>
      <c r="E2622" s="1" t="s">
        <v>18</v>
      </c>
      <c r="F2622" s="1" t="s">
        <v>23</v>
      </c>
      <c r="G2622" s="1">
        <v>359</v>
      </c>
      <c r="H2622" s="23">
        <v>45193.889560185184</v>
      </c>
      <c r="I2622" s="1" t="b">
        <v>0</v>
      </c>
      <c r="J2622" s="1">
        <v>5</v>
      </c>
      <c r="K2622" s="10">
        <f t="shared" si="202"/>
        <v>29.116111111070495</v>
      </c>
      <c r="L2622" s="1" t="str">
        <f t="shared" si="203"/>
        <v>OK</v>
      </c>
      <c r="M2622" s="1">
        <f t="shared" si="200"/>
        <v>1</v>
      </c>
      <c r="N2622" s="1">
        <f t="shared" si="201"/>
        <v>359</v>
      </c>
      <c r="O2622" s="10">
        <f t="shared" si="204"/>
        <v>29.116111111070495</v>
      </c>
    </row>
    <row r="2623" spans="1:15">
      <c r="A2623" s="1" t="s">
        <v>2728</v>
      </c>
      <c r="B2623" s="23">
        <v>45192.818055555559</v>
      </c>
      <c r="C2623" s="1" t="s">
        <v>25</v>
      </c>
      <c r="D2623" s="1" t="s">
        <v>12</v>
      </c>
      <c r="E2623" s="1" t="s">
        <v>18</v>
      </c>
      <c r="F2623" s="1" t="s">
        <v>46</v>
      </c>
      <c r="G2623" s="1">
        <v>153</v>
      </c>
      <c r="H2623" s="23">
        <v>45195.215590277781</v>
      </c>
      <c r="I2623" s="1" t="b">
        <v>0</v>
      </c>
      <c r="J2623" s="1">
        <v>4</v>
      </c>
      <c r="K2623" s="10">
        <f t="shared" si="202"/>
        <v>57.540833333332557</v>
      </c>
      <c r="L2623" s="1" t="str">
        <f t="shared" si="203"/>
        <v>OK</v>
      </c>
      <c r="M2623" s="1">
        <f t="shared" si="200"/>
        <v>1</v>
      </c>
      <c r="N2623" s="1">
        <f t="shared" si="201"/>
        <v>153</v>
      </c>
      <c r="O2623" s="10">
        <f t="shared" si="204"/>
        <v>57.540833333332557</v>
      </c>
    </row>
    <row r="2624" spans="1:15">
      <c r="A2624" s="1" t="s">
        <v>2729</v>
      </c>
      <c r="B2624" s="23">
        <v>45193.020138888889</v>
      </c>
      <c r="C2624" s="1" t="s">
        <v>43</v>
      </c>
      <c r="D2624" s="1" t="s">
        <v>26</v>
      </c>
      <c r="E2624" s="1" t="s">
        <v>33</v>
      </c>
      <c r="F2624" s="1" t="s">
        <v>84</v>
      </c>
      <c r="G2624" s="1">
        <v>248</v>
      </c>
      <c r="I2624" s="1" t="b">
        <v>0</v>
      </c>
      <c r="K2624" s="10" t="str">
        <f t="shared" si="202"/>
        <v/>
      </c>
      <c r="L2624" s="1" t="str">
        <f t="shared" si="203"/>
        <v>Cannot check</v>
      </c>
      <c r="M2624" s="1">
        <f t="shared" si="200"/>
        <v>1</v>
      </c>
      <c r="N2624" s="1">
        <f t="shared" si="201"/>
        <v>248</v>
      </c>
      <c r="O2624" s="10" t="str">
        <f t="shared" si="204"/>
        <v/>
      </c>
    </row>
    <row r="2625" spans="1:15">
      <c r="A2625" s="1" t="s">
        <v>2730</v>
      </c>
      <c r="B2625" s="23">
        <v>45193.268750000003</v>
      </c>
      <c r="C2625" s="1" t="s">
        <v>11</v>
      </c>
      <c r="D2625" s="1" t="s">
        <v>12</v>
      </c>
      <c r="E2625" s="1" t="s">
        <v>18</v>
      </c>
      <c r="F2625" s="1" t="s">
        <v>52</v>
      </c>
      <c r="G2625" s="1">
        <v>46</v>
      </c>
      <c r="H2625" s="23">
        <v>45197.141782407409</v>
      </c>
      <c r="I2625" s="1" t="b">
        <v>0</v>
      </c>
      <c r="K2625" s="10">
        <f t="shared" si="202"/>
        <v>92.952777777740266</v>
      </c>
      <c r="L2625" s="1" t="str">
        <f t="shared" si="203"/>
        <v>OK</v>
      </c>
      <c r="M2625" s="1">
        <f t="shared" si="200"/>
        <v>1</v>
      </c>
      <c r="N2625" s="1">
        <f t="shared" si="201"/>
        <v>46</v>
      </c>
      <c r="O2625" s="10">
        <f t="shared" si="204"/>
        <v>92.952777777740266</v>
      </c>
    </row>
    <row r="2626" spans="1:15">
      <c r="A2626" s="1" t="s">
        <v>2731</v>
      </c>
      <c r="B2626" s="23">
        <v>45193.306944444441</v>
      </c>
      <c r="C2626" s="1" t="s">
        <v>25</v>
      </c>
      <c r="D2626" s="1" t="s">
        <v>17</v>
      </c>
      <c r="E2626" s="1" t="s">
        <v>22</v>
      </c>
      <c r="F2626" s="1" t="s">
        <v>153</v>
      </c>
      <c r="G2626" s="1">
        <v>51</v>
      </c>
      <c r="H2626" s="23">
        <v>45193.676932870374</v>
      </c>
      <c r="I2626" s="1" t="b">
        <v>0</v>
      </c>
      <c r="K2626" s="10">
        <f t="shared" si="202"/>
        <v>8.8797222223947756</v>
      </c>
      <c r="L2626" s="1" t="str">
        <f t="shared" si="203"/>
        <v>OK</v>
      </c>
      <c r="M2626" s="1">
        <f t="shared" ref="M2626:M2689" si="205">COUNTIF($A$2:$A$4001,A2626)</f>
        <v>1</v>
      </c>
      <c r="N2626" s="1">
        <f t="shared" ref="N2626:N2689" si="206">IF(OR(L2626="Review",G2626=""),"",G2626)</f>
        <v>51</v>
      </c>
      <c r="O2626" s="10">
        <f t="shared" si="204"/>
        <v>8.8797222223947756</v>
      </c>
    </row>
    <row r="2627" spans="1:15">
      <c r="A2627" s="1" t="s">
        <v>2732</v>
      </c>
      <c r="B2627" s="23">
        <v>45193.328472222223</v>
      </c>
      <c r="C2627" s="1" t="s">
        <v>11</v>
      </c>
      <c r="D2627" s="1" t="s">
        <v>17</v>
      </c>
      <c r="E2627" s="1" t="s">
        <v>18</v>
      </c>
      <c r="F2627" s="1" t="s">
        <v>274</v>
      </c>
      <c r="G2627" s="1">
        <v>84</v>
      </c>
      <c r="H2627" s="23">
        <v>45200.644328703704</v>
      </c>
      <c r="I2627" s="1" t="b">
        <v>0</v>
      </c>
      <c r="J2627" s="1">
        <v>4</v>
      </c>
      <c r="K2627" s="10">
        <f t="shared" ref="K2627:K2690" si="207">IF(H2627="","",(H2627-B2627)*24)</f>
        <v>175.5805555555271</v>
      </c>
      <c r="L2627" s="1" t="str">
        <f t="shared" ref="L2627:L2690" si="208">IF(OR(G2627="",K2627=""),"Cannot check",IF(G2627&gt;K2627*60,"Review","OK"))</f>
        <v>OK</v>
      </c>
      <c r="M2627" s="1">
        <f t="shared" si="205"/>
        <v>1</v>
      </c>
      <c r="N2627" s="1">
        <f t="shared" si="206"/>
        <v>84</v>
      </c>
      <c r="O2627" s="10">
        <f t="shared" ref="O2627:O2690" si="209">IF(OR(L2627="Review",K2627=""),"",K2627)</f>
        <v>175.5805555555271</v>
      </c>
    </row>
    <row r="2628" spans="1:15">
      <c r="A2628" s="1" t="s">
        <v>2733</v>
      </c>
      <c r="B2628" s="23">
        <v>45193.369444444441</v>
      </c>
      <c r="C2628" s="1" t="s">
        <v>25</v>
      </c>
      <c r="D2628" s="1" t="s">
        <v>21</v>
      </c>
      <c r="E2628" s="1" t="s">
        <v>18</v>
      </c>
      <c r="F2628" s="1" t="s">
        <v>76</v>
      </c>
      <c r="G2628" s="1">
        <v>436</v>
      </c>
      <c r="H2628" s="23">
        <v>45194.62190972222</v>
      </c>
      <c r="I2628" s="1" t="b">
        <v>0</v>
      </c>
      <c r="K2628" s="10">
        <f t="shared" si="207"/>
        <v>30.059166666702367</v>
      </c>
      <c r="L2628" s="1" t="str">
        <f t="shared" si="208"/>
        <v>OK</v>
      </c>
      <c r="M2628" s="1">
        <f t="shared" si="205"/>
        <v>1</v>
      </c>
      <c r="N2628" s="1">
        <f t="shared" si="206"/>
        <v>436</v>
      </c>
      <c r="O2628" s="10">
        <f t="shared" si="209"/>
        <v>30.059166666702367</v>
      </c>
    </row>
    <row r="2629" spans="1:15">
      <c r="A2629" s="1" t="s">
        <v>2734</v>
      </c>
      <c r="B2629" s="23">
        <v>45193.46875</v>
      </c>
      <c r="C2629" s="1" t="s">
        <v>11</v>
      </c>
      <c r="D2629" s="1" t="s">
        <v>17</v>
      </c>
      <c r="E2629" s="1" t="s">
        <v>18</v>
      </c>
      <c r="F2629" s="1" t="s">
        <v>116</v>
      </c>
      <c r="G2629" s="1">
        <v>88</v>
      </c>
      <c r="H2629" s="23">
        <v>45195.929363425923</v>
      </c>
      <c r="I2629" s="1" t="b">
        <v>0</v>
      </c>
      <c r="K2629" s="10">
        <f t="shared" si="207"/>
        <v>59.054722222150303</v>
      </c>
      <c r="L2629" s="1" t="str">
        <f t="shared" si="208"/>
        <v>OK</v>
      </c>
      <c r="M2629" s="1">
        <f t="shared" si="205"/>
        <v>1</v>
      </c>
      <c r="N2629" s="1">
        <f t="shared" si="206"/>
        <v>88</v>
      </c>
      <c r="O2629" s="10">
        <f t="shared" si="209"/>
        <v>59.054722222150303</v>
      </c>
    </row>
    <row r="2630" spans="1:15">
      <c r="A2630" s="1" t="s">
        <v>2735</v>
      </c>
      <c r="B2630" s="23">
        <v>45193.560416666667</v>
      </c>
      <c r="C2630" s="1" t="s">
        <v>16</v>
      </c>
      <c r="D2630" s="1" t="s">
        <v>17</v>
      </c>
      <c r="E2630" s="1" t="s">
        <v>22</v>
      </c>
      <c r="F2630" s="1" t="s">
        <v>175</v>
      </c>
      <c r="G2630" s="1">
        <v>25</v>
      </c>
      <c r="H2630" s="23">
        <v>45195.083437499998</v>
      </c>
      <c r="I2630" s="1" t="b">
        <v>0</v>
      </c>
      <c r="K2630" s="10">
        <f t="shared" si="207"/>
        <v>36.552499999932479</v>
      </c>
      <c r="L2630" s="1" t="str">
        <f t="shared" si="208"/>
        <v>OK</v>
      </c>
      <c r="M2630" s="1">
        <f t="shared" si="205"/>
        <v>1</v>
      </c>
      <c r="N2630" s="1">
        <f t="shared" si="206"/>
        <v>25</v>
      </c>
      <c r="O2630" s="10">
        <f t="shared" si="209"/>
        <v>36.552499999932479</v>
      </c>
    </row>
    <row r="2631" spans="1:15">
      <c r="A2631" s="1" t="s">
        <v>2736</v>
      </c>
      <c r="B2631" s="23">
        <v>45193.613888888889</v>
      </c>
      <c r="C2631" s="1" t="s">
        <v>16</v>
      </c>
      <c r="D2631" s="1" t="s">
        <v>21</v>
      </c>
      <c r="E2631" s="1" t="s">
        <v>13</v>
      </c>
      <c r="F2631" s="1" t="s">
        <v>46</v>
      </c>
      <c r="G2631" s="1">
        <v>54</v>
      </c>
      <c r="H2631" s="23">
        <v>45194.773819444446</v>
      </c>
      <c r="I2631" s="1" t="b">
        <v>1</v>
      </c>
      <c r="J2631" s="1">
        <v>3</v>
      </c>
      <c r="K2631" s="10">
        <f t="shared" si="207"/>
        <v>27.838333333376795</v>
      </c>
      <c r="L2631" s="1" t="str">
        <f t="shared" si="208"/>
        <v>OK</v>
      </c>
      <c r="M2631" s="1">
        <f t="shared" si="205"/>
        <v>1</v>
      </c>
      <c r="N2631" s="1">
        <f t="shared" si="206"/>
        <v>54</v>
      </c>
      <c r="O2631" s="10">
        <f t="shared" si="209"/>
        <v>27.838333333376795</v>
      </c>
    </row>
    <row r="2632" spans="1:15">
      <c r="A2632" s="1" t="s">
        <v>2737</v>
      </c>
      <c r="B2632" s="23">
        <v>45193.627083333333</v>
      </c>
      <c r="C2632" s="1" t="s">
        <v>16</v>
      </c>
      <c r="D2632" s="1" t="s">
        <v>21</v>
      </c>
      <c r="E2632" s="1" t="s">
        <v>18</v>
      </c>
      <c r="F2632" s="1" t="s">
        <v>259</v>
      </c>
      <c r="H2632" s="23">
        <v>45193.716180555559</v>
      </c>
      <c r="I2632" s="1" t="b">
        <v>0</v>
      </c>
      <c r="K2632" s="10">
        <f t="shared" si="207"/>
        <v>2.1383333334233612</v>
      </c>
      <c r="L2632" s="1" t="str">
        <f t="shared" si="208"/>
        <v>Cannot check</v>
      </c>
      <c r="M2632" s="1">
        <f t="shared" si="205"/>
        <v>1</v>
      </c>
      <c r="N2632" s="1" t="str">
        <f t="shared" si="206"/>
        <v/>
      </c>
      <c r="O2632" s="10">
        <f t="shared" si="209"/>
        <v>2.1383333334233612</v>
      </c>
    </row>
    <row r="2633" spans="1:15">
      <c r="A2633" s="1" t="s">
        <v>2738</v>
      </c>
      <c r="B2633" s="23">
        <v>45193.628472222219</v>
      </c>
      <c r="C2633" s="1" t="s">
        <v>16</v>
      </c>
      <c r="D2633" s="1" t="s">
        <v>59</v>
      </c>
      <c r="E2633" s="1" t="s">
        <v>18</v>
      </c>
      <c r="F2633" s="1" t="s">
        <v>254</v>
      </c>
      <c r="G2633" s="1">
        <v>60</v>
      </c>
      <c r="H2633" s="23">
        <v>45194.627893518518</v>
      </c>
      <c r="I2633" s="1" t="b">
        <v>0</v>
      </c>
      <c r="K2633" s="10">
        <f t="shared" si="207"/>
        <v>23.986111111182254</v>
      </c>
      <c r="L2633" s="1" t="str">
        <f t="shared" si="208"/>
        <v>OK</v>
      </c>
      <c r="M2633" s="1">
        <f t="shared" si="205"/>
        <v>1</v>
      </c>
      <c r="N2633" s="1">
        <f t="shared" si="206"/>
        <v>60</v>
      </c>
      <c r="O2633" s="10">
        <f t="shared" si="209"/>
        <v>23.986111111182254</v>
      </c>
    </row>
    <row r="2634" spans="1:15">
      <c r="A2634" s="1" t="s">
        <v>2739</v>
      </c>
      <c r="B2634" s="23">
        <v>45193.633333333331</v>
      </c>
      <c r="C2634" s="1" t="s">
        <v>25</v>
      </c>
      <c r="D2634" s="1" t="s">
        <v>21</v>
      </c>
      <c r="E2634" s="1" t="s">
        <v>18</v>
      </c>
      <c r="F2634" s="1" t="s">
        <v>52</v>
      </c>
      <c r="G2634" s="1">
        <v>82</v>
      </c>
      <c r="H2634" s="23">
        <v>45193.913124999999</v>
      </c>
      <c r="I2634" s="1" t="b">
        <v>0</v>
      </c>
      <c r="J2634" s="1">
        <v>5</v>
      </c>
      <c r="K2634" s="10">
        <f t="shared" si="207"/>
        <v>6.7150000000256114</v>
      </c>
      <c r="L2634" s="1" t="str">
        <f t="shared" si="208"/>
        <v>OK</v>
      </c>
      <c r="M2634" s="1">
        <f t="shared" si="205"/>
        <v>1</v>
      </c>
      <c r="N2634" s="1">
        <f t="shared" si="206"/>
        <v>82</v>
      </c>
      <c r="O2634" s="10">
        <f t="shared" si="209"/>
        <v>6.7150000000256114</v>
      </c>
    </row>
    <row r="2635" spans="1:15">
      <c r="A2635" s="1" t="s">
        <v>2740</v>
      </c>
      <c r="B2635" s="23">
        <v>45193.711805555555</v>
      </c>
      <c r="C2635" s="1" t="s">
        <v>25</v>
      </c>
      <c r="D2635" s="1" t="s">
        <v>59</v>
      </c>
      <c r="E2635" s="1" t="s">
        <v>22</v>
      </c>
      <c r="F2635" s="1" t="s">
        <v>50</v>
      </c>
      <c r="G2635" s="1">
        <v>55</v>
      </c>
      <c r="H2635" s="23">
        <v>45194.256585648145</v>
      </c>
      <c r="I2635" s="1" t="b">
        <v>1</v>
      </c>
      <c r="K2635" s="10">
        <f t="shared" si="207"/>
        <v>13.07472222216893</v>
      </c>
      <c r="L2635" s="1" t="str">
        <f t="shared" si="208"/>
        <v>OK</v>
      </c>
      <c r="M2635" s="1">
        <f t="shared" si="205"/>
        <v>1</v>
      </c>
      <c r="N2635" s="1">
        <f t="shared" si="206"/>
        <v>55</v>
      </c>
      <c r="O2635" s="10">
        <f t="shared" si="209"/>
        <v>13.07472222216893</v>
      </c>
    </row>
    <row r="2636" spans="1:15">
      <c r="A2636" s="1" t="s">
        <v>2741</v>
      </c>
      <c r="B2636" s="23">
        <v>45193.727083333331</v>
      </c>
      <c r="C2636" s="1" t="s">
        <v>11</v>
      </c>
      <c r="D2636" s="1" t="s">
        <v>17</v>
      </c>
      <c r="E2636" s="1" t="s">
        <v>13</v>
      </c>
      <c r="F2636" s="1" t="s">
        <v>50</v>
      </c>
      <c r="G2636" s="1">
        <v>150</v>
      </c>
      <c r="H2636" s="23">
        <v>45193.789722222224</v>
      </c>
      <c r="I2636" s="1" t="b">
        <v>0</v>
      </c>
      <c r="J2636" s="1">
        <v>4</v>
      </c>
      <c r="K2636" s="10">
        <f t="shared" si="207"/>
        <v>1.503333333414048</v>
      </c>
      <c r="L2636" s="1" t="str">
        <f t="shared" si="208"/>
        <v>Review</v>
      </c>
      <c r="M2636" s="1">
        <f t="shared" si="205"/>
        <v>1</v>
      </c>
      <c r="N2636" s="1" t="str">
        <f t="shared" si="206"/>
        <v/>
      </c>
      <c r="O2636" s="10" t="str">
        <f t="shared" si="209"/>
        <v/>
      </c>
    </row>
    <row r="2637" spans="1:15">
      <c r="A2637" s="1" t="s">
        <v>2742</v>
      </c>
      <c r="B2637" s="23">
        <v>45193.853472222225</v>
      </c>
      <c r="C2637" s="1" t="s">
        <v>16</v>
      </c>
      <c r="D2637" s="1" t="s">
        <v>12</v>
      </c>
      <c r="E2637" s="1" t="s">
        <v>18</v>
      </c>
      <c r="F2637" s="1" t="s">
        <v>37</v>
      </c>
      <c r="G2637" s="1">
        <v>161</v>
      </c>
      <c r="H2637" s="23">
        <v>45194.027743055558</v>
      </c>
      <c r="I2637" s="1" t="b">
        <v>0</v>
      </c>
      <c r="J2637" s="1">
        <v>1</v>
      </c>
      <c r="K2637" s="10">
        <f t="shared" si="207"/>
        <v>4.1824999999953434</v>
      </c>
      <c r="L2637" s="1" t="str">
        <f t="shared" si="208"/>
        <v>OK</v>
      </c>
      <c r="M2637" s="1">
        <f t="shared" si="205"/>
        <v>1</v>
      </c>
      <c r="N2637" s="1">
        <f t="shared" si="206"/>
        <v>161</v>
      </c>
      <c r="O2637" s="10">
        <f t="shared" si="209"/>
        <v>4.1824999999953434</v>
      </c>
    </row>
    <row r="2638" spans="1:15">
      <c r="A2638" s="1" t="s">
        <v>2743</v>
      </c>
      <c r="B2638" s="23">
        <v>45193.868055555555</v>
      </c>
      <c r="C2638" s="1" t="s">
        <v>25</v>
      </c>
      <c r="D2638" s="1" t="s">
        <v>17</v>
      </c>
      <c r="E2638" s="1" t="s">
        <v>18</v>
      </c>
      <c r="F2638" s="1" t="s">
        <v>237</v>
      </c>
      <c r="G2638" s="1">
        <v>133</v>
      </c>
      <c r="H2638" s="23">
        <v>45194.165127314816</v>
      </c>
      <c r="I2638" s="1" t="b">
        <v>0</v>
      </c>
      <c r="J2638" s="1">
        <v>4</v>
      </c>
      <c r="K2638" s="10">
        <f t="shared" si="207"/>
        <v>7.1297222222783603</v>
      </c>
      <c r="L2638" s="1" t="str">
        <f t="shared" si="208"/>
        <v>OK</v>
      </c>
      <c r="M2638" s="1">
        <f t="shared" si="205"/>
        <v>1</v>
      </c>
      <c r="N2638" s="1">
        <f t="shared" si="206"/>
        <v>133</v>
      </c>
      <c r="O2638" s="10">
        <f t="shared" si="209"/>
        <v>7.1297222222783603</v>
      </c>
    </row>
    <row r="2639" spans="1:15">
      <c r="A2639" s="1" t="s">
        <v>2744</v>
      </c>
      <c r="B2639" s="23">
        <v>45193.995833333334</v>
      </c>
      <c r="C2639" s="1" t="s">
        <v>43</v>
      </c>
      <c r="D2639" s="1" t="s">
        <v>21</v>
      </c>
      <c r="E2639" s="1" t="s">
        <v>18</v>
      </c>
      <c r="F2639" s="1" t="s">
        <v>50</v>
      </c>
      <c r="G2639" s="1">
        <v>207</v>
      </c>
      <c r="H2639" s="23">
        <v>45194.939583333333</v>
      </c>
      <c r="I2639" s="1" t="b">
        <v>0</v>
      </c>
      <c r="K2639" s="10">
        <f t="shared" si="207"/>
        <v>22.649999999965075</v>
      </c>
      <c r="L2639" s="1" t="str">
        <f t="shared" si="208"/>
        <v>OK</v>
      </c>
      <c r="M2639" s="1">
        <f t="shared" si="205"/>
        <v>1</v>
      </c>
      <c r="N2639" s="1">
        <f t="shared" si="206"/>
        <v>207</v>
      </c>
      <c r="O2639" s="10">
        <f t="shared" si="209"/>
        <v>22.649999999965075</v>
      </c>
    </row>
    <row r="2640" spans="1:15">
      <c r="A2640" s="1" t="s">
        <v>2745</v>
      </c>
      <c r="B2640" s="23">
        <v>45194.025000000001</v>
      </c>
      <c r="C2640" s="1" t="s">
        <v>11</v>
      </c>
      <c r="D2640" s="1" t="s">
        <v>21</v>
      </c>
      <c r="E2640" s="1" t="s">
        <v>18</v>
      </c>
      <c r="F2640" s="1" t="s">
        <v>66</v>
      </c>
      <c r="G2640" s="1">
        <v>35</v>
      </c>
      <c r="H2640" s="23">
        <v>45196.655775462961</v>
      </c>
      <c r="I2640" s="1" t="b">
        <v>0</v>
      </c>
      <c r="K2640" s="10">
        <f t="shared" si="207"/>
        <v>63.138611111033242</v>
      </c>
      <c r="L2640" s="1" t="str">
        <f t="shared" si="208"/>
        <v>OK</v>
      </c>
      <c r="M2640" s="1">
        <f t="shared" si="205"/>
        <v>1</v>
      </c>
      <c r="N2640" s="1">
        <f t="shared" si="206"/>
        <v>35</v>
      </c>
      <c r="O2640" s="10">
        <f t="shared" si="209"/>
        <v>63.138611111033242</v>
      </c>
    </row>
    <row r="2641" spans="1:15">
      <c r="A2641" s="1" t="s">
        <v>2746</v>
      </c>
      <c r="B2641" s="23">
        <v>45194.088888888888</v>
      </c>
      <c r="C2641" s="1" t="s">
        <v>11</v>
      </c>
      <c r="D2641" s="1" t="s">
        <v>17</v>
      </c>
      <c r="E2641" s="1" t="s">
        <v>13</v>
      </c>
      <c r="F2641" s="1" t="s">
        <v>74</v>
      </c>
      <c r="G2641" s="1">
        <v>112</v>
      </c>
      <c r="I2641" s="1" t="b">
        <v>0</v>
      </c>
      <c r="K2641" s="10" t="str">
        <f t="shared" si="207"/>
        <v/>
      </c>
      <c r="L2641" s="1" t="str">
        <f t="shared" si="208"/>
        <v>Cannot check</v>
      </c>
      <c r="M2641" s="1">
        <f t="shared" si="205"/>
        <v>1</v>
      </c>
      <c r="N2641" s="1">
        <f t="shared" si="206"/>
        <v>112</v>
      </c>
      <c r="O2641" s="10" t="str">
        <f t="shared" si="209"/>
        <v/>
      </c>
    </row>
    <row r="2642" spans="1:15">
      <c r="A2642" s="1" t="s">
        <v>2747</v>
      </c>
      <c r="B2642" s="23">
        <v>45194.219444444447</v>
      </c>
      <c r="C2642" s="1" t="s">
        <v>16</v>
      </c>
      <c r="D2642" s="1" t="s">
        <v>17</v>
      </c>
      <c r="E2642" s="1" t="s">
        <v>13</v>
      </c>
      <c r="F2642" s="1" t="s">
        <v>228</v>
      </c>
      <c r="G2642" s="1">
        <v>131</v>
      </c>
      <c r="H2642" s="23">
        <v>45195.249861111108</v>
      </c>
      <c r="I2642" s="1" t="b">
        <v>0</v>
      </c>
      <c r="J2642" s="1">
        <v>1</v>
      </c>
      <c r="K2642" s="10">
        <f t="shared" si="207"/>
        <v>24.729999999864958</v>
      </c>
      <c r="L2642" s="1" t="str">
        <f t="shared" si="208"/>
        <v>OK</v>
      </c>
      <c r="M2642" s="1">
        <f t="shared" si="205"/>
        <v>1</v>
      </c>
      <c r="N2642" s="1">
        <f t="shared" si="206"/>
        <v>131</v>
      </c>
      <c r="O2642" s="10">
        <f t="shared" si="209"/>
        <v>24.729999999864958</v>
      </c>
    </row>
    <row r="2643" spans="1:15">
      <c r="A2643" s="1" t="s">
        <v>2748</v>
      </c>
      <c r="B2643" s="23">
        <v>45194.359722222223</v>
      </c>
      <c r="C2643" s="1" t="s">
        <v>25</v>
      </c>
      <c r="D2643" s="1" t="s">
        <v>26</v>
      </c>
      <c r="E2643" s="1" t="s">
        <v>22</v>
      </c>
      <c r="F2643" s="1" t="s">
        <v>226</v>
      </c>
      <c r="G2643" s="1">
        <v>12</v>
      </c>
      <c r="H2643" s="23">
        <v>45194.490856481483</v>
      </c>
      <c r="I2643" s="1" t="b">
        <v>0</v>
      </c>
      <c r="K2643" s="10">
        <f t="shared" si="207"/>
        <v>3.1472222222364508</v>
      </c>
      <c r="L2643" s="1" t="str">
        <f t="shared" si="208"/>
        <v>OK</v>
      </c>
      <c r="M2643" s="1">
        <f t="shared" si="205"/>
        <v>1</v>
      </c>
      <c r="N2643" s="1">
        <f t="shared" si="206"/>
        <v>12</v>
      </c>
      <c r="O2643" s="10">
        <f t="shared" si="209"/>
        <v>3.1472222222364508</v>
      </c>
    </row>
    <row r="2644" spans="1:15">
      <c r="A2644" s="1" t="s">
        <v>2749</v>
      </c>
      <c r="B2644" s="23">
        <v>45194.481249999997</v>
      </c>
      <c r="C2644" s="1" t="s">
        <v>43</v>
      </c>
      <c r="D2644" s="1" t="s">
        <v>12</v>
      </c>
      <c r="E2644" s="1" t="s">
        <v>18</v>
      </c>
      <c r="F2644" s="1" t="s">
        <v>37</v>
      </c>
      <c r="G2644" s="1">
        <v>62</v>
      </c>
      <c r="H2644" s="23">
        <v>45194.831759259258</v>
      </c>
      <c r="I2644" s="1" t="b">
        <v>0</v>
      </c>
      <c r="K2644" s="10">
        <f t="shared" si="207"/>
        <v>8.4122222222504206</v>
      </c>
      <c r="L2644" s="1" t="str">
        <f t="shared" si="208"/>
        <v>OK</v>
      </c>
      <c r="M2644" s="1">
        <f t="shared" si="205"/>
        <v>1</v>
      </c>
      <c r="N2644" s="1">
        <f t="shared" si="206"/>
        <v>62</v>
      </c>
      <c r="O2644" s="10">
        <f t="shared" si="209"/>
        <v>8.4122222222504206</v>
      </c>
    </row>
    <row r="2645" spans="1:15">
      <c r="A2645" s="1" t="s">
        <v>2750</v>
      </c>
      <c r="B2645" s="23">
        <v>45194.55</v>
      </c>
      <c r="C2645" s="1" t="s">
        <v>11</v>
      </c>
      <c r="D2645" s="1" t="s">
        <v>21</v>
      </c>
      <c r="E2645" s="1" t="s">
        <v>18</v>
      </c>
      <c r="F2645" s="1" t="s">
        <v>254</v>
      </c>
      <c r="G2645" s="1">
        <v>194</v>
      </c>
      <c r="H2645" s="23">
        <v>45194.80195601852</v>
      </c>
      <c r="I2645" s="1" t="b">
        <v>1</v>
      </c>
      <c r="K2645" s="10">
        <f t="shared" si="207"/>
        <v>6.0469444444170222</v>
      </c>
      <c r="L2645" s="1" t="str">
        <f t="shared" si="208"/>
        <v>OK</v>
      </c>
      <c r="M2645" s="1">
        <f t="shared" si="205"/>
        <v>1</v>
      </c>
      <c r="N2645" s="1">
        <f t="shared" si="206"/>
        <v>194</v>
      </c>
      <c r="O2645" s="10">
        <f t="shared" si="209"/>
        <v>6.0469444444170222</v>
      </c>
    </row>
    <row r="2646" spans="1:15">
      <c r="A2646" s="1" t="s">
        <v>2751</v>
      </c>
      <c r="B2646" s="23">
        <v>45194.580555555556</v>
      </c>
      <c r="C2646" s="1" t="s">
        <v>11</v>
      </c>
      <c r="D2646" s="1" t="s">
        <v>21</v>
      </c>
      <c r="E2646" s="1" t="s">
        <v>13</v>
      </c>
      <c r="F2646" s="1" t="s">
        <v>274</v>
      </c>
      <c r="G2646" s="1">
        <v>54</v>
      </c>
      <c r="H2646" s="23">
        <v>45194.883043981485</v>
      </c>
      <c r="I2646" s="1" t="b">
        <v>0</v>
      </c>
      <c r="K2646" s="10">
        <f t="shared" si="207"/>
        <v>7.2597222222830169</v>
      </c>
      <c r="L2646" s="1" t="str">
        <f t="shared" si="208"/>
        <v>OK</v>
      </c>
      <c r="M2646" s="1">
        <f t="shared" si="205"/>
        <v>1</v>
      </c>
      <c r="N2646" s="1">
        <f t="shared" si="206"/>
        <v>54</v>
      </c>
      <c r="O2646" s="10">
        <f t="shared" si="209"/>
        <v>7.2597222222830169</v>
      </c>
    </row>
    <row r="2647" spans="1:15">
      <c r="A2647" s="1" t="s">
        <v>2752</v>
      </c>
      <c r="B2647" s="23">
        <v>45194.593055555553</v>
      </c>
      <c r="C2647" s="1" t="s">
        <v>25</v>
      </c>
      <c r="D2647" s="1" t="s">
        <v>12</v>
      </c>
      <c r="E2647" s="1" t="s">
        <v>18</v>
      </c>
      <c r="F2647" s="1" t="s">
        <v>206</v>
      </c>
      <c r="G2647" s="1">
        <v>29</v>
      </c>
      <c r="H2647" s="23">
        <v>45194.769988425927</v>
      </c>
      <c r="I2647" s="1" t="b">
        <v>0</v>
      </c>
      <c r="J2647" s="1">
        <v>5</v>
      </c>
      <c r="K2647" s="10">
        <f t="shared" si="207"/>
        <v>4.246388888976071</v>
      </c>
      <c r="L2647" s="1" t="str">
        <f t="shared" si="208"/>
        <v>OK</v>
      </c>
      <c r="M2647" s="1">
        <f t="shared" si="205"/>
        <v>1</v>
      </c>
      <c r="N2647" s="1">
        <f t="shared" si="206"/>
        <v>29</v>
      </c>
      <c r="O2647" s="10">
        <f t="shared" si="209"/>
        <v>4.246388888976071</v>
      </c>
    </row>
    <row r="2648" spans="1:15">
      <c r="A2648" s="1" t="s">
        <v>2753</v>
      </c>
      <c r="B2648" s="23">
        <v>45194.677777777775</v>
      </c>
      <c r="C2648" s="1" t="s">
        <v>25</v>
      </c>
      <c r="D2648" s="1" t="s">
        <v>17</v>
      </c>
      <c r="E2648" s="1" t="s">
        <v>13</v>
      </c>
      <c r="F2648" s="1" t="s">
        <v>228</v>
      </c>
      <c r="G2648" s="1">
        <v>144</v>
      </c>
      <c r="H2648" s="23">
        <v>45195.781643518516</v>
      </c>
      <c r="I2648" s="1" t="b">
        <v>0</v>
      </c>
      <c r="K2648" s="10">
        <f t="shared" si="207"/>
        <v>26.492777777777519</v>
      </c>
      <c r="L2648" s="1" t="str">
        <f t="shared" si="208"/>
        <v>OK</v>
      </c>
      <c r="M2648" s="1">
        <f t="shared" si="205"/>
        <v>1</v>
      </c>
      <c r="N2648" s="1">
        <f t="shared" si="206"/>
        <v>144</v>
      </c>
      <c r="O2648" s="10">
        <f t="shared" si="209"/>
        <v>26.492777777777519</v>
      </c>
    </row>
    <row r="2649" spans="1:15">
      <c r="A2649" s="1" t="s">
        <v>2754</v>
      </c>
      <c r="B2649" s="23">
        <v>45194.681250000001</v>
      </c>
      <c r="C2649" s="1" t="s">
        <v>16</v>
      </c>
      <c r="D2649" s="1" t="s">
        <v>12</v>
      </c>
      <c r="E2649" s="1" t="s">
        <v>18</v>
      </c>
      <c r="F2649" s="1" t="s">
        <v>50</v>
      </c>
      <c r="G2649" s="1">
        <v>117</v>
      </c>
      <c r="H2649" s="23">
        <v>45195.368923611109</v>
      </c>
      <c r="I2649" s="1" t="b">
        <v>1</v>
      </c>
      <c r="K2649" s="10">
        <f t="shared" si="207"/>
        <v>16.504166666592937</v>
      </c>
      <c r="L2649" s="1" t="str">
        <f t="shared" si="208"/>
        <v>OK</v>
      </c>
      <c r="M2649" s="1">
        <f t="shared" si="205"/>
        <v>1</v>
      </c>
      <c r="N2649" s="1">
        <f t="shared" si="206"/>
        <v>117</v>
      </c>
      <c r="O2649" s="10">
        <f t="shared" si="209"/>
        <v>16.504166666592937</v>
      </c>
    </row>
    <row r="2650" spans="1:15">
      <c r="A2650" s="1" t="s">
        <v>2755</v>
      </c>
      <c r="B2650" s="23">
        <v>45194.9</v>
      </c>
      <c r="C2650" s="1" t="s">
        <v>11</v>
      </c>
      <c r="D2650" s="1" t="s">
        <v>21</v>
      </c>
      <c r="E2650" s="1" t="s">
        <v>33</v>
      </c>
      <c r="F2650" s="1" t="s">
        <v>148</v>
      </c>
      <c r="G2650" s="1">
        <v>383</v>
      </c>
      <c r="H2650" s="23">
        <v>45195.833425925928</v>
      </c>
      <c r="I2650" s="1" t="b">
        <v>0</v>
      </c>
      <c r="K2650" s="10">
        <f t="shared" si="207"/>
        <v>22.402222222241107</v>
      </c>
      <c r="L2650" s="1" t="str">
        <f t="shared" si="208"/>
        <v>OK</v>
      </c>
      <c r="M2650" s="1">
        <f t="shared" si="205"/>
        <v>1</v>
      </c>
      <c r="N2650" s="1">
        <f t="shared" si="206"/>
        <v>383</v>
      </c>
      <c r="O2650" s="10">
        <f t="shared" si="209"/>
        <v>22.402222222241107</v>
      </c>
    </row>
    <row r="2651" spans="1:15">
      <c r="A2651" s="1" t="s">
        <v>2756</v>
      </c>
      <c r="B2651" s="23">
        <v>45195.039583333331</v>
      </c>
      <c r="C2651" s="1" t="s">
        <v>25</v>
      </c>
      <c r="D2651" s="1" t="s">
        <v>59</v>
      </c>
      <c r="E2651" s="1" t="s">
        <v>18</v>
      </c>
      <c r="F2651" s="1" t="s">
        <v>27</v>
      </c>
      <c r="G2651" s="1">
        <v>28</v>
      </c>
      <c r="H2651" s="23">
        <v>45196.028946759259</v>
      </c>
      <c r="I2651" s="1" t="b">
        <v>0</v>
      </c>
      <c r="J2651" s="1">
        <v>4</v>
      </c>
      <c r="K2651" s="10">
        <f t="shared" si="207"/>
        <v>23.744722222269047</v>
      </c>
      <c r="L2651" s="1" t="str">
        <f t="shared" si="208"/>
        <v>OK</v>
      </c>
      <c r="M2651" s="1">
        <f t="shared" si="205"/>
        <v>1</v>
      </c>
      <c r="N2651" s="1">
        <f t="shared" si="206"/>
        <v>28</v>
      </c>
      <c r="O2651" s="10">
        <f t="shared" si="209"/>
        <v>23.744722222269047</v>
      </c>
    </row>
    <row r="2652" spans="1:15">
      <c r="A2652" s="1" t="s">
        <v>2757</v>
      </c>
      <c r="B2652" s="23">
        <v>45195.345833333333</v>
      </c>
      <c r="C2652" s="1" t="s">
        <v>43</v>
      </c>
      <c r="D2652" s="1" t="s">
        <v>59</v>
      </c>
      <c r="E2652" s="1" t="s">
        <v>18</v>
      </c>
      <c r="F2652" s="1" t="s">
        <v>76</v>
      </c>
      <c r="G2652" s="1">
        <v>14</v>
      </c>
      <c r="H2652" s="23">
        <v>45195.749085648145</v>
      </c>
      <c r="I2652" s="1" t="b">
        <v>0</v>
      </c>
      <c r="J2652" s="1">
        <v>2</v>
      </c>
      <c r="K2652" s="10">
        <f t="shared" si="207"/>
        <v>9.6780555555014871</v>
      </c>
      <c r="L2652" s="1" t="str">
        <f t="shared" si="208"/>
        <v>OK</v>
      </c>
      <c r="M2652" s="1">
        <f t="shared" si="205"/>
        <v>1</v>
      </c>
      <c r="N2652" s="1">
        <f t="shared" si="206"/>
        <v>14</v>
      </c>
      <c r="O2652" s="10">
        <f t="shared" si="209"/>
        <v>9.6780555555014871</v>
      </c>
    </row>
    <row r="2653" spans="1:15">
      <c r="A2653" s="1" t="s">
        <v>2758</v>
      </c>
      <c r="B2653" s="23">
        <v>45195.388888888891</v>
      </c>
      <c r="C2653" s="1" t="s">
        <v>16</v>
      </c>
      <c r="D2653" s="1" t="s">
        <v>17</v>
      </c>
      <c r="E2653" s="1" t="s">
        <v>18</v>
      </c>
      <c r="F2653" s="1" t="s">
        <v>90</v>
      </c>
      <c r="G2653" s="1">
        <v>105</v>
      </c>
      <c r="H2653" s="23">
        <v>45195.504837962966</v>
      </c>
      <c r="I2653" s="1" t="b">
        <v>0</v>
      </c>
      <c r="J2653" s="1">
        <v>5</v>
      </c>
      <c r="K2653" s="10">
        <f t="shared" si="207"/>
        <v>2.782777777814772</v>
      </c>
      <c r="L2653" s="1" t="str">
        <f t="shared" si="208"/>
        <v>OK</v>
      </c>
      <c r="M2653" s="1">
        <f t="shared" si="205"/>
        <v>1</v>
      </c>
      <c r="N2653" s="1">
        <f t="shared" si="206"/>
        <v>105</v>
      </c>
      <c r="O2653" s="10">
        <f t="shared" si="209"/>
        <v>2.782777777814772</v>
      </c>
    </row>
    <row r="2654" spans="1:15">
      <c r="A2654" s="1" t="s">
        <v>2759</v>
      </c>
      <c r="B2654" s="23">
        <v>45195.42083333333</v>
      </c>
      <c r="C2654" s="1" t="s">
        <v>25</v>
      </c>
      <c r="D2654" s="1" t="s">
        <v>21</v>
      </c>
      <c r="E2654" s="1" t="s">
        <v>18</v>
      </c>
      <c r="F2654" s="1" t="s">
        <v>72</v>
      </c>
      <c r="G2654" s="1">
        <v>122</v>
      </c>
      <c r="H2654" s="23">
        <v>45196.937314814815</v>
      </c>
      <c r="I2654" s="1" t="b">
        <v>0</v>
      </c>
      <c r="J2654" s="1">
        <v>5</v>
      </c>
      <c r="K2654" s="10">
        <f t="shared" si="207"/>
        <v>36.395555555645842</v>
      </c>
      <c r="L2654" s="1" t="str">
        <f t="shared" si="208"/>
        <v>OK</v>
      </c>
      <c r="M2654" s="1">
        <f t="shared" si="205"/>
        <v>1</v>
      </c>
      <c r="N2654" s="1">
        <f t="shared" si="206"/>
        <v>122</v>
      </c>
      <c r="O2654" s="10">
        <f t="shared" si="209"/>
        <v>36.395555555645842</v>
      </c>
    </row>
    <row r="2655" spans="1:15">
      <c r="A2655" s="1" t="s">
        <v>2760</v>
      </c>
      <c r="B2655" s="23">
        <v>45195.472222222219</v>
      </c>
      <c r="C2655" s="1" t="s">
        <v>25</v>
      </c>
      <c r="D2655" s="1" t="s">
        <v>12</v>
      </c>
      <c r="E2655" s="1" t="s">
        <v>18</v>
      </c>
      <c r="F2655" s="1" t="s">
        <v>76</v>
      </c>
      <c r="G2655" s="1">
        <v>109</v>
      </c>
      <c r="H2655" s="23">
        <v>45196.928344907406</v>
      </c>
      <c r="I2655" s="1" t="b">
        <v>0</v>
      </c>
      <c r="J2655" s="1">
        <v>5</v>
      </c>
      <c r="K2655" s="10">
        <f t="shared" si="207"/>
        <v>34.946944444498513</v>
      </c>
      <c r="L2655" s="1" t="str">
        <f t="shared" si="208"/>
        <v>OK</v>
      </c>
      <c r="M2655" s="1">
        <f t="shared" si="205"/>
        <v>1</v>
      </c>
      <c r="N2655" s="1">
        <f t="shared" si="206"/>
        <v>109</v>
      </c>
      <c r="O2655" s="10">
        <f t="shared" si="209"/>
        <v>34.946944444498513</v>
      </c>
    </row>
    <row r="2656" spans="1:15">
      <c r="A2656" s="1" t="s">
        <v>2761</v>
      </c>
      <c r="B2656" s="23">
        <v>45195.478472222225</v>
      </c>
      <c r="C2656" s="1" t="s">
        <v>25</v>
      </c>
      <c r="D2656" s="1" t="s">
        <v>26</v>
      </c>
      <c r="E2656" s="1" t="s">
        <v>13</v>
      </c>
      <c r="F2656" s="1" t="s">
        <v>486</v>
      </c>
      <c r="G2656" s="1">
        <v>90</v>
      </c>
      <c r="H2656" s="23">
        <v>45195.649305555555</v>
      </c>
      <c r="I2656" s="1" t="b">
        <v>0</v>
      </c>
      <c r="J2656" s="1">
        <v>3</v>
      </c>
      <c r="K2656" s="10">
        <f t="shared" si="207"/>
        <v>4.0999999999185093</v>
      </c>
      <c r="L2656" s="1" t="str">
        <f t="shared" si="208"/>
        <v>OK</v>
      </c>
      <c r="M2656" s="1">
        <f t="shared" si="205"/>
        <v>1</v>
      </c>
      <c r="N2656" s="1">
        <f t="shared" si="206"/>
        <v>90</v>
      </c>
      <c r="O2656" s="10">
        <f t="shared" si="209"/>
        <v>4.0999999999185093</v>
      </c>
    </row>
    <row r="2657" spans="1:15">
      <c r="A2657" s="1" t="s">
        <v>2762</v>
      </c>
      <c r="B2657" s="23">
        <v>45195.511111111111</v>
      </c>
      <c r="C2657" s="1" t="s">
        <v>11</v>
      </c>
      <c r="D2657" s="1" t="s">
        <v>21</v>
      </c>
      <c r="E2657" s="1" t="s">
        <v>18</v>
      </c>
      <c r="F2657" s="1" t="s">
        <v>48</v>
      </c>
      <c r="G2657" s="1">
        <v>1432</v>
      </c>
      <c r="H2657" s="23">
        <v>45195.857430555552</v>
      </c>
      <c r="I2657" s="1" t="b">
        <v>0</v>
      </c>
      <c r="K2657" s="10">
        <f t="shared" si="207"/>
        <v>8.3116666665882803</v>
      </c>
      <c r="L2657" s="1" t="str">
        <f t="shared" si="208"/>
        <v>Review</v>
      </c>
      <c r="M2657" s="1">
        <f t="shared" si="205"/>
        <v>1</v>
      </c>
      <c r="N2657" s="1" t="str">
        <f t="shared" si="206"/>
        <v/>
      </c>
      <c r="O2657" s="10" t="str">
        <f t="shared" si="209"/>
        <v/>
      </c>
    </row>
    <row r="2658" spans="1:15">
      <c r="A2658" s="1" t="s">
        <v>2763</v>
      </c>
      <c r="B2658" s="23">
        <v>45195.523611111108</v>
      </c>
      <c r="C2658" s="1" t="s">
        <v>16</v>
      </c>
      <c r="D2658" s="1" t="s">
        <v>17</v>
      </c>
      <c r="E2658" s="1" t="s">
        <v>18</v>
      </c>
      <c r="F2658" s="1" t="s">
        <v>175</v>
      </c>
      <c r="G2658" s="1">
        <v>209</v>
      </c>
      <c r="H2658" s="23">
        <v>45197.343530092592</v>
      </c>
      <c r="I2658" s="1" t="b">
        <v>0</v>
      </c>
      <c r="K2658" s="10">
        <f t="shared" si="207"/>
        <v>43.678055555617902</v>
      </c>
      <c r="L2658" s="1" t="str">
        <f t="shared" si="208"/>
        <v>OK</v>
      </c>
      <c r="M2658" s="1">
        <f t="shared" si="205"/>
        <v>1</v>
      </c>
      <c r="N2658" s="1">
        <f t="shared" si="206"/>
        <v>209</v>
      </c>
      <c r="O2658" s="10">
        <f t="shared" si="209"/>
        <v>43.678055555617902</v>
      </c>
    </row>
    <row r="2659" spans="1:15">
      <c r="A2659" s="1" t="s">
        <v>2764</v>
      </c>
      <c r="B2659" s="23">
        <v>45195.709027777775</v>
      </c>
      <c r="C2659" s="1" t="s">
        <v>25</v>
      </c>
      <c r="D2659" s="1" t="s">
        <v>12</v>
      </c>
      <c r="E2659" s="1" t="s">
        <v>13</v>
      </c>
      <c r="F2659" s="1" t="s">
        <v>120</v>
      </c>
      <c r="G2659" s="1">
        <v>41</v>
      </c>
      <c r="H2659" s="23">
        <v>45195.853472222225</v>
      </c>
      <c r="I2659" s="1" t="b">
        <v>0</v>
      </c>
      <c r="K2659" s="10">
        <f t="shared" si="207"/>
        <v>3.466666666790843</v>
      </c>
      <c r="L2659" s="1" t="str">
        <f t="shared" si="208"/>
        <v>OK</v>
      </c>
      <c r="M2659" s="1">
        <f t="shared" si="205"/>
        <v>1</v>
      </c>
      <c r="N2659" s="1">
        <f t="shared" si="206"/>
        <v>41</v>
      </c>
      <c r="O2659" s="10">
        <f t="shared" si="209"/>
        <v>3.466666666790843</v>
      </c>
    </row>
    <row r="2660" spans="1:15">
      <c r="A2660" s="1" t="s">
        <v>2765</v>
      </c>
      <c r="B2660" s="23">
        <v>45195.72152777778</v>
      </c>
      <c r="C2660" s="1" t="s">
        <v>16</v>
      </c>
      <c r="D2660" s="1" t="s">
        <v>12</v>
      </c>
      <c r="E2660" s="1" t="s">
        <v>18</v>
      </c>
      <c r="F2660" s="1" t="s">
        <v>206</v>
      </c>
      <c r="G2660" s="1">
        <v>33</v>
      </c>
      <c r="H2660" s="23">
        <v>45195.983981481484</v>
      </c>
      <c r="I2660" s="1" t="b">
        <v>0</v>
      </c>
      <c r="K2660" s="10">
        <f t="shared" si="207"/>
        <v>6.2988888889085501</v>
      </c>
      <c r="L2660" s="1" t="str">
        <f t="shared" si="208"/>
        <v>OK</v>
      </c>
      <c r="M2660" s="1">
        <f t="shared" si="205"/>
        <v>1</v>
      </c>
      <c r="N2660" s="1">
        <f t="shared" si="206"/>
        <v>33</v>
      </c>
      <c r="O2660" s="10">
        <f t="shared" si="209"/>
        <v>6.2988888889085501</v>
      </c>
    </row>
    <row r="2661" spans="1:15">
      <c r="A2661" s="1" t="s">
        <v>2766</v>
      </c>
      <c r="B2661" s="23">
        <v>45195.76458333333</v>
      </c>
      <c r="C2661" s="1" t="s">
        <v>25</v>
      </c>
      <c r="D2661" s="1" t="s">
        <v>17</v>
      </c>
      <c r="E2661" s="1" t="s">
        <v>13</v>
      </c>
      <c r="F2661" s="1" t="s">
        <v>224</v>
      </c>
      <c r="G2661" s="1">
        <v>71</v>
      </c>
      <c r="H2661" s="23">
        <v>45196.211099537039</v>
      </c>
      <c r="I2661" s="1" t="b">
        <v>1</v>
      </c>
      <c r="J2661" s="1">
        <v>5</v>
      </c>
      <c r="K2661" s="10">
        <f t="shared" si="207"/>
        <v>10.716388889006339</v>
      </c>
      <c r="L2661" s="1" t="str">
        <f t="shared" si="208"/>
        <v>OK</v>
      </c>
      <c r="M2661" s="1">
        <f t="shared" si="205"/>
        <v>1</v>
      </c>
      <c r="N2661" s="1">
        <f t="shared" si="206"/>
        <v>71</v>
      </c>
      <c r="O2661" s="10">
        <f t="shared" si="209"/>
        <v>10.716388889006339</v>
      </c>
    </row>
    <row r="2662" spans="1:15">
      <c r="A2662" s="1" t="s">
        <v>2767</v>
      </c>
      <c r="B2662" s="23">
        <v>45195.845833333333</v>
      </c>
      <c r="C2662" s="1" t="s">
        <v>11</v>
      </c>
      <c r="D2662" s="1" t="s">
        <v>59</v>
      </c>
      <c r="E2662" s="1" t="s">
        <v>33</v>
      </c>
      <c r="F2662" s="1" t="s">
        <v>259</v>
      </c>
      <c r="G2662" s="1">
        <v>48</v>
      </c>
      <c r="H2662" s="23">
        <v>45198.735497685186</v>
      </c>
      <c r="I2662" s="1" t="b">
        <v>0</v>
      </c>
      <c r="K2662" s="10">
        <f t="shared" si="207"/>
        <v>69.351944444468245</v>
      </c>
      <c r="L2662" s="1" t="str">
        <f t="shared" si="208"/>
        <v>OK</v>
      </c>
      <c r="M2662" s="1">
        <f t="shared" si="205"/>
        <v>1</v>
      </c>
      <c r="N2662" s="1">
        <f t="shared" si="206"/>
        <v>48</v>
      </c>
      <c r="O2662" s="10">
        <f t="shared" si="209"/>
        <v>69.351944444468245</v>
      </c>
    </row>
    <row r="2663" spans="1:15">
      <c r="A2663" s="1" t="s">
        <v>2768</v>
      </c>
      <c r="B2663" s="23">
        <v>45196.094444444447</v>
      </c>
      <c r="C2663" s="1" t="s">
        <v>16</v>
      </c>
      <c r="D2663" s="1" t="s">
        <v>21</v>
      </c>
      <c r="E2663" s="1" t="s">
        <v>13</v>
      </c>
      <c r="F2663" s="1" t="s">
        <v>86</v>
      </c>
      <c r="G2663" s="1">
        <v>115</v>
      </c>
      <c r="H2663" s="23">
        <v>45196.353831018518</v>
      </c>
      <c r="I2663" s="1" t="b">
        <v>0</v>
      </c>
      <c r="J2663" s="1">
        <v>2</v>
      </c>
      <c r="K2663" s="10">
        <f t="shared" si="207"/>
        <v>6.2252777777030133</v>
      </c>
      <c r="L2663" s="1" t="str">
        <f t="shared" si="208"/>
        <v>OK</v>
      </c>
      <c r="M2663" s="1">
        <f t="shared" si="205"/>
        <v>1</v>
      </c>
      <c r="N2663" s="1">
        <f t="shared" si="206"/>
        <v>115</v>
      </c>
      <c r="O2663" s="10">
        <f t="shared" si="209"/>
        <v>6.2252777777030133</v>
      </c>
    </row>
    <row r="2664" spans="1:15">
      <c r="A2664" s="1" t="s">
        <v>2769</v>
      </c>
      <c r="B2664" s="23">
        <v>45196.154166666667</v>
      </c>
      <c r="C2664" s="1" t="s">
        <v>11</v>
      </c>
      <c r="D2664" s="1" t="s">
        <v>26</v>
      </c>
      <c r="E2664" s="1" t="s">
        <v>18</v>
      </c>
      <c r="F2664" s="1" t="s">
        <v>326</v>
      </c>
      <c r="G2664" s="1">
        <v>180</v>
      </c>
      <c r="H2664" s="23">
        <v>45215.373067129629</v>
      </c>
      <c r="I2664" s="1" t="b">
        <v>0</v>
      </c>
      <c r="J2664" s="1">
        <v>5</v>
      </c>
      <c r="K2664" s="10">
        <f t="shared" si="207"/>
        <v>461.25361111108214</v>
      </c>
      <c r="L2664" s="1" t="str">
        <f t="shared" si="208"/>
        <v>OK</v>
      </c>
      <c r="M2664" s="1">
        <f t="shared" si="205"/>
        <v>1</v>
      </c>
      <c r="N2664" s="1">
        <f t="shared" si="206"/>
        <v>180</v>
      </c>
      <c r="O2664" s="10">
        <f t="shared" si="209"/>
        <v>461.25361111108214</v>
      </c>
    </row>
    <row r="2665" spans="1:15">
      <c r="A2665" s="1" t="s">
        <v>2770</v>
      </c>
      <c r="B2665" s="23">
        <v>45196.172222222223</v>
      </c>
      <c r="C2665" s="1" t="s">
        <v>25</v>
      </c>
      <c r="D2665" s="1" t="s">
        <v>59</v>
      </c>
      <c r="E2665" s="1" t="s">
        <v>18</v>
      </c>
      <c r="F2665" s="1" t="s">
        <v>62</v>
      </c>
      <c r="G2665" s="1">
        <v>29</v>
      </c>
      <c r="H2665" s="23">
        <v>45196.990763888891</v>
      </c>
      <c r="I2665" s="1" t="b">
        <v>0</v>
      </c>
      <c r="K2665" s="10">
        <f t="shared" si="207"/>
        <v>19.645000000018626</v>
      </c>
      <c r="L2665" s="1" t="str">
        <f t="shared" si="208"/>
        <v>OK</v>
      </c>
      <c r="M2665" s="1">
        <f t="shared" si="205"/>
        <v>1</v>
      </c>
      <c r="N2665" s="1">
        <f t="shared" si="206"/>
        <v>29</v>
      </c>
      <c r="O2665" s="10">
        <f t="shared" si="209"/>
        <v>19.645000000018626</v>
      </c>
    </row>
    <row r="2666" spans="1:15">
      <c r="A2666" s="1" t="s">
        <v>2771</v>
      </c>
      <c r="B2666" s="23">
        <v>45196.311111111114</v>
      </c>
      <c r="C2666" s="1" t="s">
        <v>16</v>
      </c>
      <c r="D2666" s="1" t="s">
        <v>12</v>
      </c>
      <c r="E2666" s="1" t="s">
        <v>33</v>
      </c>
      <c r="F2666" s="1" t="s">
        <v>88</v>
      </c>
      <c r="G2666" s="1">
        <v>40</v>
      </c>
      <c r="H2666" s="23">
        <v>45197.475856481484</v>
      </c>
      <c r="I2666" s="1" t="b">
        <v>1</v>
      </c>
      <c r="K2666" s="10">
        <f t="shared" si="207"/>
        <v>27.953888888878282</v>
      </c>
      <c r="L2666" s="1" t="str">
        <f t="shared" si="208"/>
        <v>OK</v>
      </c>
      <c r="M2666" s="1">
        <f t="shared" si="205"/>
        <v>1</v>
      </c>
      <c r="N2666" s="1">
        <f t="shared" si="206"/>
        <v>40</v>
      </c>
      <c r="O2666" s="10">
        <f t="shared" si="209"/>
        <v>27.953888888878282</v>
      </c>
    </row>
    <row r="2667" spans="1:15">
      <c r="A2667" s="1" t="s">
        <v>2772</v>
      </c>
      <c r="B2667" s="23">
        <v>45196.365277777775</v>
      </c>
      <c r="C2667" s="1" t="s">
        <v>16</v>
      </c>
      <c r="D2667" s="1" t="s">
        <v>17</v>
      </c>
      <c r="E2667" s="1" t="s">
        <v>18</v>
      </c>
      <c r="F2667" s="1" t="s">
        <v>110</v>
      </c>
      <c r="G2667" s="1">
        <v>14</v>
      </c>
      <c r="H2667" s="23">
        <v>45237.54414351852</v>
      </c>
      <c r="I2667" s="1" t="b">
        <v>0</v>
      </c>
      <c r="K2667" s="10">
        <f t="shared" si="207"/>
        <v>988.29277777788229</v>
      </c>
      <c r="L2667" s="1" t="str">
        <f t="shared" si="208"/>
        <v>OK</v>
      </c>
      <c r="M2667" s="1">
        <f t="shared" si="205"/>
        <v>1</v>
      </c>
      <c r="N2667" s="1">
        <f t="shared" si="206"/>
        <v>14</v>
      </c>
      <c r="O2667" s="10">
        <f t="shared" si="209"/>
        <v>988.29277777788229</v>
      </c>
    </row>
    <row r="2668" spans="1:15">
      <c r="A2668" s="1" t="s">
        <v>2773</v>
      </c>
      <c r="B2668" s="23">
        <v>45196.619444444441</v>
      </c>
      <c r="C2668" s="1" t="s">
        <v>25</v>
      </c>
      <c r="D2668" s="1" t="s">
        <v>12</v>
      </c>
      <c r="E2668" s="1" t="s">
        <v>33</v>
      </c>
      <c r="F2668" s="1" t="s">
        <v>102</v>
      </c>
      <c r="G2668" s="1">
        <v>350</v>
      </c>
      <c r="H2668" s="23">
        <v>45199.69258101852</v>
      </c>
      <c r="I2668" s="1" t="b">
        <v>0</v>
      </c>
      <c r="K2668" s="10">
        <f t="shared" si="207"/>
        <v>73.755277777905576</v>
      </c>
      <c r="L2668" s="1" t="str">
        <f t="shared" si="208"/>
        <v>OK</v>
      </c>
      <c r="M2668" s="1">
        <f t="shared" si="205"/>
        <v>1</v>
      </c>
      <c r="N2668" s="1">
        <f t="shared" si="206"/>
        <v>350</v>
      </c>
      <c r="O2668" s="10">
        <f t="shared" si="209"/>
        <v>73.755277777905576</v>
      </c>
    </row>
    <row r="2669" spans="1:15">
      <c r="A2669" s="1" t="s">
        <v>2774</v>
      </c>
      <c r="B2669" s="23">
        <v>45196.804166666669</v>
      </c>
      <c r="C2669" s="1" t="s">
        <v>11</v>
      </c>
      <c r="D2669" s="1" t="s">
        <v>17</v>
      </c>
      <c r="E2669" s="1" t="s">
        <v>18</v>
      </c>
      <c r="F2669" s="1" t="s">
        <v>74</v>
      </c>
      <c r="G2669" s="1">
        <v>163</v>
      </c>
      <c r="H2669" s="23">
        <v>45207.436226851853</v>
      </c>
      <c r="I2669" s="1" t="b">
        <v>0</v>
      </c>
      <c r="J2669" s="1">
        <v>3</v>
      </c>
      <c r="K2669" s="10">
        <f t="shared" si="207"/>
        <v>255.16944444441469</v>
      </c>
      <c r="L2669" s="1" t="str">
        <f t="shared" si="208"/>
        <v>OK</v>
      </c>
      <c r="M2669" s="1">
        <f t="shared" si="205"/>
        <v>1</v>
      </c>
      <c r="N2669" s="1">
        <f t="shared" si="206"/>
        <v>163</v>
      </c>
      <c r="O2669" s="10">
        <f t="shared" si="209"/>
        <v>255.16944444441469</v>
      </c>
    </row>
    <row r="2670" spans="1:15">
      <c r="A2670" s="1" t="s">
        <v>2775</v>
      </c>
      <c r="B2670" s="23">
        <v>45196.879166666666</v>
      </c>
      <c r="C2670" s="1" t="s">
        <v>25</v>
      </c>
      <c r="D2670" s="1" t="s">
        <v>17</v>
      </c>
      <c r="E2670" s="1" t="s">
        <v>33</v>
      </c>
      <c r="F2670" s="1" t="s">
        <v>14</v>
      </c>
      <c r="G2670" s="1">
        <v>197</v>
      </c>
      <c r="H2670" s="23">
        <v>45198.910162037035</v>
      </c>
      <c r="I2670" s="1" t="b">
        <v>0</v>
      </c>
      <c r="K2670" s="10">
        <f t="shared" si="207"/>
        <v>48.743888888857327</v>
      </c>
      <c r="L2670" s="1" t="str">
        <f t="shared" si="208"/>
        <v>OK</v>
      </c>
      <c r="M2670" s="1">
        <f t="shared" si="205"/>
        <v>1</v>
      </c>
      <c r="N2670" s="1">
        <f t="shared" si="206"/>
        <v>197</v>
      </c>
      <c r="O2670" s="10">
        <f t="shared" si="209"/>
        <v>48.743888888857327</v>
      </c>
    </row>
    <row r="2671" spans="1:15">
      <c r="A2671" s="1" t="s">
        <v>2776</v>
      </c>
      <c r="B2671" s="23">
        <v>45196.927083333336</v>
      </c>
      <c r="C2671" s="1" t="s">
        <v>25</v>
      </c>
      <c r="D2671" s="1" t="s">
        <v>59</v>
      </c>
      <c r="E2671" s="1" t="s">
        <v>18</v>
      </c>
      <c r="F2671" s="1" t="s">
        <v>54</v>
      </c>
      <c r="G2671" s="1">
        <v>64</v>
      </c>
      <c r="H2671" s="23">
        <v>45197.113622685189</v>
      </c>
      <c r="I2671" s="1" t="b">
        <v>0</v>
      </c>
      <c r="K2671" s="10">
        <f t="shared" si="207"/>
        <v>4.4769444444682449</v>
      </c>
      <c r="L2671" s="1" t="str">
        <f t="shared" si="208"/>
        <v>OK</v>
      </c>
      <c r="M2671" s="1">
        <f t="shared" si="205"/>
        <v>1</v>
      </c>
      <c r="N2671" s="1">
        <f t="shared" si="206"/>
        <v>64</v>
      </c>
      <c r="O2671" s="10">
        <f t="shared" si="209"/>
        <v>4.4769444444682449</v>
      </c>
    </row>
    <row r="2672" spans="1:15">
      <c r="A2672" s="1" t="s">
        <v>2777</v>
      </c>
      <c r="B2672" s="23">
        <v>45196.927777777775</v>
      </c>
      <c r="C2672" s="1" t="s">
        <v>25</v>
      </c>
      <c r="D2672" s="1" t="s">
        <v>12</v>
      </c>
      <c r="E2672" s="1" t="s">
        <v>33</v>
      </c>
      <c r="F2672" s="1" t="s">
        <v>159</v>
      </c>
      <c r="G2672" s="1">
        <v>420</v>
      </c>
      <c r="H2672" s="23">
        <v>45197.691400462965</v>
      </c>
      <c r="I2672" s="1" t="b">
        <v>0</v>
      </c>
      <c r="K2672" s="10">
        <f t="shared" si="207"/>
        <v>18.326944444561377</v>
      </c>
      <c r="L2672" s="1" t="str">
        <f t="shared" si="208"/>
        <v>OK</v>
      </c>
      <c r="M2672" s="1">
        <f t="shared" si="205"/>
        <v>1</v>
      </c>
      <c r="N2672" s="1">
        <f t="shared" si="206"/>
        <v>420</v>
      </c>
      <c r="O2672" s="10">
        <f t="shared" si="209"/>
        <v>18.326944444561377</v>
      </c>
    </row>
    <row r="2673" spans="1:15">
      <c r="A2673" s="1" t="s">
        <v>2778</v>
      </c>
      <c r="B2673" s="23">
        <v>45196.962500000001</v>
      </c>
      <c r="C2673" s="1" t="s">
        <v>25</v>
      </c>
      <c r="D2673" s="1" t="s">
        <v>21</v>
      </c>
      <c r="E2673" s="1" t="s">
        <v>18</v>
      </c>
      <c r="F2673" s="1" t="s">
        <v>237</v>
      </c>
      <c r="G2673" s="1">
        <v>118</v>
      </c>
      <c r="H2673" s="23">
        <v>45197.423229166663</v>
      </c>
      <c r="I2673" s="1" t="b">
        <v>0</v>
      </c>
      <c r="J2673" s="1">
        <v>4</v>
      </c>
      <c r="K2673" s="10">
        <f t="shared" si="207"/>
        <v>11.057499999878928</v>
      </c>
      <c r="L2673" s="1" t="str">
        <f t="shared" si="208"/>
        <v>OK</v>
      </c>
      <c r="M2673" s="1">
        <f t="shared" si="205"/>
        <v>1</v>
      </c>
      <c r="N2673" s="1">
        <f t="shared" si="206"/>
        <v>118</v>
      </c>
      <c r="O2673" s="10">
        <f t="shared" si="209"/>
        <v>11.057499999878928</v>
      </c>
    </row>
    <row r="2674" spans="1:15">
      <c r="A2674" s="1" t="s">
        <v>2779</v>
      </c>
      <c r="B2674" s="23">
        <v>45197.115277777775</v>
      </c>
      <c r="C2674" s="1" t="s">
        <v>25</v>
      </c>
      <c r="D2674" s="1" t="s">
        <v>26</v>
      </c>
      <c r="E2674" s="1" t="s">
        <v>18</v>
      </c>
      <c r="F2674" s="1" t="s">
        <v>92</v>
      </c>
      <c r="G2674" s="1">
        <v>32</v>
      </c>
      <c r="H2674" s="23">
        <v>45209.651006944441</v>
      </c>
      <c r="I2674" s="1" t="b">
        <v>0</v>
      </c>
      <c r="J2674" s="1">
        <v>5</v>
      </c>
      <c r="K2674" s="10">
        <f t="shared" si="207"/>
        <v>300.8574999999837</v>
      </c>
      <c r="L2674" s="1" t="str">
        <f t="shared" si="208"/>
        <v>OK</v>
      </c>
      <c r="M2674" s="1">
        <f t="shared" si="205"/>
        <v>1</v>
      </c>
      <c r="N2674" s="1">
        <f t="shared" si="206"/>
        <v>32</v>
      </c>
      <c r="O2674" s="10">
        <f t="shared" si="209"/>
        <v>300.8574999999837</v>
      </c>
    </row>
    <row r="2675" spans="1:15">
      <c r="A2675" s="1" t="s">
        <v>2780</v>
      </c>
      <c r="B2675" s="23">
        <v>45197.338194444441</v>
      </c>
      <c r="C2675" s="1" t="s">
        <v>16</v>
      </c>
      <c r="D2675" s="1" t="s">
        <v>21</v>
      </c>
      <c r="E2675" s="1" t="s">
        <v>33</v>
      </c>
      <c r="F2675" s="1" t="s">
        <v>72</v>
      </c>
      <c r="G2675" s="1">
        <v>346</v>
      </c>
      <c r="H2675" s="23">
        <v>45200.319374999999</v>
      </c>
      <c r="I2675" s="1" t="b">
        <v>0</v>
      </c>
      <c r="K2675" s="10">
        <f t="shared" si="207"/>
        <v>71.54833333339775</v>
      </c>
      <c r="L2675" s="1" t="str">
        <f t="shared" si="208"/>
        <v>OK</v>
      </c>
      <c r="M2675" s="1">
        <f t="shared" si="205"/>
        <v>1</v>
      </c>
      <c r="N2675" s="1">
        <f t="shared" si="206"/>
        <v>346</v>
      </c>
      <c r="O2675" s="10">
        <f t="shared" si="209"/>
        <v>71.54833333339775</v>
      </c>
    </row>
    <row r="2676" spans="1:15">
      <c r="A2676" s="1" t="s">
        <v>2781</v>
      </c>
      <c r="B2676" s="23">
        <v>45197.481249999997</v>
      </c>
      <c r="C2676" s="1" t="s">
        <v>25</v>
      </c>
      <c r="D2676" s="1" t="s">
        <v>21</v>
      </c>
      <c r="E2676" s="1" t="s">
        <v>18</v>
      </c>
      <c r="F2676" s="1" t="s">
        <v>108</v>
      </c>
      <c r="G2676" s="1">
        <v>92</v>
      </c>
      <c r="H2676" s="23">
        <v>45197.818437499998</v>
      </c>
      <c r="I2676" s="1" t="b">
        <v>0</v>
      </c>
      <c r="K2676" s="10">
        <f t="shared" si="207"/>
        <v>8.0925000000279397</v>
      </c>
      <c r="L2676" s="1" t="str">
        <f t="shared" si="208"/>
        <v>OK</v>
      </c>
      <c r="M2676" s="1">
        <f t="shared" si="205"/>
        <v>1</v>
      </c>
      <c r="N2676" s="1">
        <f t="shared" si="206"/>
        <v>92</v>
      </c>
      <c r="O2676" s="10">
        <f t="shared" si="209"/>
        <v>8.0925000000279397</v>
      </c>
    </row>
    <row r="2677" spans="1:15">
      <c r="A2677" s="1" t="s">
        <v>2782</v>
      </c>
      <c r="B2677" s="23">
        <v>45197.487500000003</v>
      </c>
      <c r="C2677" s="1" t="s">
        <v>11</v>
      </c>
      <c r="D2677" s="1" t="s">
        <v>26</v>
      </c>
      <c r="E2677" s="1" t="s">
        <v>18</v>
      </c>
      <c r="F2677" s="1" t="s">
        <v>80</v>
      </c>
      <c r="G2677" s="1">
        <v>90</v>
      </c>
      <c r="H2677" s="23">
        <v>45202.861157407409</v>
      </c>
      <c r="I2677" s="1" t="b">
        <v>0</v>
      </c>
      <c r="K2677" s="10">
        <f t="shared" si="207"/>
        <v>128.96777777775424</v>
      </c>
      <c r="L2677" s="1" t="str">
        <f t="shared" si="208"/>
        <v>OK</v>
      </c>
      <c r="M2677" s="1">
        <f t="shared" si="205"/>
        <v>1</v>
      </c>
      <c r="N2677" s="1">
        <f t="shared" si="206"/>
        <v>90</v>
      </c>
      <c r="O2677" s="10">
        <f t="shared" si="209"/>
        <v>128.96777777775424</v>
      </c>
    </row>
    <row r="2678" spans="1:15">
      <c r="A2678" s="1" t="s">
        <v>2783</v>
      </c>
      <c r="B2678" s="23">
        <v>45197.618750000001</v>
      </c>
      <c r="C2678" s="1" t="s">
        <v>25</v>
      </c>
      <c r="D2678" s="1" t="s">
        <v>17</v>
      </c>
      <c r="E2678" s="1" t="s">
        <v>33</v>
      </c>
      <c r="F2678" s="1" t="s">
        <v>64</v>
      </c>
      <c r="G2678" s="1">
        <v>352</v>
      </c>
      <c r="H2678" s="23">
        <v>45211.529027777775</v>
      </c>
      <c r="I2678" s="1" t="b">
        <v>0</v>
      </c>
      <c r="J2678" s="1">
        <v>4</v>
      </c>
      <c r="K2678" s="10">
        <f t="shared" si="207"/>
        <v>333.84666666656267</v>
      </c>
      <c r="L2678" s="1" t="str">
        <f t="shared" si="208"/>
        <v>OK</v>
      </c>
      <c r="M2678" s="1">
        <f t="shared" si="205"/>
        <v>1</v>
      </c>
      <c r="N2678" s="1">
        <f t="shared" si="206"/>
        <v>352</v>
      </c>
      <c r="O2678" s="10">
        <f t="shared" si="209"/>
        <v>333.84666666656267</v>
      </c>
    </row>
    <row r="2679" spans="1:15">
      <c r="A2679" s="1" t="s">
        <v>2784</v>
      </c>
      <c r="B2679" s="23">
        <v>45197.861805555556</v>
      </c>
      <c r="C2679" s="1" t="s">
        <v>25</v>
      </c>
      <c r="D2679" s="1" t="s">
        <v>17</v>
      </c>
      <c r="E2679" s="1" t="s">
        <v>13</v>
      </c>
      <c r="F2679" s="1" t="s">
        <v>37</v>
      </c>
      <c r="G2679" s="1">
        <v>145</v>
      </c>
      <c r="H2679" s="23">
        <v>45216.361620370371</v>
      </c>
      <c r="I2679" s="1" t="b">
        <v>0</v>
      </c>
      <c r="K2679" s="10">
        <f t="shared" si="207"/>
        <v>443.99555555556435</v>
      </c>
      <c r="L2679" s="1" t="str">
        <f t="shared" si="208"/>
        <v>OK</v>
      </c>
      <c r="M2679" s="1">
        <f t="shared" si="205"/>
        <v>1</v>
      </c>
      <c r="N2679" s="1">
        <f t="shared" si="206"/>
        <v>145</v>
      </c>
      <c r="O2679" s="10">
        <f t="shared" si="209"/>
        <v>443.99555555556435</v>
      </c>
    </row>
    <row r="2680" spans="1:15">
      <c r="A2680" s="1" t="s">
        <v>2785</v>
      </c>
      <c r="B2680" s="23">
        <v>45197.880555555559</v>
      </c>
      <c r="C2680" s="1" t="s">
        <v>16</v>
      </c>
      <c r="D2680" s="1" t="s">
        <v>21</v>
      </c>
      <c r="E2680" s="1" t="s">
        <v>13</v>
      </c>
      <c r="F2680" s="1" t="s">
        <v>23</v>
      </c>
      <c r="G2680" s="1">
        <v>21</v>
      </c>
      <c r="H2680" s="23">
        <v>45197.948611111111</v>
      </c>
      <c r="I2680" s="1" t="b">
        <v>0</v>
      </c>
      <c r="K2680" s="10">
        <f t="shared" si="207"/>
        <v>1.6333333332440816</v>
      </c>
      <c r="L2680" s="1" t="str">
        <f t="shared" si="208"/>
        <v>OK</v>
      </c>
      <c r="M2680" s="1">
        <f t="shared" si="205"/>
        <v>1</v>
      </c>
      <c r="N2680" s="1">
        <f t="shared" si="206"/>
        <v>21</v>
      </c>
      <c r="O2680" s="10">
        <f t="shared" si="209"/>
        <v>1.6333333332440816</v>
      </c>
    </row>
    <row r="2681" spans="1:15">
      <c r="A2681" s="1" t="s">
        <v>2786</v>
      </c>
      <c r="B2681" s="23">
        <v>45197.888194444444</v>
      </c>
      <c r="C2681" s="1" t="s">
        <v>16</v>
      </c>
      <c r="D2681" s="1" t="s">
        <v>59</v>
      </c>
      <c r="E2681" s="1" t="s">
        <v>33</v>
      </c>
      <c r="F2681" s="1" t="s">
        <v>35</v>
      </c>
      <c r="G2681" s="1">
        <v>219</v>
      </c>
      <c r="H2681" s="23">
        <v>45200.779247685183</v>
      </c>
      <c r="I2681" s="1" t="b">
        <v>0</v>
      </c>
      <c r="K2681" s="10">
        <f t="shared" si="207"/>
        <v>69.38527777773561</v>
      </c>
      <c r="L2681" s="1" t="str">
        <f t="shared" si="208"/>
        <v>OK</v>
      </c>
      <c r="M2681" s="1">
        <f t="shared" si="205"/>
        <v>1</v>
      </c>
      <c r="N2681" s="1">
        <f t="shared" si="206"/>
        <v>219</v>
      </c>
      <c r="O2681" s="10">
        <f t="shared" si="209"/>
        <v>69.38527777773561</v>
      </c>
    </row>
    <row r="2682" spans="1:15">
      <c r="A2682" s="1" t="s">
        <v>2787</v>
      </c>
      <c r="B2682" s="23">
        <v>45198.0625</v>
      </c>
      <c r="C2682" s="1" t="s">
        <v>16</v>
      </c>
      <c r="D2682" s="1" t="s">
        <v>17</v>
      </c>
      <c r="E2682" s="1" t="s">
        <v>18</v>
      </c>
      <c r="F2682" s="1" t="s">
        <v>317</v>
      </c>
      <c r="I2682" s="1" t="b">
        <v>0</v>
      </c>
      <c r="K2682" s="10" t="str">
        <f t="shared" si="207"/>
        <v/>
      </c>
      <c r="L2682" s="1" t="str">
        <f t="shared" si="208"/>
        <v>Cannot check</v>
      </c>
      <c r="M2682" s="1">
        <f t="shared" si="205"/>
        <v>1</v>
      </c>
      <c r="N2682" s="1" t="str">
        <f t="shared" si="206"/>
        <v/>
      </c>
      <c r="O2682" s="10" t="str">
        <f t="shared" si="209"/>
        <v/>
      </c>
    </row>
    <row r="2683" spans="1:15">
      <c r="A2683" s="1" t="s">
        <v>2788</v>
      </c>
      <c r="B2683" s="23">
        <v>45198.203472222223</v>
      </c>
      <c r="C2683" s="1" t="s">
        <v>11</v>
      </c>
      <c r="D2683" s="1" t="s">
        <v>17</v>
      </c>
      <c r="E2683" s="1" t="s">
        <v>33</v>
      </c>
      <c r="F2683" s="1" t="s">
        <v>254</v>
      </c>
      <c r="G2683" s="1">
        <v>129</v>
      </c>
      <c r="H2683" s="23">
        <v>45199.54111111111</v>
      </c>
      <c r="I2683" s="1" t="b">
        <v>0</v>
      </c>
      <c r="K2683" s="10">
        <f t="shared" si="207"/>
        <v>32.10333333327435</v>
      </c>
      <c r="L2683" s="1" t="str">
        <f t="shared" si="208"/>
        <v>OK</v>
      </c>
      <c r="M2683" s="1">
        <f t="shared" si="205"/>
        <v>1</v>
      </c>
      <c r="N2683" s="1">
        <f t="shared" si="206"/>
        <v>129</v>
      </c>
      <c r="O2683" s="10">
        <f t="shared" si="209"/>
        <v>32.10333333327435</v>
      </c>
    </row>
    <row r="2684" spans="1:15">
      <c r="A2684" s="1" t="s">
        <v>2789</v>
      </c>
      <c r="B2684" s="23">
        <v>45198.300694444442</v>
      </c>
      <c r="C2684" s="1" t="s">
        <v>25</v>
      </c>
      <c r="D2684" s="1" t="s">
        <v>17</v>
      </c>
      <c r="E2684" s="1" t="s">
        <v>18</v>
      </c>
      <c r="F2684" s="1" t="s">
        <v>234</v>
      </c>
      <c r="G2684" s="1">
        <v>104</v>
      </c>
      <c r="I2684" s="1" t="b">
        <v>0</v>
      </c>
      <c r="K2684" s="10" t="str">
        <f t="shared" si="207"/>
        <v/>
      </c>
      <c r="L2684" s="1" t="str">
        <f t="shared" si="208"/>
        <v>Cannot check</v>
      </c>
      <c r="M2684" s="1">
        <f t="shared" si="205"/>
        <v>1</v>
      </c>
      <c r="N2684" s="1">
        <f t="shared" si="206"/>
        <v>104</v>
      </c>
      <c r="O2684" s="10" t="str">
        <f t="shared" si="209"/>
        <v/>
      </c>
    </row>
    <row r="2685" spans="1:15">
      <c r="A2685" s="1" t="s">
        <v>2790</v>
      </c>
      <c r="B2685" s="23">
        <v>45198.370833333334</v>
      </c>
      <c r="C2685" s="1" t="s">
        <v>11</v>
      </c>
      <c r="D2685" s="1" t="s">
        <v>17</v>
      </c>
      <c r="E2685" s="1" t="s">
        <v>18</v>
      </c>
      <c r="F2685" s="1" t="s">
        <v>23</v>
      </c>
      <c r="H2685" s="23">
        <v>45202.835138888891</v>
      </c>
      <c r="I2685" s="1" t="b">
        <v>0</v>
      </c>
      <c r="K2685" s="10">
        <f t="shared" si="207"/>
        <v>107.14333333336981</v>
      </c>
      <c r="L2685" s="1" t="str">
        <f t="shared" si="208"/>
        <v>Cannot check</v>
      </c>
      <c r="M2685" s="1">
        <f t="shared" si="205"/>
        <v>1</v>
      </c>
      <c r="N2685" s="1" t="str">
        <f t="shared" si="206"/>
        <v/>
      </c>
      <c r="O2685" s="10">
        <f t="shared" si="209"/>
        <v>107.14333333336981</v>
      </c>
    </row>
    <row r="2686" spans="1:15">
      <c r="A2686" s="1" t="s">
        <v>2791</v>
      </c>
      <c r="B2686" s="23">
        <v>45199.255555555559</v>
      </c>
      <c r="C2686" s="1" t="s">
        <v>11</v>
      </c>
      <c r="D2686" s="1" t="s">
        <v>17</v>
      </c>
      <c r="E2686" s="1" t="s">
        <v>18</v>
      </c>
      <c r="F2686" s="1" t="s">
        <v>106</v>
      </c>
      <c r="G2686" s="1">
        <v>94</v>
      </c>
      <c r="H2686" s="23">
        <v>45201.664849537039</v>
      </c>
      <c r="I2686" s="1" t="b">
        <v>0</v>
      </c>
      <c r="K2686" s="10">
        <f t="shared" si="207"/>
        <v>57.823055555520114</v>
      </c>
      <c r="L2686" s="1" t="str">
        <f t="shared" si="208"/>
        <v>OK</v>
      </c>
      <c r="M2686" s="1">
        <f t="shared" si="205"/>
        <v>1</v>
      </c>
      <c r="N2686" s="1">
        <f t="shared" si="206"/>
        <v>94</v>
      </c>
      <c r="O2686" s="10">
        <f t="shared" si="209"/>
        <v>57.823055555520114</v>
      </c>
    </row>
    <row r="2687" spans="1:15">
      <c r="A2687" s="1" t="s">
        <v>2792</v>
      </c>
      <c r="B2687" s="23">
        <v>45199.393750000003</v>
      </c>
      <c r="C2687" s="1" t="s">
        <v>43</v>
      </c>
      <c r="D2687" s="1" t="s">
        <v>21</v>
      </c>
      <c r="E2687" s="1" t="s">
        <v>18</v>
      </c>
      <c r="F2687" s="1" t="s">
        <v>14</v>
      </c>
      <c r="G2687" s="1">
        <v>23</v>
      </c>
      <c r="H2687" s="23">
        <v>45205.55641203704</v>
      </c>
      <c r="I2687" s="1" t="b">
        <v>0</v>
      </c>
      <c r="K2687" s="10">
        <f t="shared" si="207"/>
        <v>147.90388888888992</v>
      </c>
      <c r="L2687" s="1" t="str">
        <f t="shared" si="208"/>
        <v>OK</v>
      </c>
      <c r="M2687" s="1">
        <f t="shared" si="205"/>
        <v>1</v>
      </c>
      <c r="N2687" s="1">
        <f t="shared" si="206"/>
        <v>23</v>
      </c>
      <c r="O2687" s="10">
        <f t="shared" si="209"/>
        <v>147.90388888888992</v>
      </c>
    </row>
    <row r="2688" spans="1:15">
      <c r="A2688" s="1" t="s">
        <v>2793</v>
      </c>
      <c r="B2688" s="23">
        <v>45199.617361111108</v>
      </c>
      <c r="C2688" s="1" t="s">
        <v>25</v>
      </c>
      <c r="D2688" s="1" t="s">
        <v>59</v>
      </c>
      <c r="E2688" s="1" t="s">
        <v>18</v>
      </c>
      <c r="F2688" s="1" t="s">
        <v>106</v>
      </c>
      <c r="G2688" s="1">
        <v>39</v>
      </c>
      <c r="H2688" s="23">
        <v>45201.597500000003</v>
      </c>
      <c r="I2688" s="1" t="b">
        <v>0</v>
      </c>
      <c r="K2688" s="10">
        <f t="shared" si="207"/>
        <v>47.523333333490882</v>
      </c>
      <c r="L2688" s="1" t="str">
        <f t="shared" si="208"/>
        <v>OK</v>
      </c>
      <c r="M2688" s="1">
        <f t="shared" si="205"/>
        <v>1</v>
      </c>
      <c r="N2688" s="1">
        <f t="shared" si="206"/>
        <v>39</v>
      </c>
      <c r="O2688" s="10">
        <f t="shared" si="209"/>
        <v>47.523333333490882</v>
      </c>
    </row>
    <row r="2689" spans="1:15">
      <c r="A2689" s="1" t="s">
        <v>2794</v>
      </c>
      <c r="B2689" s="23">
        <v>45199.669444444444</v>
      </c>
      <c r="C2689" s="1" t="s">
        <v>11</v>
      </c>
      <c r="D2689" s="1" t="s">
        <v>21</v>
      </c>
      <c r="E2689" s="1" t="s">
        <v>18</v>
      </c>
      <c r="F2689" s="1" t="s">
        <v>392</v>
      </c>
      <c r="G2689" s="1">
        <v>1613</v>
      </c>
      <c r="H2689" s="23">
        <v>45199.927951388891</v>
      </c>
      <c r="I2689" s="1" t="b">
        <v>0</v>
      </c>
      <c r="J2689" s="1">
        <v>5</v>
      </c>
      <c r="K2689" s="10">
        <f t="shared" si="207"/>
        <v>6.2041666667209938</v>
      </c>
      <c r="L2689" s="1" t="str">
        <f t="shared" si="208"/>
        <v>Review</v>
      </c>
      <c r="M2689" s="1">
        <f t="shared" si="205"/>
        <v>1</v>
      </c>
      <c r="N2689" s="1" t="str">
        <f t="shared" si="206"/>
        <v/>
      </c>
      <c r="O2689" s="10" t="str">
        <f t="shared" si="209"/>
        <v/>
      </c>
    </row>
    <row r="2690" spans="1:15">
      <c r="A2690" s="1" t="s">
        <v>2795</v>
      </c>
      <c r="B2690" s="23">
        <v>45199.697916666664</v>
      </c>
      <c r="C2690" s="1" t="s">
        <v>16</v>
      </c>
      <c r="D2690" s="1" t="s">
        <v>59</v>
      </c>
      <c r="E2690" s="1" t="s">
        <v>18</v>
      </c>
      <c r="F2690" s="1" t="s">
        <v>92</v>
      </c>
      <c r="G2690" s="1">
        <v>65</v>
      </c>
      <c r="H2690" s="23">
        <v>45200.2346875</v>
      </c>
      <c r="I2690" s="1" t="b">
        <v>0</v>
      </c>
      <c r="K2690" s="10">
        <f t="shared" si="207"/>
        <v>12.882500000065193</v>
      </c>
      <c r="L2690" s="1" t="str">
        <f t="shared" si="208"/>
        <v>OK</v>
      </c>
      <c r="M2690" s="1">
        <f t="shared" ref="M2690:M2753" si="210">COUNTIF($A$2:$A$4001,A2690)</f>
        <v>1</v>
      </c>
      <c r="N2690" s="1">
        <f t="shared" ref="N2690:N2753" si="211">IF(OR(L2690="Review",G2690=""),"",G2690)</f>
        <v>65</v>
      </c>
      <c r="O2690" s="10">
        <f t="shared" si="209"/>
        <v>12.882500000065193</v>
      </c>
    </row>
    <row r="2691" spans="1:15">
      <c r="A2691" s="1" t="s">
        <v>2796</v>
      </c>
      <c r="B2691" s="23">
        <v>45199.703472222223</v>
      </c>
      <c r="C2691" s="1" t="s">
        <v>16</v>
      </c>
      <c r="D2691" s="1" t="s">
        <v>26</v>
      </c>
      <c r="E2691" s="1" t="s">
        <v>33</v>
      </c>
      <c r="F2691" s="1" t="s">
        <v>215</v>
      </c>
      <c r="G2691" s="1">
        <v>115</v>
      </c>
      <c r="H2691" s="23">
        <v>45204.2034375</v>
      </c>
      <c r="I2691" s="1" t="b">
        <v>1</v>
      </c>
      <c r="K2691" s="10">
        <f t="shared" ref="K2691:K2754" si="212">IF(H2691="","",(H2691-B2691)*24)</f>
        <v>107.99916666664649</v>
      </c>
      <c r="L2691" s="1" t="str">
        <f t="shared" ref="L2691:L2754" si="213">IF(OR(G2691="",K2691=""),"Cannot check",IF(G2691&gt;K2691*60,"Review","OK"))</f>
        <v>OK</v>
      </c>
      <c r="M2691" s="1">
        <f t="shared" si="210"/>
        <v>1</v>
      </c>
      <c r="N2691" s="1">
        <f t="shared" si="211"/>
        <v>115</v>
      </c>
      <c r="O2691" s="10">
        <f t="shared" ref="O2691:O2754" si="214">IF(OR(L2691="Review",K2691=""),"",K2691)</f>
        <v>107.99916666664649</v>
      </c>
    </row>
    <row r="2692" spans="1:15">
      <c r="A2692" s="1" t="s">
        <v>2797</v>
      </c>
      <c r="B2692" s="23">
        <v>45199.786805555559</v>
      </c>
      <c r="C2692" s="1" t="s">
        <v>11</v>
      </c>
      <c r="D2692" s="1" t="s">
        <v>59</v>
      </c>
      <c r="E2692" s="1" t="s">
        <v>18</v>
      </c>
      <c r="F2692" s="1" t="s">
        <v>116</v>
      </c>
      <c r="G2692" s="1">
        <v>210</v>
      </c>
      <c r="H2692" s="23">
        <v>45200.484733796293</v>
      </c>
      <c r="I2692" s="1" t="b">
        <v>0</v>
      </c>
      <c r="J2692" s="1">
        <v>3</v>
      </c>
      <c r="K2692" s="10">
        <f t="shared" si="212"/>
        <v>16.750277777609881</v>
      </c>
      <c r="L2692" s="1" t="str">
        <f t="shared" si="213"/>
        <v>OK</v>
      </c>
      <c r="M2692" s="1">
        <f t="shared" si="210"/>
        <v>1</v>
      </c>
      <c r="N2692" s="1">
        <f t="shared" si="211"/>
        <v>210</v>
      </c>
      <c r="O2692" s="10">
        <f t="shared" si="214"/>
        <v>16.750277777609881</v>
      </c>
    </row>
    <row r="2693" spans="1:15">
      <c r="A2693" s="1" t="s">
        <v>2798</v>
      </c>
      <c r="B2693" s="23">
        <v>45199.933333333334</v>
      </c>
      <c r="C2693" s="1" t="s">
        <v>43</v>
      </c>
      <c r="D2693" s="1" t="s">
        <v>59</v>
      </c>
      <c r="E2693" s="1" t="s">
        <v>18</v>
      </c>
      <c r="F2693" s="1" t="s">
        <v>92</v>
      </c>
      <c r="G2693" s="1">
        <v>135</v>
      </c>
      <c r="H2693" s="23">
        <v>45200.145092592589</v>
      </c>
      <c r="I2693" s="1" t="b">
        <v>0</v>
      </c>
      <c r="K2693" s="10">
        <f t="shared" si="212"/>
        <v>5.0822222221177071</v>
      </c>
      <c r="L2693" s="1" t="str">
        <f t="shared" si="213"/>
        <v>OK</v>
      </c>
      <c r="M2693" s="1">
        <f t="shared" si="210"/>
        <v>1</v>
      </c>
      <c r="N2693" s="1">
        <f t="shared" si="211"/>
        <v>135</v>
      </c>
      <c r="O2693" s="10">
        <f t="shared" si="214"/>
        <v>5.0822222221177071</v>
      </c>
    </row>
    <row r="2694" spans="1:15">
      <c r="A2694" s="1" t="s">
        <v>2799</v>
      </c>
      <c r="B2694" s="23">
        <v>45199.981249999997</v>
      </c>
      <c r="C2694" s="1" t="s">
        <v>25</v>
      </c>
      <c r="D2694" s="1" t="s">
        <v>12</v>
      </c>
      <c r="E2694" s="1" t="s">
        <v>18</v>
      </c>
      <c r="F2694" s="1" t="s">
        <v>23</v>
      </c>
      <c r="G2694" s="1">
        <v>147</v>
      </c>
      <c r="H2694" s="23">
        <v>45200.039027777777</v>
      </c>
      <c r="I2694" s="1" t="b">
        <v>0</v>
      </c>
      <c r="J2694" s="1">
        <v>4</v>
      </c>
      <c r="K2694" s="10">
        <f t="shared" si="212"/>
        <v>1.3866666667163372</v>
      </c>
      <c r="L2694" s="1" t="str">
        <f t="shared" si="213"/>
        <v>Review</v>
      </c>
      <c r="M2694" s="1">
        <f t="shared" si="210"/>
        <v>1</v>
      </c>
      <c r="N2694" s="1" t="str">
        <f t="shared" si="211"/>
        <v/>
      </c>
      <c r="O2694" s="10" t="str">
        <f t="shared" si="214"/>
        <v/>
      </c>
    </row>
    <row r="2695" spans="1:15">
      <c r="A2695" s="1" t="s">
        <v>2800</v>
      </c>
      <c r="B2695" s="23">
        <v>45200.011805555558</v>
      </c>
      <c r="C2695" s="1" t="s">
        <v>16</v>
      </c>
      <c r="D2695" s="1" t="s">
        <v>17</v>
      </c>
      <c r="E2695" s="1" t="s">
        <v>18</v>
      </c>
      <c r="F2695" s="1" t="s">
        <v>76</v>
      </c>
      <c r="G2695" s="1">
        <v>28</v>
      </c>
      <c r="H2695" s="23">
        <v>45200.397650462961</v>
      </c>
      <c r="I2695" s="1" t="b">
        <v>0</v>
      </c>
      <c r="J2695" s="1">
        <v>5</v>
      </c>
      <c r="K2695" s="10">
        <f t="shared" si="212"/>
        <v>9.2602777776774019</v>
      </c>
      <c r="L2695" s="1" t="str">
        <f t="shared" si="213"/>
        <v>OK</v>
      </c>
      <c r="M2695" s="1">
        <f t="shared" si="210"/>
        <v>1</v>
      </c>
      <c r="N2695" s="1">
        <f t="shared" si="211"/>
        <v>28</v>
      </c>
      <c r="O2695" s="10">
        <f t="shared" si="214"/>
        <v>9.2602777776774019</v>
      </c>
    </row>
    <row r="2696" spans="1:15">
      <c r="A2696" s="1" t="s">
        <v>2801</v>
      </c>
      <c r="B2696" s="23">
        <v>45200.136111111111</v>
      </c>
      <c r="C2696" s="1" t="s">
        <v>25</v>
      </c>
      <c r="D2696" s="1" t="s">
        <v>21</v>
      </c>
      <c r="E2696" s="1" t="s">
        <v>13</v>
      </c>
      <c r="F2696" s="1" t="s">
        <v>186</v>
      </c>
      <c r="G2696" s="1">
        <v>9</v>
      </c>
      <c r="H2696" s="23">
        <v>45202.218935185185</v>
      </c>
      <c r="I2696" s="1" t="b">
        <v>0</v>
      </c>
      <c r="K2696" s="10">
        <f t="shared" si="212"/>
        <v>49.987777777772862</v>
      </c>
      <c r="L2696" s="1" t="str">
        <f t="shared" si="213"/>
        <v>OK</v>
      </c>
      <c r="M2696" s="1">
        <f t="shared" si="210"/>
        <v>1</v>
      </c>
      <c r="N2696" s="1">
        <f t="shared" si="211"/>
        <v>9</v>
      </c>
      <c r="O2696" s="10">
        <f t="shared" si="214"/>
        <v>49.987777777772862</v>
      </c>
    </row>
    <row r="2697" spans="1:15">
      <c r="A2697" s="1" t="s">
        <v>2802</v>
      </c>
      <c r="B2697" s="23">
        <v>45200.465277777781</v>
      </c>
      <c r="C2697" s="1" t="s">
        <v>25</v>
      </c>
      <c r="D2697" s="1" t="s">
        <v>17</v>
      </c>
      <c r="E2697" s="1" t="s">
        <v>18</v>
      </c>
      <c r="F2697" s="1" t="s">
        <v>345</v>
      </c>
      <c r="G2697" s="1">
        <v>374</v>
      </c>
      <c r="H2697" s="23">
        <v>45200.949062500003</v>
      </c>
      <c r="I2697" s="1" t="b">
        <v>0</v>
      </c>
      <c r="K2697" s="10">
        <f t="shared" si="212"/>
        <v>11.610833333339542</v>
      </c>
      <c r="L2697" s="1" t="str">
        <f t="shared" si="213"/>
        <v>OK</v>
      </c>
      <c r="M2697" s="1">
        <f t="shared" si="210"/>
        <v>1</v>
      </c>
      <c r="N2697" s="1">
        <f t="shared" si="211"/>
        <v>374</v>
      </c>
      <c r="O2697" s="10">
        <f t="shared" si="214"/>
        <v>11.610833333339542</v>
      </c>
    </row>
    <row r="2698" spans="1:15">
      <c r="A2698" s="1" t="s">
        <v>2803</v>
      </c>
      <c r="B2698" s="23">
        <v>45200.616666666669</v>
      </c>
      <c r="C2698" s="1" t="s">
        <v>11</v>
      </c>
      <c r="D2698" s="1" t="s">
        <v>26</v>
      </c>
      <c r="E2698" s="1" t="s">
        <v>33</v>
      </c>
      <c r="F2698" s="1" t="s">
        <v>68</v>
      </c>
      <c r="G2698" s="1">
        <v>83</v>
      </c>
      <c r="H2698" s="23">
        <v>45221.782916666663</v>
      </c>
      <c r="I2698" s="1" t="b">
        <v>0</v>
      </c>
      <c r="K2698" s="10">
        <f t="shared" si="212"/>
        <v>507.98999999987427</v>
      </c>
      <c r="L2698" s="1" t="str">
        <f t="shared" si="213"/>
        <v>OK</v>
      </c>
      <c r="M2698" s="1">
        <f t="shared" si="210"/>
        <v>1</v>
      </c>
      <c r="N2698" s="1">
        <f t="shared" si="211"/>
        <v>83</v>
      </c>
      <c r="O2698" s="10">
        <f t="shared" si="214"/>
        <v>507.98999999987427</v>
      </c>
    </row>
    <row r="2699" spans="1:15">
      <c r="A2699" s="1" t="s">
        <v>2804</v>
      </c>
      <c r="B2699" s="23">
        <v>45200.625</v>
      </c>
      <c r="C2699" s="1" t="s">
        <v>43</v>
      </c>
      <c r="D2699" s="1" t="s">
        <v>17</v>
      </c>
      <c r="E2699" s="1" t="s">
        <v>18</v>
      </c>
      <c r="F2699" s="1" t="s">
        <v>134</v>
      </c>
      <c r="G2699" s="1">
        <v>118</v>
      </c>
      <c r="H2699" s="23">
        <v>45202.295995370368</v>
      </c>
      <c r="I2699" s="1" t="b">
        <v>0</v>
      </c>
      <c r="K2699" s="10">
        <f t="shared" si="212"/>
        <v>40.103888888843358</v>
      </c>
      <c r="L2699" s="1" t="str">
        <f t="shared" si="213"/>
        <v>OK</v>
      </c>
      <c r="M2699" s="1">
        <f t="shared" si="210"/>
        <v>1</v>
      </c>
      <c r="N2699" s="1">
        <f t="shared" si="211"/>
        <v>118</v>
      </c>
      <c r="O2699" s="10">
        <f t="shared" si="214"/>
        <v>40.103888888843358</v>
      </c>
    </row>
    <row r="2700" spans="1:15">
      <c r="A2700" s="1" t="s">
        <v>2805</v>
      </c>
      <c r="B2700" s="23">
        <v>45200.643055555556</v>
      </c>
      <c r="C2700" s="1" t="s">
        <v>16</v>
      </c>
      <c r="D2700" s="1" t="s">
        <v>17</v>
      </c>
      <c r="E2700" s="1" t="s">
        <v>13</v>
      </c>
      <c r="F2700" s="1" t="s">
        <v>74</v>
      </c>
      <c r="G2700" s="1">
        <v>38</v>
      </c>
      <c r="H2700" s="23">
        <v>45202.851064814815</v>
      </c>
      <c r="I2700" s="1" t="b">
        <v>0</v>
      </c>
      <c r="J2700" s="1">
        <v>4</v>
      </c>
      <c r="K2700" s="10">
        <f t="shared" si="212"/>
        <v>52.992222222208511</v>
      </c>
      <c r="L2700" s="1" t="str">
        <f t="shared" si="213"/>
        <v>OK</v>
      </c>
      <c r="M2700" s="1">
        <f t="shared" si="210"/>
        <v>1</v>
      </c>
      <c r="N2700" s="1">
        <f t="shared" si="211"/>
        <v>38</v>
      </c>
      <c r="O2700" s="10">
        <f t="shared" si="214"/>
        <v>52.992222222208511</v>
      </c>
    </row>
    <row r="2701" spans="1:15">
      <c r="A2701" s="1" t="s">
        <v>2806</v>
      </c>
      <c r="B2701" s="23">
        <v>45200.678472222222</v>
      </c>
      <c r="C2701" s="1" t="s">
        <v>11</v>
      </c>
      <c r="D2701" s="1" t="s">
        <v>26</v>
      </c>
      <c r="E2701" s="1" t="s">
        <v>33</v>
      </c>
      <c r="F2701" s="1" t="s">
        <v>234</v>
      </c>
      <c r="G2701" s="1">
        <v>74</v>
      </c>
      <c r="H2701" s="23">
        <v>45205.035462962966</v>
      </c>
      <c r="I2701" s="1" t="b">
        <v>0</v>
      </c>
      <c r="J2701" s="1">
        <v>5</v>
      </c>
      <c r="K2701" s="10">
        <f t="shared" si="212"/>
        <v>104.56777777784737</v>
      </c>
      <c r="L2701" s="1" t="str">
        <f t="shared" si="213"/>
        <v>OK</v>
      </c>
      <c r="M2701" s="1">
        <f t="shared" si="210"/>
        <v>1</v>
      </c>
      <c r="N2701" s="1">
        <f t="shared" si="211"/>
        <v>74</v>
      </c>
      <c r="O2701" s="10">
        <f t="shared" si="214"/>
        <v>104.56777777784737</v>
      </c>
    </row>
    <row r="2702" spans="1:15">
      <c r="A2702" s="1" t="s">
        <v>2807</v>
      </c>
      <c r="B2702" s="23">
        <v>45200.68472222222</v>
      </c>
      <c r="C2702" s="1" t="s">
        <v>11</v>
      </c>
      <c r="D2702" s="1" t="s">
        <v>26</v>
      </c>
      <c r="E2702" s="1" t="s">
        <v>18</v>
      </c>
      <c r="F2702" s="1" t="s">
        <v>345</v>
      </c>
      <c r="G2702" s="1">
        <v>52</v>
      </c>
      <c r="I2702" s="1" t="b">
        <v>0</v>
      </c>
      <c r="K2702" s="10" t="str">
        <f t="shared" si="212"/>
        <v/>
      </c>
      <c r="L2702" s="1" t="str">
        <f t="shared" si="213"/>
        <v>Cannot check</v>
      </c>
      <c r="M2702" s="1">
        <f t="shared" si="210"/>
        <v>1</v>
      </c>
      <c r="N2702" s="1">
        <f t="shared" si="211"/>
        <v>52</v>
      </c>
      <c r="O2702" s="10" t="str">
        <f t="shared" si="214"/>
        <v/>
      </c>
    </row>
    <row r="2703" spans="1:15">
      <c r="A2703" s="1" t="s">
        <v>2808</v>
      </c>
      <c r="B2703" s="23">
        <v>45200.811111111114</v>
      </c>
      <c r="C2703" s="1" t="s">
        <v>11</v>
      </c>
      <c r="D2703" s="1" t="s">
        <v>21</v>
      </c>
      <c r="E2703" s="1" t="s">
        <v>22</v>
      </c>
      <c r="F2703" s="1" t="s">
        <v>132</v>
      </c>
      <c r="G2703" s="1">
        <v>3</v>
      </c>
      <c r="H2703" s="23">
        <v>45200.944155092591</v>
      </c>
      <c r="I2703" s="1" t="b">
        <v>0</v>
      </c>
      <c r="K2703" s="10">
        <f t="shared" si="212"/>
        <v>3.1930555554572493</v>
      </c>
      <c r="L2703" s="1" t="str">
        <f t="shared" si="213"/>
        <v>OK</v>
      </c>
      <c r="M2703" s="1">
        <f t="shared" si="210"/>
        <v>1</v>
      </c>
      <c r="N2703" s="1">
        <f t="shared" si="211"/>
        <v>3</v>
      </c>
      <c r="O2703" s="10">
        <f t="shared" si="214"/>
        <v>3.1930555554572493</v>
      </c>
    </row>
    <row r="2704" spans="1:15">
      <c r="A2704" s="1" t="s">
        <v>2809</v>
      </c>
      <c r="B2704" s="23">
        <v>45200.977777777778</v>
      </c>
      <c r="C2704" s="1" t="s">
        <v>25</v>
      </c>
      <c r="D2704" s="1" t="s">
        <v>17</v>
      </c>
      <c r="E2704" s="1" t="s">
        <v>18</v>
      </c>
      <c r="F2704" s="1" t="s">
        <v>116</v>
      </c>
      <c r="G2704" s="1">
        <v>234</v>
      </c>
      <c r="H2704" s="23">
        <v>45206.933599537035</v>
      </c>
      <c r="I2704" s="1" t="b">
        <v>0</v>
      </c>
      <c r="K2704" s="10">
        <f t="shared" si="212"/>
        <v>142.93972222215962</v>
      </c>
      <c r="L2704" s="1" t="str">
        <f t="shared" si="213"/>
        <v>OK</v>
      </c>
      <c r="M2704" s="1">
        <f t="shared" si="210"/>
        <v>1</v>
      </c>
      <c r="N2704" s="1">
        <f t="shared" si="211"/>
        <v>234</v>
      </c>
      <c r="O2704" s="10">
        <f t="shared" si="214"/>
        <v>142.93972222215962</v>
      </c>
    </row>
    <row r="2705" spans="1:15">
      <c r="A2705" s="1" t="s">
        <v>2810</v>
      </c>
      <c r="B2705" s="23">
        <v>45201.075694444444</v>
      </c>
      <c r="C2705" s="1" t="s">
        <v>16</v>
      </c>
      <c r="D2705" s="1" t="s">
        <v>59</v>
      </c>
      <c r="E2705" s="1" t="s">
        <v>18</v>
      </c>
      <c r="F2705" s="1" t="s">
        <v>100</v>
      </c>
      <c r="G2705" s="1">
        <v>156</v>
      </c>
      <c r="H2705" s="23">
        <v>45202.771134259259</v>
      </c>
      <c r="I2705" s="1" t="b">
        <v>0</v>
      </c>
      <c r="K2705" s="10">
        <f t="shared" si="212"/>
        <v>40.690555555571336</v>
      </c>
      <c r="L2705" s="1" t="str">
        <f t="shared" si="213"/>
        <v>OK</v>
      </c>
      <c r="M2705" s="1">
        <f t="shared" si="210"/>
        <v>1</v>
      </c>
      <c r="N2705" s="1">
        <f t="shared" si="211"/>
        <v>156</v>
      </c>
      <c r="O2705" s="10">
        <f t="shared" si="214"/>
        <v>40.690555555571336</v>
      </c>
    </row>
    <row r="2706" spans="1:15">
      <c r="A2706" s="1" t="s">
        <v>2811</v>
      </c>
      <c r="B2706" s="23">
        <v>45201.142361111109</v>
      </c>
      <c r="C2706" s="1" t="s">
        <v>25</v>
      </c>
      <c r="D2706" s="1" t="s">
        <v>17</v>
      </c>
      <c r="E2706" s="1" t="s">
        <v>33</v>
      </c>
      <c r="F2706" s="1" t="s">
        <v>175</v>
      </c>
      <c r="G2706" s="1">
        <v>160</v>
      </c>
      <c r="H2706" s="23">
        <v>45205.399270833332</v>
      </c>
      <c r="I2706" s="1" t="b">
        <v>0</v>
      </c>
      <c r="K2706" s="10">
        <f t="shared" si="212"/>
        <v>102.16583333333256</v>
      </c>
      <c r="L2706" s="1" t="str">
        <f t="shared" si="213"/>
        <v>OK</v>
      </c>
      <c r="M2706" s="1">
        <f t="shared" si="210"/>
        <v>1</v>
      </c>
      <c r="N2706" s="1">
        <f t="shared" si="211"/>
        <v>160</v>
      </c>
      <c r="O2706" s="10">
        <f t="shared" si="214"/>
        <v>102.16583333333256</v>
      </c>
    </row>
    <row r="2707" spans="1:15">
      <c r="A2707" s="1" t="s">
        <v>2812</v>
      </c>
      <c r="B2707" s="23">
        <v>45201.263888888891</v>
      </c>
      <c r="C2707" s="1" t="s">
        <v>25</v>
      </c>
      <c r="D2707" s="1" t="s">
        <v>12</v>
      </c>
      <c r="E2707" s="1" t="s">
        <v>33</v>
      </c>
      <c r="F2707" s="1" t="s">
        <v>186</v>
      </c>
      <c r="G2707" s="1">
        <v>158</v>
      </c>
      <c r="I2707" s="1" t="b">
        <v>0</v>
      </c>
      <c r="K2707" s="10" t="str">
        <f t="shared" si="212"/>
        <v/>
      </c>
      <c r="L2707" s="1" t="str">
        <f t="shared" si="213"/>
        <v>Cannot check</v>
      </c>
      <c r="M2707" s="1">
        <f t="shared" si="210"/>
        <v>1</v>
      </c>
      <c r="N2707" s="1">
        <f t="shared" si="211"/>
        <v>158</v>
      </c>
      <c r="O2707" s="10" t="str">
        <f t="shared" si="214"/>
        <v/>
      </c>
    </row>
    <row r="2708" spans="1:15">
      <c r="A2708" s="1" t="s">
        <v>2813</v>
      </c>
      <c r="B2708" s="23">
        <v>45201.515277777777</v>
      </c>
      <c r="C2708" s="1" t="s">
        <v>43</v>
      </c>
      <c r="D2708" s="1" t="s">
        <v>26</v>
      </c>
      <c r="E2708" s="1" t="s">
        <v>18</v>
      </c>
      <c r="F2708" s="1" t="s">
        <v>50</v>
      </c>
      <c r="G2708" s="1">
        <v>39</v>
      </c>
      <c r="H2708" s="23">
        <v>45207.020613425928</v>
      </c>
      <c r="I2708" s="1" t="b">
        <v>0</v>
      </c>
      <c r="J2708" s="1">
        <v>4</v>
      </c>
      <c r="K2708" s="10">
        <f t="shared" si="212"/>
        <v>132.12805555562954</v>
      </c>
      <c r="L2708" s="1" t="str">
        <f t="shared" si="213"/>
        <v>OK</v>
      </c>
      <c r="M2708" s="1">
        <f t="shared" si="210"/>
        <v>1</v>
      </c>
      <c r="N2708" s="1">
        <f t="shared" si="211"/>
        <v>39</v>
      </c>
      <c r="O2708" s="10">
        <f t="shared" si="214"/>
        <v>132.12805555562954</v>
      </c>
    </row>
    <row r="2709" spans="1:15">
      <c r="A2709" s="1" t="s">
        <v>2814</v>
      </c>
      <c r="B2709" s="23">
        <v>45201.621527777781</v>
      </c>
      <c r="C2709" s="1" t="s">
        <v>43</v>
      </c>
      <c r="D2709" s="1" t="s">
        <v>21</v>
      </c>
      <c r="E2709" s="1" t="s">
        <v>33</v>
      </c>
      <c r="F2709" s="1" t="s">
        <v>206</v>
      </c>
      <c r="G2709" s="1">
        <v>743</v>
      </c>
      <c r="H2709" s="23">
        <v>45207.714004629626</v>
      </c>
      <c r="I2709" s="1" t="b">
        <v>0</v>
      </c>
      <c r="K2709" s="10">
        <f t="shared" si="212"/>
        <v>146.21944444428664</v>
      </c>
      <c r="L2709" s="1" t="str">
        <f t="shared" si="213"/>
        <v>OK</v>
      </c>
      <c r="M2709" s="1">
        <f t="shared" si="210"/>
        <v>1</v>
      </c>
      <c r="N2709" s="1">
        <f t="shared" si="211"/>
        <v>743</v>
      </c>
      <c r="O2709" s="10">
        <f t="shared" si="214"/>
        <v>146.21944444428664</v>
      </c>
    </row>
    <row r="2710" spans="1:15">
      <c r="A2710" s="1" t="s">
        <v>2815</v>
      </c>
      <c r="B2710" s="23">
        <v>45201.662499999999</v>
      </c>
      <c r="C2710" s="1" t="s">
        <v>43</v>
      </c>
      <c r="D2710" s="1" t="s">
        <v>17</v>
      </c>
      <c r="E2710" s="1" t="s">
        <v>33</v>
      </c>
      <c r="F2710" s="1" t="s">
        <v>57</v>
      </c>
      <c r="G2710" s="1">
        <v>358</v>
      </c>
      <c r="H2710" s="23">
        <v>45226.872337962966</v>
      </c>
      <c r="I2710" s="1" t="b">
        <v>0</v>
      </c>
      <c r="K2710" s="10">
        <f t="shared" si="212"/>
        <v>605.03611111122882</v>
      </c>
      <c r="L2710" s="1" t="str">
        <f t="shared" si="213"/>
        <v>OK</v>
      </c>
      <c r="M2710" s="1">
        <f t="shared" si="210"/>
        <v>1</v>
      </c>
      <c r="N2710" s="1">
        <f t="shared" si="211"/>
        <v>358</v>
      </c>
      <c r="O2710" s="10">
        <f t="shared" si="214"/>
        <v>605.03611111122882</v>
      </c>
    </row>
    <row r="2711" spans="1:15">
      <c r="A2711" s="1" t="s">
        <v>2816</v>
      </c>
      <c r="B2711" s="23">
        <v>45201.745833333334</v>
      </c>
      <c r="C2711" s="1" t="s">
        <v>11</v>
      </c>
      <c r="D2711" s="1" t="s">
        <v>17</v>
      </c>
      <c r="E2711" s="1" t="s">
        <v>18</v>
      </c>
      <c r="F2711" s="1" t="s">
        <v>153</v>
      </c>
      <c r="G2711" s="1">
        <v>8</v>
      </c>
      <c r="H2711" s="23">
        <v>45208.648981481485</v>
      </c>
      <c r="I2711" s="1" t="b">
        <v>0</v>
      </c>
      <c r="K2711" s="10">
        <f t="shared" si="212"/>
        <v>165.67555555561557</v>
      </c>
      <c r="L2711" s="1" t="str">
        <f t="shared" si="213"/>
        <v>OK</v>
      </c>
      <c r="M2711" s="1">
        <f t="shared" si="210"/>
        <v>1</v>
      </c>
      <c r="N2711" s="1">
        <f t="shared" si="211"/>
        <v>8</v>
      </c>
      <c r="O2711" s="10">
        <f t="shared" si="214"/>
        <v>165.67555555561557</v>
      </c>
    </row>
    <row r="2712" spans="1:15">
      <c r="A2712" s="1" t="s">
        <v>2817</v>
      </c>
      <c r="B2712" s="23">
        <v>45201.74722222222</v>
      </c>
      <c r="C2712" s="1" t="s">
        <v>16</v>
      </c>
      <c r="D2712" s="1" t="s">
        <v>17</v>
      </c>
      <c r="E2712" s="1" t="s">
        <v>18</v>
      </c>
      <c r="F2712" s="1" t="s">
        <v>112</v>
      </c>
      <c r="G2712" s="1">
        <v>78</v>
      </c>
      <c r="I2712" s="1" t="b">
        <v>0</v>
      </c>
      <c r="K2712" s="10" t="str">
        <f t="shared" si="212"/>
        <v/>
      </c>
      <c r="L2712" s="1" t="str">
        <f t="shared" si="213"/>
        <v>Cannot check</v>
      </c>
      <c r="M2712" s="1">
        <f t="shared" si="210"/>
        <v>1</v>
      </c>
      <c r="N2712" s="1">
        <f t="shared" si="211"/>
        <v>78</v>
      </c>
      <c r="O2712" s="10" t="str">
        <f t="shared" si="214"/>
        <v/>
      </c>
    </row>
    <row r="2713" spans="1:15">
      <c r="A2713" s="1" t="s">
        <v>2818</v>
      </c>
      <c r="B2713" s="23">
        <v>45201.992361111108</v>
      </c>
      <c r="C2713" s="1" t="s">
        <v>25</v>
      </c>
      <c r="D2713" s="1" t="s">
        <v>59</v>
      </c>
      <c r="E2713" s="1" t="s">
        <v>13</v>
      </c>
      <c r="F2713" s="1" t="s">
        <v>134</v>
      </c>
      <c r="G2713" s="1">
        <v>49</v>
      </c>
      <c r="H2713" s="23">
        <v>45202.035462962966</v>
      </c>
      <c r="I2713" s="1" t="b">
        <v>0</v>
      </c>
      <c r="K2713" s="10">
        <f t="shared" si="212"/>
        <v>1.0344444445800036</v>
      </c>
      <c r="L2713" s="1" t="str">
        <f t="shared" si="213"/>
        <v>OK</v>
      </c>
      <c r="M2713" s="1">
        <f t="shared" si="210"/>
        <v>1</v>
      </c>
      <c r="N2713" s="1">
        <f t="shared" si="211"/>
        <v>49</v>
      </c>
      <c r="O2713" s="10">
        <f t="shared" si="214"/>
        <v>1.0344444445800036</v>
      </c>
    </row>
    <row r="2714" spans="1:15">
      <c r="A2714" s="1" t="s">
        <v>2819</v>
      </c>
      <c r="B2714" s="23">
        <v>45202.088194444441</v>
      </c>
      <c r="C2714" s="1" t="s">
        <v>11</v>
      </c>
      <c r="D2714" s="1" t="s">
        <v>17</v>
      </c>
      <c r="E2714" s="1" t="s">
        <v>13</v>
      </c>
      <c r="F2714" s="1" t="s">
        <v>44</v>
      </c>
      <c r="G2714" s="1">
        <v>60</v>
      </c>
      <c r="H2714" s="23">
        <v>45202.762141203704</v>
      </c>
      <c r="I2714" s="1" t="b">
        <v>0</v>
      </c>
      <c r="J2714" s="1">
        <v>3</v>
      </c>
      <c r="K2714" s="10">
        <f t="shared" si="212"/>
        <v>16.17472222232027</v>
      </c>
      <c r="L2714" s="1" t="str">
        <f t="shared" si="213"/>
        <v>OK</v>
      </c>
      <c r="M2714" s="1">
        <f t="shared" si="210"/>
        <v>1</v>
      </c>
      <c r="N2714" s="1">
        <f t="shared" si="211"/>
        <v>60</v>
      </c>
      <c r="O2714" s="10">
        <f t="shared" si="214"/>
        <v>16.17472222232027</v>
      </c>
    </row>
    <row r="2715" spans="1:15">
      <c r="A2715" s="1" t="s">
        <v>2820</v>
      </c>
      <c r="B2715" s="23">
        <v>45202.092361111114</v>
      </c>
      <c r="C2715" s="1" t="s">
        <v>16</v>
      </c>
      <c r="D2715" s="1" t="s">
        <v>17</v>
      </c>
      <c r="E2715" s="1" t="s">
        <v>13</v>
      </c>
      <c r="F2715" s="1" t="s">
        <v>72</v>
      </c>
      <c r="G2715" s="1">
        <v>64</v>
      </c>
      <c r="H2715" s="23">
        <v>45210.447372685187</v>
      </c>
      <c r="I2715" s="1" t="b">
        <v>0</v>
      </c>
      <c r="K2715" s="10">
        <f t="shared" si="212"/>
        <v>200.52027777774492</v>
      </c>
      <c r="L2715" s="1" t="str">
        <f t="shared" si="213"/>
        <v>OK</v>
      </c>
      <c r="M2715" s="1">
        <f t="shared" si="210"/>
        <v>1</v>
      </c>
      <c r="N2715" s="1">
        <f t="shared" si="211"/>
        <v>64</v>
      </c>
      <c r="O2715" s="10">
        <f t="shared" si="214"/>
        <v>200.52027777774492</v>
      </c>
    </row>
    <row r="2716" spans="1:15">
      <c r="A2716" s="1" t="s">
        <v>2821</v>
      </c>
      <c r="B2716" s="23">
        <v>45202.154861111114</v>
      </c>
      <c r="C2716" s="1" t="s">
        <v>25</v>
      </c>
      <c r="D2716" s="1" t="s">
        <v>12</v>
      </c>
      <c r="E2716" s="1" t="s">
        <v>18</v>
      </c>
      <c r="F2716" s="1" t="s">
        <v>145</v>
      </c>
      <c r="H2716" s="23">
        <v>45203.195115740738</v>
      </c>
      <c r="I2716" s="1" t="b">
        <v>0</v>
      </c>
      <c r="K2716" s="10">
        <f t="shared" si="212"/>
        <v>24.966111110989004</v>
      </c>
      <c r="L2716" s="1" t="str">
        <f t="shared" si="213"/>
        <v>Cannot check</v>
      </c>
      <c r="M2716" s="1">
        <f t="shared" si="210"/>
        <v>1</v>
      </c>
      <c r="N2716" s="1" t="str">
        <f t="shared" si="211"/>
        <v/>
      </c>
      <c r="O2716" s="10">
        <f t="shared" si="214"/>
        <v>24.966111110989004</v>
      </c>
    </row>
    <row r="2717" spans="1:15">
      <c r="A2717" s="1" t="s">
        <v>2822</v>
      </c>
      <c r="B2717" s="23">
        <v>45202.220138888886</v>
      </c>
      <c r="C2717" s="1" t="s">
        <v>25</v>
      </c>
      <c r="D2717" s="1" t="s">
        <v>17</v>
      </c>
      <c r="E2717" s="1" t="s">
        <v>18</v>
      </c>
      <c r="F2717" s="1" t="s">
        <v>46</v>
      </c>
      <c r="G2717" s="1">
        <v>46</v>
      </c>
      <c r="H2717" s="23">
        <v>45203.780104166668</v>
      </c>
      <c r="I2717" s="1" t="b">
        <v>0</v>
      </c>
      <c r="K2717" s="10">
        <f t="shared" si="212"/>
        <v>37.439166666765232</v>
      </c>
      <c r="L2717" s="1" t="str">
        <f t="shared" si="213"/>
        <v>OK</v>
      </c>
      <c r="M2717" s="1">
        <f t="shared" si="210"/>
        <v>1</v>
      </c>
      <c r="N2717" s="1">
        <f t="shared" si="211"/>
        <v>46</v>
      </c>
      <c r="O2717" s="10">
        <f t="shared" si="214"/>
        <v>37.439166666765232</v>
      </c>
    </row>
    <row r="2718" spans="1:15">
      <c r="A2718" s="1" t="s">
        <v>2823</v>
      </c>
      <c r="B2718" s="23">
        <v>45202.423611111109</v>
      </c>
      <c r="C2718" s="1" t="s">
        <v>25</v>
      </c>
      <c r="D2718" s="1" t="s">
        <v>17</v>
      </c>
      <c r="E2718" s="1" t="s">
        <v>18</v>
      </c>
      <c r="F2718" s="1" t="s">
        <v>94</v>
      </c>
      <c r="G2718" s="1">
        <v>53</v>
      </c>
      <c r="I2718" s="1" t="b">
        <v>0</v>
      </c>
      <c r="K2718" s="10" t="str">
        <f t="shared" si="212"/>
        <v/>
      </c>
      <c r="L2718" s="1" t="str">
        <f t="shared" si="213"/>
        <v>Cannot check</v>
      </c>
      <c r="M2718" s="1">
        <f t="shared" si="210"/>
        <v>1</v>
      </c>
      <c r="N2718" s="1">
        <f t="shared" si="211"/>
        <v>53</v>
      </c>
      <c r="O2718" s="10" t="str">
        <f t="shared" si="214"/>
        <v/>
      </c>
    </row>
    <row r="2719" spans="1:15">
      <c r="A2719" s="1" t="s">
        <v>2824</v>
      </c>
      <c r="B2719" s="23">
        <v>45202.45416666667</v>
      </c>
      <c r="C2719" s="1" t="s">
        <v>25</v>
      </c>
      <c r="D2719" s="1" t="s">
        <v>17</v>
      </c>
      <c r="E2719" s="1" t="s">
        <v>33</v>
      </c>
      <c r="F2719" s="1" t="s">
        <v>116</v>
      </c>
      <c r="G2719" s="1">
        <v>373</v>
      </c>
      <c r="H2719" s="23">
        <v>45220.148854166669</v>
      </c>
      <c r="I2719" s="1" t="b">
        <v>0</v>
      </c>
      <c r="K2719" s="10">
        <f t="shared" si="212"/>
        <v>424.67249999998603</v>
      </c>
      <c r="L2719" s="1" t="str">
        <f t="shared" si="213"/>
        <v>OK</v>
      </c>
      <c r="M2719" s="1">
        <f t="shared" si="210"/>
        <v>1</v>
      </c>
      <c r="N2719" s="1">
        <f t="shared" si="211"/>
        <v>373</v>
      </c>
      <c r="O2719" s="10">
        <f t="shared" si="214"/>
        <v>424.67249999998603</v>
      </c>
    </row>
    <row r="2720" spans="1:15">
      <c r="A2720" s="1" t="s">
        <v>2825</v>
      </c>
      <c r="B2720" s="23">
        <v>45202.824305555558</v>
      </c>
      <c r="C2720" s="1" t="s">
        <v>25</v>
      </c>
      <c r="D2720" s="1" t="s">
        <v>59</v>
      </c>
      <c r="E2720" s="1" t="s">
        <v>18</v>
      </c>
      <c r="F2720" s="1" t="s">
        <v>68</v>
      </c>
      <c r="H2720" s="23">
        <v>45203.129502314812</v>
      </c>
      <c r="I2720" s="1" t="b">
        <v>0</v>
      </c>
      <c r="K2720" s="10">
        <f t="shared" si="212"/>
        <v>7.3247222221107222</v>
      </c>
      <c r="L2720" s="1" t="str">
        <f t="shared" si="213"/>
        <v>Cannot check</v>
      </c>
      <c r="M2720" s="1">
        <f t="shared" si="210"/>
        <v>1</v>
      </c>
      <c r="N2720" s="1" t="str">
        <f t="shared" si="211"/>
        <v/>
      </c>
      <c r="O2720" s="10">
        <f t="shared" si="214"/>
        <v>7.3247222221107222</v>
      </c>
    </row>
    <row r="2721" spans="1:15">
      <c r="A2721" s="1" t="s">
        <v>2826</v>
      </c>
      <c r="B2721" s="23">
        <v>45202.902777777781</v>
      </c>
      <c r="C2721" s="1" t="s">
        <v>11</v>
      </c>
      <c r="D2721" s="1" t="s">
        <v>59</v>
      </c>
      <c r="E2721" s="1" t="s">
        <v>13</v>
      </c>
      <c r="F2721" s="1" t="s">
        <v>367</v>
      </c>
      <c r="G2721" s="1">
        <v>78</v>
      </c>
      <c r="H2721" s="23">
        <v>45203.081956018519</v>
      </c>
      <c r="I2721" s="1" t="b">
        <v>0</v>
      </c>
      <c r="K2721" s="10">
        <f t="shared" si="212"/>
        <v>4.3002777777146548</v>
      </c>
      <c r="L2721" s="1" t="str">
        <f t="shared" si="213"/>
        <v>OK</v>
      </c>
      <c r="M2721" s="1">
        <f t="shared" si="210"/>
        <v>1</v>
      </c>
      <c r="N2721" s="1">
        <f t="shared" si="211"/>
        <v>78</v>
      </c>
      <c r="O2721" s="10">
        <f t="shared" si="214"/>
        <v>4.3002777777146548</v>
      </c>
    </row>
    <row r="2722" spans="1:15">
      <c r="A2722" s="1" t="s">
        <v>2827</v>
      </c>
      <c r="B2722" s="23">
        <v>45202.933333333334</v>
      </c>
      <c r="C2722" s="1" t="s">
        <v>11</v>
      </c>
      <c r="D2722" s="1" t="s">
        <v>12</v>
      </c>
      <c r="E2722" s="1" t="s">
        <v>33</v>
      </c>
      <c r="F2722" s="1" t="s">
        <v>88</v>
      </c>
      <c r="G2722" s="1">
        <v>103</v>
      </c>
      <c r="H2722" s="23">
        <v>45205.276076388887</v>
      </c>
      <c r="I2722" s="1" t="b">
        <v>0</v>
      </c>
      <c r="K2722" s="10">
        <f t="shared" si="212"/>
        <v>56.225833333272021</v>
      </c>
      <c r="L2722" s="1" t="str">
        <f t="shared" si="213"/>
        <v>OK</v>
      </c>
      <c r="M2722" s="1">
        <f t="shared" si="210"/>
        <v>1</v>
      </c>
      <c r="N2722" s="1">
        <f t="shared" si="211"/>
        <v>103</v>
      </c>
      <c r="O2722" s="10">
        <f t="shared" si="214"/>
        <v>56.225833333272021</v>
      </c>
    </row>
    <row r="2723" spans="1:15">
      <c r="A2723" s="1" t="s">
        <v>2828</v>
      </c>
      <c r="B2723" s="23">
        <v>45203.033333333333</v>
      </c>
      <c r="C2723" s="1" t="s">
        <v>25</v>
      </c>
      <c r="D2723" s="1" t="s">
        <v>17</v>
      </c>
      <c r="E2723" s="1" t="s">
        <v>13</v>
      </c>
      <c r="F2723" s="1" t="s">
        <v>274</v>
      </c>
      <c r="G2723" s="1">
        <v>30</v>
      </c>
      <c r="H2723" s="23">
        <v>45203.629143518519</v>
      </c>
      <c r="I2723" s="1" t="b">
        <v>0</v>
      </c>
      <c r="K2723" s="10">
        <f t="shared" si="212"/>
        <v>14.299444444477558</v>
      </c>
      <c r="L2723" s="1" t="str">
        <f t="shared" si="213"/>
        <v>OK</v>
      </c>
      <c r="M2723" s="1">
        <f t="shared" si="210"/>
        <v>1</v>
      </c>
      <c r="N2723" s="1">
        <f t="shared" si="211"/>
        <v>30</v>
      </c>
      <c r="O2723" s="10">
        <f t="shared" si="214"/>
        <v>14.299444444477558</v>
      </c>
    </row>
    <row r="2724" spans="1:15">
      <c r="A2724" s="1" t="s">
        <v>2829</v>
      </c>
      <c r="B2724" s="23">
        <v>45203.069444444445</v>
      </c>
      <c r="C2724" s="1" t="s">
        <v>25</v>
      </c>
      <c r="D2724" s="1" t="s">
        <v>12</v>
      </c>
      <c r="E2724" s="1" t="s">
        <v>18</v>
      </c>
      <c r="F2724" s="1" t="s">
        <v>178</v>
      </c>
      <c r="G2724" s="1">
        <v>132</v>
      </c>
      <c r="H2724" s="23">
        <v>45204.687013888892</v>
      </c>
      <c r="I2724" s="1" t="b">
        <v>0</v>
      </c>
      <c r="K2724" s="10">
        <f t="shared" si="212"/>
        <v>38.821666666714009</v>
      </c>
      <c r="L2724" s="1" t="str">
        <f t="shared" si="213"/>
        <v>OK</v>
      </c>
      <c r="M2724" s="1">
        <f t="shared" si="210"/>
        <v>1</v>
      </c>
      <c r="N2724" s="1">
        <f t="shared" si="211"/>
        <v>132</v>
      </c>
      <c r="O2724" s="10">
        <f t="shared" si="214"/>
        <v>38.821666666714009</v>
      </c>
    </row>
    <row r="2725" spans="1:15">
      <c r="A2725" s="1" t="s">
        <v>2830</v>
      </c>
      <c r="B2725" s="23">
        <v>45203.081944444442</v>
      </c>
      <c r="C2725" s="1" t="s">
        <v>16</v>
      </c>
      <c r="D2725" s="1" t="s">
        <v>59</v>
      </c>
      <c r="E2725" s="1" t="s">
        <v>33</v>
      </c>
      <c r="F2725" s="1" t="s">
        <v>90</v>
      </c>
      <c r="G2725" s="1">
        <v>285</v>
      </c>
      <c r="H2725" s="23">
        <v>45203.487881944442</v>
      </c>
      <c r="I2725" s="1" t="b">
        <v>0</v>
      </c>
      <c r="K2725" s="10">
        <f t="shared" si="212"/>
        <v>9.7424999999930151</v>
      </c>
      <c r="L2725" s="1" t="str">
        <f t="shared" si="213"/>
        <v>OK</v>
      </c>
      <c r="M2725" s="1">
        <f t="shared" si="210"/>
        <v>1</v>
      </c>
      <c r="N2725" s="1">
        <f t="shared" si="211"/>
        <v>285</v>
      </c>
      <c r="O2725" s="10">
        <f t="shared" si="214"/>
        <v>9.7424999999930151</v>
      </c>
    </row>
    <row r="2726" spans="1:15">
      <c r="A2726" s="1" t="s">
        <v>2831</v>
      </c>
      <c r="B2726" s="23">
        <v>45203.168749999997</v>
      </c>
      <c r="C2726" s="1" t="s">
        <v>25</v>
      </c>
      <c r="D2726" s="1" t="s">
        <v>59</v>
      </c>
      <c r="E2726" s="1" t="s">
        <v>18</v>
      </c>
      <c r="F2726" s="1" t="s">
        <v>76</v>
      </c>
      <c r="G2726" s="1">
        <v>181</v>
      </c>
      <c r="H2726" s="23">
        <v>45207.236932870372</v>
      </c>
      <c r="I2726" s="1" t="b">
        <v>0</v>
      </c>
      <c r="J2726" s="1">
        <v>5</v>
      </c>
      <c r="K2726" s="10">
        <f t="shared" si="212"/>
        <v>97.636388888990041</v>
      </c>
      <c r="L2726" s="1" t="str">
        <f t="shared" si="213"/>
        <v>OK</v>
      </c>
      <c r="M2726" s="1">
        <f t="shared" si="210"/>
        <v>1</v>
      </c>
      <c r="N2726" s="1">
        <f t="shared" si="211"/>
        <v>181</v>
      </c>
      <c r="O2726" s="10">
        <f t="shared" si="214"/>
        <v>97.636388888990041</v>
      </c>
    </row>
    <row r="2727" spans="1:15">
      <c r="A2727" s="1" t="s">
        <v>2832</v>
      </c>
      <c r="B2727" s="23">
        <v>45203.186805555553</v>
      </c>
      <c r="C2727" s="1" t="s">
        <v>43</v>
      </c>
      <c r="D2727" s="1" t="s">
        <v>17</v>
      </c>
      <c r="E2727" s="1" t="s">
        <v>18</v>
      </c>
      <c r="F2727" s="1" t="s">
        <v>72</v>
      </c>
      <c r="G2727" s="1">
        <v>52</v>
      </c>
      <c r="H2727" s="23">
        <v>45216.377870370372</v>
      </c>
      <c r="I2727" s="1" t="b">
        <v>0</v>
      </c>
      <c r="K2727" s="10">
        <f t="shared" si="212"/>
        <v>316.58555555564817</v>
      </c>
      <c r="L2727" s="1" t="str">
        <f t="shared" si="213"/>
        <v>OK</v>
      </c>
      <c r="M2727" s="1">
        <f t="shared" si="210"/>
        <v>1</v>
      </c>
      <c r="N2727" s="1">
        <f t="shared" si="211"/>
        <v>52</v>
      </c>
      <c r="O2727" s="10">
        <f t="shared" si="214"/>
        <v>316.58555555564817</v>
      </c>
    </row>
    <row r="2728" spans="1:15">
      <c r="A2728" s="1" t="s">
        <v>2833</v>
      </c>
      <c r="B2728" s="23">
        <v>45203.29583333333</v>
      </c>
      <c r="C2728" s="1" t="s">
        <v>25</v>
      </c>
      <c r="D2728" s="1" t="s">
        <v>26</v>
      </c>
      <c r="E2728" s="1" t="s">
        <v>18</v>
      </c>
      <c r="F2728" s="1" t="s">
        <v>198</v>
      </c>
      <c r="G2728" s="1">
        <v>1597</v>
      </c>
      <c r="H2728" s="23">
        <v>45211.607824074075</v>
      </c>
      <c r="I2728" s="1" t="b">
        <v>0</v>
      </c>
      <c r="K2728" s="10">
        <f t="shared" si="212"/>
        <v>199.48777777788928</v>
      </c>
      <c r="L2728" s="1" t="str">
        <f t="shared" si="213"/>
        <v>OK</v>
      </c>
      <c r="M2728" s="1">
        <f t="shared" si="210"/>
        <v>1</v>
      </c>
      <c r="N2728" s="1">
        <f t="shared" si="211"/>
        <v>1597</v>
      </c>
      <c r="O2728" s="10">
        <f t="shared" si="214"/>
        <v>199.48777777788928</v>
      </c>
    </row>
    <row r="2729" spans="1:15">
      <c r="A2729" s="1" t="s">
        <v>2834</v>
      </c>
      <c r="B2729" s="23">
        <v>45203.394444444442</v>
      </c>
      <c r="C2729" s="1" t="s">
        <v>25</v>
      </c>
      <c r="D2729" s="1" t="s">
        <v>59</v>
      </c>
      <c r="E2729" s="1" t="s">
        <v>18</v>
      </c>
      <c r="F2729" s="1" t="s">
        <v>64</v>
      </c>
      <c r="G2729" s="1">
        <v>580</v>
      </c>
      <c r="H2729" s="23">
        <v>45203.918530092589</v>
      </c>
      <c r="I2729" s="1" t="b">
        <v>0</v>
      </c>
      <c r="K2729" s="10">
        <f t="shared" si="212"/>
        <v>12.57805555552477</v>
      </c>
      <c r="L2729" s="1" t="str">
        <f t="shared" si="213"/>
        <v>OK</v>
      </c>
      <c r="M2729" s="1">
        <f t="shared" si="210"/>
        <v>1</v>
      </c>
      <c r="N2729" s="1">
        <f t="shared" si="211"/>
        <v>580</v>
      </c>
      <c r="O2729" s="10">
        <f t="shared" si="214"/>
        <v>12.57805555552477</v>
      </c>
    </row>
    <row r="2730" spans="1:15">
      <c r="A2730" s="1" t="s">
        <v>2835</v>
      </c>
      <c r="B2730" s="23">
        <v>45203.51666666667</v>
      </c>
      <c r="C2730" s="1" t="s">
        <v>11</v>
      </c>
      <c r="D2730" s="1" t="s">
        <v>17</v>
      </c>
      <c r="E2730" s="1" t="s">
        <v>13</v>
      </c>
      <c r="F2730" s="1" t="s">
        <v>116</v>
      </c>
      <c r="G2730" s="1">
        <v>121</v>
      </c>
      <c r="H2730" s="23">
        <v>45206.353761574072</v>
      </c>
      <c r="I2730" s="1" t="b">
        <v>0</v>
      </c>
      <c r="J2730" s="1">
        <v>4</v>
      </c>
      <c r="K2730" s="10">
        <f t="shared" si="212"/>
        <v>68.090277777635492</v>
      </c>
      <c r="L2730" s="1" t="str">
        <f t="shared" si="213"/>
        <v>OK</v>
      </c>
      <c r="M2730" s="1">
        <f t="shared" si="210"/>
        <v>1</v>
      </c>
      <c r="N2730" s="1">
        <f t="shared" si="211"/>
        <v>121</v>
      </c>
      <c r="O2730" s="10">
        <f t="shared" si="214"/>
        <v>68.090277777635492</v>
      </c>
    </row>
    <row r="2731" spans="1:15">
      <c r="A2731" s="1" t="s">
        <v>2836</v>
      </c>
      <c r="B2731" s="23">
        <v>45203.586805555555</v>
      </c>
      <c r="C2731" s="1" t="s">
        <v>25</v>
      </c>
      <c r="D2731" s="1" t="s">
        <v>21</v>
      </c>
      <c r="E2731" s="1" t="s">
        <v>18</v>
      </c>
      <c r="F2731" s="1" t="s">
        <v>60</v>
      </c>
      <c r="G2731" s="1">
        <v>90</v>
      </c>
      <c r="H2731" s="23">
        <v>45206.683229166665</v>
      </c>
      <c r="I2731" s="1" t="b">
        <v>0</v>
      </c>
      <c r="J2731" s="1">
        <v>5</v>
      </c>
      <c r="K2731" s="10">
        <f t="shared" si="212"/>
        <v>74.314166666648816</v>
      </c>
      <c r="L2731" s="1" t="str">
        <f t="shared" si="213"/>
        <v>OK</v>
      </c>
      <c r="M2731" s="1">
        <f t="shared" si="210"/>
        <v>1</v>
      </c>
      <c r="N2731" s="1">
        <f t="shared" si="211"/>
        <v>90</v>
      </c>
      <c r="O2731" s="10">
        <f t="shared" si="214"/>
        <v>74.314166666648816</v>
      </c>
    </row>
    <row r="2732" spans="1:15">
      <c r="A2732" s="1" t="s">
        <v>2837</v>
      </c>
      <c r="B2732" s="23">
        <v>45203.70208333333</v>
      </c>
      <c r="C2732" s="1" t="s">
        <v>43</v>
      </c>
      <c r="D2732" s="1" t="s">
        <v>12</v>
      </c>
      <c r="E2732" s="1" t="s">
        <v>18</v>
      </c>
      <c r="F2732" s="1" t="s">
        <v>96</v>
      </c>
      <c r="G2732" s="1">
        <v>22</v>
      </c>
      <c r="H2732" s="23">
        <v>45210.045682870368</v>
      </c>
      <c r="I2732" s="1" t="b">
        <v>0</v>
      </c>
      <c r="K2732" s="10">
        <f t="shared" si="212"/>
        <v>152.24638888891786</v>
      </c>
      <c r="L2732" s="1" t="str">
        <f t="shared" si="213"/>
        <v>OK</v>
      </c>
      <c r="M2732" s="1">
        <f t="shared" si="210"/>
        <v>1</v>
      </c>
      <c r="N2732" s="1">
        <f t="shared" si="211"/>
        <v>22</v>
      </c>
      <c r="O2732" s="10">
        <f t="shared" si="214"/>
        <v>152.24638888891786</v>
      </c>
    </row>
    <row r="2733" spans="1:15">
      <c r="A2733" s="1" t="s">
        <v>2838</v>
      </c>
      <c r="B2733" s="23">
        <v>45203.751388888886</v>
      </c>
      <c r="C2733" s="1" t="s">
        <v>16</v>
      </c>
      <c r="D2733" s="1" t="s">
        <v>26</v>
      </c>
      <c r="E2733" s="1" t="s">
        <v>18</v>
      </c>
      <c r="F2733" s="1" t="s">
        <v>70</v>
      </c>
      <c r="G2733" s="1">
        <v>60</v>
      </c>
      <c r="H2733" s="23">
        <v>45203.977256944447</v>
      </c>
      <c r="I2733" s="1" t="b">
        <v>0</v>
      </c>
      <c r="K2733" s="10">
        <f t="shared" si="212"/>
        <v>5.4208333334536292</v>
      </c>
      <c r="L2733" s="1" t="str">
        <f t="shared" si="213"/>
        <v>OK</v>
      </c>
      <c r="M2733" s="1">
        <f t="shared" si="210"/>
        <v>1</v>
      </c>
      <c r="N2733" s="1">
        <f t="shared" si="211"/>
        <v>60</v>
      </c>
      <c r="O2733" s="10">
        <f t="shared" si="214"/>
        <v>5.4208333334536292</v>
      </c>
    </row>
    <row r="2734" spans="1:15">
      <c r="A2734" s="1" t="s">
        <v>2839</v>
      </c>
      <c r="B2734" s="23">
        <v>45203.877083333333</v>
      </c>
      <c r="C2734" s="1" t="s">
        <v>16</v>
      </c>
      <c r="D2734" s="1" t="s">
        <v>17</v>
      </c>
      <c r="E2734" s="1" t="s">
        <v>18</v>
      </c>
      <c r="F2734" s="1" t="s">
        <v>148</v>
      </c>
      <c r="G2734" s="1">
        <v>94</v>
      </c>
      <c r="H2734" s="23">
        <v>45206.5628125</v>
      </c>
      <c r="I2734" s="1" t="b">
        <v>0</v>
      </c>
      <c r="J2734" s="1">
        <v>5</v>
      </c>
      <c r="K2734" s="10">
        <f t="shared" si="212"/>
        <v>64.457500000018626</v>
      </c>
      <c r="L2734" s="1" t="str">
        <f t="shared" si="213"/>
        <v>OK</v>
      </c>
      <c r="M2734" s="1">
        <f t="shared" si="210"/>
        <v>1</v>
      </c>
      <c r="N2734" s="1">
        <f t="shared" si="211"/>
        <v>94</v>
      </c>
      <c r="O2734" s="10">
        <f t="shared" si="214"/>
        <v>64.457500000018626</v>
      </c>
    </row>
    <row r="2735" spans="1:15">
      <c r="A2735" s="1" t="s">
        <v>2840</v>
      </c>
      <c r="B2735" s="23">
        <v>45204.015972222223</v>
      </c>
      <c r="C2735" s="1" t="s">
        <v>11</v>
      </c>
      <c r="D2735" s="1" t="s">
        <v>17</v>
      </c>
      <c r="E2735" s="1" t="s">
        <v>22</v>
      </c>
      <c r="F2735" s="1" t="s">
        <v>317</v>
      </c>
      <c r="G2735" s="1">
        <v>16</v>
      </c>
      <c r="H2735" s="23">
        <v>45204.640208333331</v>
      </c>
      <c r="I2735" s="1" t="b">
        <v>1</v>
      </c>
      <c r="K2735" s="10">
        <f t="shared" si="212"/>
        <v>14.981666666571982</v>
      </c>
      <c r="L2735" s="1" t="str">
        <f t="shared" si="213"/>
        <v>OK</v>
      </c>
      <c r="M2735" s="1">
        <f t="shared" si="210"/>
        <v>1</v>
      </c>
      <c r="N2735" s="1">
        <f t="shared" si="211"/>
        <v>16</v>
      </c>
      <c r="O2735" s="10">
        <f t="shared" si="214"/>
        <v>14.981666666571982</v>
      </c>
    </row>
    <row r="2736" spans="1:15">
      <c r="A2736" s="1" t="s">
        <v>2841</v>
      </c>
      <c r="B2736" s="23">
        <v>45204.052083333336</v>
      </c>
      <c r="C2736" s="1" t="s">
        <v>16</v>
      </c>
      <c r="D2736" s="1" t="s">
        <v>17</v>
      </c>
      <c r="E2736" s="1" t="s">
        <v>18</v>
      </c>
      <c r="F2736" s="1" t="s">
        <v>148</v>
      </c>
      <c r="G2736" s="1">
        <v>44</v>
      </c>
      <c r="H2736" s="23">
        <v>45208.096875000003</v>
      </c>
      <c r="I2736" s="1" t="b">
        <v>1</v>
      </c>
      <c r="K2736" s="10">
        <f t="shared" si="212"/>
        <v>97.075000000011642</v>
      </c>
      <c r="L2736" s="1" t="str">
        <f t="shared" si="213"/>
        <v>OK</v>
      </c>
      <c r="M2736" s="1">
        <f t="shared" si="210"/>
        <v>1</v>
      </c>
      <c r="N2736" s="1">
        <f t="shared" si="211"/>
        <v>44</v>
      </c>
      <c r="O2736" s="10">
        <f t="shared" si="214"/>
        <v>97.075000000011642</v>
      </c>
    </row>
    <row r="2737" spans="1:15">
      <c r="A2737" s="1" t="s">
        <v>2842</v>
      </c>
      <c r="B2737" s="23">
        <v>45204.163194444445</v>
      </c>
      <c r="C2737" s="1" t="s">
        <v>11</v>
      </c>
      <c r="D2737" s="1" t="s">
        <v>12</v>
      </c>
      <c r="E2737" s="1" t="s">
        <v>13</v>
      </c>
      <c r="F2737" s="1" t="s">
        <v>35</v>
      </c>
      <c r="G2737" s="1">
        <v>13</v>
      </c>
      <c r="H2737" s="23">
        <v>45204.599745370368</v>
      </c>
      <c r="I2737" s="1" t="b">
        <v>0</v>
      </c>
      <c r="K2737" s="10">
        <f t="shared" si="212"/>
        <v>10.477222222136334</v>
      </c>
      <c r="L2737" s="1" t="str">
        <f t="shared" si="213"/>
        <v>OK</v>
      </c>
      <c r="M2737" s="1">
        <f t="shared" si="210"/>
        <v>1</v>
      </c>
      <c r="N2737" s="1">
        <f t="shared" si="211"/>
        <v>13</v>
      </c>
      <c r="O2737" s="10">
        <f t="shared" si="214"/>
        <v>10.477222222136334</v>
      </c>
    </row>
    <row r="2738" spans="1:15">
      <c r="A2738" s="1" t="s">
        <v>2843</v>
      </c>
      <c r="B2738" s="23">
        <v>45204.224305555559</v>
      </c>
      <c r="C2738" s="1" t="s">
        <v>16</v>
      </c>
      <c r="D2738" s="1" t="s">
        <v>21</v>
      </c>
      <c r="E2738" s="1" t="s">
        <v>18</v>
      </c>
      <c r="F2738" s="1" t="s">
        <v>60</v>
      </c>
      <c r="G2738" s="1">
        <v>106</v>
      </c>
      <c r="H2738" s="23">
        <v>45204.829953703702</v>
      </c>
      <c r="I2738" s="1" t="b">
        <v>0</v>
      </c>
      <c r="K2738" s="10">
        <f t="shared" si="212"/>
        <v>14.535555555426981</v>
      </c>
      <c r="L2738" s="1" t="str">
        <f t="shared" si="213"/>
        <v>OK</v>
      </c>
      <c r="M2738" s="1">
        <f t="shared" si="210"/>
        <v>1</v>
      </c>
      <c r="N2738" s="1">
        <f t="shared" si="211"/>
        <v>106</v>
      </c>
      <c r="O2738" s="10">
        <f t="shared" si="214"/>
        <v>14.535555555426981</v>
      </c>
    </row>
    <row r="2739" spans="1:15">
      <c r="A2739" s="1" t="s">
        <v>2844</v>
      </c>
      <c r="B2739" s="23">
        <v>45204.347916666666</v>
      </c>
      <c r="C2739" s="1" t="s">
        <v>16</v>
      </c>
      <c r="D2739" s="1" t="s">
        <v>59</v>
      </c>
      <c r="E2739" s="1" t="s">
        <v>18</v>
      </c>
      <c r="F2739" s="1" t="s">
        <v>130</v>
      </c>
      <c r="G2739" s="1">
        <v>314</v>
      </c>
      <c r="H2739" s="23">
        <v>45205.407800925925</v>
      </c>
      <c r="I2739" s="1" t="b">
        <v>0</v>
      </c>
      <c r="K2739" s="10">
        <f t="shared" si="212"/>
        <v>25.437222222215496</v>
      </c>
      <c r="L2739" s="1" t="str">
        <f t="shared" si="213"/>
        <v>OK</v>
      </c>
      <c r="M2739" s="1">
        <f t="shared" si="210"/>
        <v>1</v>
      </c>
      <c r="N2739" s="1">
        <f t="shared" si="211"/>
        <v>314</v>
      </c>
      <c r="O2739" s="10">
        <f t="shared" si="214"/>
        <v>25.437222222215496</v>
      </c>
    </row>
    <row r="2740" spans="1:15">
      <c r="A2740" s="1" t="s">
        <v>2845</v>
      </c>
      <c r="B2740" s="23">
        <v>45204.54791666667</v>
      </c>
      <c r="C2740" s="1" t="s">
        <v>16</v>
      </c>
      <c r="D2740" s="1" t="s">
        <v>17</v>
      </c>
      <c r="E2740" s="1" t="s">
        <v>13</v>
      </c>
      <c r="F2740" s="1" t="s">
        <v>237</v>
      </c>
      <c r="G2740" s="1">
        <v>8</v>
      </c>
      <c r="H2740" s="23">
        <v>45205.789722222224</v>
      </c>
      <c r="I2740" s="1" t="b">
        <v>0</v>
      </c>
      <c r="K2740" s="10">
        <f t="shared" si="212"/>
        <v>29.803333333285991</v>
      </c>
      <c r="L2740" s="1" t="str">
        <f t="shared" si="213"/>
        <v>OK</v>
      </c>
      <c r="M2740" s="1">
        <f t="shared" si="210"/>
        <v>1</v>
      </c>
      <c r="N2740" s="1">
        <f t="shared" si="211"/>
        <v>8</v>
      </c>
      <c r="O2740" s="10">
        <f t="shared" si="214"/>
        <v>29.803333333285991</v>
      </c>
    </row>
    <row r="2741" spans="1:15">
      <c r="A2741" s="1" t="s">
        <v>2846</v>
      </c>
      <c r="B2741" s="23">
        <v>45204.604166666664</v>
      </c>
      <c r="C2741" s="1" t="s">
        <v>11</v>
      </c>
      <c r="D2741" s="1" t="s">
        <v>17</v>
      </c>
      <c r="E2741" s="1" t="s">
        <v>18</v>
      </c>
      <c r="F2741" s="1" t="s">
        <v>153</v>
      </c>
      <c r="G2741" s="1">
        <v>69</v>
      </c>
      <c r="H2741" s="23">
        <v>45205.293043981481</v>
      </c>
      <c r="I2741" s="1" t="b">
        <v>0</v>
      </c>
      <c r="K2741" s="10">
        <f t="shared" si="212"/>
        <v>16.533055555599276</v>
      </c>
      <c r="L2741" s="1" t="str">
        <f t="shared" si="213"/>
        <v>OK</v>
      </c>
      <c r="M2741" s="1">
        <f t="shared" si="210"/>
        <v>1</v>
      </c>
      <c r="N2741" s="1">
        <f t="shared" si="211"/>
        <v>69</v>
      </c>
      <c r="O2741" s="10">
        <f t="shared" si="214"/>
        <v>16.533055555599276</v>
      </c>
    </row>
    <row r="2742" spans="1:15">
      <c r="A2742" s="1" t="s">
        <v>2847</v>
      </c>
      <c r="B2742" s="23">
        <v>45204.827777777777</v>
      </c>
      <c r="C2742" s="1" t="s">
        <v>25</v>
      </c>
      <c r="D2742" s="1" t="s">
        <v>21</v>
      </c>
      <c r="E2742" s="1" t="s">
        <v>13</v>
      </c>
      <c r="F2742" s="1" t="s">
        <v>80</v>
      </c>
      <c r="G2742" s="1">
        <v>162</v>
      </c>
      <c r="H2742" s="23">
        <v>45205.185312499998</v>
      </c>
      <c r="I2742" s="1" t="b">
        <v>0</v>
      </c>
      <c r="J2742" s="1">
        <v>4</v>
      </c>
      <c r="K2742" s="10">
        <f t="shared" si="212"/>
        <v>8.5808333333116025</v>
      </c>
      <c r="L2742" s="1" t="str">
        <f t="shared" si="213"/>
        <v>OK</v>
      </c>
      <c r="M2742" s="1">
        <f t="shared" si="210"/>
        <v>1</v>
      </c>
      <c r="N2742" s="1">
        <f t="shared" si="211"/>
        <v>162</v>
      </c>
      <c r="O2742" s="10">
        <f t="shared" si="214"/>
        <v>8.5808333333116025</v>
      </c>
    </row>
    <row r="2743" spans="1:15">
      <c r="A2743" s="1" t="s">
        <v>2848</v>
      </c>
      <c r="B2743" s="23">
        <v>45205.026388888888</v>
      </c>
      <c r="C2743" s="1" t="s">
        <v>11</v>
      </c>
      <c r="D2743" s="1" t="s">
        <v>26</v>
      </c>
      <c r="E2743" s="1" t="s">
        <v>18</v>
      </c>
      <c r="F2743" s="1" t="s">
        <v>57</v>
      </c>
      <c r="G2743" s="1">
        <v>20</v>
      </c>
      <c r="H2743" s="23">
        <v>45207.359733796293</v>
      </c>
      <c r="I2743" s="1" t="b">
        <v>0</v>
      </c>
      <c r="J2743" s="1">
        <v>4</v>
      </c>
      <c r="K2743" s="10">
        <f t="shared" si="212"/>
        <v>56.000277777726296</v>
      </c>
      <c r="L2743" s="1" t="str">
        <f t="shared" si="213"/>
        <v>OK</v>
      </c>
      <c r="M2743" s="1">
        <f t="shared" si="210"/>
        <v>1</v>
      </c>
      <c r="N2743" s="1">
        <f t="shared" si="211"/>
        <v>20</v>
      </c>
      <c r="O2743" s="10">
        <f t="shared" si="214"/>
        <v>56.000277777726296</v>
      </c>
    </row>
    <row r="2744" spans="1:15">
      <c r="A2744" s="1" t="s">
        <v>2849</v>
      </c>
      <c r="B2744" s="23">
        <v>45205.065972222219</v>
      </c>
      <c r="C2744" s="1" t="s">
        <v>25</v>
      </c>
      <c r="D2744" s="1" t="s">
        <v>17</v>
      </c>
      <c r="E2744" s="1" t="s">
        <v>22</v>
      </c>
      <c r="F2744" s="1" t="s">
        <v>153</v>
      </c>
      <c r="G2744" s="1">
        <v>6</v>
      </c>
      <c r="H2744" s="23">
        <v>45205.368750000001</v>
      </c>
      <c r="I2744" s="1" t="b">
        <v>0</v>
      </c>
      <c r="K2744" s="10">
        <f t="shared" si="212"/>
        <v>7.2666666667792015</v>
      </c>
      <c r="L2744" s="1" t="str">
        <f t="shared" si="213"/>
        <v>OK</v>
      </c>
      <c r="M2744" s="1">
        <f t="shared" si="210"/>
        <v>1</v>
      </c>
      <c r="N2744" s="1">
        <f t="shared" si="211"/>
        <v>6</v>
      </c>
      <c r="O2744" s="10">
        <f t="shared" si="214"/>
        <v>7.2666666667792015</v>
      </c>
    </row>
    <row r="2745" spans="1:15">
      <c r="A2745" s="1" t="s">
        <v>2850</v>
      </c>
      <c r="B2745" s="23">
        <v>45205.083333333336</v>
      </c>
      <c r="C2745" s="1" t="s">
        <v>11</v>
      </c>
      <c r="D2745" s="1" t="s">
        <v>17</v>
      </c>
      <c r="E2745" s="1" t="s">
        <v>13</v>
      </c>
      <c r="F2745" s="1" t="s">
        <v>167</v>
      </c>
      <c r="G2745" s="1">
        <v>73</v>
      </c>
      <c r="H2745" s="23">
        <v>45205.284525462965</v>
      </c>
      <c r="I2745" s="1" t="b">
        <v>0</v>
      </c>
      <c r="K2745" s="10">
        <f t="shared" si="212"/>
        <v>4.8286111110937782</v>
      </c>
      <c r="L2745" s="1" t="str">
        <f t="shared" si="213"/>
        <v>OK</v>
      </c>
      <c r="M2745" s="1">
        <f t="shared" si="210"/>
        <v>1</v>
      </c>
      <c r="N2745" s="1">
        <f t="shared" si="211"/>
        <v>73</v>
      </c>
      <c r="O2745" s="10">
        <f t="shared" si="214"/>
        <v>4.8286111110937782</v>
      </c>
    </row>
    <row r="2746" spans="1:15">
      <c r="A2746" s="1" t="s">
        <v>2851</v>
      </c>
      <c r="B2746" s="23">
        <v>45205.181944444441</v>
      </c>
      <c r="C2746" s="1" t="s">
        <v>11</v>
      </c>
      <c r="D2746" s="1" t="s">
        <v>17</v>
      </c>
      <c r="E2746" s="1" t="s">
        <v>33</v>
      </c>
      <c r="F2746" s="1" t="s">
        <v>106</v>
      </c>
      <c r="G2746" s="1">
        <v>177</v>
      </c>
      <c r="H2746" s="23">
        <v>45208.470671296294</v>
      </c>
      <c r="I2746" s="1" t="b">
        <v>0</v>
      </c>
      <c r="K2746" s="10">
        <f t="shared" si="212"/>
        <v>78.929444444482215</v>
      </c>
      <c r="L2746" s="1" t="str">
        <f t="shared" si="213"/>
        <v>OK</v>
      </c>
      <c r="M2746" s="1">
        <f t="shared" si="210"/>
        <v>1</v>
      </c>
      <c r="N2746" s="1">
        <f t="shared" si="211"/>
        <v>177</v>
      </c>
      <c r="O2746" s="10">
        <f t="shared" si="214"/>
        <v>78.929444444482215</v>
      </c>
    </row>
    <row r="2747" spans="1:15">
      <c r="A2747" s="1" t="s">
        <v>2852</v>
      </c>
      <c r="B2747" s="23">
        <v>45205.238888888889</v>
      </c>
      <c r="C2747" s="1" t="s">
        <v>16</v>
      </c>
      <c r="D2747" s="1" t="s">
        <v>12</v>
      </c>
      <c r="E2747" s="1" t="s">
        <v>18</v>
      </c>
      <c r="F2747" s="1" t="s">
        <v>70</v>
      </c>
      <c r="G2747" s="1">
        <v>31</v>
      </c>
      <c r="H2747" s="23">
        <v>45205.677604166667</v>
      </c>
      <c r="I2747" s="1" t="b">
        <v>0</v>
      </c>
      <c r="K2747" s="10">
        <f t="shared" si="212"/>
        <v>10.529166666674428</v>
      </c>
      <c r="L2747" s="1" t="str">
        <f t="shared" si="213"/>
        <v>OK</v>
      </c>
      <c r="M2747" s="1">
        <f t="shared" si="210"/>
        <v>1</v>
      </c>
      <c r="N2747" s="1">
        <f t="shared" si="211"/>
        <v>31</v>
      </c>
      <c r="O2747" s="10">
        <f t="shared" si="214"/>
        <v>10.529166666674428</v>
      </c>
    </row>
    <row r="2748" spans="1:15">
      <c r="A2748" s="1" t="s">
        <v>2853</v>
      </c>
      <c r="B2748" s="23">
        <v>45205.241666666669</v>
      </c>
      <c r="C2748" s="1" t="s">
        <v>25</v>
      </c>
      <c r="D2748" s="1" t="s">
        <v>17</v>
      </c>
      <c r="E2748" s="1" t="s">
        <v>18</v>
      </c>
      <c r="F2748" s="1" t="s">
        <v>68</v>
      </c>
      <c r="G2748" s="1">
        <v>177</v>
      </c>
      <c r="H2748" s="23">
        <v>45206.153923611113</v>
      </c>
      <c r="I2748" s="1" t="b">
        <v>0</v>
      </c>
      <c r="K2748" s="10">
        <f t="shared" si="212"/>
        <v>21.894166666665114</v>
      </c>
      <c r="L2748" s="1" t="str">
        <f t="shared" si="213"/>
        <v>OK</v>
      </c>
      <c r="M2748" s="1">
        <f t="shared" si="210"/>
        <v>1</v>
      </c>
      <c r="N2748" s="1">
        <f t="shared" si="211"/>
        <v>177</v>
      </c>
      <c r="O2748" s="10">
        <f t="shared" si="214"/>
        <v>21.894166666665114</v>
      </c>
    </row>
    <row r="2749" spans="1:15">
      <c r="A2749" s="1" t="s">
        <v>2854</v>
      </c>
      <c r="B2749" s="23">
        <v>45205.288888888892</v>
      </c>
      <c r="C2749" s="1" t="s">
        <v>11</v>
      </c>
      <c r="D2749" s="1" t="s">
        <v>26</v>
      </c>
      <c r="E2749" s="1" t="s">
        <v>33</v>
      </c>
      <c r="F2749" s="1" t="s">
        <v>110</v>
      </c>
      <c r="G2749" s="1">
        <v>361</v>
      </c>
      <c r="H2749" s="23">
        <v>45206.912407407406</v>
      </c>
      <c r="I2749" s="1" t="b">
        <v>0</v>
      </c>
      <c r="K2749" s="10">
        <f t="shared" si="212"/>
        <v>38.964444444340188</v>
      </c>
      <c r="L2749" s="1" t="str">
        <f t="shared" si="213"/>
        <v>OK</v>
      </c>
      <c r="M2749" s="1">
        <f t="shared" si="210"/>
        <v>1</v>
      </c>
      <c r="N2749" s="1">
        <f t="shared" si="211"/>
        <v>361</v>
      </c>
      <c r="O2749" s="10">
        <f t="shared" si="214"/>
        <v>38.964444444340188</v>
      </c>
    </row>
    <row r="2750" spans="1:15">
      <c r="A2750" s="1" t="s">
        <v>2855</v>
      </c>
      <c r="B2750" s="23">
        <v>45205.359722222223</v>
      </c>
      <c r="C2750" s="1" t="s">
        <v>16</v>
      </c>
      <c r="D2750" s="1" t="s">
        <v>26</v>
      </c>
      <c r="E2750" s="1" t="s">
        <v>22</v>
      </c>
      <c r="F2750" s="1" t="s">
        <v>224</v>
      </c>
      <c r="G2750" s="1">
        <v>31</v>
      </c>
      <c r="I2750" s="1" t="b">
        <v>0</v>
      </c>
      <c r="K2750" s="10" t="str">
        <f t="shared" si="212"/>
        <v/>
      </c>
      <c r="L2750" s="1" t="str">
        <f t="shared" si="213"/>
        <v>Cannot check</v>
      </c>
      <c r="M2750" s="1">
        <f t="shared" si="210"/>
        <v>1</v>
      </c>
      <c r="N2750" s="1">
        <f t="shared" si="211"/>
        <v>31</v>
      </c>
      <c r="O2750" s="10" t="str">
        <f t="shared" si="214"/>
        <v/>
      </c>
    </row>
    <row r="2751" spans="1:15">
      <c r="A2751" s="1" t="s">
        <v>2856</v>
      </c>
      <c r="B2751" s="23">
        <v>45205.588888888888</v>
      </c>
      <c r="C2751" s="1" t="s">
        <v>43</v>
      </c>
      <c r="D2751" s="1" t="s">
        <v>17</v>
      </c>
      <c r="E2751" s="1" t="s">
        <v>18</v>
      </c>
      <c r="F2751" s="1" t="s">
        <v>80</v>
      </c>
      <c r="G2751" s="1">
        <v>40</v>
      </c>
      <c r="H2751" s="23">
        <v>45206.288946759261</v>
      </c>
      <c r="I2751" s="1" t="b">
        <v>0</v>
      </c>
      <c r="K2751" s="10">
        <f t="shared" si="212"/>
        <v>16.801388888969086</v>
      </c>
      <c r="L2751" s="1" t="str">
        <f t="shared" si="213"/>
        <v>OK</v>
      </c>
      <c r="M2751" s="1">
        <f t="shared" si="210"/>
        <v>1</v>
      </c>
      <c r="N2751" s="1">
        <f t="shared" si="211"/>
        <v>40</v>
      </c>
      <c r="O2751" s="10">
        <f t="shared" si="214"/>
        <v>16.801388888969086</v>
      </c>
    </row>
    <row r="2752" spans="1:15">
      <c r="A2752" s="1" t="s">
        <v>2857</v>
      </c>
      <c r="B2752" s="23">
        <v>45205.604166666664</v>
      </c>
      <c r="C2752" s="1" t="s">
        <v>43</v>
      </c>
      <c r="D2752" s="1" t="s">
        <v>21</v>
      </c>
      <c r="E2752" s="1" t="s">
        <v>18</v>
      </c>
      <c r="F2752" s="1" t="s">
        <v>57</v>
      </c>
      <c r="G2752" s="1">
        <v>44</v>
      </c>
      <c r="H2752" s="23">
        <v>45206.811388888891</v>
      </c>
      <c r="I2752" s="1" t="b">
        <v>0</v>
      </c>
      <c r="J2752" s="1">
        <v>4</v>
      </c>
      <c r="K2752" s="10">
        <f t="shared" si="212"/>
        <v>28.973333333444316</v>
      </c>
      <c r="L2752" s="1" t="str">
        <f t="shared" si="213"/>
        <v>OK</v>
      </c>
      <c r="M2752" s="1">
        <f t="shared" si="210"/>
        <v>1</v>
      </c>
      <c r="N2752" s="1">
        <f t="shared" si="211"/>
        <v>44</v>
      </c>
      <c r="O2752" s="10">
        <f t="shared" si="214"/>
        <v>28.973333333444316</v>
      </c>
    </row>
    <row r="2753" spans="1:15">
      <c r="A2753" s="1" t="s">
        <v>2858</v>
      </c>
      <c r="B2753" s="23">
        <v>45205.606249999997</v>
      </c>
      <c r="C2753" s="1" t="s">
        <v>25</v>
      </c>
      <c r="D2753" s="1" t="s">
        <v>26</v>
      </c>
      <c r="E2753" s="1" t="s">
        <v>13</v>
      </c>
      <c r="F2753" s="1" t="s">
        <v>88</v>
      </c>
      <c r="G2753" s="1">
        <v>22</v>
      </c>
      <c r="H2753" s="23">
        <v>45209.167581018519</v>
      </c>
      <c r="I2753" s="1" t="b">
        <v>0</v>
      </c>
      <c r="K2753" s="10">
        <f t="shared" si="212"/>
        <v>85.471944444521796</v>
      </c>
      <c r="L2753" s="1" t="str">
        <f t="shared" si="213"/>
        <v>OK</v>
      </c>
      <c r="M2753" s="1">
        <f t="shared" si="210"/>
        <v>1</v>
      </c>
      <c r="N2753" s="1">
        <f t="shared" si="211"/>
        <v>22</v>
      </c>
      <c r="O2753" s="10">
        <f t="shared" si="214"/>
        <v>85.471944444521796</v>
      </c>
    </row>
    <row r="2754" spans="1:15">
      <c r="A2754" s="1" t="s">
        <v>2859</v>
      </c>
      <c r="B2754" s="23">
        <v>45205.676388888889</v>
      </c>
      <c r="C2754" s="1" t="s">
        <v>16</v>
      </c>
      <c r="D2754" s="1" t="s">
        <v>21</v>
      </c>
      <c r="E2754" s="1" t="s">
        <v>18</v>
      </c>
      <c r="F2754" s="1" t="s">
        <v>206</v>
      </c>
      <c r="I2754" s="1" t="b">
        <v>0</v>
      </c>
      <c r="K2754" s="10" t="str">
        <f t="shared" si="212"/>
        <v/>
      </c>
      <c r="L2754" s="1" t="str">
        <f t="shared" si="213"/>
        <v>Cannot check</v>
      </c>
      <c r="M2754" s="1">
        <f t="shared" ref="M2754:M2817" si="215">COUNTIF($A$2:$A$4001,A2754)</f>
        <v>1</v>
      </c>
      <c r="N2754" s="1" t="str">
        <f t="shared" ref="N2754:N2817" si="216">IF(OR(L2754="Review",G2754=""),"",G2754)</f>
        <v/>
      </c>
      <c r="O2754" s="10" t="str">
        <f t="shared" si="214"/>
        <v/>
      </c>
    </row>
    <row r="2755" spans="1:15">
      <c r="A2755" s="1" t="s">
        <v>2860</v>
      </c>
      <c r="B2755" s="23">
        <v>45205.677777777775</v>
      </c>
      <c r="C2755" s="1" t="s">
        <v>25</v>
      </c>
      <c r="D2755" s="1" t="s">
        <v>21</v>
      </c>
      <c r="E2755" s="1" t="s">
        <v>18</v>
      </c>
      <c r="F2755" s="1" t="s">
        <v>23</v>
      </c>
      <c r="G2755" s="1">
        <v>252</v>
      </c>
      <c r="H2755" s="23">
        <v>45205.865925925929</v>
      </c>
      <c r="I2755" s="1" t="b">
        <v>0</v>
      </c>
      <c r="J2755" s="1">
        <v>5</v>
      </c>
      <c r="K2755" s="10">
        <f t="shared" ref="K2755:K2818" si="217">IF(H2755="","",(H2755-B2755)*24)</f>
        <v>4.5155555556993932</v>
      </c>
      <c r="L2755" s="1" t="str">
        <f t="shared" ref="L2755:L2818" si="218">IF(OR(G2755="",K2755=""),"Cannot check",IF(G2755&gt;K2755*60,"Review","OK"))</f>
        <v>OK</v>
      </c>
      <c r="M2755" s="1">
        <f t="shared" si="215"/>
        <v>1</v>
      </c>
      <c r="N2755" s="1">
        <f t="shared" si="216"/>
        <v>252</v>
      </c>
      <c r="O2755" s="10">
        <f t="shared" ref="O2755:O2818" si="219">IF(OR(L2755="Review",K2755=""),"",K2755)</f>
        <v>4.5155555556993932</v>
      </c>
    </row>
    <row r="2756" spans="1:15">
      <c r="A2756" s="1" t="s">
        <v>2861</v>
      </c>
      <c r="B2756" s="23">
        <v>45205.736111111109</v>
      </c>
      <c r="C2756" s="1" t="s">
        <v>11</v>
      </c>
      <c r="D2756" s="1" t="s">
        <v>21</v>
      </c>
      <c r="E2756" s="1" t="s">
        <v>13</v>
      </c>
      <c r="F2756" s="1" t="s">
        <v>112</v>
      </c>
      <c r="G2756" s="1">
        <v>34</v>
      </c>
      <c r="H2756" s="23">
        <v>45205.916168981479</v>
      </c>
      <c r="I2756" s="1" t="b">
        <v>0</v>
      </c>
      <c r="K2756" s="10">
        <f t="shared" si="217"/>
        <v>4.3213888888712972</v>
      </c>
      <c r="L2756" s="1" t="str">
        <f t="shared" si="218"/>
        <v>OK</v>
      </c>
      <c r="M2756" s="1">
        <f t="shared" si="215"/>
        <v>1</v>
      </c>
      <c r="N2756" s="1">
        <f t="shared" si="216"/>
        <v>34</v>
      </c>
      <c r="O2756" s="10">
        <f t="shared" si="219"/>
        <v>4.3213888888712972</v>
      </c>
    </row>
    <row r="2757" spans="1:15">
      <c r="A2757" s="1" t="s">
        <v>2862</v>
      </c>
      <c r="B2757" s="23">
        <v>45205.738194444442</v>
      </c>
      <c r="C2757" s="1" t="s">
        <v>11</v>
      </c>
      <c r="D2757" s="1" t="s">
        <v>12</v>
      </c>
      <c r="E2757" s="1" t="s">
        <v>13</v>
      </c>
      <c r="F2757" s="1" t="s">
        <v>31</v>
      </c>
      <c r="G2757" s="1">
        <v>35</v>
      </c>
      <c r="H2757" s="23">
        <v>45206.676261574074</v>
      </c>
      <c r="I2757" s="1" t="b">
        <v>0</v>
      </c>
      <c r="J2757" s="1">
        <v>5</v>
      </c>
      <c r="K2757" s="10">
        <f t="shared" si="217"/>
        <v>22.513611111149658</v>
      </c>
      <c r="L2757" s="1" t="str">
        <f t="shared" si="218"/>
        <v>OK</v>
      </c>
      <c r="M2757" s="1">
        <f t="shared" si="215"/>
        <v>1</v>
      </c>
      <c r="N2757" s="1">
        <f t="shared" si="216"/>
        <v>35</v>
      </c>
      <c r="O2757" s="10">
        <f t="shared" si="219"/>
        <v>22.513611111149658</v>
      </c>
    </row>
    <row r="2758" spans="1:15">
      <c r="A2758" s="1" t="s">
        <v>2863</v>
      </c>
      <c r="B2758" s="23">
        <v>45205.772222222222</v>
      </c>
      <c r="C2758" s="1" t="s">
        <v>43</v>
      </c>
      <c r="D2758" s="1" t="s">
        <v>17</v>
      </c>
      <c r="E2758" s="1" t="s">
        <v>13</v>
      </c>
      <c r="F2758" s="1" t="s">
        <v>64</v>
      </c>
      <c r="G2758" s="1">
        <v>77</v>
      </c>
      <c r="H2758" s="23">
        <v>45208.938877314817</v>
      </c>
      <c r="I2758" s="1" t="b">
        <v>0</v>
      </c>
      <c r="K2758" s="10">
        <f t="shared" si="217"/>
        <v>75.999722222273704</v>
      </c>
      <c r="L2758" s="1" t="str">
        <f t="shared" si="218"/>
        <v>OK</v>
      </c>
      <c r="M2758" s="1">
        <f t="shared" si="215"/>
        <v>1</v>
      </c>
      <c r="N2758" s="1">
        <f t="shared" si="216"/>
        <v>77</v>
      </c>
      <c r="O2758" s="10">
        <f t="shared" si="219"/>
        <v>75.999722222273704</v>
      </c>
    </row>
    <row r="2759" spans="1:15">
      <c r="A2759" s="1" t="s">
        <v>2864</v>
      </c>
      <c r="B2759" s="23">
        <v>45206.088194444441</v>
      </c>
      <c r="C2759" s="1" t="s">
        <v>11</v>
      </c>
      <c r="D2759" s="1" t="s">
        <v>21</v>
      </c>
      <c r="E2759" s="1" t="s">
        <v>18</v>
      </c>
      <c r="F2759" s="1" t="s">
        <v>88</v>
      </c>
      <c r="G2759" s="1">
        <v>241</v>
      </c>
      <c r="H2759" s="23">
        <v>45206.158229166664</v>
      </c>
      <c r="I2759" s="1" t="b">
        <v>0</v>
      </c>
      <c r="K2759" s="10">
        <f t="shared" si="217"/>
        <v>1.6808333333465271</v>
      </c>
      <c r="L2759" s="1" t="str">
        <f t="shared" si="218"/>
        <v>Review</v>
      </c>
      <c r="M2759" s="1">
        <f t="shared" si="215"/>
        <v>1</v>
      </c>
      <c r="N2759" s="1" t="str">
        <f t="shared" si="216"/>
        <v/>
      </c>
      <c r="O2759" s="10" t="str">
        <f t="shared" si="219"/>
        <v/>
      </c>
    </row>
    <row r="2760" spans="1:15">
      <c r="A2760" s="1" t="s">
        <v>2865</v>
      </c>
      <c r="B2760" s="23">
        <v>45206.15625</v>
      </c>
      <c r="C2760" s="1" t="s">
        <v>25</v>
      </c>
      <c r="D2760" s="1" t="s">
        <v>17</v>
      </c>
      <c r="E2760" s="1" t="s">
        <v>18</v>
      </c>
      <c r="F2760" s="1" t="s">
        <v>198</v>
      </c>
      <c r="G2760" s="1">
        <v>287</v>
      </c>
      <c r="H2760" s="23">
        <v>45207.185856481483</v>
      </c>
      <c r="I2760" s="1" t="b">
        <v>0</v>
      </c>
      <c r="K2760" s="10">
        <f t="shared" si="217"/>
        <v>24.710555555589963</v>
      </c>
      <c r="L2760" s="1" t="str">
        <f t="shared" si="218"/>
        <v>OK</v>
      </c>
      <c r="M2760" s="1">
        <f t="shared" si="215"/>
        <v>1</v>
      </c>
      <c r="N2760" s="1">
        <f t="shared" si="216"/>
        <v>287</v>
      </c>
      <c r="O2760" s="10">
        <f t="shared" si="219"/>
        <v>24.710555555589963</v>
      </c>
    </row>
    <row r="2761" spans="1:15">
      <c r="A2761" s="1" t="s">
        <v>2866</v>
      </c>
      <c r="B2761" s="23">
        <v>45206.210416666669</v>
      </c>
      <c r="C2761" s="1" t="s">
        <v>43</v>
      </c>
      <c r="D2761" s="1" t="s">
        <v>26</v>
      </c>
      <c r="E2761" s="1" t="s">
        <v>33</v>
      </c>
      <c r="F2761" s="1" t="s">
        <v>114</v>
      </c>
      <c r="G2761" s="1">
        <v>290</v>
      </c>
      <c r="H2761" s="23">
        <v>45235.972442129627</v>
      </c>
      <c r="I2761" s="1" t="b">
        <v>0</v>
      </c>
      <c r="J2761" s="1">
        <v>5</v>
      </c>
      <c r="K2761" s="10">
        <f t="shared" si="217"/>
        <v>714.28861111099832</v>
      </c>
      <c r="L2761" s="1" t="str">
        <f t="shared" si="218"/>
        <v>OK</v>
      </c>
      <c r="M2761" s="1">
        <f t="shared" si="215"/>
        <v>1</v>
      </c>
      <c r="N2761" s="1">
        <f t="shared" si="216"/>
        <v>290</v>
      </c>
      <c r="O2761" s="10">
        <f t="shared" si="219"/>
        <v>714.28861111099832</v>
      </c>
    </row>
    <row r="2762" spans="1:15">
      <c r="A2762" s="1" t="s">
        <v>2867</v>
      </c>
      <c r="B2762" s="23">
        <v>45206.362500000003</v>
      </c>
      <c r="C2762" s="1" t="s">
        <v>25</v>
      </c>
      <c r="D2762" s="1" t="s">
        <v>26</v>
      </c>
      <c r="E2762" s="1" t="s">
        <v>33</v>
      </c>
      <c r="F2762" s="1" t="s">
        <v>116</v>
      </c>
      <c r="G2762" s="1">
        <v>225</v>
      </c>
      <c r="H2762" s="23">
        <v>45232.344166666669</v>
      </c>
      <c r="I2762" s="1" t="b">
        <v>0</v>
      </c>
      <c r="K2762" s="10">
        <f t="shared" si="217"/>
        <v>623.55999999999767</v>
      </c>
      <c r="L2762" s="1" t="str">
        <f t="shared" si="218"/>
        <v>OK</v>
      </c>
      <c r="M2762" s="1">
        <f t="shared" si="215"/>
        <v>1</v>
      </c>
      <c r="N2762" s="1">
        <f t="shared" si="216"/>
        <v>225</v>
      </c>
      <c r="O2762" s="10">
        <f t="shared" si="219"/>
        <v>623.55999999999767</v>
      </c>
    </row>
    <row r="2763" spans="1:15">
      <c r="A2763" s="1" t="s">
        <v>2868</v>
      </c>
      <c r="B2763" s="23">
        <v>45206.399305555555</v>
      </c>
      <c r="C2763" s="1" t="s">
        <v>16</v>
      </c>
      <c r="D2763" s="1" t="s">
        <v>26</v>
      </c>
      <c r="E2763" s="1" t="s">
        <v>18</v>
      </c>
      <c r="F2763" s="1" t="s">
        <v>167</v>
      </c>
      <c r="G2763" s="1">
        <v>157</v>
      </c>
      <c r="H2763" s="23">
        <v>45213.342141203706</v>
      </c>
      <c r="I2763" s="1" t="b">
        <v>0</v>
      </c>
      <c r="K2763" s="10">
        <f t="shared" si="217"/>
        <v>166.62805555562954</v>
      </c>
      <c r="L2763" s="1" t="str">
        <f t="shared" si="218"/>
        <v>OK</v>
      </c>
      <c r="M2763" s="1">
        <f t="shared" si="215"/>
        <v>1</v>
      </c>
      <c r="N2763" s="1">
        <f t="shared" si="216"/>
        <v>157</v>
      </c>
      <c r="O2763" s="10">
        <f t="shared" si="219"/>
        <v>166.62805555562954</v>
      </c>
    </row>
    <row r="2764" spans="1:15">
      <c r="A2764" s="1" t="s">
        <v>2869</v>
      </c>
      <c r="B2764" s="23">
        <v>45206.40902777778</v>
      </c>
      <c r="C2764" s="1" t="s">
        <v>16</v>
      </c>
      <c r="D2764" s="1" t="s">
        <v>12</v>
      </c>
      <c r="E2764" s="1" t="s">
        <v>18</v>
      </c>
      <c r="F2764" s="1" t="s">
        <v>239</v>
      </c>
      <c r="G2764" s="1">
        <v>227</v>
      </c>
      <c r="H2764" s="23">
        <v>45207.539988425924</v>
      </c>
      <c r="I2764" s="1" t="b">
        <v>0</v>
      </c>
      <c r="K2764" s="10">
        <f t="shared" si="217"/>
        <v>27.143055555468891</v>
      </c>
      <c r="L2764" s="1" t="str">
        <f t="shared" si="218"/>
        <v>OK</v>
      </c>
      <c r="M2764" s="1">
        <f t="shared" si="215"/>
        <v>1</v>
      </c>
      <c r="N2764" s="1">
        <f t="shared" si="216"/>
        <v>227</v>
      </c>
      <c r="O2764" s="10">
        <f t="shared" si="219"/>
        <v>27.143055555468891</v>
      </c>
    </row>
    <row r="2765" spans="1:15">
      <c r="A2765" s="1" t="s">
        <v>2870</v>
      </c>
      <c r="B2765" s="23">
        <v>45206.524305555555</v>
      </c>
      <c r="C2765" s="1" t="s">
        <v>25</v>
      </c>
      <c r="D2765" s="1" t="s">
        <v>17</v>
      </c>
      <c r="E2765" s="1" t="s">
        <v>13</v>
      </c>
      <c r="F2765" s="1" t="s">
        <v>237</v>
      </c>
      <c r="G2765" s="1">
        <v>61</v>
      </c>
      <c r="H2765" s="23">
        <v>45206.740925925929</v>
      </c>
      <c r="I2765" s="1" t="b">
        <v>0</v>
      </c>
      <c r="K2765" s="10">
        <f t="shared" si="217"/>
        <v>5.1988888889900409</v>
      </c>
      <c r="L2765" s="1" t="str">
        <f t="shared" si="218"/>
        <v>OK</v>
      </c>
      <c r="M2765" s="1">
        <f t="shared" si="215"/>
        <v>1</v>
      </c>
      <c r="N2765" s="1">
        <f t="shared" si="216"/>
        <v>61</v>
      </c>
      <c r="O2765" s="10">
        <f t="shared" si="219"/>
        <v>5.1988888889900409</v>
      </c>
    </row>
    <row r="2766" spans="1:15">
      <c r="A2766" s="1" t="s">
        <v>2871</v>
      </c>
      <c r="B2766" s="23">
        <v>45206.569444444445</v>
      </c>
      <c r="C2766" s="1" t="s">
        <v>16</v>
      </c>
      <c r="D2766" s="1" t="s">
        <v>21</v>
      </c>
      <c r="E2766" s="1" t="s">
        <v>33</v>
      </c>
      <c r="F2766" s="1" t="s">
        <v>415</v>
      </c>
      <c r="G2766" s="1">
        <v>721</v>
      </c>
      <c r="H2766" s="23">
        <v>45208.274548611109</v>
      </c>
      <c r="I2766" s="1" t="b">
        <v>0</v>
      </c>
      <c r="K2766" s="10">
        <f t="shared" si="217"/>
        <v>40.922499999927823</v>
      </c>
      <c r="L2766" s="1" t="str">
        <f t="shared" si="218"/>
        <v>OK</v>
      </c>
      <c r="M2766" s="1">
        <f t="shared" si="215"/>
        <v>1</v>
      </c>
      <c r="N2766" s="1">
        <f t="shared" si="216"/>
        <v>721</v>
      </c>
      <c r="O2766" s="10">
        <f t="shared" si="219"/>
        <v>40.922499999927823</v>
      </c>
    </row>
    <row r="2767" spans="1:15">
      <c r="A2767" s="1" t="s">
        <v>2872</v>
      </c>
      <c r="B2767" s="23">
        <v>45206.60833333333</v>
      </c>
      <c r="C2767" s="1" t="s">
        <v>11</v>
      </c>
      <c r="D2767" s="1" t="s">
        <v>21</v>
      </c>
      <c r="E2767" s="1" t="s">
        <v>18</v>
      </c>
      <c r="F2767" s="1" t="s">
        <v>153</v>
      </c>
      <c r="G2767" s="1">
        <v>238</v>
      </c>
      <c r="H2767" s="23">
        <v>45207.074444444443</v>
      </c>
      <c r="I2767" s="1" t="b">
        <v>0</v>
      </c>
      <c r="J2767" s="1">
        <v>5</v>
      </c>
      <c r="K2767" s="10">
        <f t="shared" si="217"/>
        <v>11.186666666704696</v>
      </c>
      <c r="L2767" s="1" t="str">
        <f t="shared" si="218"/>
        <v>OK</v>
      </c>
      <c r="M2767" s="1">
        <f t="shared" si="215"/>
        <v>1</v>
      </c>
      <c r="N2767" s="1">
        <f t="shared" si="216"/>
        <v>238</v>
      </c>
      <c r="O2767" s="10">
        <f t="shared" si="219"/>
        <v>11.186666666704696</v>
      </c>
    </row>
    <row r="2768" spans="1:15">
      <c r="A2768" s="1" t="s">
        <v>2873</v>
      </c>
      <c r="B2768" s="23">
        <v>45206.714583333334</v>
      </c>
      <c r="C2768" s="1" t="s">
        <v>16</v>
      </c>
      <c r="D2768" s="1" t="s">
        <v>26</v>
      </c>
      <c r="E2768" s="1" t="s">
        <v>18</v>
      </c>
      <c r="F2768" s="1" t="s">
        <v>175</v>
      </c>
      <c r="G2768" s="1">
        <v>120</v>
      </c>
      <c r="H2768" s="23">
        <v>45209.367199074077</v>
      </c>
      <c r="I2768" s="1" t="b">
        <v>0</v>
      </c>
      <c r="K2768" s="10">
        <f t="shared" si="217"/>
        <v>63.662777777819429</v>
      </c>
      <c r="L2768" s="1" t="str">
        <f t="shared" si="218"/>
        <v>OK</v>
      </c>
      <c r="M2768" s="1">
        <f t="shared" si="215"/>
        <v>1</v>
      </c>
      <c r="N2768" s="1">
        <f t="shared" si="216"/>
        <v>120</v>
      </c>
      <c r="O2768" s="10">
        <f t="shared" si="219"/>
        <v>63.662777777819429</v>
      </c>
    </row>
    <row r="2769" spans="1:15">
      <c r="A2769" s="1" t="s">
        <v>2874</v>
      </c>
      <c r="B2769" s="23">
        <v>45206.745833333334</v>
      </c>
      <c r="C2769" s="1" t="s">
        <v>16</v>
      </c>
      <c r="D2769" s="1" t="s">
        <v>21</v>
      </c>
      <c r="E2769" s="1" t="s">
        <v>22</v>
      </c>
      <c r="F2769" s="1" t="s">
        <v>78</v>
      </c>
      <c r="G2769" s="1">
        <v>8</v>
      </c>
      <c r="H2769" s="23">
        <v>45206.779270833336</v>
      </c>
      <c r="I2769" s="1" t="b">
        <v>0</v>
      </c>
      <c r="K2769" s="10">
        <f t="shared" si="217"/>
        <v>0.80250000004889444</v>
      </c>
      <c r="L2769" s="1" t="str">
        <f t="shared" si="218"/>
        <v>OK</v>
      </c>
      <c r="M2769" s="1">
        <f t="shared" si="215"/>
        <v>1</v>
      </c>
      <c r="N2769" s="1">
        <f t="shared" si="216"/>
        <v>8</v>
      </c>
      <c r="O2769" s="10">
        <f t="shared" si="219"/>
        <v>0.80250000004889444</v>
      </c>
    </row>
    <row r="2770" spans="1:15">
      <c r="A2770" s="1" t="s">
        <v>2875</v>
      </c>
      <c r="B2770" s="23">
        <v>45206.745833333334</v>
      </c>
      <c r="C2770" s="1" t="s">
        <v>11</v>
      </c>
      <c r="D2770" s="1" t="s">
        <v>17</v>
      </c>
      <c r="E2770" s="1" t="s">
        <v>18</v>
      </c>
      <c r="F2770" s="1" t="s">
        <v>106</v>
      </c>
      <c r="G2770" s="1">
        <v>61</v>
      </c>
      <c r="H2770" s="23">
        <v>45208.019571759258</v>
      </c>
      <c r="I2770" s="1" t="b">
        <v>0</v>
      </c>
      <c r="K2770" s="10">
        <f t="shared" si="217"/>
        <v>30.569722222164273</v>
      </c>
      <c r="L2770" s="1" t="str">
        <f t="shared" si="218"/>
        <v>OK</v>
      </c>
      <c r="M2770" s="1">
        <f t="shared" si="215"/>
        <v>1</v>
      </c>
      <c r="N2770" s="1">
        <f t="shared" si="216"/>
        <v>61</v>
      </c>
      <c r="O2770" s="10">
        <f t="shared" si="219"/>
        <v>30.569722222164273</v>
      </c>
    </row>
    <row r="2771" spans="1:15">
      <c r="A2771" s="1" t="s">
        <v>2876</v>
      </c>
      <c r="B2771" s="23">
        <v>45206.804861111108</v>
      </c>
      <c r="C2771" s="1" t="s">
        <v>25</v>
      </c>
      <c r="D2771" s="1" t="s">
        <v>59</v>
      </c>
      <c r="E2771" s="1" t="s">
        <v>13</v>
      </c>
      <c r="F2771" s="1" t="s">
        <v>39</v>
      </c>
      <c r="G2771" s="1">
        <v>31</v>
      </c>
      <c r="H2771" s="23">
        <v>45207.519895833335</v>
      </c>
      <c r="I2771" s="1" t="b">
        <v>0</v>
      </c>
      <c r="J2771" s="1">
        <v>5</v>
      </c>
      <c r="K2771" s="10">
        <f t="shared" si="217"/>
        <v>17.160833333444316</v>
      </c>
      <c r="L2771" s="1" t="str">
        <f t="shared" si="218"/>
        <v>OK</v>
      </c>
      <c r="M2771" s="1">
        <f t="shared" si="215"/>
        <v>1</v>
      </c>
      <c r="N2771" s="1">
        <f t="shared" si="216"/>
        <v>31</v>
      </c>
      <c r="O2771" s="10">
        <f t="shared" si="219"/>
        <v>17.160833333444316</v>
      </c>
    </row>
    <row r="2772" spans="1:15">
      <c r="A2772" s="1" t="s">
        <v>2877</v>
      </c>
      <c r="B2772" s="23">
        <v>45206.810416666667</v>
      </c>
      <c r="C2772" s="1" t="s">
        <v>25</v>
      </c>
      <c r="D2772" s="1" t="s">
        <v>21</v>
      </c>
      <c r="E2772" s="1" t="s">
        <v>18</v>
      </c>
      <c r="F2772" s="1" t="s">
        <v>86</v>
      </c>
      <c r="G2772" s="1">
        <v>58</v>
      </c>
      <c r="H2772" s="23">
        <v>45208.223067129627</v>
      </c>
      <c r="I2772" s="1" t="b">
        <v>0</v>
      </c>
      <c r="J2772" s="1">
        <v>5</v>
      </c>
      <c r="K2772" s="10">
        <f t="shared" si="217"/>
        <v>33.903611111047212</v>
      </c>
      <c r="L2772" s="1" t="str">
        <f t="shared" si="218"/>
        <v>OK</v>
      </c>
      <c r="M2772" s="1">
        <f t="shared" si="215"/>
        <v>1</v>
      </c>
      <c r="N2772" s="1">
        <f t="shared" si="216"/>
        <v>58</v>
      </c>
      <c r="O2772" s="10">
        <f t="shared" si="219"/>
        <v>33.903611111047212</v>
      </c>
    </row>
    <row r="2773" spans="1:15">
      <c r="A2773" s="1" t="s">
        <v>2878</v>
      </c>
      <c r="B2773" s="23">
        <v>45206.838888888888</v>
      </c>
      <c r="C2773" s="1" t="s">
        <v>16</v>
      </c>
      <c r="D2773" s="1" t="s">
        <v>17</v>
      </c>
      <c r="E2773" s="1" t="s">
        <v>13</v>
      </c>
      <c r="F2773" s="1" t="s">
        <v>201</v>
      </c>
      <c r="G2773" s="1">
        <v>44</v>
      </c>
      <c r="H2773" s="23">
        <v>45207.097268518519</v>
      </c>
      <c r="I2773" s="1" t="b">
        <v>0</v>
      </c>
      <c r="K2773" s="10">
        <f t="shared" si="217"/>
        <v>6.2011111111496575</v>
      </c>
      <c r="L2773" s="1" t="str">
        <f t="shared" si="218"/>
        <v>OK</v>
      </c>
      <c r="M2773" s="1">
        <f t="shared" si="215"/>
        <v>1</v>
      </c>
      <c r="N2773" s="1">
        <f t="shared" si="216"/>
        <v>44</v>
      </c>
      <c r="O2773" s="10">
        <f t="shared" si="219"/>
        <v>6.2011111111496575</v>
      </c>
    </row>
    <row r="2774" spans="1:15">
      <c r="A2774" s="1" t="s">
        <v>2879</v>
      </c>
      <c r="B2774" s="23">
        <v>45206.85833333333</v>
      </c>
      <c r="C2774" s="1" t="s">
        <v>16</v>
      </c>
      <c r="D2774" s="1" t="s">
        <v>21</v>
      </c>
      <c r="E2774" s="1" t="s">
        <v>13</v>
      </c>
      <c r="F2774" s="1" t="s">
        <v>80</v>
      </c>
      <c r="G2774" s="1">
        <v>32</v>
      </c>
      <c r="H2774" s="23">
        <v>45207.748541666668</v>
      </c>
      <c r="I2774" s="1" t="b">
        <v>0</v>
      </c>
      <c r="K2774" s="10">
        <f t="shared" si="217"/>
        <v>21.365000000107102</v>
      </c>
      <c r="L2774" s="1" t="str">
        <f t="shared" si="218"/>
        <v>OK</v>
      </c>
      <c r="M2774" s="1">
        <f t="shared" si="215"/>
        <v>1</v>
      </c>
      <c r="N2774" s="1">
        <f t="shared" si="216"/>
        <v>32</v>
      </c>
      <c r="O2774" s="10">
        <f t="shared" si="219"/>
        <v>21.365000000107102</v>
      </c>
    </row>
    <row r="2775" spans="1:15">
      <c r="A2775" s="1" t="s">
        <v>2880</v>
      </c>
      <c r="B2775" s="23">
        <v>45206.956944444442</v>
      </c>
      <c r="C2775" s="1" t="s">
        <v>11</v>
      </c>
      <c r="D2775" s="1" t="s">
        <v>21</v>
      </c>
      <c r="E2775" s="1" t="s">
        <v>18</v>
      </c>
      <c r="F2775" s="1" t="s">
        <v>317</v>
      </c>
      <c r="G2775" s="1">
        <v>100</v>
      </c>
      <c r="H2775" s="23">
        <v>45207.240497685183</v>
      </c>
      <c r="I2775" s="1" t="b">
        <v>0</v>
      </c>
      <c r="J2775" s="1">
        <v>5</v>
      </c>
      <c r="K2775" s="10">
        <f t="shared" si="217"/>
        <v>6.8052777777775191</v>
      </c>
      <c r="L2775" s="1" t="str">
        <f t="shared" si="218"/>
        <v>OK</v>
      </c>
      <c r="M2775" s="1">
        <f t="shared" si="215"/>
        <v>1</v>
      </c>
      <c r="N2775" s="1">
        <f t="shared" si="216"/>
        <v>100</v>
      </c>
      <c r="O2775" s="10">
        <f t="shared" si="219"/>
        <v>6.8052777777775191</v>
      </c>
    </row>
    <row r="2776" spans="1:15">
      <c r="A2776" s="1" t="s">
        <v>2881</v>
      </c>
      <c r="B2776" s="23">
        <v>45207.232638888891</v>
      </c>
      <c r="C2776" s="1" t="s">
        <v>16</v>
      </c>
      <c r="D2776" s="1" t="s">
        <v>59</v>
      </c>
      <c r="E2776" s="1" t="s">
        <v>33</v>
      </c>
      <c r="F2776" s="1" t="s">
        <v>254</v>
      </c>
      <c r="G2776" s="1">
        <v>986</v>
      </c>
      <c r="H2776" s="23">
        <v>45211.00644675926</v>
      </c>
      <c r="I2776" s="1" t="b">
        <v>0</v>
      </c>
      <c r="K2776" s="10">
        <f t="shared" si="217"/>
        <v>90.571388888871297</v>
      </c>
      <c r="L2776" s="1" t="str">
        <f t="shared" si="218"/>
        <v>OK</v>
      </c>
      <c r="M2776" s="1">
        <f t="shared" si="215"/>
        <v>1</v>
      </c>
      <c r="N2776" s="1">
        <f t="shared" si="216"/>
        <v>986</v>
      </c>
      <c r="O2776" s="10">
        <f t="shared" si="219"/>
        <v>90.571388888871297</v>
      </c>
    </row>
    <row r="2777" spans="1:15">
      <c r="A2777" s="1" t="s">
        <v>2882</v>
      </c>
      <c r="B2777" s="23">
        <v>45207.304861111108</v>
      </c>
      <c r="C2777" s="1" t="s">
        <v>25</v>
      </c>
      <c r="D2777" s="1" t="s">
        <v>21</v>
      </c>
      <c r="E2777" s="1" t="s">
        <v>18</v>
      </c>
      <c r="F2777" s="1" t="s">
        <v>84</v>
      </c>
      <c r="G2777" s="1">
        <v>55</v>
      </c>
      <c r="I2777" s="1" t="b">
        <v>0</v>
      </c>
      <c r="K2777" s="10" t="str">
        <f t="shared" si="217"/>
        <v/>
      </c>
      <c r="L2777" s="1" t="str">
        <f t="shared" si="218"/>
        <v>Cannot check</v>
      </c>
      <c r="M2777" s="1">
        <f t="shared" si="215"/>
        <v>1</v>
      </c>
      <c r="N2777" s="1">
        <f t="shared" si="216"/>
        <v>55</v>
      </c>
      <c r="O2777" s="10" t="str">
        <f t="shared" si="219"/>
        <v/>
      </c>
    </row>
    <row r="2778" spans="1:15">
      <c r="A2778" s="1" t="s">
        <v>2883</v>
      </c>
      <c r="B2778" s="23">
        <v>45207.609027777777</v>
      </c>
      <c r="C2778" s="1" t="s">
        <v>16</v>
      </c>
      <c r="D2778" s="1" t="s">
        <v>59</v>
      </c>
      <c r="E2778" s="1" t="s">
        <v>33</v>
      </c>
      <c r="F2778" s="1" t="s">
        <v>228</v>
      </c>
      <c r="H2778" s="23">
        <v>45211.547569444447</v>
      </c>
      <c r="I2778" s="1" t="b">
        <v>0</v>
      </c>
      <c r="K2778" s="10">
        <f t="shared" si="217"/>
        <v>94.525000000081491</v>
      </c>
      <c r="L2778" s="1" t="str">
        <f t="shared" si="218"/>
        <v>Cannot check</v>
      </c>
      <c r="M2778" s="1">
        <f t="shared" si="215"/>
        <v>1</v>
      </c>
      <c r="N2778" s="1" t="str">
        <f t="shared" si="216"/>
        <v/>
      </c>
      <c r="O2778" s="10">
        <f t="shared" si="219"/>
        <v>94.525000000081491</v>
      </c>
    </row>
    <row r="2779" spans="1:15">
      <c r="A2779" s="1" t="s">
        <v>2884</v>
      </c>
      <c r="B2779" s="23">
        <v>45207.912499999999</v>
      </c>
      <c r="C2779" s="1" t="s">
        <v>16</v>
      </c>
      <c r="D2779" s="1" t="s">
        <v>26</v>
      </c>
      <c r="E2779" s="1" t="s">
        <v>18</v>
      </c>
      <c r="F2779" s="1" t="s">
        <v>37</v>
      </c>
      <c r="G2779" s="1">
        <v>146</v>
      </c>
      <c r="H2779" s="23">
        <v>45215.265509259261</v>
      </c>
      <c r="I2779" s="1" t="b">
        <v>1</v>
      </c>
      <c r="K2779" s="10">
        <f t="shared" si="217"/>
        <v>176.4722222223063</v>
      </c>
      <c r="L2779" s="1" t="str">
        <f t="shared" si="218"/>
        <v>OK</v>
      </c>
      <c r="M2779" s="1">
        <f t="shared" si="215"/>
        <v>1</v>
      </c>
      <c r="N2779" s="1">
        <f t="shared" si="216"/>
        <v>146</v>
      </c>
      <c r="O2779" s="10">
        <f t="shared" si="219"/>
        <v>176.4722222223063</v>
      </c>
    </row>
    <row r="2780" spans="1:15">
      <c r="A2780" s="1" t="s">
        <v>2885</v>
      </c>
      <c r="B2780" s="23">
        <v>45207.977083333331</v>
      </c>
      <c r="C2780" s="1" t="s">
        <v>11</v>
      </c>
      <c r="D2780" s="1" t="s">
        <v>17</v>
      </c>
      <c r="E2780" s="1" t="s">
        <v>18</v>
      </c>
      <c r="F2780" s="1" t="s">
        <v>100</v>
      </c>
      <c r="G2780" s="1">
        <v>120</v>
      </c>
      <c r="I2780" s="1" t="b">
        <v>0</v>
      </c>
      <c r="K2780" s="10" t="str">
        <f t="shared" si="217"/>
        <v/>
      </c>
      <c r="L2780" s="1" t="str">
        <f t="shared" si="218"/>
        <v>Cannot check</v>
      </c>
      <c r="M2780" s="1">
        <f t="shared" si="215"/>
        <v>1</v>
      </c>
      <c r="N2780" s="1">
        <f t="shared" si="216"/>
        <v>120</v>
      </c>
      <c r="O2780" s="10" t="str">
        <f t="shared" si="219"/>
        <v/>
      </c>
    </row>
    <row r="2781" spans="1:15">
      <c r="A2781" s="1" t="s">
        <v>2886</v>
      </c>
      <c r="B2781" s="23">
        <v>45208.030555555553</v>
      </c>
      <c r="C2781" s="1" t="s">
        <v>43</v>
      </c>
      <c r="D2781" s="1" t="s">
        <v>12</v>
      </c>
      <c r="E2781" s="1" t="s">
        <v>18</v>
      </c>
      <c r="F2781" s="1" t="s">
        <v>148</v>
      </c>
      <c r="G2781" s="1">
        <v>11</v>
      </c>
      <c r="H2781" s="23">
        <v>45208.896793981483</v>
      </c>
      <c r="I2781" s="1" t="b">
        <v>0</v>
      </c>
      <c r="K2781" s="10">
        <f t="shared" si="217"/>
        <v>20.789722222310957</v>
      </c>
      <c r="L2781" s="1" t="str">
        <f t="shared" si="218"/>
        <v>OK</v>
      </c>
      <c r="M2781" s="1">
        <f t="shared" si="215"/>
        <v>1</v>
      </c>
      <c r="N2781" s="1">
        <f t="shared" si="216"/>
        <v>11</v>
      </c>
      <c r="O2781" s="10">
        <f t="shared" si="219"/>
        <v>20.789722222310957</v>
      </c>
    </row>
    <row r="2782" spans="1:15">
      <c r="A2782" s="1" t="s">
        <v>2887</v>
      </c>
      <c r="B2782" s="23">
        <v>45208.188194444447</v>
      </c>
      <c r="C2782" s="1" t="s">
        <v>11</v>
      </c>
      <c r="D2782" s="1" t="s">
        <v>17</v>
      </c>
      <c r="E2782" s="1" t="s">
        <v>33</v>
      </c>
      <c r="F2782" s="1" t="s">
        <v>254</v>
      </c>
      <c r="G2782" s="1">
        <v>87</v>
      </c>
      <c r="H2782" s="23">
        <v>45209.674618055556</v>
      </c>
      <c r="I2782" s="1" t="b">
        <v>0</v>
      </c>
      <c r="K2782" s="10">
        <f t="shared" si="217"/>
        <v>35.674166666634846</v>
      </c>
      <c r="L2782" s="1" t="str">
        <f t="shared" si="218"/>
        <v>OK</v>
      </c>
      <c r="M2782" s="1">
        <f t="shared" si="215"/>
        <v>1</v>
      </c>
      <c r="N2782" s="1">
        <f t="shared" si="216"/>
        <v>87</v>
      </c>
      <c r="O2782" s="10">
        <f t="shared" si="219"/>
        <v>35.674166666634846</v>
      </c>
    </row>
    <row r="2783" spans="1:15">
      <c r="A2783" s="1" t="s">
        <v>2888</v>
      </c>
      <c r="B2783" s="23">
        <v>45208.525694444441</v>
      </c>
      <c r="C2783" s="1" t="s">
        <v>11</v>
      </c>
      <c r="D2783" s="1" t="s">
        <v>17</v>
      </c>
      <c r="E2783" s="1" t="s">
        <v>33</v>
      </c>
      <c r="F2783" s="1" t="s">
        <v>72</v>
      </c>
      <c r="G2783" s="1">
        <v>39</v>
      </c>
      <c r="H2783" s="23">
        <v>45210.697129629632</v>
      </c>
      <c r="I2783" s="1" t="b">
        <v>0</v>
      </c>
      <c r="K2783" s="10">
        <f t="shared" si="217"/>
        <v>52.114444444596302</v>
      </c>
      <c r="L2783" s="1" t="str">
        <f t="shared" si="218"/>
        <v>OK</v>
      </c>
      <c r="M2783" s="1">
        <f t="shared" si="215"/>
        <v>1</v>
      </c>
      <c r="N2783" s="1">
        <f t="shared" si="216"/>
        <v>39</v>
      </c>
      <c r="O2783" s="10">
        <f t="shared" si="219"/>
        <v>52.114444444596302</v>
      </c>
    </row>
    <row r="2784" spans="1:15">
      <c r="A2784" s="1" t="s">
        <v>2889</v>
      </c>
      <c r="B2784" s="23">
        <v>45208.594444444447</v>
      </c>
      <c r="C2784" s="1" t="s">
        <v>25</v>
      </c>
      <c r="D2784" s="1" t="s">
        <v>12</v>
      </c>
      <c r="E2784" s="1" t="s">
        <v>33</v>
      </c>
      <c r="F2784" s="1" t="s">
        <v>162</v>
      </c>
      <c r="G2784" s="1">
        <v>377</v>
      </c>
      <c r="H2784" s="23">
        <v>45211.323738425926</v>
      </c>
      <c r="I2784" s="1" t="b">
        <v>0</v>
      </c>
      <c r="K2784" s="10">
        <f t="shared" si="217"/>
        <v>65.503055555513129</v>
      </c>
      <c r="L2784" s="1" t="str">
        <f t="shared" si="218"/>
        <v>OK</v>
      </c>
      <c r="M2784" s="1">
        <f t="shared" si="215"/>
        <v>1</v>
      </c>
      <c r="N2784" s="1">
        <f t="shared" si="216"/>
        <v>377</v>
      </c>
      <c r="O2784" s="10">
        <f t="shared" si="219"/>
        <v>65.503055555513129</v>
      </c>
    </row>
    <row r="2785" spans="1:15">
      <c r="A2785" s="1" t="s">
        <v>2890</v>
      </c>
      <c r="B2785" s="23">
        <v>45208.715277777781</v>
      </c>
      <c r="C2785" s="1" t="s">
        <v>25</v>
      </c>
      <c r="D2785" s="1" t="s">
        <v>17</v>
      </c>
      <c r="E2785" s="1" t="s">
        <v>13</v>
      </c>
      <c r="F2785" s="1" t="s">
        <v>66</v>
      </c>
      <c r="G2785" s="1">
        <v>53</v>
      </c>
      <c r="H2785" s="23">
        <v>45209.36451388889</v>
      </c>
      <c r="I2785" s="1" t="b">
        <v>0</v>
      </c>
      <c r="K2785" s="10">
        <f t="shared" si="217"/>
        <v>15.581666666606907</v>
      </c>
      <c r="L2785" s="1" t="str">
        <f t="shared" si="218"/>
        <v>OK</v>
      </c>
      <c r="M2785" s="1">
        <f t="shared" si="215"/>
        <v>1</v>
      </c>
      <c r="N2785" s="1">
        <f t="shared" si="216"/>
        <v>53</v>
      </c>
      <c r="O2785" s="10">
        <f t="shared" si="219"/>
        <v>15.581666666606907</v>
      </c>
    </row>
    <row r="2786" spans="1:15">
      <c r="A2786" s="1" t="s">
        <v>2891</v>
      </c>
      <c r="B2786" s="23">
        <v>45208.822916666664</v>
      </c>
      <c r="C2786" s="1" t="s">
        <v>25</v>
      </c>
      <c r="D2786" s="1" t="s">
        <v>21</v>
      </c>
      <c r="E2786" s="1" t="s">
        <v>18</v>
      </c>
      <c r="F2786" s="1" t="s">
        <v>162</v>
      </c>
      <c r="G2786" s="1">
        <v>138</v>
      </c>
      <c r="H2786" s="23">
        <v>45213.415636574071</v>
      </c>
      <c r="I2786" s="1" t="b">
        <v>0</v>
      </c>
      <c r="K2786" s="10">
        <f t="shared" si="217"/>
        <v>110.22527777776122</v>
      </c>
      <c r="L2786" s="1" t="str">
        <f t="shared" si="218"/>
        <v>OK</v>
      </c>
      <c r="M2786" s="1">
        <f t="shared" si="215"/>
        <v>1</v>
      </c>
      <c r="N2786" s="1">
        <f t="shared" si="216"/>
        <v>138</v>
      </c>
      <c r="O2786" s="10">
        <f t="shared" si="219"/>
        <v>110.22527777776122</v>
      </c>
    </row>
    <row r="2787" spans="1:15">
      <c r="A2787" s="1" t="s">
        <v>2892</v>
      </c>
      <c r="B2787" s="23">
        <v>45208.894444444442</v>
      </c>
      <c r="C2787" s="1" t="s">
        <v>25</v>
      </c>
      <c r="D2787" s="1" t="s">
        <v>17</v>
      </c>
      <c r="E2787" s="1" t="s">
        <v>13</v>
      </c>
      <c r="F2787" s="1" t="s">
        <v>23</v>
      </c>
      <c r="G2787" s="1">
        <v>82</v>
      </c>
      <c r="H2787" s="23">
        <v>45211.483981481484</v>
      </c>
      <c r="I2787" s="1" t="b">
        <v>0</v>
      </c>
      <c r="K2787" s="10">
        <f t="shared" si="217"/>
        <v>62.148888889001682</v>
      </c>
      <c r="L2787" s="1" t="str">
        <f t="shared" si="218"/>
        <v>OK</v>
      </c>
      <c r="M2787" s="1">
        <f t="shared" si="215"/>
        <v>1</v>
      </c>
      <c r="N2787" s="1">
        <f t="shared" si="216"/>
        <v>82</v>
      </c>
      <c r="O2787" s="10">
        <f t="shared" si="219"/>
        <v>62.148888889001682</v>
      </c>
    </row>
    <row r="2788" spans="1:15">
      <c r="A2788" s="1" t="s">
        <v>2893</v>
      </c>
      <c r="B2788" s="23">
        <v>45208.918749999997</v>
      </c>
      <c r="C2788" s="1" t="s">
        <v>11</v>
      </c>
      <c r="D2788" s="1" t="s">
        <v>12</v>
      </c>
      <c r="E2788" s="1" t="s">
        <v>18</v>
      </c>
      <c r="F2788" s="1" t="s">
        <v>345</v>
      </c>
      <c r="G2788" s="1">
        <v>26</v>
      </c>
      <c r="H2788" s="23">
        <v>45209.175081018519</v>
      </c>
      <c r="I2788" s="1" t="b">
        <v>0</v>
      </c>
      <c r="K2788" s="10">
        <f t="shared" si="217"/>
        <v>6.151944444514811</v>
      </c>
      <c r="L2788" s="1" t="str">
        <f t="shared" si="218"/>
        <v>OK</v>
      </c>
      <c r="M2788" s="1">
        <f t="shared" si="215"/>
        <v>1</v>
      </c>
      <c r="N2788" s="1">
        <f t="shared" si="216"/>
        <v>26</v>
      </c>
      <c r="O2788" s="10">
        <f t="shared" si="219"/>
        <v>6.151944444514811</v>
      </c>
    </row>
    <row r="2789" spans="1:15">
      <c r="A2789" s="1" t="s">
        <v>2894</v>
      </c>
      <c r="B2789" s="23">
        <v>45209.017361111109</v>
      </c>
      <c r="C2789" s="1" t="s">
        <v>11</v>
      </c>
      <c r="D2789" s="1" t="s">
        <v>26</v>
      </c>
      <c r="E2789" s="1" t="s">
        <v>18</v>
      </c>
      <c r="F2789" s="1" t="s">
        <v>76</v>
      </c>
      <c r="G2789" s="1">
        <v>409</v>
      </c>
      <c r="H2789" s="23">
        <v>45209.352824074071</v>
      </c>
      <c r="I2789" s="1" t="b">
        <v>1</v>
      </c>
      <c r="J2789" s="1">
        <v>4</v>
      </c>
      <c r="K2789" s="10">
        <f t="shared" si="217"/>
        <v>8.0511111110681668</v>
      </c>
      <c r="L2789" s="1" t="str">
        <f t="shared" si="218"/>
        <v>OK</v>
      </c>
      <c r="M2789" s="1">
        <f t="shared" si="215"/>
        <v>1</v>
      </c>
      <c r="N2789" s="1">
        <f t="shared" si="216"/>
        <v>409</v>
      </c>
      <c r="O2789" s="10">
        <f t="shared" si="219"/>
        <v>8.0511111110681668</v>
      </c>
    </row>
    <row r="2790" spans="1:15">
      <c r="A2790" s="1" t="s">
        <v>2895</v>
      </c>
      <c r="B2790" s="23">
        <v>45209.294444444444</v>
      </c>
      <c r="C2790" s="1" t="s">
        <v>25</v>
      </c>
      <c r="D2790" s="1" t="s">
        <v>59</v>
      </c>
      <c r="E2790" s="1" t="s">
        <v>33</v>
      </c>
      <c r="F2790" s="1" t="s">
        <v>98</v>
      </c>
      <c r="G2790" s="1">
        <v>59</v>
      </c>
      <c r="H2790" s="23">
        <v>45210.798113425924</v>
      </c>
      <c r="I2790" s="1" t="b">
        <v>0</v>
      </c>
      <c r="K2790" s="10">
        <f t="shared" si="217"/>
        <v>36.088055555534083</v>
      </c>
      <c r="L2790" s="1" t="str">
        <f t="shared" si="218"/>
        <v>OK</v>
      </c>
      <c r="M2790" s="1">
        <f t="shared" si="215"/>
        <v>1</v>
      </c>
      <c r="N2790" s="1">
        <f t="shared" si="216"/>
        <v>59</v>
      </c>
      <c r="O2790" s="10">
        <f t="shared" si="219"/>
        <v>36.088055555534083</v>
      </c>
    </row>
    <row r="2791" spans="1:15">
      <c r="A2791" s="1" t="s">
        <v>2896</v>
      </c>
      <c r="B2791" s="23">
        <v>45209.309027777781</v>
      </c>
      <c r="C2791" s="1" t="s">
        <v>16</v>
      </c>
      <c r="D2791" s="1" t="s">
        <v>21</v>
      </c>
      <c r="E2791" s="1" t="s">
        <v>13</v>
      </c>
      <c r="F2791" s="1" t="s">
        <v>48</v>
      </c>
      <c r="G2791" s="1">
        <v>49</v>
      </c>
      <c r="H2791" s="23">
        <v>45209.371180555558</v>
      </c>
      <c r="I2791" s="1" t="b">
        <v>0</v>
      </c>
      <c r="K2791" s="10">
        <f t="shared" si="217"/>
        <v>1.4916666666395031</v>
      </c>
      <c r="L2791" s="1" t="str">
        <f t="shared" si="218"/>
        <v>OK</v>
      </c>
      <c r="M2791" s="1">
        <f t="shared" si="215"/>
        <v>1</v>
      </c>
      <c r="N2791" s="1">
        <f t="shared" si="216"/>
        <v>49</v>
      </c>
      <c r="O2791" s="10">
        <f t="shared" si="219"/>
        <v>1.4916666666395031</v>
      </c>
    </row>
    <row r="2792" spans="1:15">
      <c r="A2792" s="1" t="s">
        <v>2897</v>
      </c>
      <c r="B2792" s="23">
        <v>45209.310416666667</v>
      </c>
      <c r="C2792" s="1" t="s">
        <v>25</v>
      </c>
      <c r="D2792" s="1" t="s">
        <v>17</v>
      </c>
      <c r="E2792" s="1" t="s">
        <v>18</v>
      </c>
      <c r="F2792" s="1" t="s">
        <v>302</v>
      </c>
      <c r="G2792" s="1">
        <v>183</v>
      </c>
      <c r="H2792" s="23">
        <v>45211.052372685182</v>
      </c>
      <c r="I2792" s="1" t="b">
        <v>0</v>
      </c>
      <c r="K2792" s="10">
        <f t="shared" si="217"/>
        <v>41.806944444368128</v>
      </c>
      <c r="L2792" s="1" t="str">
        <f t="shared" si="218"/>
        <v>OK</v>
      </c>
      <c r="M2792" s="1">
        <f t="shared" si="215"/>
        <v>1</v>
      </c>
      <c r="N2792" s="1">
        <f t="shared" si="216"/>
        <v>183</v>
      </c>
      <c r="O2792" s="10">
        <f t="shared" si="219"/>
        <v>41.806944444368128</v>
      </c>
    </row>
    <row r="2793" spans="1:15">
      <c r="A2793" s="1" t="s">
        <v>2898</v>
      </c>
      <c r="B2793" s="23">
        <v>45209.588194444441</v>
      </c>
      <c r="C2793" s="1" t="s">
        <v>16</v>
      </c>
      <c r="D2793" s="1" t="s">
        <v>59</v>
      </c>
      <c r="E2793" s="1" t="s">
        <v>13</v>
      </c>
      <c r="F2793" s="1" t="s">
        <v>237</v>
      </c>
      <c r="G2793" s="1">
        <v>8</v>
      </c>
      <c r="H2793" s="23">
        <v>45209.732453703706</v>
      </c>
      <c r="I2793" s="1" t="b">
        <v>0</v>
      </c>
      <c r="K2793" s="10">
        <f t="shared" si="217"/>
        <v>3.4622222223551944</v>
      </c>
      <c r="L2793" s="1" t="str">
        <f t="shared" si="218"/>
        <v>OK</v>
      </c>
      <c r="M2793" s="1">
        <f t="shared" si="215"/>
        <v>1</v>
      </c>
      <c r="N2793" s="1">
        <f t="shared" si="216"/>
        <v>8</v>
      </c>
      <c r="O2793" s="10">
        <f t="shared" si="219"/>
        <v>3.4622222223551944</v>
      </c>
    </row>
    <row r="2794" spans="1:15">
      <c r="A2794" s="1" t="s">
        <v>2899</v>
      </c>
      <c r="B2794" s="23">
        <v>45209.663888888892</v>
      </c>
      <c r="C2794" s="1" t="s">
        <v>25</v>
      </c>
      <c r="D2794" s="1" t="s">
        <v>59</v>
      </c>
      <c r="E2794" s="1" t="s">
        <v>13</v>
      </c>
      <c r="F2794" s="1" t="s">
        <v>62</v>
      </c>
      <c r="G2794" s="1">
        <v>21</v>
      </c>
      <c r="H2794" s="23">
        <v>45209.862025462964</v>
      </c>
      <c r="I2794" s="1" t="b">
        <v>0</v>
      </c>
      <c r="K2794" s="10">
        <f t="shared" si="217"/>
        <v>4.7552777777309529</v>
      </c>
      <c r="L2794" s="1" t="str">
        <f t="shared" si="218"/>
        <v>OK</v>
      </c>
      <c r="M2794" s="1">
        <f t="shared" si="215"/>
        <v>1</v>
      </c>
      <c r="N2794" s="1">
        <f t="shared" si="216"/>
        <v>21</v>
      </c>
      <c r="O2794" s="10">
        <f t="shared" si="219"/>
        <v>4.7552777777309529</v>
      </c>
    </row>
    <row r="2795" spans="1:15">
      <c r="A2795" s="1" t="s">
        <v>2900</v>
      </c>
      <c r="B2795" s="23">
        <v>45209.75</v>
      </c>
      <c r="C2795" s="1" t="s">
        <v>11</v>
      </c>
      <c r="D2795" s="1" t="s">
        <v>21</v>
      </c>
      <c r="E2795" s="1" t="s">
        <v>18</v>
      </c>
      <c r="F2795" s="1" t="s">
        <v>120</v>
      </c>
      <c r="G2795" s="1">
        <v>67</v>
      </c>
      <c r="H2795" s="23">
        <v>45210.074942129628</v>
      </c>
      <c r="I2795" s="1" t="b">
        <v>0</v>
      </c>
      <c r="K2795" s="10">
        <f t="shared" si="217"/>
        <v>7.7986111110658385</v>
      </c>
      <c r="L2795" s="1" t="str">
        <f t="shared" si="218"/>
        <v>OK</v>
      </c>
      <c r="M2795" s="1">
        <f t="shared" si="215"/>
        <v>1</v>
      </c>
      <c r="N2795" s="1">
        <f t="shared" si="216"/>
        <v>67</v>
      </c>
      <c r="O2795" s="10">
        <f t="shared" si="219"/>
        <v>7.7986111110658385</v>
      </c>
    </row>
    <row r="2796" spans="1:15">
      <c r="A2796" s="1" t="s">
        <v>2901</v>
      </c>
      <c r="B2796" s="23">
        <v>45209.786111111112</v>
      </c>
      <c r="C2796" s="1" t="s">
        <v>11</v>
      </c>
      <c r="D2796" s="1" t="s">
        <v>59</v>
      </c>
      <c r="E2796" s="1" t="s">
        <v>18</v>
      </c>
      <c r="F2796" s="1" t="s">
        <v>60</v>
      </c>
      <c r="G2796" s="1">
        <v>81</v>
      </c>
      <c r="H2796" s="23">
        <v>45212.266157407408</v>
      </c>
      <c r="I2796" s="1" t="b">
        <v>0</v>
      </c>
      <c r="K2796" s="10">
        <f t="shared" si="217"/>
        <v>59.521111111098435</v>
      </c>
      <c r="L2796" s="1" t="str">
        <f t="shared" si="218"/>
        <v>OK</v>
      </c>
      <c r="M2796" s="1">
        <f t="shared" si="215"/>
        <v>1</v>
      </c>
      <c r="N2796" s="1">
        <f t="shared" si="216"/>
        <v>81</v>
      </c>
      <c r="O2796" s="10">
        <f t="shared" si="219"/>
        <v>59.521111111098435</v>
      </c>
    </row>
    <row r="2797" spans="1:15">
      <c r="A2797" s="1" t="s">
        <v>2902</v>
      </c>
      <c r="B2797" s="23">
        <v>45209.805555555555</v>
      </c>
      <c r="C2797" s="1" t="s">
        <v>11</v>
      </c>
      <c r="D2797" s="1" t="s">
        <v>59</v>
      </c>
      <c r="E2797" s="1" t="s">
        <v>33</v>
      </c>
      <c r="F2797" s="1" t="s">
        <v>64</v>
      </c>
      <c r="G2797" s="1">
        <v>233</v>
      </c>
      <c r="H2797" s="23">
        <v>45211.563368055555</v>
      </c>
      <c r="I2797" s="1" t="b">
        <v>0</v>
      </c>
      <c r="J2797" s="1">
        <v>4</v>
      </c>
      <c r="K2797" s="10">
        <f t="shared" si="217"/>
        <v>42.1875</v>
      </c>
      <c r="L2797" s="1" t="str">
        <f t="shared" si="218"/>
        <v>OK</v>
      </c>
      <c r="M2797" s="1">
        <f t="shared" si="215"/>
        <v>1</v>
      </c>
      <c r="N2797" s="1">
        <f t="shared" si="216"/>
        <v>233</v>
      </c>
      <c r="O2797" s="10">
        <f t="shared" si="219"/>
        <v>42.1875</v>
      </c>
    </row>
    <row r="2798" spans="1:15">
      <c r="A2798" s="1" t="s">
        <v>2903</v>
      </c>
      <c r="B2798" s="23">
        <v>45210.077777777777</v>
      </c>
      <c r="C2798" s="1" t="s">
        <v>25</v>
      </c>
      <c r="D2798" s="1" t="s">
        <v>17</v>
      </c>
      <c r="E2798" s="1" t="s">
        <v>33</v>
      </c>
      <c r="F2798" s="1" t="s">
        <v>31</v>
      </c>
      <c r="G2798" s="1">
        <v>162</v>
      </c>
      <c r="H2798" s="23">
        <v>45213.08011574074</v>
      </c>
      <c r="I2798" s="1" t="b">
        <v>0</v>
      </c>
      <c r="J2798" s="1">
        <v>4</v>
      </c>
      <c r="K2798" s="10">
        <f t="shared" si="217"/>
        <v>72.056111111131031</v>
      </c>
      <c r="L2798" s="1" t="str">
        <f t="shared" si="218"/>
        <v>OK</v>
      </c>
      <c r="M2798" s="1">
        <f t="shared" si="215"/>
        <v>1</v>
      </c>
      <c r="N2798" s="1">
        <f t="shared" si="216"/>
        <v>162</v>
      </c>
      <c r="O2798" s="10">
        <f t="shared" si="219"/>
        <v>72.056111111131031</v>
      </c>
    </row>
    <row r="2799" spans="1:15">
      <c r="A2799" s="1" t="s">
        <v>2904</v>
      </c>
      <c r="B2799" s="23">
        <v>45210.091666666667</v>
      </c>
      <c r="C2799" s="1" t="s">
        <v>25</v>
      </c>
      <c r="D2799" s="1" t="s">
        <v>21</v>
      </c>
      <c r="E2799" s="1" t="s">
        <v>18</v>
      </c>
      <c r="F2799" s="1" t="s">
        <v>162</v>
      </c>
      <c r="H2799" s="23">
        <v>45210.382847222223</v>
      </c>
      <c r="I2799" s="1" t="b">
        <v>0</v>
      </c>
      <c r="K2799" s="10">
        <f t="shared" si="217"/>
        <v>6.9883333333418705</v>
      </c>
      <c r="L2799" s="1" t="str">
        <f t="shared" si="218"/>
        <v>Cannot check</v>
      </c>
      <c r="M2799" s="1">
        <f t="shared" si="215"/>
        <v>1</v>
      </c>
      <c r="N2799" s="1" t="str">
        <f t="shared" si="216"/>
        <v/>
      </c>
      <c r="O2799" s="10">
        <f t="shared" si="219"/>
        <v>6.9883333333418705</v>
      </c>
    </row>
    <row r="2800" spans="1:15">
      <c r="A2800" s="1" t="s">
        <v>2905</v>
      </c>
      <c r="B2800" s="23">
        <v>45210.134722222225</v>
      </c>
      <c r="C2800" s="1" t="s">
        <v>16</v>
      </c>
      <c r="D2800" s="1" t="s">
        <v>21</v>
      </c>
      <c r="E2800" s="1" t="s">
        <v>13</v>
      </c>
      <c r="F2800" s="1" t="s">
        <v>237</v>
      </c>
      <c r="G2800" s="1">
        <v>24</v>
      </c>
      <c r="I2800" s="1" t="b">
        <v>0</v>
      </c>
      <c r="K2800" s="10" t="str">
        <f t="shared" si="217"/>
        <v/>
      </c>
      <c r="L2800" s="1" t="str">
        <f t="shared" si="218"/>
        <v>Cannot check</v>
      </c>
      <c r="M2800" s="1">
        <f t="shared" si="215"/>
        <v>1</v>
      </c>
      <c r="N2800" s="1">
        <f t="shared" si="216"/>
        <v>24</v>
      </c>
      <c r="O2800" s="10" t="str">
        <f t="shared" si="219"/>
        <v/>
      </c>
    </row>
    <row r="2801" spans="1:15">
      <c r="A2801" s="1" t="s">
        <v>2906</v>
      </c>
      <c r="B2801" s="23">
        <v>45210.262499999997</v>
      </c>
      <c r="C2801" s="1" t="s">
        <v>11</v>
      </c>
      <c r="D2801" s="1" t="s">
        <v>17</v>
      </c>
      <c r="E2801" s="1" t="s">
        <v>18</v>
      </c>
      <c r="F2801" s="1" t="s">
        <v>76</v>
      </c>
      <c r="G2801" s="1">
        <v>71</v>
      </c>
      <c r="H2801" s="23">
        <v>45220.301527777781</v>
      </c>
      <c r="I2801" s="1" t="b">
        <v>0</v>
      </c>
      <c r="K2801" s="10">
        <f t="shared" si="217"/>
        <v>240.93666666682111</v>
      </c>
      <c r="L2801" s="1" t="str">
        <f t="shared" si="218"/>
        <v>OK</v>
      </c>
      <c r="M2801" s="1">
        <f t="shared" si="215"/>
        <v>1</v>
      </c>
      <c r="N2801" s="1">
        <f t="shared" si="216"/>
        <v>71</v>
      </c>
      <c r="O2801" s="10">
        <f t="shared" si="219"/>
        <v>240.93666666682111</v>
      </c>
    </row>
    <row r="2802" spans="1:15">
      <c r="A2802" s="1" t="s">
        <v>2907</v>
      </c>
      <c r="B2802" s="23">
        <v>45210.337500000001</v>
      </c>
      <c r="C2802" s="1" t="s">
        <v>11</v>
      </c>
      <c r="D2802" s="1" t="s">
        <v>17</v>
      </c>
      <c r="E2802" s="1" t="s">
        <v>33</v>
      </c>
      <c r="F2802" s="1" t="s">
        <v>52</v>
      </c>
      <c r="G2802" s="1">
        <v>108</v>
      </c>
      <c r="H2802" s="23">
        <v>45214.071504629632</v>
      </c>
      <c r="I2802" s="1" t="b">
        <v>0</v>
      </c>
      <c r="K2802" s="10">
        <f t="shared" si="217"/>
        <v>89.616111111128703</v>
      </c>
      <c r="L2802" s="1" t="str">
        <f t="shared" si="218"/>
        <v>OK</v>
      </c>
      <c r="M2802" s="1">
        <f t="shared" si="215"/>
        <v>1</v>
      </c>
      <c r="N2802" s="1">
        <f t="shared" si="216"/>
        <v>108</v>
      </c>
      <c r="O2802" s="10">
        <f t="shared" si="219"/>
        <v>89.616111111128703</v>
      </c>
    </row>
    <row r="2803" spans="1:15">
      <c r="A2803" s="1" t="s">
        <v>2908</v>
      </c>
      <c r="B2803" s="23">
        <v>45210.511805555558</v>
      </c>
      <c r="C2803" s="1" t="s">
        <v>25</v>
      </c>
      <c r="D2803" s="1" t="s">
        <v>21</v>
      </c>
      <c r="E2803" s="1" t="s">
        <v>33</v>
      </c>
      <c r="F2803" s="1" t="s">
        <v>57</v>
      </c>
      <c r="G2803" s="1">
        <v>62</v>
      </c>
      <c r="H2803" s="23">
        <v>45216.236956018518</v>
      </c>
      <c r="I2803" s="1" t="b">
        <v>0</v>
      </c>
      <c r="J2803" s="1">
        <v>2</v>
      </c>
      <c r="K2803" s="10">
        <f t="shared" si="217"/>
        <v>137.40361111104721</v>
      </c>
      <c r="L2803" s="1" t="str">
        <f t="shared" si="218"/>
        <v>OK</v>
      </c>
      <c r="M2803" s="1">
        <f t="shared" si="215"/>
        <v>1</v>
      </c>
      <c r="N2803" s="1">
        <f t="shared" si="216"/>
        <v>62</v>
      </c>
      <c r="O2803" s="10">
        <f t="shared" si="219"/>
        <v>137.40361111104721</v>
      </c>
    </row>
    <row r="2804" spans="1:15">
      <c r="A2804" s="1" t="s">
        <v>2909</v>
      </c>
      <c r="B2804" s="23">
        <v>45210.53125</v>
      </c>
      <c r="C2804" s="1" t="s">
        <v>43</v>
      </c>
      <c r="D2804" s="1" t="s">
        <v>59</v>
      </c>
      <c r="E2804" s="1" t="s">
        <v>18</v>
      </c>
      <c r="F2804" s="1" t="s">
        <v>106</v>
      </c>
      <c r="G2804" s="1">
        <v>32</v>
      </c>
      <c r="H2804" s="23">
        <v>45210.60527777778</v>
      </c>
      <c r="I2804" s="1" t="b">
        <v>0</v>
      </c>
      <c r="K2804" s="10">
        <f t="shared" si="217"/>
        <v>1.776666666730307</v>
      </c>
      <c r="L2804" s="1" t="str">
        <f t="shared" si="218"/>
        <v>OK</v>
      </c>
      <c r="M2804" s="1">
        <f t="shared" si="215"/>
        <v>1</v>
      </c>
      <c r="N2804" s="1">
        <f t="shared" si="216"/>
        <v>32</v>
      </c>
      <c r="O2804" s="10">
        <f t="shared" si="219"/>
        <v>1.776666666730307</v>
      </c>
    </row>
    <row r="2805" spans="1:15">
      <c r="A2805" s="1" t="s">
        <v>2910</v>
      </c>
      <c r="B2805" s="23">
        <v>45210.592361111114</v>
      </c>
      <c r="C2805" s="1" t="s">
        <v>11</v>
      </c>
      <c r="D2805" s="1" t="s">
        <v>59</v>
      </c>
      <c r="E2805" s="1" t="s">
        <v>18</v>
      </c>
      <c r="F2805" s="1" t="s">
        <v>102</v>
      </c>
      <c r="G2805" s="1">
        <v>228</v>
      </c>
      <c r="H2805" s="23">
        <v>45211.868067129632</v>
      </c>
      <c r="I2805" s="1" t="b">
        <v>0</v>
      </c>
      <c r="K2805" s="10">
        <f t="shared" si="217"/>
        <v>30.616944444424007</v>
      </c>
      <c r="L2805" s="1" t="str">
        <f t="shared" si="218"/>
        <v>OK</v>
      </c>
      <c r="M2805" s="1">
        <f t="shared" si="215"/>
        <v>1</v>
      </c>
      <c r="N2805" s="1">
        <f t="shared" si="216"/>
        <v>228</v>
      </c>
      <c r="O2805" s="10">
        <f t="shared" si="219"/>
        <v>30.616944444424007</v>
      </c>
    </row>
    <row r="2806" spans="1:15">
      <c r="A2806" s="1" t="s">
        <v>2911</v>
      </c>
      <c r="B2806" s="23">
        <v>45210.62222222222</v>
      </c>
      <c r="C2806" s="1" t="s">
        <v>43</v>
      </c>
      <c r="D2806" s="1" t="s">
        <v>17</v>
      </c>
      <c r="E2806" s="1" t="s">
        <v>18</v>
      </c>
      <c r="F2806" s="1" t="s">
        <v>102</v>
      </c>
      <c r="G2806" s="1">
        <v>145</v>
      </c>
      <c r="H2806" s="23">
        <v>45227.279293981483</v>
      </c>
      <c r="I2806" s="1" t="b">
        <v>0</v>
      </c>
      <c r="K2806" s="10">
        <f t="shared" si="217"/>
        <v>399.76972222229233</v>
      </c>
      <c r="L2806" s="1" t="str">
        <f t="shared" si="218"/>
        <v>OK</v>
      </c>
      <c r="M2806" s="1">
        <f t="shared" si="215"/>
        <v>1</v>
      </c>
      <c r="N2806" s="1">
        <f t="shared" si="216"/>
        <v>145</v>
      </c>
      <c r="O2806" s="10">
        <f t="shared" si="219"/>
        <v>399.76972222229233</v>
      </c>
    </row>
    <row r="2807" spans="1:15">
      <c r="A2807" s="1" t="s">
        <v>2912</v>
      </c>
      <c r="B2807" s="23">
        <v>45210.65902777778</v>
      </c>
      <c r="C2807" s="1" t="s">
        <v>43</v>
      </c>
      <c r="D2807" s="1" t="s">
        <v>12</v>
      </c>
      <c r="E2807" s="1" t="s">
        <v>18</v>
      </c>
      <c r="F2807" s="1" t="s">
        <v>41</v>
      </c>
      <c r="G2807" s="1">
        <v>172</v>
      </c>
      <c r="H2807" s="23">
        <v>45212.18</v>
      </c>
      <c r="I2807" s="1" t="b">
        <v>0</v>
      </c>
      <c r="K2807" s="10">
        <f t="shared" si="217"/>
        <v>36.503333333297633</v>
      </c>
      <c r="L2807" s="1" t="str">
        <f t="shared" si="218"/>
        <v>OK</v>
      </c>
      <c r="M2807" s="1">
        <f t="shared" si="215"/>
        <v>1</v>
      </c>
      <c r="N2807" s="1">
        <f t="shared" si="216"/>
        <v>172</v>
      </c>
      <c r="O2807" s="10">
        <f t="shared" si="219"/>
        <v>36.503333333297633</v>
      </c>
    </row>
    <row r="2808" spans="1:15">
      <c r="A2808" s="1" t="s">
        <v>2913</v>
      </c>
      <c r="B2808" s="23">
        <v>45210.720833333333</v>
      </c>
      <c r="C2808" s="1" t="s">
        <v>16</v>
      </c>
      <c r="D2808" s="1" t="s">
        <v>17</v>
      </c>
      <c r="E2808" s="1" t="s">
        <v>33</v>
      </c>
      <c r="F2808" s="1" t="s">
        <v>80</v>
      </c>
      <c r="G2808" s="1">
        <v>454</v>
      </c>
      <c r="H2808" s="23">
        <v>45215.833553240744</v>
      </c>
      <c r="I2808" s="1" t="b">
        <v>0</v>
      </c>
      <c r="K2808" s="10">
        <f t="shared" si="217"/>
        <v>122.70527777785901</v>
      </c>
      <c r="L2808" s="1" t="str">
        <f t="shared" si="218"/>
        <v>OK</v>
      </c>
      <c r="M2808" s="1">
        <f t="shared" si="215"/>
        <v>1</v>
      </c>
      <c r="N2808" s="1">
        <f t="shared" si="216"/>
        <v>454</v>
      </c>
      <c r="O2808" s="10">
        <f t="shared" si="219"/>
        <v>122.70527777785901</v>
      </c>
    </row>
    <row r="2809" spans="1:15">
      <c r="A2809" s="1" t="s">
        <v>2914</v>
      </c>
      <c r="B2809" s="23">
        <v>45210.829861111109</v>
      </c>
      <c r="C2809" s="1" t="s">
        <v>11</v>
      </c>
      <c r="D2809" s="1" t="s">
        <v>26</v>
      </c>
      <c r="E2809" s="1" t="s">
        <v>18</v>
      </c>
      <c r="F2809" s="1" t="s">
        <v>94</v>
      </c>
      <c r="G2809" s="1">
        <v>123</v>
      </c>
      <c r="I2809" s="1" t="b">
        <v>0</v>
      </c>
      <c r="K2809" s="10" t="str">
        <f t="shared" si="217"/>
        <v/>
      </c>
      <c r="L2809" s="1" t="str">
        <f t="shared" si="218"/>
        <v>Cannot check</v>
      </c>
      <c r="M2809" s="1">
        <f t="shared" si="215"/>
        <v>1</v>
      </c>
      <c r="N2809" s="1">
        <f t="shared" si="216"/>
        <v>123</v>
      </c>
      <c r="O2809" s="10" t="str">
        <f t="shared" si="219"/>
        <v/>
      </c>
    </row>
    <row r="2810" spans="1:15">
      <c r="A2810" s="1" t="s">
        <v>2915</v>
      </c>
      <c r="B2810" s="23">
        <v>45210.845138888886</v>
      </c>
      <c r="C2810" s="1" t="s">
        <v>25</v>
      </c>
      <c r="D2810" s="1" t="s">
        <v>21</v>
      </c>
      <c r="E2810" s="1" t="s">
        <v>18</v>
      </c>
      <c r="F2810" s="1" t="s">
        <v>23</v>
      </c>
      <c r="G2810" s="1">
        <v>54</v>
      </c>
      <c r="H2810" s="23">
        <v>45211.464201388888</v>
      </c>
      <c r="I2810" s="1" t="b">
        <v>0</v>
      </c>
      <c r="J2810" s="1">
        <v>3</v>
      </c>
      <c r="K2810" s="10">
        <f t="shared" si="217"/>
        <v>14.85750000004191</v>
      </c>
      <c r="L2810" s="1" t="str">
        <f t="shared" si="218"/>
        <v>OK</v>
      </c>
      <c r="M2810" s="1">
        <f t="shared" si="215"/>
        <v>1</v>
      </c>
      <c r="N2810" s="1">
        <f t="shared" si="216"/>
        <v>54</v>
      </c>
      <c r="O2810" s="10">
        <f t="shared" si="219"/>
        <v>14.85750000004191</v>
      </c>
    </row>
    <row r="2811" spans="1:15">
      <c r="A2811" s="1" t="s">
        <v>2916</v>
      </c>
      <c r="B2811" s="23">
        <v>45210.960416666669</v>
      </c>
      <c r="C2811" s="1" t="s">
        <v>16</v>
      </c>
      <c r="D2811" s="1" t="s">
        <v>17</v>
      </c>
      <c r="E2811" s="1" t="s">
        <v>18</v>
      </c>
      <c r="F2811" s="1" t="s">
        <v>132</v>
      </c>
      <c r="G2811" s="1">
        <v>71</v>
      </c>
      <c r="H2811" s="23">
        <v>45213.358842592592</v>
      </c>
      <c r="I2811" s="1" t="b">
        <v>0</v>
      </c>
      <c r="J2811" s="1">
        <v>4</v>
      </c>
      <c r="K2811" s="10">
        <f t="shared" si="217"/>
        <v>57.562222222157288</v>
      </c>
      <c r="L2811" s="1" t="str">
        <f t="shared" si="218"/>
        <v>OK</v>
      </c>
      <c r="M2811" s="1">
        <f t="shared" si="215"/>
        <v>1</v>
      </c>
      <c r="N2811" s="1">
        <f t="shared" si="216"/>
        <v>71</v>
      </c>
      <c r="O2811" s="10">
        <f t="shared" si="219"/>
        <v>57.562222222157288</v>
      </c>
    </row>
    <row r="2812" spans="1:15">
      <c r="A2812" s="1" t="s">
        <v>2917</v>
      </c>
      <c r="B2812" s="23">
        <v>45211.14166666667</v>
      </c>
      <c r="C2812" s="1" t="s">
        <v>16</v>
      </c>
      <c r="D2812" s="1" t="s">
        <v>26</v>
      </c>
      <c r="E2812" s="1" t="s">
        <v>18</v>
      </c>
      <c r="F2812" s="1" t="s">
        <v>112</v>
      </c>
      <c r="G2812" s="1">
        <v>332</v>
      </c>
      <c r="H2812" s="23">
        <v>45212.716909722221</v>
      </c>
      <c r="I2812" s="1" t="b">
        <v>0</v>
      </c>
      <c r="K2812" s="10">
        <f t="shared" si="217"/>
        <v>37.805833333230112</v>
      </c>
      <c r="L2812" s="1" t="str">
        <f t="shared" si="218"/>
        <v>OK</v>
      </c>
      <c r="M2812" s="1">
        <f t="shared" si="215"/>
        <v>1</v>
      </c>
      <c r="N2812" s="1">
        <f t="shared" si="216"/>
        <v>332</v>
      </c>
      <c r="O2812" s="10">
        <f t="shared" si="219"/>
        <v>37.805833333230112</v>
      </c>
    </row>
    <row r="2813" spans="1:15">
      <c r="A2813" s="1" t="s">
        <v>2918</v>
      </c>
      <c r="B2813" s="23">
        <v>45211.260416666664</v>
      </c>
      <c r="C2813" s="1" t="s">
        <v>11</v>
      </c>
      <c r="D2813" s="1" t="s">
        <v>12</v>
      </c>
      <c r="E2813" s="1" t="s">
        <v>18</v>
      </c>
      <c r="F2813" s="1" t="s">
        <v>326</v>
      </c>
      <c r="G2813" s="1">
        <v>200</v>
      </c>
      <c r="H2813" s="23">
        <v>45211.870092592595</v>
      </c>
      <c r="I2813" s="1" t="b">
        <v>0</v>
      </c>
      <c r="J2813" s="1">
        <v>5</v>
      </c>
      <c r="K2813" s="10">
        <f t="shared" si="217"/>
        <v>14.632222222338896</v>
      </c>
      <c r="L2813" s="1" t="str">
        <f t="shared" si="218"/>
        <v>OK</v>
      </c>
      <c r="M2813" s="1">
        <f t="shared" si="215"/>
        <v>1</v>
      </c>
      <c r="N2813" s="1">
        <f t="shared" si="216"/>
        <v>200</v>
      </c>
      <c r="O2813" s="10">
        <f t="shared" si="219"/>
        <v>14.632222222338896</v>
      </c>
    </row>
    <row r="2814" spans="1:15">
      <c r="A2814" s="1" t="s">
        <v>2919</v>
      </c>
      <c r="B2814" s="23">
        <v>45211.410416666666</v>
      </c>
      <c r="C2814" s="1" t="s">
        <v>11</v>
      </c>
      <c r="D2814" s="1" t="s">
        <v>12</v>
      </c>
      <c r="E2814" s="1" t="s">
        <v>33</v>
      </c>
      <c r="F2814" s="1" t="s">
        <v>226</v>
      </c>
      <c r="G2814" s="1">
        <v>194</v>
      </c>
      <c r="H2814" s="23">
        <v>45212.92863425926</v>
      </c>
      <c r="I2814" s="1" t="b">
        <v>0</v>
      </c>
      <c r="K2814" s="10">
        <f t="shared" si="217"/>
        <v>36.437222222273704</v>
      </c>
      <c r="L2814" s="1" t="str">
        <f t="shared" si="218"/>
        <v>OK</v>
      </c>
      <c r="M2814" s="1">
        <f t="shared" si="215"/>
        <v>1</v>
      </c>
      <c r="N2814" s="1">
        <f t="shared" si="216"/>
        <v>194</v>
      </c>
      <c r="O2814" s="10">
        <f t="shared" si="219"/>
        <v>36.437222222273704</v>
      </c>
    </row>
    <row r="2815" spans="1:15">
      <c r="A2815" s="1" t="s">
        <v>2920</v>
      </c>
      <c r="B2815" s="23">
        <v>45211.472222222219</v>
      </c>
      <c r="C2815" s="1" t="s">
        <v>16</v>
      </c>
      <c r="D2815" s="1" t="s">
        <v>17</v>
      </c>
      <c r="E2815" s="1" t="s">
        <v>33</v>
      </c>
      <c r="F2815" s="1" t="s">
        <v>102</v>
      </c>
      <c r="G2815" s="1">
        <v>37</v>
      </c>
      <c r="H2815" s="23">
        <v>45214.855393518519</v>
      </c>
      <c r="I2815" s="1" t="b">
        <v>0</v>
      </c>
      <c r="J2815" s="1">
        <v>5</v>
      </c>
      <c r="K2815" s="10">
        <f t="shared" si="217"/>
        <v>81.196111111203209</v>
      </c>
      <c r="L2815" s="1" t="str">
        <f t="shared" si="218"/>
        <v>OK</v>
      </c>
      <c r="M2815" s="1">
        <f t="shared" si="215"/>
        <v>1</v>
      </c>
      <c r="N2815" s="1">
        <f t="shared" si="216"/>
        <v>37</v>
      </c>
      <c r="O2815" s="10">
        <f t="shared" si="219"/>
        <v>81.196111111203209</v>
      </c>
    </row>
    <row r="2816" spans="1:15">
      <c r="A2816" s="1" t="s">
        <v>2921</v>
      </c>
      <c r="B2816" s="23">
        <v>45211.588194444441</v>
      </c>
      <c r="C2816" s="1" t="s">
        <v>25</v>
      </c>
      <c r="D2816" s="1" t="s">
        <v>26</v>
      </c>
      <c r="E2816" s="1" t="s">
        <v>18</v>
      </c>
      <c r="F2816" s="1" t="s">
        <v>35</v>
      </c>
      <c r="G2816" s="1">
        <v>65</v>
      </c>
      <c r="H2816" s="23">
        <v>45215.698969907404</v>
      </c>
      <c r="I2816" s="1" t="b">
        <v>0</v>
      </c>
      <c r="J2816" s="1">
        <v>4</v>
      </c>
      <c r="K2816" s="10">
        <f t="shared" si="217"/>
        <v>98.658611111110076</v>
      </c>
      <c r="L2816" s="1" t="str">
        <f t="shared" si="218"/>
        <v>OK</v>
      </c>
      <c r="M2816" s="1">
        <f t="shared" si="215"/>
        <v>1</v>
      </c>
      <c r="N2816" s="1">
        <f t="shared" si="216"/>
        <v>65</v>
      </c>
      <c r="O2816" s="10">
        <f t="shared" si="219"/>
        <v>98.658611111110076</v>
      </c>
    </row>
    <row r="2817" spans="1:15">
      <c r="A2817" s="1" t="s">
        <v>2922</v>
      </c>
      <c r="B2817" s="23">
        <v>45211.806944444441</v>
      </c>
      <c r="C2817" s="1" t="s">
        <v>11</v>
      </c>
      <c r="D2817" s="1" t="s">
        <v>17</v>
      </c>
      <c r="E2817" s="1" t="s">
        <v>18</v>
      </c>
      <c r="F2817" s="1" t="s">
        <v>106</v>
      </c>
      <c r="G2817" s="1">
        <v>678</v>
      </c>
      <c r="I2817" s="1" t="b">
        <v>0</v>
      </c>
      <c r="K2817" s="10" t="str">
        <f t="shared" si="217"/>
        <v/>
      </c>
      <c r="L2817" s="1" t="str">
        <f t="shared" si="218"/>
        <v>Cannot check</v>
      </c>
      <c r="M2817" s="1">
        <f t="shared" si="215"/>
        <v>1</v>
      </c>
      <c r="N2817" s="1">
        <f t="shared" si="216"/>
        <v>678</v>
      </c>
      <c r="O2817" s="10" t="str">
        <f t="shared" si="219"/>
        <v/>
      </c>
    </row>
    <row r="2818" spans="1:15">
      <c r="A2818" s="1" t="s">
        <v>2923</v>
      </c>
      <c r="B2818" s="23">
        <v>45211.886111111111</v>
      </c>
      <c r="C2818" s="1" t="s">
        <v>11</v>
      </c>
      <c r="D2818" s="1" t="s">
        <v>26</v>
      </c>
      <c r="E2818" s="1" t="s">
        <v>18</v>
      </c>
      <c r="F2818" s="1" t="s">
        <v>96</v>
      </c>
      <c r="G2818" s="1">
        <v>45</v>
      </c>
      <c r="I2818" s="1" t="b">
        <v>0</v>
      </c>
      <c r="K2818" s="10" t="str">
        <f t="shared" si="217"/>
        <v/>
      </c>
      <c r="L2818" s="1" t="str">
        <f t="shared" si="218"/>
        <v>Cannot check</v>
      </c>
      <c r="M2818" s="1">
        <f t="shared" ref="M2818:M2881" si="220">COUNTIF($A$2:$A$4001,A2818)</f>
        <v>1</v>
      </c>
      <c r="N2818" s="1">
        <f t="shared" ref="N2818:N2881" si="221">IF(OR(L2818="Review",G2818=""),"",G2818)</f>
        <v>45</v>
      </c>
      <c r="O2818" s="10" t="str">
        <f t="shared" si="219"/>
        <v/>
      </c>
    </row>
    <row r="2819" spans="1:15">
      <c r="A2819" s="1" t="s">
        <v>2924</v>
      </c>
      <c r="B2819" s="23">
        <v>45211.9</v>
      </c>
      <c r="C2819" s="1" t="s">
        <v>16</v>
      </c>
      <c r="D2819" s="1" t="s">
        <v>17</v>
      </c>
      <c r="E2819" s="1" t="s">
        <v>13</v>
      </c>
      <c r="F2819" s="1" t="s">
        <v>54</v>
      </c>
      <c r="G2819" s="1">
        <v>183</v>
      </c>
      <c r="H2819" s="23">
        <v>45213.122708333336</v>
      </c>
      <c r="I2819" s="1" t="b">
        <v>0</v>
      </c>
      <c r="K2819" s="10">
        <f t="shared" ref="K2819:K2882" si="222">IF(H2819="","",(H2819-B2819)*24)</f>
        <v>29.345000000030268</v>
      </c>
      <c r="L2819" s="1" t="str">
        <f t="shared" ref="L2819:L2882" si="223">IF(OR(G2819="",K2819=""),"Cannot check",IF(G2819&gt;K2819*60,"Review","OK"))</f>
        <v>OK</v>
      </c>
      <c r="M2819" s="1">
        <f t="shared" si="220"/>
        <v>1</v>
      </c>
      <c r="N2819" s="1">
        <f t="shared" si="221"/>
        <v>183</v>
      </c>
      <c r="O2819" s="10">
        <f t="shared" ref="O2819:O2882" si="224">IF(OR(L2819="Review",K2819=""),"",K2819)</f>
        <v>29.345000000030268</v>
      </c>
    </row>
    <row r="2820" spans="1:15">
      <c r="A2820" s="1" t="s">
        <v>2925</v>
      </c>
      <c r="B2820" s="23">
        <v>45211.918749999997</v>
      </c>
      <c r="C2820" s="1" t="s">
        <v>11</v>
      </c>
      <c r="D2820" s="1" t="s">
        <v>21</v>
      </c>
      <c r="E2820" s="1" t="s">
        <v>33</v>
      </c>
      <c r="F2820" s="1" t="s">
        <v>54</v>
      </c>
      <c r="G2820" s="1">
        <v>170</v>
      </c>
      <c r="H2820" s="23">
        <v>45212.201574074075</v>
      </c>
      <c r="I2820" s="1" t="b">
        <v>1</v>
      </c>
      <c r="K2820" s="10">
        <f t="shared" si="222"/>
        <v>6.7877777778776363</v>
      </c>
      <c r="L2820" s="1" t="str">
        <f t="shared" si="223"/>
        <v>OK</v>
      </c>
      <c r="M2820" s="1">
        <f t="shared" si="220"/>
        <v>1</v>
      </c>
      <c r="N2820" s="1">
        <f t="shared" si="221"/>
        <v>170</v>
      </c>
      <c r="O2820" s="10">
        <f t="shared" si="224"/>
        <v>6.7877777778776363</v>
      </c>
    </row>
    <row r="2821" spans="1:15">
      <c r="A2821" s="1" t="s">
        <v>2926</v>
      </c>
      <c r="B2821" s="23">
        <v>45212.022222222222</v>
      </c>
      <c r="C2821" s="1" t="s">
        <v>11</v>
      </c>
      <c r="D2821" s="1" t="s">
        <v>21</v>
      </c>
      <c r="E2821" s="1" t="s">
        <v>18</v>
      </c>
      <c r="F2821" s="1" t="s">
        <v>41</v>
      </c>
      <c r="G2821" s="1">
        <v>188</v>
      </c>
      <c r="H2821" s="23">
        <v>45212.642581018517</v>
      </c>
      <c r="I2821" s="1" t="b">
        <v>0</v>
      </c>
      <c r="K2821" s="10">
        <f t="shared" si="222"/>
        <v>14.88861111109145</v>
      </c>
      <c r="L2821" s="1" t="str">
        <f t="shared" si="223"/>
        <v>OK</v>
      </c>
      <c r="M2821" s="1">
        <f t="shared" si="220"/>
        <v>1</v>
      </c>
      <c r="N2821" s="1">
        <f t="shared" si="221"/>
        <v>188</v>
      </c>
      <c r="O2821" s="10">
        <f t="shared" si="224"/>
        <v>14.88861111109145</v>
      </c>
    </row>
    <row r="2822" spans="1:15">
      <c r="A2822" s="1" t="s">
        <v>2927</v>
      </c>
      <c r="B2822" s="23">
        <v>45212.243750000001</v>
      </c>
      <c r="C2822" s="1" t="s">
        <v>16</v>
      </c>
      <c r="D2822" s="1" t="s">
        <v>21</v>
      </c>
      <c r="E2822" s="1" t="s">
        <v>18</v>
      </c>
      <c r="F2822" s="1" t="s">
        <v>245</v>
      </c>
      <c r="G2822" s="1">
        <v>26</v>
      </c>
      <c r="H2822" s="23">
        <v>45213.545069444444</v>
      </c>
      <c r="I2822" s="1" t="b">
        <v>0</v>
      </c>
      <c r="J2822" s="1">
        <v>5</v>
      </c>
      <c r="K2822" s="10">
        <f t="shared" si="222"/>
        <v>31.23166666663019</v>
      </c>
      <c r="L2822" s="1" t="str">
        <f t="shared" si="223"/>
        <v>OK</v>
      </c>
      <c r="M2822" s="1">
        <f t="shared" si="220"/>
        <v>1</v>
      </c>
      <c r="N2822" s="1">
        <f t="shared" si="221"/>
        <v>26</v>
      </c>
      <c r="O2822" s="10">
        <f t="shared" si="224"/>
        <v>31.23166666663019</v>
      </c>
    </row>
    <row r="2823" spans="1:15">
      <c r="A2823" s="1" t="s">
        <v>2928</v>
      </c>
      <c r="B2823" s="23">
        <v>45212.244444444441</v>
      </c>
      <c r="C2823" s="1" t="s">
        <v>16</v>
      </c>
      <c r="D2823" s="1" t="s">
        <v>26</v>
      </c>
      <c r="E2823" s="1" t="s">
        <v>18</v>
      </c>
      <c r="F2823" s="1" t="s">
        <v>39</v>
      </c>
      <c r="G2823" s="1">
        <v>506</v>
      </c>
      <c r="H2823" s="23">
        <v>45218.688807870371</v>
      </c>
      <c r="I2823" s="1" t="b">
        <v>0</v>
      </c>
      <c r="K2823" s="10">
        <f t="shared" si="222"/>
        <v>154.66472222231096</v>
      </c>
      <c r="L2823" s="1" t="str">
        <f t="shared" si="223"/>
        <v>OK</v>
      </c>
      <c r="M2823" s="1">
        <f t="shared" si="220"/>
        <v>1</v>
      </c>
      <c r="N2823" s="1">
        <f t="shared" si="221"/>
        <v>506</v>
      </c>
      <c r="O2823" s="10">
        <f t="shared" si="224"/>
        <v>154.66472222231096</v>
      </c>
    </row>
    <row r="2824" spans="1:15">
      <c r="A2824" s="1" t="s">
        <v>2929</v>
      </c>
      <c r="B2824" s="23">
        <v>45212.271527777775</v>
      </c>
      <c r="C2824" s="1" t="s">
        <v>16</v>
      </c>
      <c r="D2824" s="1" t="s">
        <v>59</v>
      </c>
      <c r="E2824" s="1" t="s">
        <v>13</v>
      </c>
      <c r="F2824" s="1" t="s">
        <v>108</v>
      </c>
      <c r="G2824" s="1">
        <v>19</v>
      </c>
      <c r="H2824" s="23">
        <v>45212.483055555553</v>
      </c>
      <c r="I2824" s="1" t="b">
        <v>0</v>
      </c>
      <c r="K2824" s="10">
        <f t="shared" si="222"/>
        <v>5.0766666666604578</v>
      </c>
      <c r="L2824" s="1" t="str">
        <f t="shared" si="223"/>
        <v>OK</v>
      </c>
      <c r="M2824" s="1">
        <f t="shared" si="220"/>
        <v>1</v>
      </c>
      <c r="N2824" s="1">
        <f t="shared" si="221"/>
        <v>19</v>
      </c>
      <c r="O2824" s="10">
        <f t="shared" si="224"/>
        <v>5.0766666666604578</v>
      </c>
    </row>
    <row r="2825" spans="1:15">
      <c r="A2825" s="1" t="s">
        <v>2930</v>
      </c>
      <c r="B2825" s="23">
        <v>45212.439583333333</v>
      </c>
      <c r="C2825" s="1" t="s">
        <v>11</v>
      </c>
      <c r="D2825" s="1" t="s">
        <v>17</v>
      </c>
      <c r="E2825" s="1" t="s">
        <v>18</v>
      </c>
      <c r="F2825" s="1" t="s">
        <v>302</v>
      </c>
      <c r="G2825" s="1">
        <v>444</v>
      </c>
      <c r="H2825" s="23">
        <v>45213.590891203705</v>
      </c>
      <c r="I2825" s="1" t="b">
        <v>0</v>
      </c>
      <c r="J2825" s="1">
        <v>5</v>
      </c>
      <c r="K2825" s="10">
        <f t="shared" si="222"/>
        <v>27.631388888927177</v>
      </c>
      <c r="L2825" s="1" t="str">
        <f t="shared" si="223"/>
        <v>OK</v>
      </c>
      <c r="M2825" s="1">
        <f t="shared" si="220"/>
        <v>1</v>
      </c>
      <c r="N2825" s="1">
        <f t="shared" si="221"/>
        <v>444</v>
      </c>
      <c r="O2825" s="10">
        <f t="shared" si="224"/>
        <v>27.631388888927177</v>
      </c>
    </row>
    <row r="2826" spans="1:15">
      <c r="A2826" s="1" t="s">
        <v>2931</v>
      </c>
      <c r="B2826" s="23">
        <v>45212.454861111109</v>
      </c>
      <c r="C2826" s="1" t="s">
        <v>11</v>
      </c>
      <c r="D2826" s="1" t="s">
        <v>21</v>
      </c>
      <c r="E2826" s="1" t="s">
        <v>18</v>
      </c>
      <c r="F2826" s="1" t="s">
        <v>35</v>
      </c>
      <c r="G2826" s="1">
        <v>18</v>
      </c>
      <c r="H2826" s="23">
        <v>45216.084965277776</v>
      </c>
      <c r="I2826" s="1" t="b">
        <v>0</v>
      </c>
      <c r="K2826" s="10">
        <f t="shared" si="222"/>
        <v>87.122499999997672</v>
      </c>
      <c r="L2826" s="1" t="str">
        <f t="shared" si="223"/>
        <v>OK</v>
      </c>
      <c r="M2826" s="1">
        <f t="shared" si="220"/>
        <v>1</v>
      </c>
      <c r="N2826" s="1">
        <f t="shared" si="221"/>
        <v>18</v>
      </c>
      <c r="O2826" s="10">
        <f t="shared" si="224"/>
        <v>87.122499999997672</v>
      </c>
    </row>
    <row r="2827" spans="1:15">
      <c r="A2827" s="1" t="s">
        <v>2932</v>
      </c>
      <c r="B2827" s="23">
        <v>45212.61041666667</v>
      </c>
      <c r="C2827" s="1" t="s">
        <v>16</v>
      </c>
      <c r="D2827" s="1" t="s">
        <v>17</v>
      </c>
      <c r="E2827" s="1" t="s">
        <v>18</v>
      </c>
      <c r="F2827" s="1" t="s">
        <v>302</v>
      </c>
      <c r="G2827" s="1">
        <v>39</v>
      </c>
      <c r="H2827" s="23">
        <v>45214.694699074076</v>
      </c>
      <c r="I2827" s="1" t="b">
        <v>0</v>
      </c>
      <c r="K2827" s="10">
        <f t="shared" si="222"/>
        <v>50.022777777747251</v>
      </c>
      <c r="L2827" s="1" t="str">
        <f t="shared" si="223"/>
        <v>OK</v>
      </c>
      <c r="M2827" s="1">
        <f t="shared" si="220"/>
        <v>1</v>
      </c>
      <c r="N2827" s="1">
        <f t="shared" si="221"/>
        <v>39</v>
      </c>
      <c r="O2827" s="10">
        <f t="shared" si="224"/>
        <v>50.022777777747251</v>
      </c>
    </row>
    <row r="2828" spans="1:15">
      <c r="A2828" s="1" t="s">
        <v>2933</v>
      </c>
      <c r="B2828" s="23">
        <v>45212.665972222225</v>
      </c>
      <c r="C2828" s="1" t="s">
        <v>16</v>
      </c>
      <c r="D2828" s="1" t="s">
        <v>17</v>
      </c>
      <c r="E2828" s="1" t="s">
        <v>18</v>
      </c>
      <c r="F2828" s="1" t="s">
        <v>37</v>
      </c>
      <c r="G2828" s="1">
        <v>72</v>
      </c>
      <c r="H2828" s="23">
        <v>45226.602349537039</v>
      </c>
      <c r="I2828" s="1" t="b">
        <v>0</v>
      </c>
      <c r="K2828" s="10">
        <f t="shared" si="222"/>
        <v>334.4730555555434</v>
      </c>
      <c r="L2828" s="1" t="str">
        <f t="shared" si="223"/>
        <v>OK</v>
      </c>
      <c r="M2828" s="1">
        <f t="shared" si="220"/>
        <v>1</v>
      </c>
      <c r="N2828" s="1">
        <f t="shared" si="221"/>
        <v>72</v>
      </c>
      <c r="O2828" s="10">
        <f t="shared" si="224"/>
        <v>334.4730555555434</v>
      </c>
    </row>
    <row r="2829" spans="1:15">
      <c r="A2829" s="1" t="s">
        <v>2934</v>
      </c>
      <c r="B2829" s="23">
        <v>45212.913888888892</v>
      </c>
      <c r="C2829" s="1" t="s">
        <v>16</v>
      </c>
      <c r="D2829" s="1" t="s">
        <v>59</v>
      </c>
      <c r="E2829" s="1" t="s">
        <v>33</v>
      </c>
      <c r="F2829" s="1" t="s">
        <v>78</v>
      </c>
      <c r="G2829" s="1">
        <v>514</v>
      </c>
      <c r="H2829" s="23">
        <v>45213.739502314813</v>
      </c>
      <c r="I2829" s="1" t="b">
        <v>0</v>
      </c>
      <c r="J2829" s="1">
        <v>4</v>
      </c>
      <c r="K2829" s="10">
        <f t="shared" si="222"/>
        <v>19.814722222101409</v>
      </c>
      <c r="L2829" s="1" t="str">
        <f t="shared" si="223"/>
        <v>OK</v>
      </c>
      <c r="M2829" s="1">
        <f t="shared" si="220"/>
        <v>1</v>
      </c>
      <c r="N2829" s="1">
        <f t="shared" si="221"/>
        <v>514</v>
      </c>
      <c r="O2829" s="10">
        <f t="shared" si="224"/>
        <v>19.814722222101409</v>
      </c>
    </row>
    <row r="2830" spans="1:15">
      <c r="A2830" s="1" t="s">
        <v>2935</v>
      </c>
      <c r="B2830" s="23">
        <v>45212.959027777775</v>
      </c>
      <c r="C2830" s="1" t="s">
        <v>25</v>
      </c>
      <c r="D2830" s="1" t="s">
        <v>21</v>
      </c>
      <c r="E2830" s="1" t="s">
        <v>13</v>
      </c>
      <c r="F2830" s="1" t="s">
        <v>118</v>
      </c>
      <c r="G2830" s="1">
        <v>41</v>
      </c>
      <c r="H2830" s="23">
        <v>45219.730312500003</v>
      </c>
      <c r="I2830" s="1" t="b">
        <v>1</v>
      </c>
      <c r="K2830" s="10">
        <f t="shared" si="222"/>
        <v>162.51083333347924</v>
      </c>
      <c r="L2830" s="1" t="str">
        <f t="shared" si="223"/>
        <v>OK</v>
      </c>
      <c r="M2830" s="1">
        <f t="shared" si="220"/>
        <v>1</v>
      </c>
      <c r="N2830" s="1">
        <f t="shared" si="221"/>
        <v>41</v>
      </c>
      <c r="O2830" s="10">
        <f t="shared" si="224"/>
        <v>162.51083333347924</v>
      </c>
    </row>
    <row r="2831" spans="1:15">
      <c r="A2831" s="1" t="s">
        <v>2936</v>
      </c>
      <c r="B2831" s="23">
        <v>45213.072916666664</v>
      </c>
      <c r="C2831" s="1" t="s">
        <v>16</v>
      </c>
      <c r="D2831" s="1" t="s">
        <v>17</v>
      </c>
      <c r="E2831" s="1" t="s">
        <v>22</v>
      </c>
      <c r="F2831" s="1" t="s">
        <v>104</v>
      </c>
      <c r="G2831" s="1">
        <v>13</v>
      </c>
      <c r="H2831" s="23">
        <v>45214.061932870369</v>
      </c>
      <c r="I2831" s="1" t="b">
        <v>0</v>
      </c>
      <c r="J2831" s="1">
        <v>4</v>
      </c>
      <c r="K2831" s="10">
        <f t="shared" si="222"/>
        <v>23.73638888890855</v>
      </c>
      <c r="L2831" s="1" t="str">
        <f t="shared" si="223"/>
        <v>OK</v>
      </c>
      <c r="M2831" s="1">
        <f t="shared" si="220"/>
        <v>1</v>
      </c>
      <c r="N2831" s="1">
        <f t="shared" si="221"/>
        <v>13</v>
      </c>
      <c r="O2831" s="10">
        <f t="shared" si="224"/>
        <v>23.73638888890855</v>
      </c>
    </row>
    <row r="2832" spans="1:15">
      <c r="A2832" s="1" t="s">
        <v>2937</v>
      </c>
      <c r="B2832" s="23">
        <v>45213.074305555558</v>
      </c>
      <c r="C2832" s="1" t="s">
        <v>11</v>
      </c>
      <c r="D2832" s="1" t="s">
        <v>26</v>
      </c>
      <c r="E2832" s="1" t="s">
        <v>22</v>
      </c>
      <c r="F2832" s="1" t="s">
        <v>98</v>
      </c>
      <c r="G2832" s="1">
        <v>33</v>
      </c>
      <c r="H2832" s="23">
        <v>45213.577013888891</v>
      </c>
      <c r="I2832" s="1" t="b">
        <v>0</v>
      </c>
      <c r="K2832" s="10">
        <f t="shared" si="222"/>
        <v>12.065000000002328</v>
      </c>
      <c r="L2832" s="1" t="str">
        <f t="shared" si="223"/>
        <v>OK</v>
      </c>
      <c r="M2832" s="1">
        <f t="shared" si="220"/>
        <v>1</v>
      </c>
      <c r="N2832" s="1">
        <f t="shared" si="221"/>
        <v>33</v>
      </c>
      <c r="O2832" s="10">
        <f t="shared" si="224"/>
        <v>12.065000000002328</v>
      </c>
    </row>
    <row r="2833" spans="1:15">
      <c r="A2833" s="1" t="s">
        <v>2938</v>
      </c>
      <c r="B2833" s="23">
        <v>45213.227777777778</v>
      </c>
      <c r="C2833" s="1" t="s">
        <v>16</v>
      </c>
      <c r="D2833" s="1" t="s">
        <v>17</v>
      </c>
      <c r="E2833" s="1" t="s">
        <v>18</v>
      </c>
      <c r="F2833" s="1" t="s">
        <v>120</v>
      </c>
      <c r="G2833" s="1">
        <v>133</v>
      </c>
      <c r="H2833" s="23">
        <v>45214.400196759256</v>
      </c>
      <c r="I2833" s="1" t="b">
        <v>0</v>
      </c>
      <c r="K2833" s="10">
        <f t="shared" si="222"/>
        <v>28.138055555464234</v>
      </c>
      <c r="L2833" s="1" t="str">
        <f t="shared" si="223"/>
        <v>OK</v>
      </c>
      <c r="M2833" s="1">
        <f t="shared" si="220"/>
        <v>1</v>
      </c>
      <c r="N2833" s="1">
        <f t="shared" si="221"/>
        <v>133</v>
      </c>
      <c r="O2833" s="10">
        <f t="shared" si="224"/>
        <v>28.138055555464234</v>
      </c>
    </row>
    <row r="2834" spans="1:15">
      <c r="A2834" s="1" t="s">
        <v>2939</v>
      </c>
      <c r="B2834" s="23">
        <v>45213.261111111111</v>
      </c>
      <c r="C2834" s="1" t="s">
        <v>16</v>
      </c>
      <c r="D2834" s="1" t="s">
        <v>21</v>
      </c>
      <c r="E2834" s="1" t="s">
        <v>18</v>
      </c>
      <c r="F2834" s="1" t="s">
        <v>110</v>
      </c>
      <c r="G2834" s="1">
        <v>438</v>
      </c>
      <c r="H2834" s="23">
        <v>45213.369583333333</v>
      </c>
      <c r="I2834" s="1" t="b">
        <v>0</v>
      </c>
      <c r="K2834" s="10">
        <f t="shared" si="222"/>
        <v>2.6033333333325572</v>
      </c>
      <c r="L2834" s="1" t="str">
        <f t="shared" si="223"/>
        <v>Review</v>
      </c>
      <c r="M2834" s="1">
        <f t="shared" si="220"/>
        <v>1</v>
      </c>
      <c r="N2834" s="1" t="str">
        <f t="shared" si="221"/>
        <v/>
      </c>
      <c r="O2834" s="10" t="str">
        <f t="shared" si="224"/>
        <v/>
      </c>
    </row>
    <row r="2835" spans="1:15">
      <c r="A2835" s="1" t="s">
        <v>2940</v>
      </c>
      <c r="B2835" s="23">
        <v>45213.268750000003</v>
      </c>
      <c r="C2835" s="1" t="s">
        <v>25</v>
      </c>
      <c r="D2835" s="1" t="s">
        <v>21</v>
      </c>
      <c r="E2835" s="1" t="s">
        <v>33</v>
      </c>
      <c r="F2835" s="1" t="s">
        <v>245</v>
      </c>
      <c r="G2835" s="1">
        <v>379</v>
      </c>
      <c r="H2835" s="23">
        <v>45214.031192129631</v>
      </c>
      <c r="I2835" s="1" t="b">
        <v>0</v>
      </c>
      <c r="K2835" s="10">
        <f t="shared" si="222"/>
        <v>18.298611111065838</v>
      </c>
      <c r="L2835" s="1" t="str">
        <f t="shared" si="223"/>
        <v>OK</v>
      </c>
      <c r="M2835" s="1">
        <f t="shared" si="220"/>
        <v>1</v>
      </c>
      <c r="N2835" s="1">
        <f t="shared" si="221"/>
        <v>379</v>
      </c>
      <c r="O2835" s="10">
        <f t="shared" si="224"/>
        <v>18.298611111065838</v>
      </c>
    </row>
    <row r="2836" spans="1:15">
      <c r="A2836" s="1" t="s">
        <v>2941</v>
      </c>
      <c r="B2836" s="23">
        <v>45213.271527777775</v>
      </c>
      <c r="C2836" s="1" t="s">
        <v>43</v>
      </c>
      <c r="D2836" s="1" t="s">
        <v>12</v>
      </c>
      <c r="E2836" s="1" t="s">
        <v>18</v>
      </c>
      <c r="F2836" s="1" t="s">
        <v>90</v>
      </c>
      <c r="G2836" s="1">
        <v>77</v>
      </c>
      <c r="H2836" s="23">
        <v>45217.592569444445</v>
      </c>
      <c r="I2836" s="1" t="b">
        <v>0</v>
      </c>
      <c r="J2836" s="1">
        <v>4</v>
      </c>
      <c r="K2836" s="10">
        <f t="shared" si="222"/>
        <v>103.70500000007451</v>
      </c>
      <c r="L2836" s="1" t="str">
        <f t="shared" si="223"/>
        <v>OK</v>
      </c>
      <c r="M2836" s="1">
        <f t="shared" si="220"/>
        <v>1</v>
      </c>
      <c r="N2836" s="1">
        <f t="shared" si="221"/>
        <v>77</v>
      </c>
      <c r="O2836" s="10">
        <f t="shared" si="224"/>
        <v>103.70500000007451</v>
      </c>
    </row>
    <row r="2837" spans="1:15">
      <c r="A2837" s="1" t="s">
        <v>2942</v>
      </c>
      <c r="B2837" s="23">
        <v>45213.445138888892</v>
      </c>
      <c r="C2837" s="1" t="s">
        <v>43</v>
      </c>
      <c r="D2837" s="1" t="s">
        <v>21</v>
      </c>
      <c r="E2837" s="1" t="s">
        <v>33</v>
      </c>
      <c r="F2837" s="1" t="s">
        <v>132</v>
      </c>
      <c r="G2837" s="1">
        <v>47</v>
      </c>
      <c r="H2837" s="23">
        <v>45214.308993055558</v>
      </c>
      <c r="I2837" s="1" t="b">
        <v>0</v>
      </c>
      <c r="J2837" s="1">
        <v>5</v>
      </c>
      <c r="K2837" s="10">
        <f t="shared" si="222"/>
        <v>20.732499999983702</v>
      </c>
      <c r="L2837" s="1" t="str">
        <f t="shared" si="223"/>
        <v>OK</v>
      </c>
      <c r="M2837" s="1">
        <f t="shared" si="220"/>
        <v>1</v>
      </c>
      <c r="N2837" s="1">
        <f t="shared" si="221"/>
        <v>47</v>
      </c>
      <c r="O2837" s="10">
        <f t="shared" si="224"/>
        <v>20.732499999983702</v>
      </c>
    </row>
    <row r="2838" spans="1:15">
      <c r="A2838" s="1" t="s">
        <v>2943</v>
      </c>
      <c r="B2838" s="23">
        <v>45213.474999999999</v>
      </c>
      <c r="C2838" s="1" t="s">
        <v>16</v>
      </c>
      <c r="D2838" s="1" t="s">
        <v>59</v>
      </c>
      <c r="E2838" s="1" t="s">
        <v>13</v>
      </c>
      <c r="F2838" s="1" t="s">
        <v>245</v>
      </c>
      <c r="G2838" s="1">
        <v>93</v>
      </c>
      <c r="H2838" s="23">
        <v>45213.781134259261</v>
      </c>
      <c r="I2838" s="1" t="b">
        <v>0</v>
      </c>
      <c r="K2838" s="10">
        <f t="shared" si="222"/>
        <v>7.3472222223063</v>
      </c>
      <c r="L2838" s="1" t="str">
        <f t="shared" si="223"/>
        <v>OK</v>
      </c>
      <c r="M2838" s="1">
        <f t="shared" si="220"/>
        <v>1</v>
      </c>
      <c r="N2838" s="1">
        <f t="shared" si="221"/>
        <v>93</v>
      </c>
      <c r="O2838" s="10">
        <f t="shared" si="224"/>
        <v>7.3472222223063</v>
      </c>
    </row>
    <row r="2839" spans="1:15">
      <c r="A2839" s="1" t="s">
        <v>2944</v>
      </c>
      <c r="B2839" s="23">
        <v>45213.680555555555</v>
      </c>
      <c r="C2839" s="1" t="s">
        <v>43</v>
      </c>
      <c r="D2839" s="1" t="s">
        <v>17</v>
      </c>
      <c r="E2839" s="1" t="s">
        <v>18</v>
      </c>
      <c r="F2839" s="1" t="s">
        <v>114</v>
      </c>
      <c r="G2839" s="1">
        <v>131</v>
      </c>
      <c r="H2839" s="23">
        <v>45215.410324074073</v>
      </c>
      <c r="I2839" s="1" t="b">
        <v>0</v>
      </c>
      <c r="K2839" s="10">
        <f t="shared" si="222"/>
        <v>41.514444444444962</v>
      </c>
      <c r="L2839" s="1" t="str">
        <f t="shared" si="223"/>
        <v>OK</v>
      </c>
      <c r="M2839" s="1">
        <f t="shared" si="220"/>
        <v>1</v>
      </c>
      <c r="N2839" s="1">
        <f t="shared" si="221"/>
        <v>131</v>
      </c>
      <c r="O2839" s="10">
        <f t="shared" si="224"/>
        <v>41.514444444444962</v>
      </c>
    </row>
    <row r="2840" spans="1:15">
      <c r="A2840" s="1" t="s">
        <v>2945</v>
      </c>
      <c r="B2840" s="23">
        <v>45213.688888888886</v>
      </c>
      <c r="C2840" s="1" t="s">
        <v>43</v>
      </c>
      <c r="D2840" s="1" t="s">
        <v>17</v>
      </c>
      <c r="E2840" s="1" t="s">
        <v>13</v>
      </c>
      <c r="F2840" s="1" t="s">
        <v>224</v>
      </c>
      <c r="G2840" s="1">
        <v>45</v>
      </c>
      <c r="H2840" s="23">
        <v>45214.031145833331</v>
      </c>
      <c r="I2840" s="1" t="b">
        <v>0</v>
      </c>
      <c r="K2840" s="10">
        <f t="shared" si="222"/>
        <v>8.2141666666720994</v>
      </c>
      <c r="L2840" s="1" t="str">
        <f t="shared" si="223"/>
        <v>OK</v>
      </c>
      <c r="M2840" s="1">
        <f t="shared" si="220"/>
        <v>1</v>
      </c>
      <c r="N2840" s="1">
        <f t="shared" si="221"/>
        <v>45</v>
      </c>
      <c r="O2840" s="10">
        <f t="shared" si="224"/>
        <v>8.2141666666720994</v>
      </c>
    </row>
    <row r="2841" spans="1:15">
      <c r="A2841" s="1" t="s">
        <v>2946</v>
      </c>
      <c r="B2841" s="23">
        <v>45213.70416666667</v>
      </c>
      <c r="C2841" s="1" t="s">
        <v>11</v>
      </c>
      <c r="D2841" s="1" t="s">
        <v>17</v>
      </c>
      <c r="E2841" s="1" t="s">
        <v>13</v>
      </c>
      <c r="F2841" s="1" t="s">
        <v>94</v>
      </c>
      <c r="G2841" s="1">
        <v>494</v>
      </c>
      <c r="H2841" s="23">
        <v>45214.067152777781</v>
      </c>
      <c r="I2841" s="1" t="b">
        <v>0</v>
      </c>
      <c r="K2841" s="10">
        <f t="shared" si="222"/>
        <v>8.7116666666697711</v>
      </c>
      <c r="L2841" s="1" t="str">
        <f t="shared" si="223"/>
        <v>OK</v>
      </c>
      <c r="M2841" s="1">
        <f t="shared" si="220"/>
        <v>1</v>
      </c>
      <c r="N2841" s="1">
        <f t="shared" si="221"/>
        <v>494</v>
      </c>
      <c r="O2841" s="10">
        <f t="shared" si="224"/>
        <v>8.7116666666697711</v>
      </c>
    </row>
    <row r="2842" spans="1:15">
      <c r="A2842" s="1" t="s">
        <v>2947</v>
      </c>
      <c r="B2842" s="23">
        <v>45213.745138888888</v>
      </c>
      <c r="C2842" s="1" t="s">
        <v>25</v>
      </c>
      <c r="D2842" s="1" t="s">
        <v>59</v>
      </c>
      <c r="E2842" s="1" t="s">
        <v>18</v>
      </c>
      <c r="F2842" s="1" t="s">
        <v>14</v>
      </c>
      <c r="G2842" s="1">
        <v>104</v>
      </c>
      <c r="H2842" s="23">
        <v>45214.454039351855</v>
      </c>
      <c r="I2842" s="1" t="b">
        <v>1</v>
      </c>
      <c r="K2842" s="10">
        <f t="shared" si="222"/>
        <v>17.013611111207865</v>
      </c>
      <c r="L2842" s="1" t="str">
        <f t="shared" si="223"/>
        <v>OK</v>
      </c>
      <c r="M2842" s="1">
        <f t="shared" si="220"/>
        <v>1</v>
      </c>
      <c r="N2842" s="1">
        <f t="shared" si="221"/>
        <v>104</v>
      </c>
      <c r="O2842" s="10">
        <f t="shared" si="224"/>
        <v>17.013611111207865</v>
      </c>
    </row>
    <row r="2843" spans="1:15">
      <c r="A2843" s="1" t="s">
        <v>2948</v>
      </c>
      <c r="B2843" s="23">
        <v>45213.837500000001</v>
      </c>
      <c r="C2843" s="1" t="s">
        <v>11</v>
      </c>
      <c r="D2843" s="1" t="s">
        <v>21</v>
      </c>
      <c r="E2843" s="1" t="s">
        <v>33</v>
      </c>
      <c r="F2843" s="1" t="s">
        <v>392</v>
      </c>
      <c r="G2843" s="1">
        <v>474</v>
      </c>
      <c r="H2843" s="23">
        <v>45214.890555555554</v>
      </c>
      <c r="I2843" s="1" t="b">
        <v>0</v>
      </c>
      <c r="J2843" s="1">
        <v>2</v>
      </c>
      <c r="K2843" s="10">
        <f t="shared" si="222"/>
        <v>25.273333333258051</v>
      </c>
      <c r="L2843" s="1" t="str">
        <f t="shared" si="223"/>
        <v>OK</v>
      </c>
      <c r="M2843" s="1">
        <f t="shared" si="220"/>
        <v>1</v>
      </c>
      <c r="N2843" s="1">
        <f t="shared" si="221"/>
        <v>474</v>
      </c>
      <c r="O2843" s="10">
        <f t="shared" si="224"/>
        <v>25.273333333258051</v>
      </c>
    </row>
    <row r="2844" spans="1:15">
      <c r="A2844" s="1" t="s">
        <v>2949</v>
      </c>
      <c r="B2844" s="23">
        <v>45213.838888888888</v>
      </c>
      <c r="C2844" s="1" t="s">
        <v>11</v>
      </c>
      <c r="D2844" s="1" t="s">
        <v>17</v>
      </c>
      <c r="E2844" s="1" t="s">
        <v>18</v>
      </c>
      <c r="F2844" s="1" t="s">
        <v>114</v>
      </c>
      <c r="G2844" s="1">
        <v>210</v>
      </c>
      <c r="H2844" s="23">
        <v>45215.52275462963</v>
      </c>
      <c r="I2844" s="1" t="b">
        <v>0</v>
      </c>
      <c r="K2844" s="10">
        <f t="shared" si="222"/>
        <v>40.412777777819429</v>
      </c>
      <c r="L2844" s="1" t="str">
        <f t="shared" si="223"/>
        <v>OK</v>
      </c>
      <c r="M2844" s="1">
        <f t="shared" si="220"/>
        <v>1</v>
      </c>
      <c r="N2844" s="1">
        <f t="shared" si="221"/>
        <v>210</v>
      </c>
      <c r="O2844" s="10">
        <f t="shared" si="224"/>
        <v>40.412777777819429</v>
      </c>
    </row>
    <row r="2845" spans="1:15">
      <c r="A2845" s="1" t="s">
        <v>2950</v>
      </c>
      <c r="B2845" s="23">
        <v>45213.893055555556</v>
      </c>
      <c r="C2845" s="1" t="s">
        <v>11</v>
      </c>
      <c r="D2845" s="1" t="s">
        <v>59</v>
      </c>
      <c r="E2845" s="1" t="s">
        <v>13</v>
      </c>
      <c r="F2845" s="1" t="s">
        <v>178</v>
      </c>
      <c r="G2845" s="1">
        <v>10</v>
      </c>
      <c r="H2845" s="23">
        <v>45215.725127314814</v>
      </c>
      <c r="I2845" s="1" t="b">
        <v>0</v>
      </c>
      <c r="J2845" s="1">
        <v>5</v>
      </c>
      <c r="K2845" s="10">
        <f t="shared" si="222"/>
        <v>43.969722222187556</v>
      </c>
      <c r="L2845" s="1" t="str">
        <f t="shared" si="223"/>
        <v>OK</v>
      </c>
      <c r="M2845" s="1">
        <f t="shared" si="220"/>
        <v>1</v>
      </c>
      <c r="N2845" s="1">
        <f t="shared" si="221"/>
        <v>10</v>
      </c>
      <c r="O2845" s="10">
        <f t="shared" si="224"/>
        <v>43.969722222187556</v>
      </c>
    </row>
    <row r="2846" spans="1:15">
      <c r="A2846" s="1" t="s">
        <v>2951</v>
      </c>
      <c r="B2846" s="23">
        <v>45213.90625</v>
      </c>
      <c r="C2846" s="1" t="s">
        <v>16</v>
      </c>
      <c r="D2846" s="1" t="s">
        <v>59</v>
      </c>
      <c r="E2846" s="1" t="s">
        <v>18</v>
      </c>
      <c r="F2846" s="1" t="s">
        <v>74</v>
      </c>
      <c r="G2846" s="1">
        <v>35</v>
      </c>
      <c r="H2846" s="23">
        <v>45214.260162037041</v>
      </c>
      <c r="I2846" s="1" t="b">
        <v>0</v>
      </c>
      <c r="J2846" s="1">
        <v>5</v>
      </c>
      <c r="K2846" s="10">
        <f t="shared" si="222"/>
        <v>8.4938888889737427</v>
      </c>
      <c r="L2846" s="1" t="str">
        <f t="shared" si="223"/>
        <v>OK</v>
      </c>
      <c r="M2846" s="1">
        <f t="shared" si="220"/>
        <v>1</v>
      </c>
      <c r="N2846" s="1">
        <f t="shared" si="221"/>
        <v>35</v>
      </c>
      <c r="O2846" s="10">
        <f t="shared" si="224"/>
        <v>8.4938888889737427</v>
      </c>
    </row>
    <row r="2847" spans="1:15">
      <c r="A2847" s="1" t="s">
        <v>2952</v>
      </c>
      <c r="B2847" s="23">
        <v>45213.986805555556</v>
      </c>
      <c r="C2847" s="1" t="s">
        <v>25</v>
      </c>
      <c r="D2847" s="1" t="s">
        <v>21</v>
      </c>
      <c r="E2847" s="1" t="s">
        <v>33</v>
      </c>
      <c r="F2847" s="1" t="s">
        <v>78</v>
      </c>
      <c r="G2847" s="1">
        <v>248</v>
      </c>
      <c r="H2847" s="23">
        <v>45218.388703703706</v>
      </c>
      <c r="I2847" s="1" t="b">
        <v>0</v>
      </c>
      <c r="K2847" s="10">
        <f t="shared" si="222"/>
        <v>105.64555555558763</v>
      </c>
      <c r="L2847" s="1" t="str">
        <f t="shared" si="223"/>
        <v>OK</v>
      </c>
      <c r="M2847" s="1">
        <f t="shared" si="220"/>
        <v>1</v>
      </c>
      <c r="N2847" s="1">
        <f t="shared" si="221"/>
        <v>248</v>
      </c>
      <c r="O2847" s="10">
        <f t="shared" si="224"/>
        <v>105.64555555558763</v>
      </c>
    </row>
    <row r="2848" spans="1:15">
      <c r="A2848" s="1" t="s">
        <v>2953</v>
      </c>
      <c r="B2848" s="23">
        <v>45214.030555555553</v>
      </c>
      <c r="C2848" s="1" t="s">
        <v>16</v>
      </c>
      <c r="D2848" s="1" t="s">
        <v>17</v>
      </c>
      <c r="E2848" s="1" t="s">
        <v>33</v>
      </c>
      <c r="F2848" s="1" t="s">
        <v>245</v>
      </c>
      <c r="G2848" s="1">
        <v>309</v>
      </c>
      <c r="H2848" s="23">
        <v>45227.048587962963</v>
      </c>
      <c r="I2848" s="1" t="b">
        <v>1</v>
      </c>
      <c r="K2848" s="10">
        <f t="shared" si="222"/>
        <v>312.43277777783806</v>
      </c>
      <c r="L2848" s="1" t="str">
        <f t="shared" si="223"/>
        <v>OK</v>
      </c>
      <c r="M2848" s="1">
        <f t="shared" si="220"/>
        <v>1</v>
      </c>
      <c r="N2848" s="1">
        <f t="shared" si="221"/>
        <v>309</v>
      </c>
      <c r="O2848" s="10">
        <f t="shared" si="224"/>
        <v>312.43277777783806</v>
      </c>
    </row>
    <row r="2849" spans="1:15">
      <c r="A2849" s="1" t="s">
        <v>2954</v>
      </c>
      <c r="B2849" s="23">
        <v>45214.041666666664</v>
      </c>
      <c r="C2849" s="1" t="s">
        <v>16</v>
      </c>
      <c r="D2849" s="1" t="s">
        <v>26</v>
      </c>
      <c r="E2849" s="1" t="s">
        <v>18</v>
      </c>
      <c r="F2849" s="1" t="s">
        <v>128</v>
      </c>
      <c r="H2849" s="23">
        <v>45214.365682870368</v>
      </c>
      <c r="I2849" s="1" t="b">
        <v>0</v>
      </c>
      <c r="K2849" s="10">
        <f t="shared" si="222"/>
        <v>7.7763888888875954</v>
      </c>
      <c r="L2849" s="1" t="str">
        <f t="shared" si="223"/>
        <v>Cannot check</v>
      </c>
      <c r="M2849" s="1">
        <f t="shared" si="220"/>
        <v>1</v>
      </c>
      <c r="N2849" s="1" t="str">
        <f t="shared" si="221"/>
        <v/>
      </c>
      <c r="O2849" s="10">
        <f t="shared" si="224"/>
        <v>7.7763888888875954</v>
      </c>
    </row>
    <row r="2850" spans="1:15">
      <c r="A2850" s="1" t="s">
        <v>2955</v>
      </c>
      <c r="B2850" s="23">
        <v>45214.046527777777</v>
      </c>
      <c r="C2850" s="1" t="s">
        <v>16</v>
      </c>
      <c r="D2850" s="1" t="s">
        <v>17</v>
      </c>
      <c r="E2850" s="1" t="s">
        <v>13</v>
      </c>
      <c r="F2850" s="1" t="s">
        <v>35</v>
      </c>
      <c r="G2850" s="1">
        <v>13</v>
      </c>
      <c r="H2850" s="23">
        <v>45215.096145833333</v>
      </c>
      <c r="I2850" s="1" t="b">
        <v>0</v>
      </c>
      <c r="K2850" s="10">
        <f t="shared" si="222"/>
        <v>25.19083333335584</v>
      </c>
      <c r="L2850" s="1" t="str">
        <f t="shared" si="223"/>
        <v>OK</v>
      </c>
      <c r="M2850" s="1">
        <f t="shared" si="220"/>
        <v>1</v>
      </c>
      <c r="N2850" s="1">
        <f t="shared" si="221"/>
        <v>13</v>
      </c>
      <c r="O2850" s="10">
        <f t="shared" si="224"/>
        <v>25.19083333335584</v>
      </c>
    </row>
    <row r="2851" spans="1:15">
      <c r="A2851" s="1" t="s">
        <v>2956</v>
      </c>
      <c r="B2851" s="23">
        <v>45214.052083333336</v>
      </c>
      <c r="C2851" s="1" t="s">
        <v>25</v>
      </c>
      <c r="D2851" s="1" t="s">
        <v>12</v>
      </c>
      <c r="E2851" s="1" t="s">
        <v>13</v>
      </c>
      <c r="F2851" s="1" t="s">
        <v>106</v>
      </c>
      <c r="G2851" s="1">
        <v>3</v>
      </c>
      <c r="H2851" s="23">
        <v>45216.022187499999</v>
      </c>
      <c r="I2851" s="1" t="b">
        <v>0</v>
      </c>
      <c r="J2851" s="1">
        <v>1</v>
      </c>
      <c r="K2851" s="10">
        <f t="shared" si="222"/>
        <v>47.282499999913853</v>
      </c>
      <c r="L2851" s="1" t="str">
        <f t="shared" si="223"/>
        <v>OK</v>
      </c>
      <c r="M2851" s="1">
        <f t="shared" si="220"/>
        <v>1</v>
      </c>
      <c r="N2851" s="1">
        <f t="shared" si="221"/>
        <v>3</v>
      </c>
      <c r="O2851" s="10">
        <f t="shared" si="224"/>
        <v>47.282499999913853</v>
      </c>
    </row>
    <row r="2852" spans="1:15">
      <c r="A2852" s="1" t="s">
        <v>2957</v>
      </c>
      <c r="B2852" s="23">
        <v>45214.140972222223</v>
      </c>
      <c r="C2852" s="1" t="s">
        <v>25</v>
      </c>
      <c r="D2852" s="1" t="s">
        <v>59</v>
      </c>
      <c r="E2852" s="1" t="s">
        <v>18</v>
      </c>
      <c r="F2852" s="1" t="s">
        <v>415</v>
      </c>
      <c r="G2852" s="1">
        <v>580</v>
      </c>
      <c r="H2852" s="23">
        <v>45214.522210648145</v>
      </c>
      <c r="I2852" s="1" t="b">
        <v>0</v>
      </c>
      <c r="J2852" s="1">
        <v>4</v>
      </c>
      <c r="K2852" s="10">
        <f t="shared" si="222"/>
        <v>9.1497222221223637</v>
      </c>
      <c r="L2852" s="1" t="str">
        <f t="shared" si="223"/>
        <v>Review</v>
      </c>
      <c r="M2852" s="1">
        <f t="shared" si="220"/>
        <v>1</v>
      </c>
      <c r="N2852" s="1" t="str">
        <f t="shared" si="221"/>
        <v/>
      </c>
      <c r="O2852" s="10" t="str">
        <f t="shared" si="224"/>
        <v/>
      </c>
    </row>
    <row r="2853" spans="1:15">
      <c r="A2853" s="1" t="s">
        <v>2958</v>
      </c>
      <c r="B2853" s="23">
        <v>45214.227083333331</v>
      </c>
      <c r="C2853" s="1" t="s">
        <v>25</v>
      </c>
      <c r="D2853" s="1" t="s">
        <v>26</v>
      </c>
      <c r="E2853" s="1" t="s">
        <v>33</v>
      </c>
      <c r="F2853" s="1" t="s">
        <v>132</v>
      </c>
      <c r="G2853" s="1">
        <v>149</v>
      </c>
      <c r="I2853" s="1" t="b">
        <v>0</v>
      </c>
      <c r="K2853" s="10" t="str">
        <f t="shared" si="222"/>
        <v/>
      </c>
      <c r="L2853" s="1" t="str">
        <f t="shared" si="223"/>
        <v>Cannot check</v>
      </c>
      <c r="M2853" s="1">
        <f t="shared" si="220"/>
        <v>1</v>
      </c>
      <c r="N2853" s="1">
        <f t="shared" si="221"/>
        <v>149</v>
      </c>
      <c r="O2853" s="10" t="str">
        <f t="shared" si="224"/>
        <v/>
      </c>
    </row>
    <row r="2854" spans="1:15">
      <c r="A2854" s="1" t="s">
        <v>2959</v>
      </c>
      <c r="B2854" s="23">
        <v>45214.313888888886</v>
      </c>
      <c r="C2854" s="1" t="s">
        <v>25</v>
      </c>
      <c r="D2854" s="1" t="s">
        <v>17</v>
      </c>
      <c r="E2854" s="1" t="s">
        <v>22</v>
      </c>
      <c r="F2854" s="1" t="s">
        <v>274</v>
      </c>
      <c r="G2854" s="1">
        <v>6</v>
      </c>
      <c r="H2854" s="23">
        <v>45214.43241898148</v>
      </c>
      <c r="I2854" s="1" t="b">
        <v>0</v>
      </c>
      <c r="K2854" s="10">
        <f t="shared" si="222"/>
        <v>2.844722222245764</v>
      </c>
      <c r="L2854" s="1" t="str">
        <f t="shared" si="223"/>
        <v>OK</v>
      </c>
      <c r="M2854" s="1">
        <f t="shared" si="220"/>
        <v>1</v>
      </c>
      <c r="N2854" s="1">
        <f t="shared" si="221"/>
        <v>6</v>
      </c>
      <c r="O2854" s="10">
        <f t="shared" si="224"/>
        <v>2.844722222245764</v>
      </c>
    </row>
    <row r="2855" spans="1:15">
      <c r="A2855" s="1" t="s">
        <v>2960</v>
      </c>
      <c r="B2855" s="23">
        <v>45214.35</v>
      </c>
      <c r="C2855" s="1" t="s">
        <v>16</v>
      </c>
      <c r="D2855" s="1" t="s">
        <v>17</v>
      </c>
      <c r="E2855" s="1" t="s">
        <v>18</v>
      </c>
      <c r="F2855" s="1" t="s">
        <v>86</v>
      </c>
      <c r="G2855" s="1">
        <v>16</v>
      </c>
      <c r="H2855" s="23">
        <v>45217.806354166663</v>
      </c>
      <c r="I2855" s="1" t="b">
        <v>0</v>
      </c>
      <c r="J2855" s="1">
        <v>5</v>
      </c>
      <c r="K2855" s="10">
        <f t="shared" si="222"/>
        <v>82.952499999955762</v>
      </c>
      <c r="L2855" s="1" t="str">
        <f t="shared" si="223"/>
        <v>OK</v>
      </c>
      <c r="M2855" s="1">
        <f t="shared" si="220"/>
        <v>1</v>
      </c>
      <c r="N2855" s="1">
        <f t="shared" si="221"/>
        <v>16</v>
      </c>
      <c r="O2855" s="10">
        <f t="shared" si="224"/>
        <v>82.952499999955762</v>
      </c>
    </row>
    <row r="2856" spans="1:15">
      <c r="A2856" s="1" t="s">
        <v>2961</v>
      </c>
      <c r="B2856" s="23">
        <v>45214.36041666667</v>
      </c>
      <c r="C2856" s="1" t="s">
        <v>16</v>
      </c>
      <c r="D2856" s="1" t="s">
        <v>21</v>
      </c>
      <c r="E2856" s="1" t="s">
        <v>13</v>
      </c>
      <c r="F2856" s="1" t="s">
        <v>224</v>
      </c>
      <c r="G2856" s="1">
        <v>69</v>
      </c>
      <c r="H2856" s="23">
        <v>45215.513460648152</v>
      </c>
      <c r="I2856" s="1" t="b">
        <v>0</v>
      </c>
      <c r="K2856" s="10">
        <f t="shared" si="222"/>
        <v>27.673055555555038</v>
      </c>
      <c r="L2856" s="1" t="str">
        <f t="shared" si="223"/>
        <v>OK</v>
      </c>
      <c r="M2856" s="1">
        <f t="shared" si="220"/>
        <v>1</v>
      </c>
      <c r="N2856" s="1">
        <f t="shared" si="221"/>
        <v>69</v>
      </c>
      <c r="O2856" s="10">
        <f t="shared" si="224"/>
        <v>27.673055555555038</v>
      </c>
    </row>
    <row r="2857" spans="1:15">
      <c r="A2857" s="1" t="s">
        <v>2962</v>
      </c>
      <c r="B2857" s="23">
        <v>45214.475694444445</v>
      </c>
      <c r="C2857" s="1" t="s">
        <v>11</v>
      </c>
      <c r="D2857" s="1" t="s">
        <v>26</v>
      </c>
      <c r="E2857" s="1" t="s">
        <v>18</v>
      </c>
      <c r="F2857" s="1" t="s">
        <v>98</v>
      </c>
      <c r="G2857" s="1">
        <v>98</v>
      </c>
      <c r="H2857" s="23">
        <v>45215.062569444446</v>
      </c>
      <c r="I2857" s="1" t="b">
        <v>0</v>
      </c>
      <c r="K2857" s="10">
        <f t="shared" si="222"/>
        <v>14.085000000020955</v>
      </c>
      <c r="L2857" s="1" t="str">
        <f t="shared" si="223"/>
        <v>OK</v>
      </c>
      <c r="M2857" s="1">
        <f t="shared" si="220"/>
        <v>1</v>
      </c>
      <c r="N2857" s="1">
        <f t="shared" si="221"/>
        <v>98</v>
      </c>
      <c r="O2857" s="10">
        <f t="shared" si="224"/>
        <v>14.085000000020955</v>
      </c>
    </row>
    <row r="2858" spans="1:15">
      <c r="A2858" s="1" t="s">
        <v>2963</v>
      </c>
      <c r="B2858" s="23">
        <v>45214.575694444444</v>
      </c>
      <c r="C2858" s="1" t="s">
        <v>25</v>
      </c>
      <c r="D2858" s="1" t="s">
        <v>12</v>
      </c>
      <c r="E2858" s="1" t="s">
        <v>13</v>
      </c>
      <c r="F2858" s="1" t="s">
        <v>100</v>
      </c>
      <c r="G2858" s="1">
        <v>21</v>
      </c>
      <c r="H2858" s="23">
        <v>45216.643101851849</v>
      </c>
      <c r="I2858" s="1" t="b">
        <v>0</v>
      </c>
      <c r="J2858" s="1">
        <v>5</v>
      </c>
      <c r="K2858" s="10">
        <f t="shared" si="222"/>
        <v>49.617777777719311</v>
      </c>
      <c r="L2858" s="1" t="str">
        <f t="shared" si="223"/>
        <v>OK</v>
      </c>
      <c r="M2858" s="1">
        <f t="shared" si="220"/>
        <v>1</v>
      </c>
      <c r="N2858" s="1">
        <f t="shared" si="221"/>
        <v>21</v>
      </c>
      <c r="O2858" s="10">
        <f t="shared" si="224"/>
        <v>49.617777777719311</v>
      </c>
    </row>
    <row r="2859" spans="1:15">
      <c r="A2859" s="1" t="s">
        <v>2964</v>
      </c>
      <c r="B2859" s="23">
        <v>45214.817361111112</v>
      </c>
      <c r="C2859" s="1" t="s">
        <v>25</v>
      </c>
      <c r="D2859" s="1" t="s">
        <v>17</v>
      </c>
      <c r="E2859" s="1" t="s">
        <v>18</v>
      </c>
      <c r="F2859" s="1" t="s">
        <v>709</v>
      </c>
      <c r="G2859" s="1">
        <v>27</v>
      </c>
      <c r="H2859" s="23">
        <v>45219.239629629628</v>
      </c>
      <c r="I2859" s="1" t="b">
        <v>0</v>
      </c>
      <c r="K2859" s="10">
        <f t="shared" si="222"/>
        <v>106.1344444443821</v>
      </c>
      <c r="L2859" s="1" t="str">
        <f t="shared" si="223"/>
        <v>OK</v>
      </c>
      <c r="M2859" s="1">
        <f t="shared" si="220"/>
        <v>1</v>
      </c>
      <c r="N2859" s="1">
        <f t="shared" si="221"/>
        <v>27</v>
      </c>
      <c r="O2859" s="10">
        <f t="shared" si="224"/>
        <v>106.1344444443821</v>
      </c>
    </row>
    <row r="2860" spans="1:15">
      <c r="A2860" s="1" t="s">
        <v>2965</v>
      </c>
      <c r="B2860" s="23">
        <v>45214.868750000001</v>
      </c>
      <c r="C2860" s="1" t="s">
        <v>16</v>
      </c>
      <c r="D2860" s="1" t="s">
        <v>21</v>
      </c>
      <c r="E2860" s="1" t="s">
        <v>18</v>
      </c>
      <c r="F2860" s="1" t="s">
        <v>74</v>
      </c>
      <c r="G2860" s="1">
        <v>82</v>
      </c>
      <c r="H2860" s="23">
        <v>45216.328900462962</v>
      </c>
      <c r="I2860" s="1" t="b">
        <v>0</v>
      </c>
      <c r="K2860" s="10">
        <f t="shared" si="222"/>
        <v>35.043611111061182</v>
      </c>
      <c r="L2860" s="1" t="str">
        <f t="shared" si="223"/>
        <v>OK</v>
      </c>
      <c r="M2860" s="1">
        <f t="shared" si="220"/>
        <v>1</v>
      </c>
      <c r="N2860" s="1">
        <f t="shared" si="221"/>
        <v>82</v>
      </c>
      <c r="O2860" s="10">
        <f t="shared" si="224"/>
        <v>35.043611111061182</v>
      </c>
    </row>
    <row r="2861" spans="1:15">
      <c r="A2861" s="1" t="s">
        <v>2966</v>
      </c>
      <c r="B2861" s="23">
        <v>45214.897222222222</v>
      </c>
      <c r="C2861" s="1" t="s">
        <v>16</v>
      </c>
      <c r="D2861" s="1" t="s">
        <v>17</v>
      </c>
      <c r="E2861" s="1" t="s">
        <v>13</v>
      </c>
      <c r="F2861" s="1" t="s">
        <v>198</v>
      </c>
      <c r="G2861" s="1">
        <v>84</v>
      </c>
      <c r="I2861" s="1" t="b">
        <v>0</v>
      </c>
      <c r="K2861" s="10" t="str">
        <f t="shared" si="222"/>
        <v/>
      </c>
      <c r="L2861" s="1" t="str">
        <f t="shared" si="223"/>
        <v>Cannot check</v>
      </c>
      <c r="M2861" s="1">
        <f t="shared" si="220"/>
        <v>1</v>
      </c>
      <c r="N2861" s="1">
        <f t="shared" si="221"/>
        <v>84</v>
      </c>
      <c r="O2861" s="10" t="str">
        <f t="shared" si="224"/>
        <v/>
      </c>
    </row>
    <row r="2862" spans="1:15">
      <c r="A2862" s="1" t="s">
        <v>2967</v>
      </c>
      <c r="B2862" s="23">
        <v>45214.923611111109</v>
      </c>
      <c r="C2862" s="1" t="s">
        <v>11</v>
      </c>
      <c r="D2862" s="1" t="s">
        <v>12</v>
      </c>
      <c r="E2862" s="1" t="s">
        <v>18</v>
      </c>
      <c r="F2862" s="1" t="s">
        <v>66</v>
      </c>
      <c r="G2862" s="1">
        <v>208</v>
      </c>
      <c r="H2862" s="23">
        <v>45215.897175925929</v>
      </c>
      <c r="I2862" s="1" t="b">
        <v>0</v>
      </c>
      <c r="K2862" s="10">
        <f t="shared" si="222"/>
        <v>23.36555555567611</v>
      </c>
      <c r="L2862" s="1" t="str">
        <f t="shared" si="223"/>
        <v>OK</v>
      </c>
      <c r="M2862" s="1">
        <f t="shared" si="220"/>
        <v>1</v>
      </c>
      <c r="N2862" s="1">
        <f t="shared" si="221"/>
        <v>208</v>
      </c>
      <c r="O2862" s="10">
        <f t="shared" si="224"/>
        <v>23.36555555567611</v>
      </c>
    </row>
    <row r="2863" spans="1:15">
      <c r="A2863" s="1" t="s">
        <v>2968</v>
      </c>
      <c r="B2863" s="23">
        <v>45215.015972222223</v>
      </c>
      <c r="C2863" s="1" t="s">
        <v>16</v>
      </c>
      <c r="D2863" s="1" t="s">
        <v>59</v>
      </c>
      <c r="E2863" s="1" t="s">
        <v>18</v>
      </c>
      <c r="F2863" s="1" t="s">
        <v>39</v>
      </c>
      <c r="G2863" s="1">
        <v>734</v>
      </c>
      <c r="H2863" s="23">
        <v>45215.672280092593</v>
      </c>
      <c r="I2863" s="1" t="b">
        <v>0</v>
      </c>
      <c r="K2863" s="10">
        <f t="shared" si="222"/>
        <v>15.751388888864312</v>
      </c>
      <c r="L2863" s="1" t="str">
        <f t="shared" si="223"/>
        <v>OK</v>
      </c>
      <c r="M2863" s="1">
        <f t="shared" si="220"/>
        <v>1</v>
      </c>
      <c r="N2863" s="1">
        <f t="shared" si="221"/>
        <v>734</v>
      </c>
      <c r="O2863" s="10">
        <f t="shared" si="224"/>
        <v>15.751388888864312</v>
      </c>
    </row>
    <row r="2864" spans="1:15">
      <c r="A2864" s="1" t="s">
        <v>2969</v>
      </c>
      <c r="B2864" s="23">
        <v>45215.044444444444</v>
      </c>
      <c r="C2864" s="1" t="s">
        <v>11</v>
      </c>
      <c r="D2864" s="1" t="s">
        <v>26</v>
      </c>
      <c r="E2864" s="1" t="s">
        <v>33</v>
      </c>
      <c r="F2864" s="1" t="s">
        <v>226</v>
      </c>
      <c r="G2864" s="1">
        <v>117</v>
      </c>
      <c r="H2864" s="23">
        <v>45219.850706018522</v>
      </c>
      <c r="I2864" s="1" t="b">
        <v>0</v>
      </c>
      <c r="K2864" s="10">
        <f t="shared" si="222"/>
        <v>115.35027777787764</v>
      </c>
      <c r="L2864" s="1" t="str">
        <f t="shared" si="223"/>
        <v>OK</v>
      </c>
      <c r="M2864" s="1">
        <f t="shared" si="220"/>
        <v>1</v>
      </c>
      <c r="N2864" s="1">
        <f t="shared" si="221"/>
        <v>117</v>
      </c>
      <c r="O2864" s="10">
        <f t="shared" si="224"/>
        <v>115.35027777787764</v>
      </c>
    </row>
    <row r="2865" spans="1:15">
      <c r="A2865" s="1" t="s">
        <v>2970</v>
      </c>
      <c r="B2865" s="23">
        <v>45215.145833333336</v>
      </c>
      <c r="C2865" s="1" t="s">
        <v>25</v>
      </c>
      <c r="D2865" s="1" t="s">
        <v>21</v>
      </c>
      <c r="E2865" s="1" t="s">
        <v>18</v>
      </c>
      <c r="F2865" s="1" t="s">
        <v>134</v>
      </c>
      <c r="G2865" s="1">
        <v>55</v>
      </c>
      <c r="I2865" s="1" t="b">
        <v>0</v>
      </c>
      <c r="K2865" s="10" t="str">
        <f t="shared" si="222"/>
        <v/>
      </c>
      <c r="L2865" s="1" t="str">
        <f t="shared" si="223"/>
        <v>Cannot check</v>
      </c>
      <c r="M2865" s="1">
        <f t="shared" si="220"/>
        <v>1</v>
      </c>
      <c r="N2865" s="1">
        <f t="shared" si="221"/>
        <v>55</v>
      </c>
      <c r="O2865" s="10" t="str">
        <f t="shared" si="224"/>
        <v/>
      </c>
    </row>
    <row r="2866" spans="1:15">
      <c r="A2866" s="1" t="s">
        <v>2971</v>
      </c>
      <c r="B2866" s="23">
        <v>45215.181250000001</v>
      </c>
      <c r="C2866" s="1" t="s">
        <v>43</v>
      </c>
      <c r="D2866" s="1" t="s">
        <v>21</v>
      </c>
      <c r="E2866" s="1" t="s">
        <v>18</v>
      </c>
      <c r="F2866" s="1" t="s">
        <v>317</v>
      </c>
      <c r="G2866" s="1">
        <v>149</v>
      </c>
      <c r="H2866" s="23">
        <v>45216.096828703703</v>
      </c>
      <c r="I2866" s="1" t="b">
        <v>0</v>
      </c>
      <c r="K2866" s="10">
        <f t="shared" si="222"/>
        <v>21.973888888838701</v>
      </c>
      <c r="L2866" s="1" t="str">
        <f t="shared" si="223"/>
        <v>OK</v>
      </c>
      <c r="M2866" s="1">
        <f t="shared" si="220"/>
        <v>1</v>
      </c>
      <c r="N2866" s="1">
        <f t="shared" si="221"/>
        <v>149</v>
      </c>
      <c r="O2866" s="10">
        <f t="shared" si="224"/>
        <v>21.973888888838701</v>
      </c>
    </row>
    <row r="2867" spans="1:15">
      <c r="A2867" s="1" t="s">
        <v>2972</v>
      </c>
      <c r="B2867" s="23">
        <v>45215.206250000003</v>
      </c>
      <c r="C2867" s="1" t="s">
        <v>25</v>
      </c>
      <c r="D2867" s="1" t="s">
        <v>26</v>
      </c>
      <c r="E2867" s="1" t="s">
        <v>18</v>
      </c>
      <c r="F2867" s="1" t="s">
        <v>274</v>
      </c>
      <c r="G2867" s="1">
        <v>128</v>
      </c>
      <c r="H2867" s="23">
        <v>45215.932152777779</v>
      </c>
      <c r="I2867" s="1" t="b">
        <v>0</v>
      </c>
      <c r="K2867" s="10">
        <f t="shared" si="222"/>
        <v>17.421666666632518</v>
      </c>
      <c r="L2867" s="1" t="str">
        <f t="shared" si="223"/>
        <v>OK</v>
      </c>
      <c r="M2867" s="1">
        <f t="shared" si="220"/>
        <v>1</v>
      </c>
      <c r="N2867" s="1">
        <f t="shared" si="221"/>
        <v>128</v>
      </c>
      <c r="O2867" s="10">
        <f t="shared" si="224"/>
        <v>17.421666666632518</v>
      </c>
    </row>
    <row r="2868" spans="1:15">
      <c r="A2868" s="1" t="s">
        <v>2973</v>
      </c>
      <c r="B2868" s="23">
        <v>45215.224999999999</v>
      </c>
      <c r="C2868" s="1" t="s">
        <v>16</v>
      </c>
      <c r="D2868" s="1" t="s">
        <v>12</v>
      </c>
      <c r="E2868" s="1" t="s">
        <v>18</v>
      </c>
      <c r="F2868" s="1" t="s">
        <v>226</v>
      </c>
      <c r="G2868" s="1">
        <v>19</v>
      </c>
      <c r="H2868" s="23">
        <v>45218.99858796296</v>
      </c>
      <c r="I2868" s="1" t="b">
        <v>0</v>
      </c>
      <c r="K2868" s="10">
        <f t="shared" si="222"/>
        <v>90.566111111082137</v>
      </c>
      <c r="L2868" s="1" t="str">
        <f t="shared" si="223"/>
        <v>OK</v>
      </c>
      <c r="M2868" s="1">
        <f t="shared" si="220"/>
        <v>1</v>
      </c>
      <c r="N2868" s="1">
        <f t="shared" si="221"/>
        <v>19</v>
      </c>
      <c r="O2868" s="10">
        <f t="shared" si="224"/>
        <v>90.566111111082137</v>
      </c>
    </row>
    <row r="2869" spans="1:15">
      <c r="A2869" s="1" t="s">
        <v>2974</v>
      </c>
      <c r="B2869" s="23">
        <v>45215.246527777781</v>
      </c>
      <c r="C2869" s="1" t="s">
        <v>43</v>
      </c>
      <c r="D2869" s="1" t="s">
        <v>17</v>
      </c>
      <c r="E2869" s="1" t="s">
        <v>13</v>
      </c>
      <c r="F2869" s="1" t="s">
        <v>29</v>
      </c>
      <c r="G2869" s="1">
        <v>49</v>
      </c>
      <c r="H2869" s="23">
        <v>45228.618333333332</v>
      </c>
      <c r="I2869" s="1" t="b">
        <v>0</v>
      </c>
      <c r="J2869" s="1">
        <v>5</v>
      </c>
      <c r="K2869" s="10">
        <f t="shared" si="222"/>
        <v>320.92333333322313</v>
      </c>
      <c r="L2869" s="1" t="str">
        <f t="shared" si="223"/>
        <v>OK</v>
      </c>
      <c r="M2869" s="1">
        <f t="shared" si="220"/>
        <v>1</v>
      </c>
      <c r="N2869" s="1">
        <f t="shared" si="221"/>
        <v>49</v>
      </c>
      <c r="O2869" s="10">
        <f t="shared" si="224"/>
        <v>320.92333333322313</v>
      </c>
    </row>
    <row r="2870" spans="1:15">
      <c r="A2870" s="1" t="s">
        <v>2975</v>
      </c>
      <c r="B2870" s="23">
        <v>45215.306250000001</v>
      </c>
      <c r="C2870" s="1" t="s">
        <v>16</v>
      </c>
      <c r="D2870" s="1" t="s">
        <v>21</v>
      </c>
      <c r="E2870" s="1" t="s">
        <v>13</v>
      </c>
      <c r="F2870" s="1" t="s">
        <v>128</v>
      </c>
      <c r="G2870" s="1">
        <v>53</v>
      </c>
      <c r="H2870" s="23">
        <v>45216.217627314814</v>
      </c>
      <c r="I2870" s="1" t="b">
        <v>0</v>
      </c>
      <c r="K2870" s="10">
        <f t="shared" si="222"/>
        <v>21.873055555508472</v>
      </c>
      <c r="L2870" s="1" t="str">
        <f t="shared" si="223"/>
        <v>OK</v>
      </c>
      <c r="M2870" s="1">
        <f t="shared" si="220"/>
        <v>1</v>
      </c>
      <c r="N2870" s="1">
        <f t="shared" si="221"/>
        <v>53</v>
      </c>
      <c r="O2870" s="10">
        <f t="shared" si="224"/>
        <v>21.873055555508472</v>
      </c>
    </row>
    <row r="2871" spans="1:15">
      <c r="A2871" s="1" t="s">
        <v>2976</v>
      </c>
      <c r="B2871" s="23">
        <v>45215.386111111111</v>
      </c>
      <c r="C2871" s="1" t="s">
        <v>25</v>
      </c>
      <c r="D2871" s="1" t="s">
        <v>26</v>
      </c>
      <c r="E2871" s="1" t="s">
        <v>18</v>
      </c>
      <c r="F2871" s="1" t="s">
        <v>72</v>
      </c>
      <c r="G2871" s="1">
        <v>277</v>
      </c>
      <c r="H2871" s="23">
        <v>45218.244016203702</v>
      </c>
      <c r="I2871" s="1" t="b">
        <v>0</v>
      </c>
      <c r="K2871" s="10">
        <f t="shared" si="222"/>
        <v>68.5897222221829</v>
      </c>
      <c r="L2871" s="1" t="str">
        <f t="shared" si="223"/>
        <v>OK</v>
      </c>
      <c r="M2871" s="1">
        <f t="shared" si="220"/>
        <v>1</v>
      </c>
      <c r="N2871" s="1">
        <f t="shared" si="221"/>
        <v>277</v>
      </c>
      <c r="O2871" s="10">
        <f t="shared" si="224"/>
        <v>68.5897222221829</v>
      </c>
    </row>
    <row r="2872" spans="1:15">
      <c r="A2872" s="1" t="s">
        <v>2977</v>
      </c>
      <c r="B2872" s="23">
        <v>45215.394444444442</v>
      </c>
      <c r="C2872" s="1" t="s">
        <v>43</v>
      </c>
      <c r="D2872" s="1" t="s">
        <v>21</v>
      </c>
      <c r="E2872" s="1" t="s">
        <v>18</v>
      </c>
      <c r="F2872" s="1" t="s">
        <v>234</v>
      </c>
      <c r="G2872" s="1">
        <v>93</v>
      </c>
      <c r="H2872" s="23">
        <v>45216.379513888889</v>
      </c>
      <c r="I2872" s="1" t="b">
        <v>0</v>
      </c>
      <c r="K2872" s="10">
        <f t="shared" si="222"/>
        <v>23.641666666720994</v>
      </c>
      <c r="L2872" s="1" t="str">
        <f t="shared" si="223"/>
        <v>OK</v>
      </c>
      <c r="M2872" s="1">
        <f t="shared" si="220"/>
        <v>1</v>
      </c>
      <c r="N2872" s="1">
        <f t="shared" si="221"/>
        <v>93</v>
      </c>
      <c r="O2872" s="10">
        <f t="shared" si="224"/>
        <v>23.641666666720994</v>
      </c>
    </row>
    <row r="2873" spans="1:15">
      <c r="A2873" s="1" t="s">
        <v>2978</v>
      </c>
      <c r="B2873" s="23">
        <v>45215.588194444441</v>
      </c>
      <c r="C2873" s="1" t="s">
        <v>25</v>
      </c>
      <c r="D2873" s="1" t="s">
        <v>17</v>
      </c>
      <c r="E2873" s="1" t="s">
        <v>18</v>
      </c>
      <c r="F2873" s="1" t="s">
        <v>201</v>
      </c>
      <c r="G2873" s="1">
        <v>147</v>
      </c>
      <c r="H2873" s="23">
        <v>45218.236562500002</v>
      </c>
      <c r="I2873" s="1" t="b">
        <v>0</v>
      </c>
      <c r="K2873" s="10">
        <f t="shared" si="222"/>
        <v>63.560833333467599</v>
      </c>
      <c r="L2873" s="1" t="str">
        <f t="shared" si="223"/>
        <v>OK</v>
      </c>
      <c r="M2873" s="1">
        <f t="shared" si="220"/>
        <v>1</v>
      </c>
      <c r="N2873" s="1">
        <f t="shared" si="221"/>
        <v>147</v>
      </c>
      <c r="O2873" s="10">
        <f t="shared" si="224"/>
        <v>63.560833333467599</v>
      </c>
    </row>
    <row r="2874" spans="1:15">
      <c r="A2874" s="1" t="s">
        <v>2979</v>
      </c>
      <c r="B2874" s="23">
        <v>45215.598611111112</v>
      </c>
      <c r="C2874" s="1" t="s">
        <v>16</v>
      </c>
      <c r="D2874" s="1" t="s">
        <v>59</v>
      </c>
      <c r="E2874" s="1" t="s">
        <v>18</v>
      </c>
      <c r="F2874" s="1" t="s">
        <v>245</v>
      </c>
      <c r="G2874" s="1">
        <v>53</v>
      </c>
      <c r="H2874" s="23">
        <v>45216.270949074074</v>
      </c>
      <c r="I2874" s="1" t="b">
        <v>1</v>
      </c>
      <c r="K2874" s="10">
        <f t="shared" si="222"/>
        <v>16.136111111089122</v>
      </c>
      <c r="L2874" s="1" t="str">
        <f t="shared" si="223"/>
        <v>OK</v>
      </c>
      <c r="M2874" s="1">
        <f t="shared" si="220"/>
        <v>1</v>
      </c>
      <c r="N2874" s="1">
        <f t="shared" si="221"/>
        <v>53</v>
      </c>
      <c r="O2874" s="10">
        <f t="shared" si="224"/>
        <v>16.136111111089122</v>
      </c>
    </row>
    <row r="2875" spans="1:15">
      <c r="A2875" s="1" t="s">
        <v>2980</v>
      </c>
      <c r="B2875" s="23">
        <v>45215.619444444441</v>
      </c>
      <c r="C2875" s="1" t="s">
        <v>16</v>
      </c>
      <c r="D2875" s="1" t="s">
        <v>12</v>
      </c>
      <c r="E2875" s="1" t="s">
        <v>22</v>
      </c>
      <c r="F2875" s="1" t="s">
        <v>102</v>
      </c>
      <c r="G2875" s="1">
        <v>24</v>
      </c>
      <c r="H2875" s="23">
        <v>45216.009409722225</v>
      </c>
      <c r="I2875" s="1" t="b">
        <v>0</v>
      </c>
      <c r="K2875" s="10">
        <f t="shared" si="222"/>
        <v>9.3591666668071412</v>
      </c>
      <c r="L2875" s="1" t="str">
        <f t="shared" si="223"/>
        <v>OK</v>
      </c>
      <c r="M2875" s="1">
        <f t="shared" si="220"/>
        <v>1</v>
      </c>
      <c r="N2875" s="1">
        <f t="shared" si="221"/>
        <v>24</v>
      </c>
      <c r="O2875" s="10">
        <f t="shared" si="224"/>
        <v>9.3591666668071412</v>
      </c>
    </row>
    <row r="2876" spans="1:15">
      <c r="A2876" s="1" t="s">
        <v>2981</v>
      </c>
      <c r="B2876" s="23">
        <v>45215.761805555558</v>
      </c>
      <c r="C2876" s="1" t="s">
        <v>16</v>
      </c>
      <c r="D2876" s="1" t="s">
        <v>17</v>
      </c>
      <c r="E2876" s="1" t="s">
        <v>18</v>
      </c>
      <c r="F2876" s="1" t="s">
        <v>94</v>
      </c>
      <c r="G2876" s="1">
        <v>290</v>
      </c>
      <c r="H2876" s="23">
        <v>45219.449988425928</v>
      </c>
      <c r="I2876" s="1" t="b">
        <v>0</v>
      </c>
      <c r="K2876" s="10">
        <f t="shared" si="222"/>
        <v>88.516388888878282</v>
      </c>
      <c r="L2876" s="1" t="str">
        <f t="shared" si="223"/>
        <v>OK</v>
      </c>
      <c r="M2876" s="1">
        <f t="shared" si="220"/>
        <v>1</v>
      </c>
      <c r="N2876" s="1">
        <f t="shared" si="221"/>
        <v>290</v>
      </c>
      <c r="O2876" s="10">
        <f t="shared" si="224"/>
        <v>88.516388888878282</v>
      </c>
    </row>
    <row r="2877" spans="1:15">
      <c r="A2877" s="1" t="s">
        <v>2982</v>
      </c>
      <c r="B2877" s="23">
        <v>45215.768055555556</v>
      </c>
      <c r="C2877" s="1" t="s">
        <v>43</v>
      </c>
      <c r="D2877" s="1" t="s">
        <v>17</v>
      </c>
      <c r="E2877" s="1" t="s">
        <v>22</v>
      </c>
      <c r="F2877" s="1" t="s">
        <v>198</v>
      </c>
      <c r="G2877" s="1">
        <v>34</v>
      </c>
      <c r="H2877" s="23">
        <v>45216.233958333331</v>
      </c>
      <c r="I2877" s="1" t="b">
        <v>0</v>
      </c>
      <c r="J2877" s="1">
        <v>5</v>
      </c>
      <c r="K2877" s="10">
        <f t="shared" si="222"/>
        <v>11.181666666583624</v>
      </c>
      <c r="L2877" s="1" t="str">
        <f t="shared" si="223"/>
        <v>OK</v>
      </c>
      <c r="M2877" s="1">
        <f t="shared" si="220"/>
        <v>1</v>
      </c>
      <c r="N2877" s="1">
        <f t="shared" si="221"/>
        <v>34</v>
      </c>
      <c r="O2877" s="10">
        <f t="shared" si="224"/>
        <v>11.181666666583624</v>
      </c>
    </row>
    <row r="2878" spans="1:15">
      <c r="A2878" s="1" t="s">
        <v>2983</v>
      </c>
      <c r="B2878" s="23">
        <v>45215.804166666669</v>
      </c>
      <c r="C2878" s="1" t="s">
        <v>16</v>
      </c>
      <c r="D2878" s="1" t="s">
        <v>21</v>
      </c>
      <c r="E2878" s="1" t="s">
        <v>22</v>
      </c>
      <c r="F2878" s="1" t="s">
        <v>415</v>
      </c>
      <c r="G2878" s="1">
        <v>21</v>
      </c>
      <c r="H2878" s="23">
        <v>45216.377118055556</v>
      </c>
      <c r="I2878" s="1" t="b">
        <v>1</v>
      </c>
      <c r="J2878" s="1">
        <v>4</v>
      </c>
      <c r="K2878" s="10">
        <f t="shared" si="222"/>
        <v>13.750833333295304</v>
      </c>
      <c r="L2878" s="1" t="str">
        <f t="shared" si="223"/>
        <v>OK</v>
      </c>
      <c r="M2878" s="1">
        <f t="shared" si="220"/>
        <v>1</v>
      </c>
      <c r="N2878" s="1">
        <f t="shared" si="221"/>
        <v>21</v>
      </c>
      <c r="O2878" s="10">
        <f t="shared" si="224"/>
        <v>13.750833333295304</v>
      </c>
    </row>
    <row r="2879" spans="1:15">
      <c r="A2879" s="1" t="s">
        <v>2984</v>
      </c>
      <c r="B2879" s="23">
        <v>45215.988194444442</v>
      </c>
      <c r="C2879" s="1" t="s">
        <v>16</v>
      </c>
      <c r="D2879" s="1" t="s">
        <v>12</v>
      </c>
      <c r="E2879" s="1" t="s">
        <v>33</v>
      </c>
      <c r="F2879" s="1" t="s">
        <v>118</v>
      </c>
      <c r="G2879" s="1">
        <v>93</v>
      </c>
      <c r="H2879" s="23">
        <v>45217.306840277779</v>
      </c>
      <c r="I2879" s="1" t="b">
        <v>0</v>
      </c>
      <c r="K2879" s="10">
        <f t="shared" si="222"/>
        <v>31.647500000079162</v>
      </c>
      <c r="L2879" s="1" t="str">
        <f t="shared" si="223"/>
        <v>OK</v>
      </c>
      <c r="M2879" s="1">
        <f t="shared" si="220"/>
        <v>1</v>
      </c>
      <c r="N2879" s="1">
        <f t="shared" si="221"/>
        <v>93</v>
      </c>
      <c r="O2879" s="10">
        <f t="shared" si="224"/>
        <v>31.647500000079162</v>
      </c>
    </row>
    <row r="2880" spans="1:15">
      <c r="A2880" s="1" t="s">
        <v>2985</v>
      </c>
      <c r="B2880" s="23">
        <v>45216.208333333336</v>
      </c>
      <c r="C2880" s="1" t="s">
        <v>16</v>
      </c>
      <c r="D2880" s="1" t="s">
        <v>59</v>
      </c>
      <c r="E2880" s="1" t="s">
        <v>18</v>
      </c>
      <c r="F2880" s="1" t="s">
        <v>46</v>
      </c>
      <c r="H2880" s="23">
        <v>45219.099618055552</v>
      </c>
      <c r="I2880" s="1" t="b">
        <v>0</v>
      </c>
      <c r="J2880" s="1">
        <v>4</v>
      </c>
      <c r="K2880" s="10">
        <f t="shared" si="222"/>
        <v>69.390833333192859</v>
      </c>
      <c r="L2880" s="1" t="str">
        <f t="shared" si="223"/>
        <v>Cannot check</v>
      </c>
      <c r="M2880" s="1">
        <f t="shared" si="220"/>
        <v>1</v>
      </c>
      <c r="N2880" s="1" t="str">
        <f t="shared" si="221"/>
        <v/>
      </c>
      <c r="O2880" s="10">
        <f t="shared" si="224"/>
        <v>69.390833333192859</v>
      </c>
    </row>
    <row r="2881" spans="1:15">
      <c r="A2881" s="1" t="s">
        <v>2986</v>
      </c>
      <c r="B2881" s="23">
        <v>45216.222222222219</v>
      </c>
      <c r="C2881" s="1" t="s">
        <v>25</v>
      </c>
      <c r="D2881" s="1" t="s">
        <v>21</v>
      </c>
      <c r="E2881" s="1" t="s">
        <v>18</v>
      </c>
      <c r="F2881" s="1" t="s">
        <v>104</v>
      </c>
      <c r="G2881" s="1">
        <v>19</v>
      </c>
      <c r="H2881" s="23">
        <v>45217.057824074072</v>
      </c>
      <c r="I2881" s="1" t="b">
        <v>0</v>
      </c>
      <c r="K2881" s="10">
        <f t="shared" si="222"/>
        <v>20.054444444482215</v>
      </c>
      <c r="L2881" s="1" t="str">
        <f t="shared" si="223"/>
        <v>OK</v>
      </c>
      <c r="M2881" s="1">
        <f t="shared" si="220"/>
        <v>1</v>
      </c>
      <c r="N2881" s="1">
        <f t="shared" si="221"/>
        <v>19</v>
      </c>
      <c r="O2881" s="10">
        <f t="shared" si="224"/>
        <v>20.054444444482215</v>
      </c>
    </row>
    <row r="2882" spans="1:15">
      <c r="A2882" s="1" t="s">
        <v>2987</v>
      </c>
      <c r="B2882" s="23">
        <v>45216.292361111111</v>
      </c>
      <c r="C2882" s="1" t="s">
        <v>11</v>
      </c>
      <c r="D2882" s="1" t="s">
        <v>26</v>
      </c>
      <c r="E2882" s="1" t="s">
        <v>18</v>
      </c>
      <c r="F2882" s="1" t="s">
        <v>44</v>
      </c>
      <c r="G2882" s="1">
        <v>60</v>
      </c>
      <c r="H2882" s="23">
        <v>45216.742662037039</v>
      </c>
      <c r="I2882" s="1" t="b">
        <v>0</v>
      </c>
      <c r="K2882" s="10">
        <f t="shared" si="222"/>
        <v>10.807222222269047</v>
      </c>
      <c r="L2882" s="1" t="str">
        <f t="shared" si="223"/>
        <v>OK</v>
      </c>
      <c r="M2882" s="1">
        <f t="shared" ref="M2882:M2945" si="225">COUNTIF($A$2:$A$4001,A2882)</f>
        <v>1</v>
      </c>
      <c r="N2882" s="1">
        <f t="shared" ref="N2882:N2945" si="226">IF(OR(L2882="Review",G2882=""),"",G2882)</f>
        <v>60</v>
      </c>
      <c r="O2882" s="10">
        <f t="shared" si="224"/>
        <v>10.807222222269047</v>
      </c>
    </row>
    <row r="2883" spans="1:15">
      <c r="A2883" s="1" t="s">
        <v>2988</v>
      </c>
      <c r="B2883" s="23">
        <v>45216.327777777777</v>
      </c>
      <c r="C2883" s="1" t="s">
        <v>16</v>
      </c>
      <c r="D2883" s="1" t="s">
        <v>17</v>
      </c>
      <c r="E2883" s="1" t="s">
        <v>18</v>
      </c>
      <c r="F2883" s="1" t="s">
        <v>274</v>
      </c>
      <c r="G2883" s="1">
        <v>89</v>
      </c>
      <c r="H2883" s="23">
        <v>45218.130578703705</v>
      </c>
      <c r="I2883" s="1" t="b">
        <v>0</v>
      </c>
      <c r="K2883" s="10">
        <f t="shared" ref="K2883:K2946" si="227">IF(H2883="","",(H2883-B2883)*24)</f>
        <v>43.267222222290002</v>
      </c>
      <c r="L2883" s="1" t="str">
        <f t="shared" ref="L2883:L2946" si="228">IF(OR(G2883="",K2883=""),"Cannot check",IF(G2883&gt;K2883*60,"Review","OK"))</f>
        <v>OK</v>
      </c>
      <c r="M2883" s="1">
        <f t="shared" si="225"/>
        <v>1</v>
      </c>
      <c r="N2883" s="1">
        <f t="shared" si="226"/>
        <v>89</v>
      </c>
      <c r="O2883" s="10">
        <f t="shared" ref="O2883:O2946" si="229">IF(OR(L2883="Review",K2883=""),"",K2883)</f>
        <v>43.267222222290002</v>
      </c>
    </row>
    <row r="2884" spans="1:15">
      <c r="A2884" s="1" t="s">
        <v>2989</v>
      </c>
      <c r="B2884" s="23">
        <v>45216.607638888891</v>
      </c>
      <c r="C2884" s="1" t="s">
        <v>25</v>
      </c>
      <c r="D2884" s="1" t="s">
        <v>59</v>
      </c>
      <c r="E2884" s="1" t="s">
        <v>18</v>
      </c>
      <c r="F2884" s="1" t="s">
        <v>14</v>
      </c>
      <c r="G2884" s="1">
        <v>92</v>
      </c>
      <c r="H2884" s="23">
        <v>45217.223136574074</v>
      </c>
      <c r="I2884" s="1" t="b">
        <v>0</v>
      </c>
      <c r="J2884" s="1">
        <v>5</v>
      </c>
      <c r="K2884" s="10">
        <f t="shared" si="227"/>
        <v>14.771944444393739</v>
      </c>
      <c r="L2884" s="1" t="str">
        <f t="shared" si="228"/>
        <v>OK</v>
      </c>
      <c r="M2884" s="1">
        <f t="shared" si="225"/>
        <v>1</v>
      </c>
      <c r="N2884" s="1">
        <f t="shared" si="226"/>
        <v>92</v>
      </c>
      <c r="O2884" s="10">
        <f t="shared" si="229"/>
        <v>14.771944444393739</v>
      </c>
    </row>
    <row r="2885" spans="1:15">
      <c r="A2885" s="1" t="s">
        <v>2990</v>
      </c>
      <c r="B2885" s="23">
        <v>45216.717361111114</v>
      </c>
      <c r="C2885" s="1" t="s">
        <v>11</v>
      </c>
      <c r="D2885" s="1" t="s">
        <v>21</v>
      </c>
      <c r="E2885" s="1" t="s">
        <v>13</v>
      </c>
      <c r="F2885" s="1" t="s">
        <v>167</v>
      </c>
      <c r="G2885" s="1">
        <v>25</v>
      </c>
      <c r="H2885" s="23">
        <v>45217.17391203704</v>
      </c>
      <c r="I2885" s="1" t="b">
        <v>0</v>
      </c>
      <c r="K2885" s="10">
        <f t="shared" si="227"/>
        <v>10.957222222234122</v>
      </c>
      <c r="L2885" s="1" t="str">
        <f t="shared" si="228"/>
        <v>OK</v>
      </c>
      <c r="M2885" s="1">
        <f t="shared" si="225"/>
        <v>1</v>
      </c>
      <c r="N2885" s="1">
        <f t="shared" si="226"/>
        <v>25</v>
      </c>
      <c r="O2885" s="10">
        <f t="shared" si="229"/>
        <v>10.957222222234122</v>
      </c>
    </row>
    <row r="2886" spans="1:15">
      <c r="A2886" s="1" t="s">
        <v>2991</v>
      </c>
      <c r="B2886" s="23">
        <v>45216.845833333333</v>
      </c>
      <c r="C2886" s="1" t="s">
        <v>16</v>
      </c>
      <c r="D2886" s="1" t="s">
        <v>17</v>
      </c>
      <c r="E2886" s="1" t="s">
        <v>13</v>
      </c>
      <c r="F2886" s="1" t="s">
        <v>84</v>
      </c>
      <c r="G2886" s="1">
        <v>16</v>
      </c>
      <c r="H2886" s="23">
        <v>45217.348379629628</v>
      </c>
      <c r="I2886" s="1" t="b">
        <v>0</v>
      </c>
      <c r="K2886" s="10">
        <f t="shared" si="227"/>
        <v>12.06111111107748</v>
      </c>
      <c r="L2886" s="1" t="str">
        <f t="shared" si="228"/>
        <v>OK</v>
      </c>
      <c r="M2886" s="1">
        <f t="shared" si="225"/>
        <v>1</v>
      </c>
      <c r="N2886" s="1">
        <f t="shared" si="226"/>
        <v>16</v>
      </c>
      <c r="O2886" s="10">
        <f t="shared" si="229"/>
        <v>12.06111111107748</v>
      </c>
    </row>
    <row r="2887" spans="1:15">
      <c r="A2887" s="1" t="s">
        <v>2992</v>
      </c>
      <c r="B2887" s="23">
        <v>45216.964583333334</v>
      </c>
      <c r="C2887" s="1" t="s">
        <v>25</v>
      </c>
      <c r="D2887" s="1" t="s">
        <v>12</v>
      </c>
      <c r="E2887" s="1" t="s">
        <v>13</v>
      </c>
      <c r="F2887" s="1" t="s">
        <v>100</v>
      </c>
      <c r="G2887" s="1">
        <v>77</v>
      </c>
      <c r="H2887" s="23">
        <v>45217.090879629628</v>
      </c>
      <c r="I2887" s="1" t="b">
        <v>0</v>
      </c>
      <c r="K2887" s="10">
        <f t="shared" si="227"/>
        <v>3.0311111110495403</v>
      </c>
      <c r="L2887" s="1" t="str">
        <f t="shared" si="228"/>
        <v>OK</v>
      </c>
      <c r="M2887" s="1">
        <f t="shared" si="225"/>
        <v>1</v>
      </c>
      <c r="N2887" s="1">
        <f t="shared" si="226"/>
        <v>77</v>
      </c>
      <c r="O2887" s="10">
        <f t="shared" si="229"/>
        <v>3.0311111110495403</v>
      </c>
    </row>
    <row r="2888" spans="1:15">
      <c r="A2888" s="1" t="s">
        <v>2993</v>
      </c>
      <c r="B2888" s="23">
        <v>45217.081250000003</v>
      </c>
      <c r="C2888" s="1" t="s">
        <v>43</v>
      </c>
      <c r="D2888" s="1" t="s">
        <v>59</v>
      </c>
      <c r="E2888" s="1" t="s">
        <v>18</v>
      </c>
      <c r="F2888" s="1" t="s">
        <v>159</v>
      </c>
      <c r="G2888" s="1">
        <v>277</v>
      </c>
      <c r="H2888" s="23">
        <v>45218.525150462963</v>
      </c>
      <c r="I2888" s="1" t="b">
        <v>0</v>
      </c>
      <c r="J2888" s="1">
        <v>1</v>
      </c>
      <c r="K2888" s="10">
        <f t="shared" si="227"/>
        <v>34.653611111047212</v>
      </c>
      <c r="L2888" s="1" t="str">
        <f t="shared" si="228"/>
        <v>OK</v>
      </c>
      <c r="M2888" s="1">
        <f t="shared" si="225"/>
        <v>1</v>
      </c>
      <c r="N2888" s="1">
        <f t="shared" si="226"/>
        <v>277</v>
      </c>
      <c r="O2888" s="10">
        <f t="shared" si="229"/>
        <v>34.653611111047212</v>
      </c>
    </row>
    <row r="2889" spans="1:15">
      <c r="A2889" s="1" t="s">
        <v>2994</v>
      </c>
      <c r="B2889" s="23">
        <v>45217.09375</v>
      </c>
      <c r="C2889" s="1" t="s">
        <v>16</v>
      </c>
      <c r="D2889" s="1" t="s">
        <v>17</v>
      </c>
      <c r="E2889" s="1" t="s">
        <v>33</v>
      </c>
      <c r="F2889" s="1" t="s">
        <v>392</v>
      </c>
      <c r="G2889" s="1">
        <v>41</v>
      </c>
      <c r="H2889" s="23">
        <v>45219.744050925925</v>
      </c>
      <c r="I2889" s="1" t="b">
        <v>0</v>
      </c>
      <c r="K2889" s="10">
        <f t="shared" si="227"/>
        <v>63.607222222199198</v>
      </c>
      <c r="L2889" s="1" t="str">
        <f t="shared" si="228"/>
        <v>OK</v>
      </c>
      <c r="M2889" s="1">
        <f t="shared" si="225"/>
        <v>1</v>
      </c>
      <c r="N2889" s="1">
        <f t="shared" si="226"/>
        <v>41</v>
      </c>
      <c r="O2889" s="10">
        <f t="shared" si="229"/>
        <v>63.607222222199198</v>
      </c>
    </row>
    <row r="2890" spans="1:15">
      <c r="A2890" s="1" t="s">
        <v>2995</v>
      </c>
      <c r="B2890" s="23">
        <v>45217.127083333333</v>
      </c>
      <c r="C2890" s="1" t="s">
        <v>25</v>
      </c>
      <c r="D2890" s="1" t="s">
        <v>26</v>
      </c>
      <c r="E2890" s="1" t="s">
        <v>13</v>
      </c>
      <c r="F2890" s="1" t="s">
        <v>134</v>
      </c>
      <c r="G2890" s="1">
        <v>26</v>
      </c>
      <c r="H2890" s="23">
        <v>45220.075243055559</v>
      </c>
      <c r="I2890" s="1" t="b">
        <v>0</v>
      </c>
      <c r="K2890" s="10">
        <f t="shared" si="227"/>
        <v>70.755833333416376</v>
      </c>
      <c r="L2890" s="1" t="str">
        <f t="shared" si="228"/>
        <v>OK</v>
      </c>
      <c r="M2890" s="1">
        <f t="shared" si="225"/>
        <v>1</v>
      </c>
      <c r="N2890" s="1">
        <f t="shared" si="226"/>
        <v>26</v>
      </c>
      <c r="O2890" s="10">
        <f t="shared" si="229"/>
        <v>70.755833333416376</v>
      </c>
    </row>
    <row r="2891" spans="1:15">
      <c r="A2891" s="1" t="s">
        <v>2996</v>
      </c>
      <c r="B2891" s="23">
        <v>45217.19027777778</v>
      </c>
      <c r="C2891" s="1" t="s">
        <v>11</v>
      </c>
      <c r="D2891" s="1" t="s">
        <v>17</v>
      </c>
      <c r="E2891" s="1" t="s">
        <v>13</v>
      </c>
      <c r="F2891" s="1" t="s">
        <v>102</v>
      </c>
      <c r="G2891" s="1">
        <v>13</v>
      </c>
      <c r="H2891" s="23">
        <v>45218.461122685185</v>
      </c>
      <c r="I2891" s="1" t="b">
        <v>1</v>
      </c>
      <c r="K2891" s="10">
        <f t="shared" si="227"/>
        <v>30.500277777726296</v>
      </c>
      <c r="L2891" s="1" t="str">
        <f t="shared" si="228"/>
        <v>OK</v>
      </c>
      <c r="M2891" s="1">
        <f t="shared" si="225"/>
        <v>1</v>
      </c>
      <c r="N2891" s="1">
        <f t="shared" si="226"/>
        <v>13</v>
      </c>
      <c r="O2891" s="10">
        <f t="shared" si="229"/>
        <v>30.500277777726296</v>
      </c>
    </row>
    <row r="2892" spans="1:15">
      <c r="A2892" s="1" t="s">
        <v>2997</v>
      </c>
      <c r="B2892" s="23">
        <v>45217.238888888889</v>
      </c>
      <c r="C2892" s="1" t="s">
        <v>43</v>
      </c>
      <c r="D2892" s="1" t="s">
        <v>17</v>
      </c>
      <c r="E2892" s="1" t="s">
        <v>13</v>
      </c>
      <c r="F2892" s="1" t="s">
        <v>108</v>
      </c>
      <c r="G2892" s="1">
        <v>37</v>
      </c>
      <c r="H2892" s="23">
        <v>45219.287453703706</v>
      </c>
      <c r="I2892" s="1" t="b">
        <v>0</v>
      </c>
      <c r="J2892" s="1">
        <v>4</v>
      </c>
      <c r="K2892" s="10">
        <f t="shared" si="227"/>
        <v>49.165555555606261</v>
      </c>
      <c r="L2892" s="1" t="str">
        <f t="shared" si="228"/>
        <v>OK</v>
      </c>
      <c r="M2892" s="1">
        <f t="shared" si="225"/>
        <v>1</v>
      </c>
      <c r="N2892" s="1">
        <f t="shared" si="226"/>
        <v>37</v>
      </c>
      <c r="O2892" s="10">
        <f t="shared" si="229"/>
        <v>49.165555555606261</v>
      </c>
    </row>
    <row r="2893" spans="1:15">
      <c r="A2893" s="1" t="s">
        <v>2998</v>
      </c>
      <c r="B2893" s="23">
        <v>45217.513194444444</v>
      </c>
      <c r="C2893" s="1" t="s">
        <v>25</v>
      </c>
      <c r="D2893" s="1" t="s">
        <v>21</v>
      </c>
      <c r="E2893" s="1" t="s">
        <v>22</v>
      </c>
      <c r="F2893" s="1" t="s">
        <v>41</v>
      </c>
      <c r="G2893" s="1">
        <v>3</v>
      </c>
      <c r="H2893" s="23">
        <v>45217.541412037041</v>
      </c>
      <c r="I2893" s="1" t="b">
        <v>0</v>
      </c>
      <c r="K2893" s="10">
        <f t="shared" si="227"/>
        <v>0.6772222223225981</v>
      </c>
      <c r="L2893" s="1" t="str">
        <f t="shared" si="228"/>
        <v>OK</v>
      </c>
      <c r="M2893" s="1">
        <f t="shared" si="225"/>
        <v>1</v>
      </c>
      <c r="N2893" s="1">
        <f t="shared" si="226"/>
        <v>3</v>
      </c>
      <c r="O2893" s="10">
        <f t="shared" si="229"/>
        <v>0.6772222223225981</v>
      </c>
    </row>
    <row r="2894" spans="1:15">
      <c r="A2894" s="1" t="s">
        <v>2999</v>
      </c>
      <c r="B2894" s="23">
        <v>45217.690972222219</v>
      </c>
      <c r="C2894" s="1" t="s">
        <v>25</v>
      </c>
      <c r="D2894" s="1" t="s">
        <v>17</v>
      </c>
      <c r="E2894" s="1" t="s">
        <v>18</v>
      </c>
      <c r="F2894" s="1" t="s">
        <v>102</v>
      </c>
      <c r="G2894" s="1">
        <v>29</v>
      </c>
      <c r="H2894" s="23">
        <v>45218.630127314813</v>
      </c>
      <c r="I2894" s="1" t="b">
        <v>1</v>
      </c>
      <c r="J2894" s="1">
        <v>2</v>
      </c>
      <c r="K2894" s="10">
        <f t="shared" si="227"/>
        <v>22.539722222252749</v>
      </c>
      <c r="L2894" s="1" t="str">
        <f t="shared" si="228"/>
        <v>OK</v>
      </c>
      <c r="M2894" s="1">
        <f t="shared" si="225"/>
        <v>1</v>
      </c>
      <c r="N2894" s="1">
        <f t="shared" si="226"/>
        <v>29</v>
      </c>
      <c r="O2894" s="10">
        <f t="shared" si="229"/>
        <v>22.539722222252749</v>
      </c>
    </row>
    <row r="2895" spans="1:15">
      <c r="A2895" s="1" t="s">
        <v>3000</v>
      </c>
      <c r="B2895" s="23">
        <v>45217.728472222225</v>
      </c>
      <c r="C2895" s="1" t="s">
        <v>11</v>
      </c>
      <c r="D2895" s="1" t="s">
        <v>26</v>
      </c>
      <c r="E2895" s="1" t="s">
        <v>33</v>
      </c>
      <c r="F2895" s="1" t="s">
        <v>35</v>
      </c>
      <c r="G2895" s="1">
        <v>267</v>
      </c>
      <c r="H2895" s="23">
        <v>45219.075416666667</v>
      </c>
      <c r="I2895" s="1" t="b">
        <v>0</v>
      </c>
      <c r="J2895" s="1">
        <v>5</v>
      </c>
      <c r="K2895" s="10">
        <f t="shared" si="227"/>
        <v>32.32666666660225</v>
      </c>
      <c r="L2895" s="1" t="str">
        <f t="shared" si="228"/>
        <v>OK</v>
      </c>
      <c r="M2895" s="1">
        <f t="shared" si="225"/>
        <v>1</v>
      </c>
      <c r="N2895" s="1">
        <f t="shared" si="226"/>
        <v>267</v>
      </c>
      <c r="O2895" s="10">
        <f t="shared" si="229"/>
        <v>32.32666666660225</v>
      </c>
    </row>
    <row r="2896" spans="1:15">
      <c r="A2896" s="1" t="s">
        <v>3001</v>
      </c>
      <c r="B2896" s="23">
        <v>45217.871527777781</v>
      </c>
      <c r="C2896" s="1" t="s">
        <v>16</v>
      </c>
      <c r="D2896" s="1" t="s">
        <v>17</v>
      </c>
      <c r="E2896" s="1" t="s">
        <v>33</v>
      </c>
      <c r="F2896" s="1" t="s">
        <v>132</v>
      </c>
      <c r="G2896" s="1">
        <v>104</v>
      </c>
      <c r="H2896" s="23">
        <v>45220.385613425926</v>
      </c>
      <c r="I2896" s="1" t="b">
        <v>0</v>
      </c>
      <c r="K2896" s="10">
        <f t="shared" si="227"/>
        <v>60.338055555475876</v>
      </c>
      <c r="L2896" s="1" t="str">
        <f t="shared" si="228"/>
        <v>OK</v>
      </c>
      <c r="M2896" s="1">
        <f t="shared" si="225"/>
        <v>1</v>
      </c>
      <c r="N2896" s="1">
        <f t="shared" si="226"/>
        <v>104</v>
      </c>
      <c r="O2896" s="10">
        <f t="shared" si="229"/>
        <v>60.338055555475876</v>
      </c>
    </row>
    <row r="2897" spans="1:15">
      <c r="A2897" s="1" t="s">
        <v>3002</v>
      </c>
      <c r="B2897" s="23">
        <v>45217.931250000001</v>
      </c>
      <c r="C2897" s="1" t="s">
        <v>11</v>
      </c>
      <c r="D2897" s="1" t="s">
        <v>12</v>
      </c>
      <c r="E2897" s="1" t="s">
        <v>13</v>
      </c>
      <c r="F2897" s="1" t="s">
        <v>29</v>
      </c>
      <c r="G2897" s="1">
        <v>41</v>
      </c>
      <c r="H2897" s="23">
        <v>45217.988368055558</v>
      </c>
      <c r="I2897" s="1" t="b">
        <v>0</v>
      </c>
      <c r="K2897" s="10">
        <f t="shared" si="227"/>
        <v>1.3708333333488554</v>
      </c>
      <c r="L2897" s="1" t="str">
        <f t="shared" si="228"/>
        <v>OK</v>
      </c>
      <c r="M2897" s="1">
        <f t="shared" si="225"/>
        <v>1</v>
      </c>
      <c r="N2897" s="1">
        <f t="shared" si="226"/>
        <v>41</v>
      </c>
      <c r="O2897" s="10">
        <f t="shared" si="229"/>
        <v>1.3708333333488554</v>
      </c>
    </row>
    <row r="2898" spans="1:15">
      <c r="A2898" s="1" t="s">
        <v>3003</v>
      </c>
      <c r="B2898" s="23">
        <v>45217.954861111109</v>
      </c>
      <c r="C2898" s="1" t="s">
        <v>16</v>
      </c>
      <c r="D2898" s="1" t="s">
        <v>17</v>
      </c>
      <c r="E2898" s="1" t="s">
        <v>13</v>
      </c>
      <c r="F2898" s="1" t="s">
        <v>302</v>
      </c>
      <c r="G2898" s="1">
        <v>71</v>
      </c>
      <c r="H2898" s="23">
        <v>45226.437048611115</v>
      </c>
      <c r="I2898" s="1" t="b">
        <v>0</v>
      </c>
      <c r="K2898" s="10">
        <f t="shared" si="227"/>
        <v>203.57250000012573</v>
      </c>
      <c r="L2898" s="1" t="str">
        <f t="shared" si="228"/>
        <v>OK</v>
      </c>
      <c r="M2898" s="1">
        <f t="shared" si="225"/>
        <v>1</v>
      </c>
      <c r="N2898" s="1">
        <f t="shared" si="226"/>
        <v>71</v>
      </c>
      <c r="O2898" s="10">
        <f t="shared" si="229"/>
        <v>203.57250000012573</v>
      </c>
    </row>
    <row r="2899" spans="1:15">
      <c r="A2899" s="1" t="s">
        <v>3004</v>
      </c>
      <c r="B2899" s="23">
        <v>45218.024305555555</v>
      </c>
      <c r="C2899" s="1" t="s">
        <v>16</v>
      </c>
      <c r="D2899" s="1" t="s">
        <v>12</v>
      </c>
      <c r="E2899" s="1" t="s">
        <v>18</v>
      </c>
      <c r="F2899" s="1" t="s">
        <v>206</v>
      </c>
      <c r="G2899" s="1">
        <v>219</v>
      </c>
      <c r="H2899" s="23">
        <v>45221.04451388889</v>
      </c>
      <c r="I2899" s="1" t="b">
        <v>0</v>
      </c>
      <c r="J2899" s="1">
        <v>4</v>
      </c>
      <c r="K2899" s="10">
        <f t="shared" si="227"/>
        <v>72.485000000044238</v>
      </c>
      <c r="L2899" s="1" t="str">
        <f t="shared" si="228"/>
        <v>OK</v>
      </c>
      <c r="M2899" s="1">
        <f t="shared" si="225"/>
        <v>1</v>
      </c>
      <c r="N2899" s="1">
        <f t="shared" si="226"/>
        <v>219</v>
      </c>
      <c r="O2899" s="10">
        <f t="shared" si="229"/>
        <v>72.485000000044238</v>
      </c>
    </row>
    <row r="2900" spans="1:15">
      <c r="A2900" s="1" t="s">
        <v>3005</v>
      </c>
      <c r="B2900" s="23">
        <v>45218.165277777778</v>
      </c>
      <c r="C2900" s="1" t="s">
        <v>43</v>
      </c>
      <c r="D2900" s="1" t="s">
        <v>21</v>
      </c>
      <c r="E2900" s="1" t="s">
        <v>18</v>
      </c>
      <c r="F2900" s="1" t="s">
        <v>27</v>
      </c>
      <c r="G2900" s="1">
        <v>103</v>
      </c>
      <c r="H2900" s="23">
        <v>45218.770046296297</v>
      </c>
      <c r="I2900" s="1" t="b">
        <v>0</v>
      </c>
      <c r="K2900" s="10">
        <f t="shared" si="227"/>
        <v>14.514444444444962</v>
      </c>
      <c r="L2900" s="1" t="str">
        <f t="shared" si="228"/>
        <v>OK</v>
      </c>
      <c r="M2900" s="1">
        <f t="shared" si="225"/>
        <v>1</v>
      </c>
      <c r="N2900" s="1">
        <f t="shared" si="226"/>
        <v>103</v>
      </c>
      <c r="O2900" s="10">
        <f t="shared" si="229"/>
        <v>14.514444444444962</v>
      </c>
    </row>
    <row r="2901" spans="1:15">
      <c r="A2901" s="1" t="s">
        <v>3006</v>
      </c>
      <c r="B2901" s="23">
        <v>45218.250694444447</v>
      </c>
      <c r="C2901" s="1" t="s">
        <v>16</v>
      </c>
      <c r="D2901" s="1" t="s">
        <v>17</v>
      </c>
      <c r="E2901" s="1" t="s">
        <v>33</v>
      </c>
      <c r="F2901" s="1" t="s">
        <v>228</v>
      </c>
      <c r="G2901" s="1">
        <v>305</v>
      </c>
      <c r="H2901" s="23">
        <v>45221.746481481481</v>
      </c>
      <c r="I2901" s="1" t="b">
        <v>0</v>
      </c>
      <c r="J2901" s="1">
        <v>4</v>
      </c>
      <c r="K2901" s="10">
        <f t="shared" si="227"/>
        <v>83.898888888827059</v>
      </c>
      <c r="L2901" s="1" t="str">
        <f t="shared" si="228"/>
        <v>OK</v>
      </c>
      <c r="M2901" s="1">
        <f t="shared" si="225"/>
        <v>1</v>
      </c>
      <c r="N2901" s="1">
        <f t="shared" si="226"/>
        <v>305</v>
      </c>
      <c r="O2901" s="10">
        <f t="shared" si="229"/>
        <v>83.898888888827059</v>
      </c>
    </row>
    <row r="2902" spans="1:15">
      <c r="A2902" s="1" t="s">
        <v>3007</v>
      </c>
      <c r="B2902" s="23">
        <v>45218.520138888889</v>
      </c>
      <c r="C2902" s="1" t="s">
        <v>11</v>
      </c>
      <c r="D2902" s="1" t="s">
        <v>12</v>
      </c>
      <c r="E2902" s="1" t="s">
        <v>13</v>
      </c>
      <c r="F2902" s="1" t="s">
        <v>46</v>
      </c>
      <c r="G2902" s="1">
        <v>73</v>
      </c>
      <c r="H2902" s="23">
        <v>45220.187627314815</v>
      </c>
      <c r="I2902" s="1" t="b">
        <v>0</v>
      </c>
      <c r="J2902" s="1">
        <v>5</v>
      </c>
      <c r="K2902" s="10">
        <f t="shared" si="227"/>
        <v>40.019722222234122</v>
      </c>
      <c r="L2902" s="1" t="str">
        <f t="shared" si="228"/>
        <v>OK</v>
      </c>
      <c r="M2902" s="1">
        <f t="shared" si="225"/>
        <v>1</v>
      </c>
      <c r="N2902" s="1">
        <f t="shared" si="226"/>
        <v>73</v>
      </c>
      <c r="O2902" s="10">
        <f t="shared" si="229"/>
        <v>40.019722222234122</v>
      </c>
    </row>
    <row r="2903" spans="1:15">
      <c r="A2903" s="1" t="s">
        <v>3008</v>
      </c>
      <c r="B2903" s="23">
        <v>45218.686805555553</v>
      </c>
      <c r="C2903" s="1" t="s">
        <v>16</v>
      </c>
      <c r="D2903" s="1" t="s">
        <v>59</v>
      </c>
      <c r="E2903" s="1" t="s">
        <v>18</v>
      </c>
      <c r="F2903" s="1" t="s">
        <v>206</v>
      </c>
      <c r="G2903" s="1">
        <v>240</v>
      </c>
      <c r="H2903" s="23">
        <v>45220.569548611114</v>
      </c>
      <c r="I2903" s="1" t="b">
        <v>0</v>
      </c>
      <c r="K2903" s="10">
        <f t="shared" si="227"/>
        <v>45.185833333467599</v>
      </c>
      <c r="L2903" s="1" t="str">
        <f t="shared" si="228"/>
        <v>OK</v>
      </c>
      <c r="M2903" s="1">
        <f t="shared" si="225"/>
        <v>1</v>
      </c>
      <c r="N2903" s="1">
        <f t="shared" si="226"/>
        <v>240</v>
      </c>
      <c r="O2903" s="10">
        <f t="shared" si="229"/>
        <v>45.185833333467599</v>
      </c>
    </row>
    <row r="2904" spans="1:15">
      <c r="A2904" s="1" t="s">
        <v>3009</v>
      </c>
      <c r="B2904" s="23">
        <v>45218.698611111111</v>
      </c>
      <c r="C2904" s="1" t="s">
        <v>16</v>
      </c>
      <c r="D2904" s="1" t="s">
        <v>21</v>
      </c>
      <c r="E2904" s="1" t="s">
        <v>13</v>
      </c>
      <c r="F2904" s="1" t="s">
        <v>39</v>
      </c>
      <c r="G2904" s="1">
        <v>22</v>
      </c>
      <c r="H2904" s="23">
        <v>45218.759189814817</v>
      </c>
      <c r="I2904" s="1" t="b">
        <v>0</v>
      </c>
      <c r="J2904" s="1">
        <v>4</v>
      </c>
      <c r="K2904" s="10">
        <f t="shared" si="227"/>
        <v>1.4538888889364898</v>
      </c>
      <c r="L2904" s="1" t="str">
        <f t="shared" si="228"/>
        <v>OK</v>
      </c>
      <c r="M2904" s="1">
        <f t="shared" si="225"/>
        <v>1</v>
      </c>
      <c r="N2904" s="1">
        <f t="shared" si="226"/>
        <v>22</v>
      </c>
      <c r="O2904" s="10">
        <f t="shared" si="229"/>
        <v>1.4538888889364898</v>
      </c>
    </row>
    <row r="2905" spans="1:15">
      <c r="A2905" s="1" t="s">
        <v>3010</v>
      </c>
      <c r="B2905" s="23">
        <v>45218.754861111112</v>
      </c>
      <c r="C2905" s="1" t="s">
        <v>16</v>
      </c>
      <c r="D2905" s="1" t="s">
        <v>17</v>
      </c>
      <c r="E2905" s="1" t="s">
        <v>13</v>
      </c>
      <c r="F2905" s="1" t="s">
        <v>130</v>
      </c>
      <c r="H2905" s="23">
        <v>45221.156087962961</v>
      </c>
      <c r="I2905" s="1" t="b">
        <v>0</v>
      </c>
      <c r="J2905" s="1">
        <v>5</v>
      </c>
      <c r="K2905" s="10">
        <f t="shared" si="227"/>
        <v>57.629444444377441</v>
      </c>
      <c r="L2905" s="1" t="str">
        <f t="shared" si="228"/>
        <v>Cannot check</v>
      </c>
      <c r="M2905" s="1">
        <f t="shared" si="225"/>
        <v>1</v>
      </c>
      <c r="N2905" s="1" t="str">
        <f t="shared" si="226"/>
        <v/>
      </c>
      <c r="O2905" s="10">
        <f t="shared" si="229"/>
        <v>57.629444444377441</v>
      </c>
    </row>
    <row r="2906" spans="1:15">
      <c r="A2906" s="1" t="s">
        <v>3011</v>
      </c>
      <c r="B2906" s="23">
        <v>45218.862500000003</v>
      </c>
      <c r="C2906" s="1" t="s">
        <v>16</v>
      </c>
      <c r="D2906" s="1" t="s">
        <v>59</v>
      </c>
      <c r="E2906" s="1" t="s">
        <v>13</v>
      </c>
      <c r="F2906" s="1" t="s">
        <v>88</v>
      </c>
      <c r="G2906" s="1">
        <v>26</v>
      </c>
      <c r="H2906" s="23">
        <v>45218.99291666667</v>
      </c>
      <c r="I2906" s="1" t="b">
        <v>0</v>
      </c>
      <c r="K2906" s="10">
        <f t="shared" si="227"/>
        <v>3.1300000000046566</v>
      </c>
      <c r="L2906" s="1" t="str">
        <f t="shared" si="228"/>
        <v>OK</v>
      </c>
      <c r="M2906" s="1">
        <f t="shared" si="225"/>
        <v>1</v>
      </c>
      <c r="N2906" s="1">
        <f t="shared" si="226"/>
        <v>26</v>
      </c>
      <c r="O2906" s="10">
        <f t="shared" si="229"/>
        <v>3.1300000000046566</v>
      </c>
    </row>
    <row r="2907" spans="1:15">
      <c r="A2907" s="1" t="s">
        <v>3012</v>
      </c>
      <c r="B2907" s="23">
        <v>45218.863194444442</v>
      </c>
      <c r="C2907" s="1" t="s">
        <v>11</v>
      </c>
      <c r="D2907" s="1" t="s">
        <v>17</v>
      </c>
      <c r="E2907" s="1" t="s">
        <v>18</v>
      </c>
      <c r="F2907" s="1" t="s">
        <v>175</v>
      </c>
      <c r="G2907" s="1">
        <v>153</v>
      </c>
      <c r="I2907" s="1" t="b">
        <v>0</v>
      </c>
      <c r="K2907" s="10" t="str">
        <f t="shared" si="227"/>
        <v/>
      </c>
      <c r="L2907" s="1" t="str">
        <f t="shared" si="228"/>
        <v>Cannot check</v>
      </c>
      <c r="M2907" s="1">
        <f t="shared" si="225"/>
        <v>1</v>
      </c>
      <c r="N2907" s="1">
        <f t="shared" si="226"/>
        <v>153</v>
      </c>
      <c r="O2907" s="10" t="str">
        <f t="shared" si="229"/>
        <v/>
      </c>
    </row>
    <row r="2908" spans="1:15">
      <c r="A2908" s="1" t="s">
        <v>3013</v>
      </c>
      <c r="B2908" s="23">
        <v>45218.99722222222</v>
      </c>
      <c r="C2908" s="1" t="s">
        <v>25</v>
      </c>
      <c r="D2908" s="1" t="s">
        <v>21</v>
      </c>
      <c r="E2908" s="1" t="s">
        <v>18</v>
      </c>
      <c r="F2908" s="1" t="s">
        <v>98</v>
      </c>
      <c r="G2908" s="1">
        <v>79</v>
      </c>
      <c r="I2908" s="1" t="b">
        <v>0</v>
      </c>
      <c r="K2908" s="10" t="str">
        <f t="shared" si="227"/>
        <v/>
      </c>
      <c r="L2908" s="1" t="str">
        <f t="shared" si="228"/>
        <v>Cannot check</v>
      </c>
      <c r="M2908" s="1">
        <f t="shared" si="225"/>
        <v>1</v>
      </c>
      <c r="N2908" s="1">
        <f t="shared" si="226"/>
        <v>79</v>
      </c>
      <c r="O2908" s="10" t="str">
        <f t="shared" si="229"/>
        <v/>
      </c>
    </row>
    <row r="2909" spans="1:15">
      <c r="A2909" s="1" t="s">
        <v>3014</v>
      </c>
      <c r="B2909" s="23">
        <v>45219.124305555553</v>
      </c>
      <c r="C2909" s="1" t="s">
        <v>43</v>
      </c>
      <c r="D2909" s="1" t="s">
        <v>12</v>
      </c>
      <c r="E2909" s="1" t="s">
        <v>33</v>
      </c>
      <c r="F2909" s="1" t="s">
        <v>44</v>
      </c>
      <c r="G2909" s="1">
        <v>544</v>
      </c>
      <c r="H2909" s="23">
        <v>45220.31</v>
      </c>
      <c r="I2909" s="1" t="b">
        <v>0</v>
      </c>
      <c r="K2909" s="10">
        <f t="shared" si="227"/>
        <v>28.456666666665114</v>
      </c>
      <c r="L2909" s="1" t="str">
        <f t="shared" si="228"/>
        <v>OK</v>
      </c>
      <c r="M2909" s="1">
        <f t="shared" si="225"/>
        <v>1</v>
      </c>
      <c r="N2909" s="1">
        <f t="shared" si="226"/>
        <v>544</v>
      </c>
      <c r="O2909" s="10">
        <f t="shared" si="229"/>
        <v>28.456666666665114</v>
      </c>
    </row>
    <row r="2910" spans="1:15">
      <c r="A2910" s="1" t="s">
        <v>3015</v>
      </c>
      <c r="B2910" s="23">
        <v>45219.229861111111</v>
      </c>
      <c r="C2910" s="1" t="s">
        <v>43</v>
      </c>
      <c r="D2910" s="1" t="s">
        <v>26</v>
      </c>
      <c r="E2910" s="1" t="s">
        <v>13</v>
      </c>
      <c r="F2910" s="1" t="s">
        <v>224</v>
      </c>
      <c r="G2910" s="1">
        <v>126</v>
      </c>
      <c r="H2910" s="23">
        <v>45219.518518518518</v>
      </c>
      <c r="I2910" s="1" t="b">
        <v>0</v>
      </c>
      <c r="J2910" s="1">
        <v>4</v>
      </c>
      <c r="K2910" s="10">
        <f t="shared" si="227"/>
        <v>6.9277777777751908</v>
      </c>
      <c r="L2910" s="1" t="str">
        <f t="shared" si="228"/>
        <v>OK</v>
      </c>
      <c r="M2910" s="1">
        <f t="shared" si="225"/>
        <v>1</v>
      </c>
      <c r="N2910" s="1">
        <f t="shared" si="226"/>
        <v>126</v>
      </c>
      <c r="O2910" s="10">
        <f t="shared" si="229"/>
        <v>6.9277777777751908</v>
      </c>
    </row>
    <row r="2911" spans="1:15">
      <c r="A2911" s="1" t="s">
        <v>3016</v>
      </c>
      <c r="B2911" s="23">
        <v>45219.334027777775</v>
      </c>
      <c r="C2911" s="1" t="s">
        <v>11</v>
      </c>
      <c r="D2911" s="1" t="s">
        <v>21</v>
      </c>
      <c r="E2911" s="1" t="s">
        <v>13</v>
      </c>
      <c r="F2911" s="1" t="s">
        <v>35</v>
      </c>
      <c r="G2911" s="1">
        <v>232</v>
      </c>
      <c r="H2911" s="23">
        <v>45219.570289351854</v>
      </c>
      <c r="I2911" s="1" t="b">
        <v>1</v>
      </c>
      <c r="K2911" s="10">
        <f t="shared" si="227"/>
        <v>5.6702777778846212</v>
      </c>
      <c r="L2911" s="1" t="str">
        <f t="shared" si="228"/>
        <v>OK</v>
      </c>
      <c r="M2911" s="1">
        <f t="shared" si="225"/>
        <v>1</v>
      </c>
      <c r="N2911" s="1">
        <f t="shared" si="226"/>
        <v>232</v>
      </c>
      <c r="O2911" s="10">
        <f t="shared" si="229"/>
        <v>5.6702777778846212</v>
      </c>
    </row>
    <row r="2912" spans="1:15">
      <c r="A2912" s="1" t="s">
        <v>3017</v>
      </c>
      <c r="B2912" s="23">
        <v>45219.694444444445</v>
      </c>
      <c r="C2912" s="1" t="s">
        <v>43</v>
      </c>
      <c r="D2912" s="1" t="s">
        <v>21</v>
      </c>
      <c r="E2912" s="1" t="s">
        <v>18</v>
      </c>
      <c r="F2912" s="1" t="s">
        <v>72</v>
      </c>
      <c r="G2912" s="1">
        <v>128</v>
      </c>
      <c r="H2912" s="23">
        <v>45227.777928240743</v>
      </c>
      <c r="I2912" s="1" t="b">
        <v>0</v>
      </c>
      <c r="K2912" s="10">
        <f t="shared" si="227"/>
        <v>194.00361111114034</v>
      </c>
      <c r="L2912" s="1" t="str">
        <f t="shared" si="228"/>
        <v>OK</v>
      </c>
      <c r="M2912" s="1">
        <f t="shared" si="225"/>
        <v>1</v>
      </c>
      <c r="N2912" s="1">
        <f t="shared" si="226"/>
        <v>128</v>
      </c>
      <c r="O2912" s="10">
        <f t="shared" si="229"/>
        <v>194.00361111114034</v>
      </c>
    </row>
    <row r="2913" spans="1:15">
      <c r="A2913" s="1" t="s">
        <v>3018</v>
      </c>
      <c r="B2913" s="23">
        <v>45219.872916666667</v>
      </c>
      <c r="C2913" s="1" t="s">
        <v>25</v>
      </c>
      <c r="D2913" s="1" t="s">
        <v>17</v>
      </c>
      <c r="E2913" s="1" t="s">
        <v>18</v>
      </c>
      <c r="F2913" s="1" t="s">
        <v>35</v>
      </c>
      <c r="G2913" s="1">
        <v>139</v>
      </c>
      <c r="H2913" s="23">
        <v>45222.111064814817</v>
      </c>
      <c r="I2913" s="1" t="b">
        <v>0</v>
      </c>
      <c r="J2913" s="1">
        <v>2</v>
      </c>
      <c r="K2913" s="10">
        <f t="shared" si="227"/>
        <v>53.715555555594619</v>
      </c>
      <c r="L2913" s="1" t="str">
        <f t="shared" si="228"/>
        <v>OK</v>
      </c>
      <c r="M2913" s="1">
        <f t="shared" si="225"/>
        <v>1</v>
      </c>
      <c r="N2913" s="1">
        <f t="shared" si="226"/>
        <v>139</v>
      </c>
      <c r="O2913" s="10">
        <f t="shared" si="229"/>
        <v>53.715555555594619</v>
      </c>
    </row>
    <row r="2914" spans="1:15">
      <c r="A2914" s="1" t="s">
        <v>3019</v>
      </c>
      <c r="B2914" s="23">
        <v>45219.936111111114</v>
      </c>
      <c r="C2914" s="1" t="s">
        <v>16</v>
      </c>
      <c r="D2914" s="1" t="s">
        <v>12</v>
      </c>
      <c r="E2914" s="1" t="s">
        <v>18</v>
      </c>
      <c r="F2914" s="1" t="s">
        <v>94</v>
      </c>
      <c r="G2914" s="1">
        <v>143</v>
      </c>
      <c r="H2914" s="23">
        <v>45220.171909722223</v>
      </c>
      <c r="I2914" s="1" t="b">
        <v>0</v>
      </c>
      <c r="K2914" s="10">
        <f t="shared" si="227"/>
        <v>5.6591666666208766</v>
      </c>
      <c r="L2914" s="1" t="str">
        <f t="shared" si="228"/>
        <v>OK</v>
      </c>
      <c r="M2914" s="1">
        <f t="shared" si="225"/>
        <v>1</v>
      </c>
      <c r="N2914" s="1">
        <f t="shared" si="226"/>
        <v>143</v>
      </c>
      <c r="O2914" s="10">
        <f t="shared" si="229"/>
        <v>5.6591666666208766</v>
      </c>
    </row>
    <row r="2915" spans="1:15">
      <c r="A2915" s="1" t="s">
        <v>3020</v>
      </c>
      <c r="B2915" s="23">
        <v>45220.202777777777</v>
      </c>
      <c r="C2915" s="1" t="s">
        <v>16</v>
      </c>
      <c r="D2915" s="1" t="s">
        <v>59</v>
      </c>
      <c r="E2915" s="1" t="s">
        <v>18</v>
      </c>
      <c r="F2915" s="1" t="s">
        <v>100</v>
      </c>
      <c r="G2915" s="1">
        <v>88</v>
      </c>
      <c r="H2915" s="23">
        <v>45220.868761574071</v>
      </c>
      <c r="I2915" s="1" t="b">
        <v>0</v>
      </c>
      <c r="K2915" s="10">
        <f t="shared" si="227"/>
        <v>15.98361111106351</v>
      </c>
      <c r="L2915" s="1" t="str">
        <f t="shared" si="228"/>
        <v>OK</v>
      </c>
      <c r="M2915" s="1">
        <f t="shared" si="225"/>
        <v>1</v>
      </c>
      <c r="N2915" s="1">
        <f t="shared" si="226"/>
        <v>88</v>
      </c>
      <c r="O2915" s="10">
        <f t="shared" si="229"/>
        <v>15.98361111106351</v>
      </c>
    </row>
    <row r="2916" spans="1:15">
      <c r="A2916" s="1" t="s">
        <v>3021</v>
      </c>
      <c r="B2916" s="23">
        <v>45220.370138888888</v>
      </c>
      <c r="C2916" s="1" t="s">
        <v>16</v>
      </c>
      <c r="D2916" s="1" t="s">
        <v>21</v>
      </c>
      <c r="E2916" s="1" t="s">
        <v>18</v>
      </c>
      <c r="F2916" s="1" t="s">
        <v>66</v>
      </c>
      <c r="G2916" s="1">
        <v>33</v>
      </c>
      <c r="H2916" s="23">
        <v>45225.026145833333</v>
      </c>
      <c r="I2916" s="1" t="b">
        <v>1</v>
      </c>
      <c r="K2916" s="10">
        <f t="shared" si="227"/>
        <v>111.74416666670004</v>
      </c>
      <c r="L2916" s="1" t="str">
        <f t="shared" si="228"/>
        <v>OK</v>
      </c>
      <c r="M2916" s="1">
        <f t="shared" si="225"/>
        <v>1</v>
      </c>
      <c r="N2916" s="1">
        <f t="shared" si="226"/>
        <v>33</v>
      </c>
      <c r="O2916" s="10">
        <f t="shared" si="229"/>
        <v>111.74416666670004</v>
      </c>
    </row>
    <row r="2917" spans="1:15">
      <c r="A2917" s="1" t="s">
        <v>3022</v>
      </c>
      <c r="B2917" s="23">
        <v>45220.427777777775</v>
      </c>
      <c r="C2917" s="1" t="s">
        <v>16</v>
      </c>
      <c r="D2917" s="1" t="s">
        <v>59</v>
      </c>
      <c r="E2917" s="1" t="s">
        <v>13</v>
      </c>
      <c r="F2917" s="1" t="s">
        <v>66</v>
      </c>
      <c r="G2917" s="1">
        <v>31</v>
      </c>
      <c r="H2917" s="23">
        <v>45220.859560185185</v>
      </c>
      <c r="I2917" s="1" t="b">
        <v>1</v>
      </c>
      <c r="J2917" s="1">
        <v>2</v>
      </c>
      <c r="K2917" s="10">
        <f t="shared" si="227"/>
        <v>10.36277777783107</v>
      </c>
      <c r="L2917" s="1" t="str">
        <f t="shared" si="228"/>
        <v>OK</v>
      </c>
      <c r="M2917" s="1">
        <f t="shared" si="225"/>
        <v>1</v>
      </c>
      <c r="N2917" s="1">
        <f t="shared" si="226"/>
        <v>31</v>
      </c>
      <c r="O2917" s="10">
        <f t="shared" si="229"/>
        <v>10.36277777783107</v>
      </c>
    </row>
    <row r="2918" spans="1:15">
      <c r="A2918" s="1" t="s">
        <v>3023</v>
      </c>
      <c r="B2918" s="23">
        <v>45220.459722222222</v>
      </c>
      <c r="C2918" s="1" t="s">
        <v>43</v>
      </c>
      <c r="D2918" s="1" t="s">
        <v>21</v>
      </c>
      <c r="E2918" s="1" t="s">
        <v>13</v>
      </c>
      <c r="F2918" s="1" t="s">
        <v>486</v>
      </c>
      <c r="G2918" s="1">
        <v>13</v>
      </c>
      <c r="H2918" s="23">
        <v>45221.020277777781</v>
      </c>
      <c r="I2918" s="1" t="b">
        <v>0</v>
      </c>
      <c r="K2918" s="10">
        <f t="shared" si="227"/>
        <v>13.453333333425689</v>
      </c>
      <c r="L2918" s="1" t="str">
        <f t="shared" si="228"/>
        <v>OK</v>
      </c>
      <c r="M2918" s="1">
        <f t="shared" si="225"/>
        <v>1</v>
      </c>
      <c r="N2918" s="1">
        <f t="shared" si="226"/>
        <v>13</v>
      </c>
      <c r="O2918" s="10">
        <f t="shared" si="229"/>
        <v>13.453333333425689</v>
      </c>
    </row>
    <row r="2919" spans="1:15">
      <c r="A2919" s="1" t="s">
        <v>3024</v>
      </c>
      <c r="B2919" s="23">
        <v>45220.574305555558</v>
      </c>
      <c r="C2919" s="1" t="s">
        <v>16</v>
      </c>
      <c r="D2919" s="1" t="s">
        <v>59</v>
      </c>
      <c r="E2919" s="1" t="s">
        <v>33</v>
      </c>
      <c r="F2919" s="1" t="s">
        <v>92</v>
      </c>
      <c r="G2919" s="1">
        <v>260</v>
      </c>
      <c r="H2919" s="23">
        <v>45222.27511574074</v>
      </c>
      <c r="I2919" s="1" t="b">
        <v>1</v>
      </c>
      <c r="J2919" s="1">
        <v>5</v>
      </c>
      <c r="K2919" s="10">
        <f t="shared" si="227"/>
        <v>40.819444444379769</v>
      </c>
      <c r="L2919" s="1" t="str">
        <f t="shared" si="228"/>
        <v>OK</v>
      </c>
      <c r="M2919" s="1">
        <f t="shared" si="225"/>
        <v>1</v>
      </c>
      <c r="N2919" s="1">
        <f t="shared" si="226"/>
        <v>260</v>
      </c>
      <c r="O2919" s="10">
        <f t="shared" si="229"/>
        <v>40.819444444379769</v>
      </c>
    </row>
    <row r="2920" spans="1:15">
      <c r="A2920" s="1" t="s">
        <v>3025</v>
      </c>
      <c r="B2920" s="23">
        <v>45220.588194444441</v>
      </c>
      <c r="C2920" s="1" t="s">
        <v>25</v>
      </c>
      <c r="D2920" s="1" t="s">
        <v>26</v>
      </c>
      <c r="E2920" s="1" t="s">
        <v>18</v>
      </c>
      <c r="F2920" s="1" t="s">
        <v>167</v>
      </c>
      <c r="G2920" s="1">
        <v>66</v>
      </c>
      <c r="H2920" s="23">
        <v>45221.045613425929</v>
      </c>
      <c r="I2920" s="1" t="b">
        <v>0</v>
      </c>
      <c r="J2920" s="1">
        <v>5</v>
      </c>
      <c r="K2920" s="10">
        <f t="shared" si="227"/>
        <v>10.978055555722676</v>
      </c>
      <c r="L2920" s="1" t="str">
        <f t="shared" si="228"/>
        <v>OK</v>
      </c>
      <c r="M2920" s="1">
        <f t="shared" si="225"/>
        <v>1</v>
      </c>
      <c r="N2920" s="1">
        <f t="shared" si="226"/>
        <v>66</v>
      </c>
      <c r="O2920" s="10">
        <f t="shared" si="229"/>
        <v>10.978055555722676</v>
      </c>
    </row>
    <row r="2921" spans="1:15">
      <c r="A2921" s="1" t="s">
        <v>3026</v>
      </c>
      <c r="B2921" s="23">
        <v>45220.601388888892</v>
      </c>
      <c r="C2921" s="1" t="s">
        <v>16</v>
      </c>
      <c r="D2921" s="1" t="s">
        <v>12</v>
      </c>
      <c r="E2921" s="1" t="s">
        <v>18</v>
      </c>
      <c r="F2921" s="1" t="s">
        <v>317</v>
      </c>
      <c r="G2921" s="1">
        <v>67</v>
      </c>
      <c r="H2921" s="23">
        <v>45221.10732638889</v>
      </c>
      <c r="I2921" s="1" t="b">
        <v>0</v>
      </c>
      <c r="J2921" s="1">
        <v>4</v>
      </c>
      <c r="K2921" s="10">
        <f t="shared" si="227"/>
        <v>12.14249999995809</v>
      </c>
      <c r="L2921" s="1" t="str">
        <f t="shared" si="228"/>
        <v>OK</v>
      </c>
      <c r="M2921" s="1">
        <f t="shared" si="225"/>
        <v>1</v>
      </c>
      <c r="N2921" s="1">
        <f t="shared" si="226"/>
        <v>67</v>
      </c>
      <c r="O2921" s="10">
        <f t="shared" si="229"/>
        <v>12.14249999995809</v>
      </c>
    </row>
    <row r="2922" spans="1:15">
      <c r="A2922" s="1" t="s">
        <v>3027</v>
      </c>
      <c r="B2922" s="23">
        <v>45220.844444444447</v>
      </c>
      <c r="C2922" s="1" t="s">
        <v>16</v>
      </c>
      <c r="D2922" s="1" t="s">
        <v>21</v>
      </c>
      <c r="E2922" s="1" t="s">
        <v>33</v>
      </c>
      <c r="F2922" s="1" t="s">
        <v>274</v>
      </c>
      <c r="G2922" s="1">
        <v>316</v>
      </c>
      <c r="H2922" s="23">
        <v>45222.285914351851</v>
      </c>
      <c r="I2922" s="1" t="b">
        <v>0</v>
      </c>
      <c r="J2922" s="1">
        <v>5</v>
      </c>
      <c r="K2922" s="10">
        <f t="shared" si="227"/>
        <v>34.595277777698357</v>
      </c>
      <c r="L2922" s="1" t="str">
        <f t="shared" si="228"/>
        <v>OK</v>
      </c>
      <c r="M2922" s="1">
        <f t="shared" si="225"/>
        <v>1</v>
      </c>
      <c r="N2922" s="1">
        <f t="shared" si="226"/>
        <v>316</v>
      </c>
      <c r="O2922" s="10">
        <f t="shared" si="229"/>
        <v>34.595277777698357</v>
      </c>
    </row>
    <row r="2923" spans="1:15">
      <c r="A2923" s="1" t="s">
        <v>3028</v>
      </c>
      <c r="B2923" s="23">
        <v>45220.865277777775</v>
      </c>
      <c r="C2923" s="1" t="s">
        <v>11</v>
      </c>
      <c r="D2923" s="1" t="s">
        <v>21</v>
      </c>
      <c r="E2923" s="1" t="s">
        <v>33</v>
      </c>
      <c r="F2923" s="1" t="s">
        <v>19</v>
      </c>
      <c r="G2923" s="1">
        <v>54</v>
      </c>
      <c r="H2923" s="23">
        <v>45221.680115740739</v>
      </c>
      <c r="I2923" s="1" t="b">
        <v>0</v>
      </c>
      <c r="K2923" s="10">
        <f t="shared" si="227"/>
        <v>19.556111111131031</v>
      </c>
      <c r="L2923" s="1" t="str">
        <f t="shared" si="228"/>
        <v>OK</v>
      </c>
      <c r="M2923" s="1">
        <f t="shared" si="225"/>
        <v>1</v>
      </c>
      <c r="N2923" s="1">
        <f t="shared" si="226"/>
        <v>54</v>
      </c>
      <c r="O2923" s="10">
        <f t="shared" si="229"/>
        <v>19.556111111131031</v>
      </c>
    </row>
    <row r="2924" spans="1:15">
      <c r="A2924" s="1" t="s">
        <v>3029</v>
      </c>
      <c r="B2924" s="23">
        <v>45220.959722222222</v>
      </c>
      <c r="C2924" s="1" t="s">
        <v>25</v>
      </c>
      <c r="D2924" s="1" t="s">
        <v>17</v>
      </c>
      <c r="E2924" s="1" t="s">
        <v>18</v>
      </c>
      <c r="F2924" s="1" t="s">
        <v>66</v>
      </c>
      <c r="G2924" s="1">
        <v>434</v>
      </c>
      <c r="H2924" s="23">
        <v>45222.332233796296</v>
      </c>
      <c r="I2924" s="1" t="b">
        <v>0</v>
      </c>
      <c r="K2924" s="10">
        <f t="shared" si="227"/>
        <v>32.940277777786832</v>
      </c>
      <c r="L2924" s="1" t="str">
        <f t="shared" si="228"/>
        <v>OK</v>
      </c>
      <c r="M2924" s="1">
        <f t="shared" si="225"/>
        <v>1</v>
      </c>
      <c r="N2924" s="1">
        <f t="shared" si="226"/>
        <v>434</v>
      </c>
      <c r="O2924" s="10">
        <f t="shared" si="229"/>
        <v>32.940277777786832</v>
      </c>
    </row>
    <row r="2925" spans="1:15">
      <c r="A2925" s="1" t="s">
        <v>3030</v>
      </c>
      <c r="B2925" s="23">
        <v>45220.995138888888</v>
      </c>
      <c r="C2925" s="1" t="s">
        <v>11</v>
      </c>
      <c r="D2925" s="1" t="s">
        <v>26</v>
      </c>
      <c r="E2925" s="1" t="s">
        <v>13</v>
      </c>
      <c r="F2925" s="1" t="s">
        <v>19</v>
      </c>
      <c r="G2925" s="1">
        <v>36</v>
      </c>
      <c r="H2925" s="23">
        <v>45222.164166666669</v>
      </c>
      <c r="I2925" s="1" t="b">
        <v>0</v>
      </c>
      <c r="J2925" s="1">
        <v>5</v>
      </c>
      <c r="K2925" s="10">
        <f t="shared" si="227"/>
        <v>28.056666666758247</v>
      </c>
      <c r="L2925" s="1" t="str">
        <f t="shared" si="228"/>
        <v>OK</v>
      </c>
      <c r="M2925" s="1">
        <f t="shared" si="225"/>
        <v>1</v>
      </c>
      <c r="N2925" s="1">
        <f t="shared" si="226"/>
        <v>36</v>
      </c>
      <c r="O2925" s="10">
        <f t="shared" si="229"/>
        <v>28.056666666758247</v>
      </c>
    </row>
    <row r="2926" spans="1:15">
      <c r="A2926" s="1" t="s">
        <v>3031</v>
      </c>
      <c r="B2926" s="23">
        <v>45221.584722222222</v>
      </c>
      <c r="C2926" s="1" t="s">
        <v>43</v>
      </c>
      <c r="D2926" s="1" t="s">
        <v>17</v>
      </c>
      <c r="E2926" s="1" t="s">
        <v>22</v>
      </c>
      <c r="F2926" s="1" t="s">
        <v>709</v>
      </c>
      <c r="G2926" s="1">
        <v>13</v>
      </c>
      <c r="H2926" s="23">
        <v>45221.83189814815</v>
      </c>
      <c r="I2926" s="1" t="b">
        <v>0</v>
      </c>
      <c r="J2926" s="1">
        <v>5</v>
      </c>
      <c r="K2926" s="10">
        <f t="shared" si="227"/>
        <v>5.9322222222690471</v>
      </c>
      <c r="L2926" s="1" t="str">
        <f t="shared" si="228"/>
        <v>OK</v>
      </c>
      <c r="M2926" s="1">
        <f t="shared" si="225"/>
        <v>1</v>
      </c>
      <c r="N2926" s="1">
        <f t="shared" si="226"/>
        <v>13</v>
      </c>
      <c r="O2926" s="10">
        <f t="shared" si="229"/>
        <v>5.9322222222690471</v>
      </c>
    </row>
    <row r="2927" spans="1:15">
      <c r="A2927" s="1" t="s">
        <v>3032</v>
      </c>
      <c r="B2927" s="23">
        <v>45221.602083333331</v>
      </c>
      <c r="C2927" s="1" t="s">
        <v>16</v>
      </c>
      <c r="D2927" s="1" t="s">
        <v>17</v>
      </c>
      <c r="E2927" s="1" t="s">
        <v>13</v>
      </c>
      <c r="F2927" s="1" t="s">
        <v>302</v>
      </c>
      <c r="G2927" s="1">
        <v>37</v>
      </c>
      <c r="H2927" s="23">
        <v>45224.500821759262</v>
      </c>
      <c r="I2927" s="1" t="b">
        <v>0</v>
      </c>
      <c r="K2927" s="10">
        <f t="shared" si="227"/>
        <v>69.569722222338896</v>
      </c>
      <c r="L2927" s="1" t="str">
        <f t="shared" si="228"/>
        <v>OK</v>
      </c>
      <c r="M2927" s="1">
        <f t="shared" si="225"/>
        <v>1</v>
      </c>
      <c r="N2927" s="1">
        <f t="shared" si="226"/>
        <v>37</v>
      </c>
      <c r="O2927" s="10">
        <f t="shared" si="229"/>
        <v>69.569722222338896</v>
      </c>
    </row>
    <row r="2928" spans="1:15">
      <c r="A2928" s="1" t="s">
        <v>3033</v>
      </c>
      <c r="B2928" s="23">
        <v>45221.685416666667</v>
      </c>
      <c r="C2928" s="1" t="s">
        <v>25</v>
      </c>
      <c r="D2928" s="1" t="s">
        <v>17</v>
      </c>
      <c r="E2928" s="1" t="s">
        <v>33</v>
      </c>
      <c r="F2928" s="1" t="s">
        <v>234</v>
      </c>
      <c r="G2928" s="1">
        <v>259</v>
      </c>
      <c r="H2928" s="23">
        <v>45222.841493055559</v>
      </c>
      <c r="I2928" s="1" t="b">
        <v>0</v>
      </c>
      <c r="K2928" s="10">
        <f t="shared" si="227"/>
        <v>27.745833333407063</v>
      </c>
      <c r="L2928" s="1" t="str">
        <f t="shared" si="228"/>
        <v>OK</v>
      </c>
      <c r="M2928" s="1">
        <f t="shared" si="225"/>
        <v>1</v>
      </c>
      <c r="N2928" s="1">
        <f t="shared" si="226"/>
        <v>259</v>
      </c>
      <c r="O2928" s="10">
        <f t="shared" si="229"/>
        <v>27.745833333407063</v>
      </c>
    </row>
    <row r="2929" spans="1:15">
      <c r="A2929" s="1" t="s">
        <v>3034</v>
      </c>
      <c r="B2929" s="23">
        <v>45221.792361111111</v>
      </c>
      <c r="C2929" s="1" t="s">
        <v>11</v>
      </c>
      <c r="D2929" s="1" t="s">
        <v>12</v>
      </c>
      <c r="E2929" s="1" t="s">
        <v>22</v>
      </c>
      <c r="F2929" s="1" t="s">
        <v>367</v>
      </c>
      <c r="G2929" s="1">
        <v>32</v>
      </c>
      <c r="H2929" s="23">
        <v>45221.959606481483</v>
      </c>
      <c r="I2929" s="1" t="b">
        <v>0</v>
      </c>
      <c r="K2929" s="10">
        <f t="shared" si="227"/>
        <v>4.0138888889341615</v>
      </c>
      <c r="L2929" s="1" t="str">
        <f t="shared" si="228"/>
        <v>OK</v>
      </c>
      <c r="M2929" s="1">
        <f t="shared" si="225"/>
        <v>1</v>
      </c>
      <c r="N2929" s="1">
        <f t="shared" si="226"/>
        <v>32</v>
      </c>
      <c r="O2929" s="10">
        <f t="shared" si="229"/>
        <v>4.0138888889341615</v>
      </c>
    </row>
    <row r="2930" spans="1:15">
      <c r="A2930" s="1" t="s">
        <v>3035</v>
      </c>
      <c r="B2930" s="23">
        <v>45221.866666666669</v>
      </c>
      <c r="C2930" s="1" t="s">
        <v>11</v>
      </c>
      <c r="D2930" s="1" t="s">
        <v>59</v>
      </c>
      <c r="E2930" s="1" t="s">
        <v>13</v>
      </c>
      <c r="F2930" s="1" t="s">
        <v>134</v>
      </c>
      <c r="G2930" s="1">
        <v>43</v>
      </c>
      <c r="H2930" s="23">
        <v>45221.972719907404</v>
      </c>
      <c r="I2930" s="1" t="b">
        <v>0</v>
      </c>
      <c r="J2930" s="1">
        <v>5</v>
      </c>
      <c r="K2930" s="10">
        <f t="shared" si="227"/>
        <v>2.5452777776517905</v>
      </c>
      <c r="L2930" s="1" t="str">
        <f t="shared" si="228"/>
        <v>OK</v>
      </c>
      <c r="M2930" s="1">
        <f t="shared" si="225"/>
        <v>1</v>
      </c>
      <c r="N2930" s="1">
        <f t="shared" si="226"/>
        <v>43</v>
      </c>
      <c r="O2930" s="10">
        <f t="shared" si="229"/>
        <v>2.5452777776517905</v>
      </c>
    </row>
    <row r="2931" spans="1:15">
      <c r="A2931" s="1" t="s">
        <v>3036</v>
      </c>
      <c r="B2931" s="23">
        <v>45221.900694444441</v>
      </c>
      <c r="C2931" s="1" t="s">
        <v>25</v>
      </c>
      <c r="D2931" s="1" t="s">
        <v>59</v>
      </c>
      <c r="E2931" s="1" t="s">
        <v>18</v>
      </c>
      <c r="F2931" s="1" t="s">
        <v>116</v>
      </c>
      <c r="G2931" s="1">
        <v>124</v>
      </c>
      <c r="H2931" s="23">
        <v>45228.238761574074</v>
      </c>
      <c r="I2931" s="1" t="b">
        <v>0</v>
      </c>
      <c r="K2931" s="10">
        <f t="shared" si="227"/>
        <v>152.11361111118458</v>
      </c>
      <c r="L2931" s="1" t="str">
        <f t="shared" si="228"/>
        <v>OK</v>
      </c>
      <c r="M2931" s="1">
        <f t="shared" si="225"/>
        <v>1</v>
      </c>
      <c r="N2931" s="1">
        <f t="shared" si="226"/>
        <v>124</v>
      </c>
      <c r="O2931" s="10">
        <f t="shared" si="229"/>
        <v>152.11361111118458</v>
      </c>
    </row>
    <row r="2932" spans="1:15">
      <c r="A2932" s="1" t="s">
        <v>3037</v>
      </c>
      <c r="B2932" s="23">
        <v>45222.181944444441</v>
      </c>
      <c r="C2932" s="1" t="s">
        <v>16</v>
      </c>
      <c r="D2932" s="1" t="s">
        <v>21</v>
      </c>
      <c r="E2932" s="1" t="s">
        <v>18</v>
      </c>
      <c r="F2932" s="1" t="s">
        <v>68</v>
      </c>
      <c r="G2932" s="1">
        <v>33</v>
      </c>
      <c r="H2932" s="23">
        <v>45222.409641203703</v>
      </c>
      <c r="I2932" s="1" t="b">
        <v>0</v>
      </c>
      <c r="K2932" s="10">
        <f t="shared" si="227"/>
        <v>5.464722222299315</v>
      </c>
      <c r="L2932" s="1" t="str">
        <f t="shared" si="228"/>
        <v>OK</v>
      </c>
      <c r="M2932" s="1">
        <f t="shared" si="225"/>
        <v>1</v>
      </c>
      <c r="N2932" s="1">
        <f t="shared" si="226"/>
        <v>33</v>
      </c>
      <c r="O2932" s="10">
        <f t="shared" si="229"/>
        <v>5.464722222299315</v>
      </c>
    </row>
    <row r="2933" spans="1:15">
      <c r="A2933" s="1" t="s">
        <v>3038</v>
      </c>
      <c r="B2933" s="23">
        <v>45222.205555555556</v>
      </c>
      <c r="C2933" s="1" t="s">
        <v>16</v>
      </c>
      <c r="D2933" s="1" t="s">
        <v>21</v>
      </c>
      <c r="E2933" s="1" t="s">
        <v>18</v>
      </c>
      <c r="F2933" s="1" t="s">
        <v>108</v>
      </c>
      <c r="G2933" s="1">
        <v>20</v>
      </c>
      <c r="H2933" s="23">
        <v>45225.276817129627</v>
      </c>
      <c r="I2933" s="1" t="b">
        <v>0</v>
      </c>
      <c r="K2933" s="10">
        <f t="shared" si="227"/>
        <v>73.710277777689043</v>
      </c>
      <c r="L2933" s="1" t="str">
        <f t="shared" si="228"/>
        <v>OK</v>
      </c>
      <c r="M2933" s="1">
        <f t="shared" si="225"/>
        <v>1</v>
      </c>
      <c r="N2933" s="1">
        <f t="shared" si="226"/>
        <v>20</v>
      </c>
      <c r="O2933" s="10">
        <f t="shared" si="229"/>
        <v>73.710277777689043</v>
      </c>
    </row>
    <row r="2934" spans="1:15">
      <c r="A2934" s="1" t="s">
        <v>3039</v>
      </c>
      <c r="B2934" s="23">
        <v>45222.331944444442</v>
      </c>
      <c r="C2934" s="1" t="s">
        <v>16</v>
      </c>
      <c r="D2934" s="1" t="s">
        <v>21</v>
      </c>
      <c r="E2934" s="1" t="s">
        <v>18</v>
      </c>
      <c r="F2934" s="1" t="s">
        <v>57</v>
      </c>
      <c r="G2934" s="1">
        <v>130</v>
      </c>
      <c r="H2934" s="23">
        <v>45223.509513888886</v>
      </c>
      <c r="I2934" s="1" t="b">
        <v>0</v>
      </c>
      <c r="K2934" s="10">
        <f t="shared" si="227"/>
        <v>28.26166666665813</v>
      </c>
      <c r="L2934" s="1" t="str">
        <f t="shared" si="228"/>
        <v>OK</v>
      </c>
      <c r="M2934" s="1">
        <f t="shared" si="225"/>
        <v>1</v>
      </c>
      <c r="N2934" s="1">
        <f t="shared" si="226"/>
        <v>130</v>
      </c>
      <c r="O2934" s="10">
        <f t="shared" si="229"/>
        <v>28.26166666665813</v>
      </c>
    </row>
    <row r="2935" spans="1:15">
      <c r="A2935" s="1" t="s">
        <v>3040</v>
      </c>
      <c r="B2935" s="23">
        <v>45222.451388888891</v>
      </c>
      <c r="C2935" s="1" t="s">
        <v>25</v>
      </c>
      <c r="D2935" s="1" t="s">
        <v>21</v>
      </c>
      <c r="E2935" s="1" t="s">
        <v>33</v>
      </c>
      <c r="F2935" s="1" t="s">
        <v>186</v>
      </c>
      <c r="G2935" s="1">
        <v>86</v>
      </c>
      <c r="H2935" s="23">
        <v>45222.903692129628</v>
      </c>
      <c r="I2935" s="1" t="b">
        <v>0</v>
      </c>
      <c r="K2935" s="10">
        <f t="shared" si="227"/>
        <v>10.85527777770767</v>
      </c>
      <c r="L2935" s="1" t="str">
        <f t="shared" si="228"/>
        <v>OK</v>
      </c>
      <c r="M2935" s="1">
        <f t="shared" si="225"/>
        <v>1</v>
      </c>
      <c r="N2935" s="1">
        <f t="shared" si="226"/>
        <v>86</v>
      </c>
      <c r="O2935" s="10">
        <f t="shared" si="229"/>
        <v>10.85527777770767</v>
      </c>
    </row>
    <row r="2936" spans="1:15">
      <c r="A2936" s="1" t="s">
        <v>3041</v>
      </c>
      <c r="B2936" s="23">
        <v>45222.497916666667</v>
      </c>
      <c r="C2936" s="1" t="s">
        <v>16</v>
      </c>
      <c r="D2936" s="1" t="s">
        <v>26</v>
      </c>
      <c r="E2936" s="1" t="s">
        <v>13</v>
      </c>
      <c r="F2936" s="1" t="s">
        <v>106</v>
      </c>
      <c r="G2936" s="1">
        <v>17</v>
      </c>
      <c r="H2936" s="23">
        <v>45223.479768518519</v>
      </c>
      <c r="I2936" s="1" t="b">
        <v>0</v>
      </c>
      <c r="K2936" s="10">
        <f t="shared" si="227"/>
        <v>23.56444444443332</v>
      </c>
      <c r="L2936" s="1" t="str">
        <f t="shared" si="228"/>
        <v>OK</v>
      </c>
      <c r="M2936" s="1">
        <f t="shared" si="225"/>
        <v>1</v>
      </c>
      <c r="N2936" s="1">
        <f t="shared" si="226"/>
        <v>17</v>
      </c>
      <c r="O2936" s="10">
        <f t="shared" si="229"/>
        <v>23.56444444443332</v>
      </c>
    </row>
    <row r="2937" spans="1:15">
      <c r="A2937" s="1" t="s">
        <v>3042</v>
      </c>
      <c r="B2937" s="23">
        <v>45222.629166666666</v>
      </c>
      <c r="C2937" s="1" t="s">
        <v>25</v>
      </c>
      <c r="D2937" s="1" t="s">
        <v>21</v>
      </c>
      <c r="E2937" s="1" t="s">
        <v>22</v>
      </c>
      <c r="F2937" s="1" t="s">
        <v>118</v>
      </c>
      <c r="G2937" s="1">
        <v>14</v>
      </c>
      <c r="H2937" s="23">
        <v>45223.067893518521</v>
      </c>
      <c r="I2937" s="1" t="b">
        <v>0</v>
      </c>
      <c r="K2937" s="10">
        <f t="shared" si="227"/>
        <v>10.529444444517139</v>
      </c>
      <c r="L2937" s="1" t="str">
        <f t="shared" si="228"/>
        <v>OK</v>
      </c>
      <c r="M2937" s="1">
        <f t="shared" si="225"/>
        <v>1</v>
      </c>
      <c r="N2937" s="1">
        <f t="shared" si="226"/>
        <v>14</v>
      </c>
      <c r="O2937" s="10">
        <f t="shared" si="229"/>
        <v>10.529444444517139</v>
      </c>
    </row>
    <row r="2938" spans="1:15">
      <c r="A2938" s="1" t="s">
        <v>3043</v>
      </c>
      <c r="B2938" s="23">
        <v>45222.65</v>
      </c>
      <c r="C2938" s="1" t="s">
        <v>16</v>
      </c>
      <c r="D2938" s="1" t="s">
        <v>17</v>
      </c>
      <c r="E2938" s="1" t="s">
        <v>18</v>
      </c>
      <c r="F2938" s="1" t="s">
        <v>37</v>
      </c>
      <c r="G2938" s="1">
        <v>45</v>
      </c>
      <c r="H2938" s="23">
        <v>45222.817708333336</v>
      </c>
      <c r="I2938" s="1" t="b">
        <v>0</v>
      </c>
      <c r="K2938" s="10">
        <f t="shared" si="227"/>
        <v>4.0250000000232831</v>
      </c>
      <c r="L2938" s="1" t="str">
        <f t="shared" si="228"/>
        <v>OK</v>
      </c>
      <c r="M2938" s="1">
        <f t="shared" si="225"/>
        <v>1</v>
      </c>
      <c r="N2938" s="1">
        <f t="shared" si="226"/>
        <v>45</v>
      </c>
      <c r="O2938" s="10">
        <f t="shared" si="229"/>
        <v>4.0250000000232831</v>
      </c>
    </row>
    <row r="2939" spans="1:15">
      <c r="A2939" s="1" t="s">
        <v>3044</v>
      </c>
      <c r="B2939" s="23">
        <v>45222.743055555555</v>
      </c>
      <c r="C2939" s="1" t="s">
        <v>25</v>
      </c>
      <c r="D2939" s="1" t="s">
        <v>26</v>
      </c>
      <c r="E2939" s="1" t="s">
        <v>22</v>
      </c>
      <c r="F2939" s="1" t="s">
        <v>104</v>
      </c>
      <c r="G2939" s="1">
        <v>18</v>
      </c>
      <c r="H2939" s="23">
        <v>45225.419224537036</v>
      </c>
      <c r="I2939" s="1" t="b">
        <v>0</v>
      </c>
      <c r="K2939" s="10">
        <f t="shared" si="227"/>
        <v>64.228055555548053</v>
      </c>
      <c r="L2939" s="1" t="str">
        <f t="shared" si="228"/>
        <v>OK</v>
      </c>
      <c r="M2939" s="1">
        <f t="shared" si="225"/>
        <v>1</v>
      </c>
      <c r="N2939" s="1">
        <f t="shared" si="226"/>
        <v>18</v>
      </c>
      <c r="O2939" s="10">
        <f t="shared" si="229"/>
        <v>64.228055555548053</v>
      </c>
    </row>
    <row r="2940" spans="1:15">
      <c r="A2940" s="1" t="s">
        <v>3045</v>
      </c>
      <c r="B2940" s="23">
        <v>45222.908333333333</v>
      </c>
      <c r="C2940" s="1" t="s">
        <v>16</v>
      </c>
      <c r="D2940" s="1" t="s">
        <v>21</v>
      </c>
      <c r="E2940" s="1" t="s">
        <v>33</v>
      </c>
      <c r="F2940" s="1" t="s">
        <v>68</v>
      </c>
      <c r="G2940" s="1">
        <v>1614</v>
      </c>
      <c r="H2940" s="23">
        <v>45223.606203703705</v>
      </c>
      <c r="I2940" s="1" t="b">
        <v>0</v>
      </c>
      <c r="K2940" s="10">
        <f t="shared" si="227"/>
        <v>16.748888888920192</v>
      </c>
      <c r="L2940" s="1" t="str">
        <f t="shared" si="228"/>
        <v>Review</v>
      </c>
      <c r="M2940" s="1">
        <f t="shared" si="225"/>
        <v>1</v>
      </c>
      <c r="N2940" s="1" t="str">
        <f t="shared" si="226"/>
        <v/>
      </c>
      <c r="O2940" s="10" t="str">
        <f t="shared" si="229"/>
        <v/>
      </c>
    </row>
    <row r="2941" spans="1:15">
      <c r="A2941" s="1" t="s">
        <v>3046</v>
      </c>
      <c r="B2941" s="23">
        <v>45222.935416666667</v>
      </c>
      <c r="C2941" s="1" t="s">
        <v>11</v>
      </c>
      <c r="D2941" s="1" t="s">
        <v>17</v>
      </c>
      <c r="E2941" s="1" t="s">
        <v>18</v>
      </c>
      <c r="F2941" s="1" t="s">
        <v>60</v>
      </c>
      <c r="G2941" s="1">
        <v>151</v>
      </c>
      <c r="H2941" s="23">
        <v>45223.41265046296</v>
      </c>
      <c r="I2941" s="1" t="b">
        <v>0</v>
      </c>
      <c r="J2941" s="1">
        <v>1</v>
      </c>
      <c r="K2941" s="10">
        <f t="shared" si="227"/>
        <v>11.453611111035571</v>
      </c>
      <c r="L2941" s="1" t="str">
        <f t="shared" si="228"/>
        <v>OK</v>
      </c>
      <c r="M2941" s="1">
        <f t="shared" si="225"/>
        <v>1</v>
      </c>
      <c r="N2941" s="1">
        <f t="shared" si="226"/>
        <v>151</v>
      </c>
      <c r="O2941" s="10">
        <f t="shared" si="229"/>
        <v>11.453611111035571</v>
      </c>
    </row>
    <row r="2942" spans="1:15">
      <c r="A2942" s="1" t="s">
        <v>3047</v>
      </c>
      <c r="B2942" s="23">
        <v>45223.005555555559</v>
      </c>
      <c r="C2942" s="1" t="s">
        <v>16</v>
      </c>
      <c r="D2942" s="1" t="s">
        <v>12</v>
      </c>
      <c r="E2942" s="1" t="s">
        <v>33</v>
      </c>
      <c r="F2942" s="1" t="s">
        <v>167</v>
      </c>
      <c r="G2942" s="1">
        <v>84</v>
      </c>
      <c r="H2942" s="23">
        <v>45226.563611111109</v>
      </c>
      <c r="I2942" s="1" t="b">
        <v>0</v>
      </c>
      <c r="K2942" s="10">
        <f t="shared" si="227"/>
        <v>85.393333333195187</v>
      </c>
      <c r="L2942" s="1" t="str">
        <f t="shared" si="228"/>
        <v>OK</v>
      </c>
      <c r="M2942" s="1">
        <f t="shared" si="225"/>
        <v>1</v>
      </c>
      <c r="N2942" s="1">
        <f t="shared" si="226"/>
        <v>84</v>
      </c>
      <c r="O2942" s="10">
        <f t="shared" si="229"/>
        <v>85.393333333195187</v>
      </c>
    </row>
    <row r="2943" spans="1:15">
      <c r="A2943" s="1" t="s">
        <v>3048</v>
      </c>
      <c r="B2943" s="23">
        <v>45223.063194444447</v>
      </c>
      <c r="C2943" s="1" t="s">
        <v>25</v>
      </c>
      <c r="D2943" s="1" t="s">
        <v>21</v>
      </c>
      <c r="E2943" s="1" t="s">
        <v>18</v>
      </c>
      <c r="F2943" s="1" t="s">
        <v>66</v>
      </c>
      <c r="G2943" s="1">
        <v>41</v>
      </c>
      <c r="H2943" s="23">
        <v>45223.432569444441</v>
      </c>
      <c r="I2943" s="1" t="b">
        <v>0</v>
      </c>
      <c r="K2943" s="10">
        <f t="shared" si="227"/>
        <v>8.8649999998742715</v>
      </c>
      <c r="L2943" s="1" t="str">
        <f t="shared" si="228"/>
        <v>OK</v>
      </c>
      <c r="M2943" s="1">
        <f t="shared" si="225"/>
        <v>1</v>
      </c>
      <c r="N2943" s="1">
        <f t="shared" si="226"/>
        <v>41</v>
      </c>
      <c r="O2943" s="10">
        <f t="shared" si="229"/>
        <v>8.8649999998742715</v>
      </c>
    </row>
    <row r="2944" spans="1:15">
      <c r="A2944" s="1" t="s">
        <v>3049</v>
      </c>
      <c r="B2944" s="23">
        <v>45223.128472222219</v>
      </c>
      <c r="C2944" s="1" t="s">
        <v>16</v>
      </c>
      <c r="D2944" s="1" t="s">
        <v>59</v>
      </c>
      <c r="E2944" s="1" t="s">
        <v>18</v>
      </c>
      <c r="F2944" s="1" t="s">
        <v>80</v>
      </c>
      <c r="G2944" s="1">
        <v>289</v>
      </c>
      <c r="H2944" s="23">
        <v>45223.227071759262</v>
      </c>
      <c r="I2944" s="1" t="b">
        <v>0</v>
      </c>
      <c r="J2944" s="1">
        <v>3</v>
      </c>
      <c r="K2944" s="10">
        <f t="shared" si="227"/>
        <v>2.3663888890296221</v>
      </c>
      <c r="L2944" s="1" t="str">
        <f t="shared" si="228"/>
        <v>Review</v>
      </c>
      <c r="M2944" s="1">
        <f t="shared" si="225"/>
        <v>1</v>
      </c>
      <c r="N2944" s="1" t="str">
        <f t="shared" si="226"/>
        <v/>
      </c>
      <c r="O2944" s="10" t="str">
        <f t="shared" si="229"/>
        <v/>
      </c>
    </row>
    <row r="2945" spans="1:15">
      <c r="A2945" s="1" t="s">
        <v>3050</v>
      </c>
      <c r="B2945" s="23">
        <v>45223.164583333331</v>
      </c>
      <c r="C2945" s="1" t="s">
        <v>16</v>
      </c>
      <c r="D2945" s="1" t="s">
        <v>26</v>
      </c>
      <c r="E2945" s="1" t="s">
        <v>13</v>
      </c>
      <c r="F2945" s="1" t="s">
        <v>60</v>
      </c>
      <c r="G2945" s="1">
        <v>10</v>
      </c>
      <c r="H2945" s="23">
        <v>45223.856956018521</v>
      </c>
      <c r="I2945" s="1" t="b">
        <v>1</v>
      </c>
      <c r="K2945" s="10">
        <f t="shared" si="227"/>
        <v>16.616944444540422</v>
      </c>
      <c r="L2945" s="1" t="str">
        <f t="shared" si="228"/>
        <v>OK</v>
      </c>
      <c r="M2945" s="1">
        <f t="shared" si="225"/>
        <v>1</v>
      </c>
      <c r="N2945" s="1">
        <f t="shared" si="226"/>
        <v>10</v>
      </c>
      <c r="O2945" s="10">
        <f t="shared" si="229"/>
        <v>16.616944444540422</v>
      </c>
    </row>
    <row r="2946" spans="1:15">
      <c r="A2946" s="1" t="s">
        <v>3051</v>
      </c>
      <c r="B2946" s="23">
        <v>45223.270138888889</v>
      </c>
      <c r="C2946" s="1" t="s">
        <v>11</v>
      </c>
      <c r="D2946" s="1" t="s">
        <v>12</v>
      </c>
      <c r="E2946" s="1" t="s">
        <v>18</v>
      </c>
      <c r="F2946" s="1" t="s">
        <v>66</v>
      </c>
      <c r="G2946" s="1">
        <v>61</v>
      </c>
      <c r="H2946" s="23">
        <v>45224.766134259262</v>
      </c>
      <c r="I2946" s="1" t="b">
        <v>1</v>
      </c>
      <c r="K2946" s="10">
        <f t="shared" si="227"/>
        <v>35.903888888948131</v>
      </c>
      <c r="L2946" s="1" t="str">
        <f t="shared" si="228"/>
        <v>OK</v>
      </c>
      <c r="M2946" s="1">
        <f t="shared" ref="M2946:M3009" si="230">COUNTIF($A$2:$A$4001,A2946)</f>
        <v>1</v>
      </c>
      <c r="N2946" s="1">
        <f t="shared" ref="N2946:N3009" si="231">IF(OR(L2946="Review",G2946=""),"",G2946)</f>
        <v>61</v>
      </c>
      <c r="O2946" s="10">
        <f t="shared" si="229"/>
        <v>35.903888888948131</v>
      </c>
    </row>
    <row r="2947" spans="1:15">
      <c r="A2947" s="1" t="s">
        <v>3052</v>
      </c>
      <c r="B2947" s="23">
        <v>45223.386111111111</v>
      </c>
      <c r="C2947" s="1" t="s">
        <v>11</v>
      </c>
      <c r="D2947" s="1" t="s">
        <v>21</v>
      </c>
      <c r="E2947" s="1" t="s">
        <v>13</v>
      </c>
      <c r="F2947" s="1" t="s">
        <v>50</v>
      </c>
      <c r="G2947" s="1">
        <v>121</v>
      </c>
      <c r="H2947" s="23">
        <v>45223.577604166669</v>
      </c>
      <c r="I2947" s="1" t="b">
        <v>0</v>
      </c>
      <c r="K2947" s="10">
        <f t="shared" ref="K2947:K3010" si="232">IF(H2947="","",(H2947-B2947)*24)</f>
        <v>4.59583333338378</v>
      </c>
      <c r="L2947" s="1" t="str">
        <f t="shared" ref="L2947:L3010" si="233">IF(OR(G2947="",K2947=""),"Cannot check",IF(G2947&gt;K2947*60,"Review","OK"))</f>
        <v>OK</v>
      </c>
      <c r="M2947" s="1">
        <f t="shared" si="230"/>
        <v>1</v>
      </c>
      <c r="N2947" s="1">
        <f t="shared" si="231"/>
        <v>121</v>
      </c>
      <c r="O2947" s="10">
        <f t="shared" ref="O2947:O3010" si="234">IF(OR(L2947="Review",K2947=""),"",K2947)</f>
        <v>4.59583333338378</v>
      </c>
    </row>
    <row r="2948" spans="1:15">
      <c r="A2948" s="1" t="s">
        <v>3053</v>
      </c>
      <c r="B2948" s="23">
        <v>45223.465277777781</v>
      </c>
      <c r="C2948" s="1" t="s">
        <v>16</v>
      </c>
      <c r="D2948" s="1" t="s">
        <v>59</v>
      </c>
      <c r="E2948" s="1" t="s">
        <v>18</v>
      </c>
      <c r="F2948" s="1" t="s">
        <v>14</v>
      </c>
      <c r="G2948" s="1">
        <v>45</v>
      </c>
      <c r="H2948" s="23">
        <v>45224.00984953704</v>
      </c>
      <c r="I2948" s="1" t="b">
        <v>0</v>
      </c>
      <c r="K2948" s="10">
        <f t="shared" si="232"/>
        <v>13.069722222222481</v>
      </c>
      <c r="L2948" s="1" t="str">
        <f t="shared" si="233"/>
        <v>OK</v>
      </c>
      <c r="M2948" s="1">
        <f t="shared" si="230"/>
        <v>1</v>
      </c>
      <c r="N2948" s="1">
        <f t="shared" si="231"/>
        <v>45</v>
      </c>
      <c r="O2948" s="10">
        <f t="shared" si="234"/>
        <v>13.069722222222481</v>
      </c>
    </row>
    <row r="2949" spans="1:15">
      <c r="A2949" s="1" t="s">
        <v>3054</v>
      </c>
      <c r="B2949" s="23">
        <v>45223.568055555559</v>
      </c>
      <c r="C2949" s="1" t="s">
        <v>25</v>
      </c>
      <c r="D2949" s="1" t="s">
        <v>59</v>
      </c>
      <c r="E2949" s="1" t="s">
        <v>18</v>
      </c>
      <c r="F2949" s="1" t="s">
        <v>104</v>
      </c>
      <c r="G2949" s="1">
        <v>16</v>
      </c>
      <c r="H2949" s="23">
        <v>45240.494351851848</v>
      </c>
      <c r="I2949" s="1" t="b">
        <v>0</v>
      </c>
      <c r="K2949" s="10">
        <f t="shared" si="232"/>
        <v>406.23111111094477</v>
      </c>
      <c r="L2949" s="1" t="str">
        <f t="shared" si="233"/>
        <v>OK</v>
      </c>
      <c r="M2949" s="1">
        <f t="shared" si="230"/>
        <v>1</v>
      </c>
      <c r="N2949" s="1">
        <f t="shared" si="231"/>
        <v>16</v>
      </c>
      <c r="O2949" s="10">
        <f t="shared" si="234"/>
        <v>406.23111111094477</v>
      </c>
    </row>
    <row r="2950" spans="1:15">
      <c r="A2950" s="1" t="s">
        <v>3055</v>
      </c>
      <c r="B2950" s="23">
        <v>45223.992361111108</v>
      </c>
      <c r="C2950" s="1" t="s">
        <v>25</v>
      </c>
      <c r="D2950" s="1" t="s">
        <v>12</v>
      </c>
      <c r="E2950" s="1" t="s">
        <v>18</v>
      </c>
      <c r="F2950" s="1" t="s">
        <v>486</v>
      </c>
      <c r="G2950" s="1">
        <v>79</v>
      </c>
      <c r="H2950" s="23">
        <v>45224.290173611109</v>
      </c>
      <c r="I2950" s="1" t="b">
        <v>1</v>
      </c>
      <c r="J2950" s="1">
        <v>5</v>
      </c>
      <c r="K2950" s="10">
        <f t="shared" si="232"/>
        <v>7.1475000000209548</v>
      </c>
      <c r="L2950" s="1" t="str">
        <f t="shared" si="233"/>
        <v>OK</v>
      </c>
      <c r="M2950" s="1">
        <f t="shared" si="230"/>
        <v>1</v>
      </c>
      <c r="N2950" s="1">
        <f t="shared" si="231"/>
        <v>79</v>
      </c>
      <c r="O2950" s="10">
        <f t="shared" si="234"/>
        <v>7.1475000000209548</v>
      </c>
    </row>
    <row r="2951" spans="1:15">
      <c r="A2951" s="1" t="s">
        <v>3056</v>
      </c>
      <c r="B2951" s="23">
        <v>45224.011805555558</v>
      </c>
      <c r="C2951" s="1" t="s">
        <v>16</v>
      </c>
      <c r="D2951" s="1" t="s">
        <v>17</v>
      </c>
      <c r="E2951" s="1" t="s">
        <v>18</v>
      </c>
      <c r="F2951" s="1" t="s">
        <v>345</v>
      </c>
      <c r="G2951" s="1">
        <v>96</v>
      </c>
      <c r="H2951" s="23">
        <v>45226.871377314812</v>
      </c>
      <c r="I2951" s="1" t="b">
        <v>0</v>
      </c>
      <c r="J2951" s="1">
        <v>4</v>
      </c>
      <c r="K2951" s="10">
        <f t="shared" si="232"/>
        <v>68.629722222103737</v>
      </c>
      <c r="L2951" s="1" t="str">
        <f t="shared" si="233"/>
        <v>OK</v>
      </c>
      <c r="M2951" s="1">
        <f t="shared" si="230"/>
        <v>1</v>
      </c>
      <c r="N2951" s="1">
        <f t="shared" si="231"/>
        <v>96</v>
      </c>
      <c r="O2951" s="10">
        <f t="shared" si="234"/>
        <v>68.629722222103737</v>
      </c>
    </row>
    <row r="2952" spans="1:15">
      <c r="A2952" s="1" t="s">
        <v>3057</v>
      </c>
      <c r="B2952" s="23">
        <v>45224.082638888889</v>
      </c>
      <c r="C2952" s="1" t="s">
        <v>16</v>
      </c>
      <c r="D2952" s="1" t="s">
        <v>17</v>
      </c>
      <c r="E2952" s="1" t="s">
        <v>33</v>
      </c>
      <c r="F2952" s="1" t="s">
        <v>108</v>
      </c>
      <c r="G2952" s="1">
        <v>60</v>
      </c>
      <c r="H2952" s="23">
        <v>45224.187002314815</v>
      </c>
      <c r="I2952" s="1" t="b">
        <v>0</v>
      </c>
      <c r="J2952" s="1">
        <v>1</v>
      </c>
      <c r="K2952" s="10">
        <f t="shared" si="232"/>
        <v>2.5047222222201526</v>
      </c>
      <c r="L2952" s="1" t="str">
        <f t="shared" si="233"/>
        <v>OK</v>
      </c>
      <c r="M2952" s="1">
        <f t="shared" si="230"/>
        <v>1</v>
      </c>
      <c r="N2952" s="1">
        <f t="shared" si="231"/>
        <v>60</v>
      </c>
      <c r="O2952" s="10">
        <f t="shared" si="234"/>
        <v>2.5047222222201526</v>
      </c>
    </row>
    <row r="2953" spans="1:15">
      <c r="A2953" s="1" t="s">
        <v>3058</v>
      </c>
      <c r="B2953" s="23">
        <v>45224.252083333333</v>
      </c>
      <c r="C2953" s="1" t="s">
        <v>43</v>
      </c>
      <c r="D2953" s="1" t="s">
        <v>26</v>
      </c>
      <c r="E2953" s="1" t="s">
        <v>13</v>
      </c>
      <c r="F2953" s="1" t="s">
        <v>237</v>
      </c>
      <c r="G2953" s="1">
        <v>11</v>
      </c>
      <c r="H2953" s="23">
        <v>45224.599560185183</v>
      </c>
      <c r="I2953" s="1" t="b">
        <v>0</v>
      </c>
      <c r="J2953" s="1">
        <v>1</v>
      </c>
      <c r="K2953" s="10">
        <f t="shared" si="232"/>
        <v>8.3394444443983957</v>
      </c>
      <c r="L2953" s="1" t="str">
        <f t="shared" si="233"/>
        <v>OK</v>
      </c>
      <c r="M2953" s="1">
        <f t="shared" si="230"/>
        <v>1</v>
      </c>
      <c r="N2953" s="1">
        <f t="shared" si="231"/>
        <v>11</v>
      </c>
      <c r="O2953" s="10">
        <f t="shared" si="234"/>
        <v>8.3394444443983957</v>
      </c>
    </row>
    <row r="2954" spans="1:15">
      <c r="A2954" s="1" t="s">
        <v>3059</v>
      </c>
      <c r="B2954" s="23">
        <v>45224.275000000001</v>
      </c>
      <c r="C2954" s="1" t="s">
        <v>11</v>
      </c>
      <c r="D2954" s="1" t="s">
        <v>59</v>
      </c>
      <c r="E2954" s="1" t="s">
        <v>18</v>
      </c>
      <c r="F2954" s="1" t="s">
        <v>228</v>
      </c>
      <c r="G2954" s="1">
        <v>7</v>
      </c>
      <c r="H2954" s="23">
        <v>45224.826909722222</v>
      </c>
      <c r="I2954" s="1" t="b">
        <v>0</v>
      </c>
      <c r="K2954" s="10">
        <f t="shared" si="232"/>
        <v>13.245833333290648</v>
      </c>
      <c r="L2954" s="1" t="str">
        <f t="shared" si="233"/>
        <v>OK</v>
      </c>
      <c r="M2954" s="1">
        <f t="shared" si="230"/>
        <v>1</v>
      </c>
      <c r="N2954" s="1">
        <f t="shared" si="231"/>
        <v>7</v>
      </c>
      <c r="O2954" s="10">
        <f t="shared" si="234"/>
        <v>13.245833333290648</v>
      </c>
    </row>
    <row r="2955" spans="1:15">
      <c r="A2955" s="1" t="s">
        <v>3060</v>
      </c>
      <c r="B2955" s="23">
        <v>45224.390277777777</v>
      </c>
      <c r="C2955" s="1" t="s">
        <v>11</v>
      </c>
      <c r="D2955" s="1" t="s">
        <v>26</v>
      </c>
      <c r="E2955" s="1" t="s">
        <v>18</v>
      </c>
      <c r="F2955" s="1" t="s">
        <v>110</v>
      </c>
      <c r="G2955" s="1">
        <v>204</v>
      </c>
      <c r="H2955" s="23">
        <v>45225.29078703704</v>
      </c>
      <c r="I2955" s="1" t="b">
        <v>0</v>
      </c>
      <c r="K2955" s="10">
        <f t="shared" si="232"/>
        <v>21.61222222232027</v>
      </c>
      <c r="L2955" s="1" t="str">
        <f t="shared" si="233"/>
        <v>OK</v>
      </c>
      <c r="M2955" s="1">
        <f t="shared" si="230"/>
        <v>1</v>
      </c>
      <c r="N2955" s="1">
        <f t="shared" si="231"/>
        <v>204</v>
      </c>
      <c r="O2955" s="10">
        <f t="shared" si="234"/>
        <v>21.61222222232027</v>
      </c>
    </row>
    <row r="2956" spans="1:15">
      <c r="A2956" s="1" t="s">
        <v>3061</v>
      </c>
      <c r="B2956" s="23">
        <v>45224.402083333334</v>
      </c>
      <c r="C2956" s="1" t="s">
        <v>11</v>
      </c>
      <c r="D2956" s="1" t="s">
        <v>12</v>
      </c>
      <c r="E2956" s="1" t="s">
        <v>22</v>
      </c>
      <c r="F2956" s="1" t="s">
        <v>198</v>
      </c>
      <c r="G2956" s="1">
        <v>33</v>
      </c>
      <c r="H2956" s="23">
        <v>45224.480567129627</v>
      </c>
      <c r="I2956" s="1" t="b">
        <v>0</v>
      </c>
      <c r="J2956" s="1">
        <v>5</v>
      </c>
      <c r="K2956" s="10">
        <f t="shared" si="232"/>
        <v>1.8836111110285856</v>
      </c>
      <c r="L2956" s="1" t="str">
        <f t="shared" si="233"/>
        <v>OK</v>
      </c>
      <c r="M2956" s="1">
        <f t="shared" si="230"/>
        <v>1</v>
      </c>
      <c r="N2956" s="1">
        <f t="shared" si="231"/>
        <v>33</v>
      </c>
      <c r="O2956" s="10">
        <f t="shared" si="234"/>
        <v>1.8836111110285856</v>
      </c>
    </row>
    <row r="2957" spans="1:15">
      <c r="A2957" s="1" t="s">
        <v>3062</v>
      </c>
      <c r="B2957" s="23">
        <v>45224.6</v>
      </c>
      <c r="C2957" s="1" t="s">
        <v>11</v>
      </c>
      <c r="D2957" s="1" t="s">
        <v>26</v>
      </c>
      <c r="E2957" s="1" t="s">
        <v>13</v>
      </c>
      <c r="F2957" s="1" t="s">
        <v>44</v>
      </c>
      <c r="G2957" s="1">
        <v>11</v>
      </c>
      <c r="H2957" s="23">
        <v>45225.686874999999</v>
      </c>
      <c r="I2957" s="1" t="b">
        <v>0</v>
      </c>
      <c r="K2957" s="10">
        <f t="shared" si="232"/>
        <v>26.085000000020955</v>
      </c>
      <c r="L2957" s="1" t="str">
        <f t="shared" si="233"/>
        <v>OK</v>
      </c>
      <c r="M2957" s="1">
        <f t="shared" si="230"/>
        <v>1</v>
      </c>
      <c r="N2957" s="1">
        <f t="shared" si="231"/>
        <v>11</v>
      </c>
      <c r="O2957" s="10">
        <f t="shared" si="234"/>
        <v>26.085000000020955</v>
      </c>
    </row>
    <row r="2958" spans="1:15">
      <c r="A2958" s="1" t="s">
        <v>3063</v>
      </c>
      <c r="B2958" s="23">
        <v>45224.642361111109</v>
      </c>
      <c r="C2958" s="1" t="s">
        <v>25</v>
      </c>
      <c r="D2958" s="1" t="s">
        <v>17</v>
      </c>
      <c r="E2958" s="1" t="s">
        <v>33</v>
      </c>
      <c r="F2958" s="1" t="s">
        <v>90</v>
      </c>
      <c r="G2958" s="1">
        <v>52</v>
      </c>
      <c r="H2958" s="23">
        <v>45226.67260416667</v>
      </c>
      <c r="I2958" s="1" t="b">
        <v>0</v>
      </c>
      <c r="K2958" s="10">
        <f t="shared" si="232"/>
        <v>48.725833333446644</v>
      </c>
      <c r="L2958" s="1" t="str">
        <f t="shared" si="233"/>
        <v>OK</v>
      </c>
      <c r="M2958" s="1">
        <f t="shared" si="230"/>
        <v>1</v>
      </c>
      <c r="N2958" s="1">
        <f t="shared" si="231"/>
        <v>52</v>
      </c>
      <c r="O2958" s="10">
        <f t="shared" si="234"/>
        <v>48.725833333446644</v>
      </c>
    </row>
    <row r="2959" spans="1:15">
      <c r="A2959" s="1" t="s">
        <v>3064</v>
      </c>
      <c r="B2959" s="23">
        <v>45224.744444444441</v>
      </c>
      <c r="C2959" s="1" t="s">
        <v>11</v>
      </c>
      <c r="D2959" s="1" t="s">
        <v>21</v>
      </c>
      <c r="E2959" s="1" t="s">
        <v>18</v>
      </c>
      <c r="F2959" s="1" t="s">
        <v>415</v>
      </c>
      <c r="H2959" s="23">
        <v>45225.457129629627</v>
      </c>
      <c r="I2959" s="1" t="b">
        <v>0</v>
      </c>
      <c r="K2959" s="10">
        <f t="shared" si="232"/>
        <v>17.104444444470573</v>
      </c>
      <c r="L2959" s="1" t="str">
        <f t="shared" si="233"/>
        <v>Cannot check</v>
      </c>
      <c r="M2959" s="1">
        <f t="shared" si="230"/>
        <v>1</v>
      </c>
      <c r="N2959" s="1" t="str">
        <f t="shared" si="231"/>
        <v/>
      </c>
      <c r="O2959" s="10">
        <f t="shared" si="234"/>
        <v>17.104444444470573</v>
      </c>
    </row>
    <row r="2960" spans="1:15">
      <c r="A2960" s="1" t="s">
        <v>3065</v>
      </c>
      <c r="B2960" s="23">
        <v>45224.879861111112</v>
      </c>
      <c r="C2960" s="1" t="s">
        <v>25</v>
      </c>
      <c r="D2960" s="1" t="s">
        <v>17</v>
      </c>
      <c r="E2960" s="1" t="s">
        <v>33</v>
      </c>
      <c r="F2960" s="1" t="s">
        <v>392</v>
      </c>
      <c r="G2960" s="1">
        <v>98</v>
      </c>
      <c r="I2960" s="1" t="b">
        <v>0</v>
      </c>
      <c r="K2960" s="10" t="str">
        <f t="shared" si="232"/>
        <v/>
      </c>
      <c r="L2960" s="1" t="str">
        <f t="shared" si="233"/>
        <v>Cannot check</v>
      </c>
      <c r="M2960" s="1">
        <f t="shared" si="230"/>
        <v>1</v>
      </c>
      <c r="N2960" s="1">
        <f t="shared" si="231"/>
        <v>98</v>
      </c>
      <c r="O2960" s="10" t="str">
        <f t="shared" si="234"/>
        <v/>
      </c>
    </row>
    <row r="2961" spans="1:15">
      <c r="A2961" s="1" t="s">
        <v>3066</v>
      </c>
      <c r="B2961" s="23">
        <v>45225.127083333333</v>
      </c>
      <c r="C2961" s="1" t="s">
        <v>43</v>
      </c>
      <c r="D2961" s="1" t="s">
        <v>59</v>
      </c>
      <c r="E2961" s="1" t="s">
        <v>18</v>
      </c>
      <c r="F2961" s="1" t="s">
        <v>66</v>
      </c>
      <c r="G2961" s="1">
        <v>64</v>
      </c>
      <c r="H2961" s="23">
        <v>45227.758680555555</v>
      </c>
      <c r="I2961" s="1" t="b">
        <v>0</v>
      </c>
      <c r="K2961" s="10">
        <f t="shared" si="232"/>
        <v>63.158333333325572</v>
      </c>
      <c r="L2961" s="1" t="str">
        <f t="shared" si="233"/>
        <v>OK</v>
      </c>
      <c r="M2961" s="1">
        <f t="shared" si="230"/>
        <v>1</v>
      </c>
      <c r="N2961" s="1">
        <f t="shared" si="231"/>
        <v>64</v>
      </c>
      <c r="O2961" s="10">
        <f t="shared" si="234"/>
        <v>63.158333333325572</v>
      </c>
    </row>
    <row r="2962" spans="1:15">
      <c r="A2962" s="1" t="s">
        <v>3067</v>
      </c>
      <c r="B2962" s="23">
        <v>45225.181250000001</v>
      </c>
      <c r="C2962" s="1" t="s">
        <v>11</v>
      </c>
      <c r="D2962" s="1" t="s">
        <v>12</v>
      </c>
      <c r="E2962" s="1" t="s">
        <v>18</v>
      </c>
      <c r="F2962" s="1" t="s">
        <v>60</v>
      </c>
      <c r="G2962" s="1">
        <v>53</v>
      </c>
      <c r="H2962" s="23">
        <v>45225.477719907409</v>
      </c>
      <c r="I2962" s="1" t="b">
        <v>0</v>
      </c>
      <c r="K2962" s="10">
        <f t="shared" si="232"/>
        <v>7.1152777777751908</v>
      </c>
      <c r="L2962" s="1" t="str">
        <f t="shared" si="233"/>
        <v>OK</v>
      </c>
      <c r="M2962" s="1">
        <f t="shared" si="230"/>
        <v>1</v>
      </c>
      <c r="N2962" s="1">
        <f t="shared" si="231"/>
        <v>53</v>
      </c>
      <c r="O2962" s="10">
        <f t="shared" si="234"/>
        <v>7.1152777777751908</v>
      </c>
    </row>
    <row r="2963" spans="1:15">
      <c r="A2963" s="1" t="s">
        <v>3068</v>
      </c>
      <c r="B2963" s="23">
        <v>45225.347222222219</v>
      </c>
      <c r="C2963" s="1" t="s">
        <v>16</v>
      </c>
      <c r="D2963" s="1" t="s">
        <v>17</v>
      </c>
      <c r="E2963" s="1" t="s">
        <v>18</v>
      </c>
      <c r="F2963" s="1" t="s">
        <v>86</v>
      </c>
      <c r="G2963" s="1">
        <v>589</v>
      </c>
      <c r="H2963" s="23">
        <v>45228.055856481478</v>
      </c>
      <c r="I2963" s="1" t="b">
        <v>0</v>
      </c>
      <c r="K2963" s="10">
        <f t="shared" si="232"/>
        <v>65.007222222222481</v>
      </c>
      <c r="L2963" s="1" t="str">
        <f t="shared" si="233"/>
        <v>OK</v>
      </c>
      <c r="M2963" s="1">
        <f t="shared" si="230"/>
        <v>1</v>
      </c>
      <c r="N2963" s="1">
        <f t="shared" si="231"/>
        <v>589</v>
      </c>
      <c r="O2963" s="10">
        <f t="shared" si="234"/>
        <v>65.007222222222481</v>
      </c>
    </row>
    <row r="2964" spans="1:15">
      <c r="A2964" s="1" t="s">
        <v>3069</v>
      </c>
      <c r="B2964" s="23">
        <v>45225.510416666664</v>
      </c>
      <c r="C2964" s="1" t="s">
        <v>11</v>
      </c>
      <c r="D2964" s="1" t="s">
        <v>21</v>
      </c>
      <c r="E2964" s="1" t="s">
        <v>18</v>
      </c>
      <c r="F2964" s="1" t="s">
        <v>29</v>
      </c>
      <c r="G2964" s="1">
        <v>140</v>
      </c>
      <c r="H2964" s="23">
        <v>45225.919722222221</v>
      </c>
      <c r="I2964" s="1" t="b">
        <v>0</v>
      </c>
      <c r="K2964" s="10">
        <f t="shared" si="232"/>
        <v>9.8233333333628252</v>
      </c>
      <c r="L2964" s="1" t="str">
        <f t="shared" si="233"/>
        <v>OK</v>
      </c>
      <c r="M2964" s="1">
        <f t="shared" si="230"/>
        <v>1</v>
      </c>
      <c r="N2964" s="1">
        <f t="shared" si="231"/>
        <v>140</v>
      </c>
      <c r="O2964" s="10">
        <f t="shared" si="234"/>
        <v>9.8233333333628252</v>
      </c>
    </row>
    <row r="2965" spans="1:15">
      <c r="A2965" s="1" t="s">
        <v>3070</v>
      </c>
      <c r="B2965" s="23">
        <v>45225.977083333331</v>
      </c>
      <c r="C2965" s="1" t="s">
        <v>11</v>
      </c>
      <c r="D2965" s="1" t="s">
        <v>17</v>
      </c>
      <c r="E2965" s="1" t="s">
        <v>18</v>
      </c>
      <c r="F2965" s="1" t="s">
        <v>245</v>
      </c>
      <c r="G2965" s="1">
        <v>10</v>
      </c>
      <c r="H2965" s="23">
        <v>45227.030682870369</v>
      </c>
      <c r="I2965" s="1" t="b">
        <v>0</v>
      </c>
      <c r="K2965" s="10">
        <f t="shared" si="232"/>
        <v>25.286388888896909</v>
      </c>
      <c r="L2965" s="1" t="str">
        <f t="shared" si="233"/>
        <v>OK</v>
      </c>
      <c r="M2965" s="1">
        <f t="shared" si="230"/>
        <v>1</v>
      </c>
      <c r="N2965" s="1">
        <f t="shared" si="231"/>
        <v>10</v>
      </c>
      <c r="O2965" s="10">
        <f t="shared" si="234"/>
        <v>25.286388888896909</v>
      </c>
    </row>
    <row r="2966" spans="1:15">
      <c r="A2966" s="1" t="s">
        <v>3071</v>
      </c>
      <c r="B2966" s="23">
        <v>45225.984722222223</v>
      </c>
      <c r="C2966" s="1" t="s">
        <v>11</v>
      </c>
      <c r="D2966" s="1" t="s">
        <v>17</v>
      </c>
      <c r="E2966" s="1" t="s">
        <v>18</v>
      </c>
      <c r="F2966" s="1" t="s">
        <v>41</v>
      </c>
      <c r="G2966" s="1">
        <v>163</v>
      </c>
      <c r="H2966" s="23">
        <v>45231.827974537038</v>
      </c>
      <c r="I2966" s="1" t="b">
        <v>0</v>
      </c>
      <c r="J2966" s="1">
        <v>2</v>
      </c>
      <c r="K2966" s="10">
        <f t="shared" si="232"/>
        <v>140.23805555555737</v>
      </c>
      <c r="L2966" s="1" t="str">
        <f t="shared" si="233"/>
        <v>OK</v>
      </c>
      <c r="M2966" s="1">
        <f t="shared" si="230"/>
        <v>1</v>
      </c>
      <c r="N2966" s="1">
        <f t="shared" si="231"/>
        <v>163</v>
      </c>
      <c r="O2966" s="10">
        <f t="shared" si="234"/>
        <v>140.23805555555737</v>
      </c>
    </row>
    <row r="2967" spans="1:15">
      <c r="A2967" s="1" t="s">
        <v>3072</v>
      </c>
      <c r="B2967" s="23">
        <v>45226.030555555553</v>
      </c>
      <c r="C2967" s="1" t="s">
        <v>25</v>
      </c>
      <c r="D2967" s="1" t="s">
        <v>17</v>
      </c>
      <c r="E2967" s="1" t="s">
        <v>33</v>
      </c>
      <c r="F2967" s="1" t="s">
        <v>116</v>
      </c>
      <c r="G2967" s="1">
        <v>3914</v>
      </c>
      <c r="H2967" s="23">
        <v>45240.456018518518</v>
      </c>
      <c r="I2967" s="1" t="b">
        <v>0</v>
      </c>
      <c r="K2967" s="10">
        <f t="shared" si="232"/>
        <v>346.21111111115897</v>
      </c>
      <c r="L2967" s="1" t="str">
        <f t="shared" si="233"/>
        <v>OK</v>
      </c>
      <c r="M2967" s="1">
        <f t="shared" si="230"/>
        <v>1</v>
      </c>
      <c r="N2967" s="1">
        <f t="shared" si="231"/>
        <v>3914</v>
      </c>
      <c r="O2967" s="10">
        <f t="shared" si="234"/>
        <v>346.21111111115897</v>
      </c>
    </row>
    <row r="2968" spans="1:15">
      <c r="A2968" s="1" t="s">
        <v>3073</v>
      </c>
      <c r="B2968" s="23">
        <v>45226.041666666664</v>
      </c>
      <c r="C2968" s="1" t="s">
        <v>43</v>
      </c>
      <c r="D2968" s="1" t="s">
        <v>59</v>
      </c>
      <c r="E2968" s="1" t="s">
        <v>13</v>
      </c>
      <c r="F2968" s="1" t="s">
        <v>31</v>
      </c>
      <c r="G2968" s="1">
        <v>16</v>
      </c>
      <c r="H2968" s="23">
        <v>45226.094988425924</v>
      </c>
      <c r="I2968" s="1" t="b">
        <v>0</v>
      </c>
      <c r="J2968" s="1">
        <v>5</v>
      </c>
      <c r="K2968" s="10">
        <f t="shared" si="232"/>
        <v>1.2797222222434357</v>
      </c>
      <c r="L2968" s="1" t="str">
        <f t="shared" si="233"/>
        <v>OK</v>
      </c>
      <c r="M2968" s="1">
        <f t="shared" si="230"/>
        <v>1</v>
      </c>
      <c r="N2968" s="1">
        <f t="shared" si="231"/>
        <v>16</v>
      </c>
      <c r="O2968" s="10">
        <f t="shared" si="234"/>
        <v>1.2797222222434357</v>
      </c>
    </row>
    <row r="2969" spans="1:15">
      <c r="A2969" s="1" t="s">
        <v>3074</v>
      </c>
      <c r="B2969" s="23">
        <v>45226.052083333336</v>
      </c>
      <c r="C2969" s="1" t="s">
        <v>11</v>
      </c>
      <c r="D2969" s="1" t="s">
        <v>17</v>
      </c>
      <c r="E2969" s="1" t="s">
        <v>18</v>
      </c>
      <c r="F2969" s="1" t="s">
        <v>100</v>
      </c>
      <c r="G2969" s="1">
        <v>432</v>
      </c>
      <c r="H2969" s="23">
        <v>45227.238043981481</v>
      </c>
      <c r="I2969" s="1" t="b">
        <v>0</v>
      </c>
      <c r="K2969" s="10">
        <f t="shared" si="232"/>
        <v>28.463055555475876</v>
      </c>
      <c r="L2969" s="1" t="str">
        <f t="shared" si="233"/>
        <v>OK</v>
      </c>
      <c r="M2969" s="1">
        <f t="shared" si="230"/>
        <v>1</v>
      </c>
      <c r="N2969" s="1">
        <f t="shared" si="231"/>
        <v>432</v>
      </c>
      <c r="O2969" s="10">
        <f t="shared" si="234"/>
        <v>28.463055555475876</v>
      </c>
    </row>
    <row r="2970" spans="1:15">
      <c r="A2970" s="1" t="s">
        <v>3075</v>
      </c>
      <c r="B2970" s="23">
        <v>45226.053472222222</v>
      </c>
      <c r="C2970" s="1" t="s">
        <v>16</v>
      </c>
      <c r="D2970" s="1" t="s">
        <v>12</v>
      </c>
      <c r="E2970" s="1" t="s">
        <v>33</v>
      </c>
      <c r="F2970" s="1" t="s">
        <v>74</v>
      </c>
      <c r="H2970" s="23">
        <v>45238.755381944444</v>
      </c>
      <c r="I2970" s="1" t="b">
        <v>0</v>
      </c>
      <c r="J2970" s="1">
        <v>5</v>
      </c>
      <c r="K2970" s="10">
        <f t="shared" si="232"/>
        <v>304.84583333332557</v>
      </c>
      <c r="L2970" s="1" t="str">
        <f t="shared" si="233"/>
        <v>Cannot check</v>
      </c>
      <c r="M2970" s="1">
        <f t="shared" si="230"/>
        <v>1</v>
      </c>
      <c r="N2970" s="1" t="str">
        <f t="shared" si="231"/>
        <v/>
      </c>
      <c r="O2970" s="10">
        <f t="shared" si="234"/>
        <v>304.84583333332557</v>
      </c>
    </row>
    <row r="2971" spans="1:15">
      <c r="A2971" s="1" t="s">
        <v>3076</v>
      </c>
      <c r="B2971" s="23">
        <v>45226.209722222222</v>
      </c>
      <c r="C2971" s="1" t="s">
        <v>16</v>
      </c>
      <c r="D2971" s="1" t="s">
        <v>17</v>
      </c>
      <c r="E2971" s="1" t="s">
        <v>33</v>
      </c>
      <c r="F2971" s="1" t="s">
        <v>178</v>
      </c>
      <c r="G2971" s="1">
        <v>93</v>
      </c>
      <c r="H2971" s="23">
        <v>45234.376076388886</v>
      </c>
      <c r="I2971" s="1" t="b">
        <v>0</v>
      </c>
      <c r="J2971" s="1">
        <v>5</v>
      </c>
      <c r="K2971" s="10">
        <f t="shared" si="232"/>
        <v>195.99249999993481</v>
      </c>
      <c r="L2971" s="1" t="str">
        <f t="shared" si="233"/>
        <v>OK</v>
      </c>
      <c r="M2971" s="1">
        <f t="shared" si="230"/>
        <v>1</v>
      </c>
      <c r="N2971" s="1">
        <f t="shared" si="231"/>
        <v>93</v>
      </c>
      <c r="O2971" s="10">
        <f t="shared" si="234"/>
        <v>195.99249999993481</v>
      </c>
    </row>
    <row r="2972" spans="1:15">
      <c r="A2972" s="1" t="s">
        <v>3077</v>
      </c>
      <c r="B2972" s="23">
        <v>45226.283333333333</v>
      </c>
      <c r="C2972" s="1" t="s">
        <v>25</v>
      </c>
      <c r="D2972" s="1" t="s">
        <v>26</v>
      </c>
      <c r="E2972" s="1" t="s">
        <v>33</v>
      </c>
      <c r="F2972" s="1" t="s">
        <v>245</v>
      </c>
      <c r="G2972" s="1">
        <v>82</v>
      </c>
      <c r="H2972" s="23">
        <v>45229.831886574073</v>
      </c>
      <c r="I2972" s="1" t="b">
        <v>0</v>
      </c>
      <c r="J2972" s="1">
        <v>5</v>
      </c>
      <c r="K2972" s="10">
        <f t="shared" si="232"/>
        <v>85.165277777763549</v>
      </c>
      <c r="L2972" s="1" t="str">
        <f t="shared" si="233"/>
        <v>OK</v>
      </c>
      <c r="M2972" s="1">
        <f t="shared" si="230"/>
        <v>1</v>
      </c>
      <c r="N2972" s="1">
        <f t="shared" si="231"/>
        <v>82</v>
      </c>
      <c r="O2972" s="10">
        <f t="shared" si="234"/>
        <v>85.165277777763549</v>
      </c>
    </row>
    <row r="2973" spans="1:15">
      <c r="A2973" s="1" t="s">
        <v>3078</v>
      </c>
      <c r="B2973" s="23">
        <v>45226.385416666664</v>
      </c>
      <c r="C2973" s="1" t="s">
        <v>25</v>
      </c>
      <c r="D2973" s="1" t="s">
        <v>12</v>
      </c>
      <c r="E2973" s="1" t="s">
        <v>18</v>
      </c>
      <c r="F2973" s="1" t="s">
        <v>245</v>
      </c>
      <c r="G2973" s="1">
        <v>162</v>
      </c>
      <c r="H2973" s="23">
        <v>45227.145439814813</v>
      </c>
      <c r="I2973" s="1" t="b">
        <v>0</v>
      </c>
      <c r="K2973" s="10">
        <f t="shared" si="232"/>
        <v>18.240555555559695</v>
      </c>
      <c r="L2973" s="1" t="str">
        <f t="shared" si="233"/>
        <v>OK</v>
      </c>
      <c r="M2973" s="1">
        <f t="shared" si="230"/>
        <v>1</v>
      </c>
      <c r="N2973" s="1">
        <f t="shared" si="231"/>
        <v>162</v>
      </c>
      <c r="O2973" s="10">
        <f t="shared" si="234"/>
        <v>18.240555555559695</v>
      </c>
    </row>
    <row r="2974" spans="1:15">
      <c r="A2974" s="1" t="s">
        <v>3079</v>
      </c>
      <c r="B2974" s="23">
        <v>45226.429166666669</v>
      </c>
      <c r="C2974" s="1" t="s">
        <v>43</v>
      </c>
      <c r="D2974" s="1" t="s">
        <v>17</v>
      </c>
      <c r="E2974" s="1" t="s">
        <v>18</v>
      </c>
      <c r="F2974" s="1" t="s">
        <v>102</v>
      </c>
      <c r="G2974" s="1">
        <v>179</v>
      </c>
      <c r="H2974" s="23">
        <v>45228.23746527778</v>
      </c>
      <c r="I2974" s="1" t="b">
        <v>0</v>
      </c>
      <c r="K2974" s="10">
        <f t="shared" si="232"/>
        <v>43.399166666669771</v>
      </c>
      <c r="L2974" s="1" t="str">
        <f t="shared" si="233"/>
        <v>OK</v>
      </c>
      <c r="M2974" s="1">
        <f t="shared" si="230"/>
        <v>1</v>
      </c>
      <c r="N2974" s="1">
        <f t="shared" si="231"/>
        <v>179</v>
      </c>
      <c r="O2974" s="10">
        <f t="shared" si="234"/>
        <v>43.399166666669771</v>
      </c>
    </row>
    <row r="2975" spans="1:15">
      <c r="A2975" s="1" t="s">
        <v>3080</v>
      </c>
      <c r="B2975" s="23">
        <v>45226.515972222223</v>
      </c>
      <c r="C2975" s="1" t="s">
        <v>25</v>
      </c>
      <c r="D2975" s="1" t="s">
        <v>21</v>
      </c>
      <c r="E2975" s="1" t="s">
        <v>33</v>
      </c>
      <c r="F2975" s="1" t="s">
        <v>228</v>
      </c>
      <c r="G2975" s="1">
        <v>77</v>
      </c>
      <c r="H2975" s="23">
        <v>45228.929074074076</v>
      </c>
      <c r="I2975" s="1" t="b">
        <v>0</v>
      </c>
      <c r="K2975" s="10">
        <f t="shared" si="232"/>
        <v>57.914444444468245</v>
      </c>
      <c r="L2975" s="1" t="str">
        <f t="shared" si="233"/>
        <v>OK</v>
      </c>
      <c r="M2975" s="1">
        <f t="shared" si="230"/>
        <v>1</v>
      </c>
      <c r="N2975" s="1">
        <f t="shared" si="231"/>
        <v>77</v>
      </c>
      <c r="O2975" s="10">
        <f t="shared" si="234"/>
        <v>57.914444444468245</v>
      </c>
    </row>
    <row r="2976" spans="1:15">
      <c r="A2976" s="1" t="s">
        <v>3081</v>
      </c>
      <c r="B2976" s="23">
        <v>45226.679166666669</v>
      </c>
      <c r="C2976" s="1" t="s">
        <v>43</v>
      </c>
      <c r="D2976" s="1" t="s">
        <v>12</v>
      </c>
      <c r="E2976" s="1" t="s">
        <v>18</v>
      </c>
      <c r="F2976" s="1" t="s">
        <v>72</v>
      </c>
      <c r="G2976" s="1">
        <v>142</v>
      </c>
      <c r="H2976" s="23">
        <v>45227.233634259261</v>
      </c>
      <c r="I2976" s="1" t="b">
        <v>0</v>
      </c>
      <c r="K2976" s="10">
        <f t="shared" si="232"/>
        <v>13.307222222210839</v>
      </c>
      <c r="L2976" s="1" t="str">
        <f t="shared" si="233"/>
        <v>OK</v>
      </c>
      <c r="M2976" s="1">
        <f t="shared" si="230"/>
        <v>1</v>
      </c>
      <c r="N2976" s="1">
        <f t="shared" si="231"/>
        <v>142</v>
      </c>
      <c r="O2976" s="10">
        <f t="shared" si="234"/>
        <v>13.307222222210839</v>
      </c>
    </row>
    <row r="2977" spans="1:15">
      <c r="A2977" s="1" t="s">
        <v>3082</v>
      </c>
      <c r="B2977" s="23">
        <v>45226.72152777778</v>
      </c>
      <c r="C2977" s="1" t="s">
        <v>11</v>
      </c>
      <c r="D2977" s="1" t="s">
        <v>59</v>
      </c>
      <c r="E2977" s="1" t="s">
        <v>18</v>
      </c>
      <c r="F2977" s="1" t="s">
        <v>41</v>
      </c>
      <c r="G2977" s="1">
        <v>19</v>
      </c>
      <c r="H2977" s="23">
        <v>45228.619143518517</v>
      </c>
      <c r="I2977" s="1" t="b">
        <v>0</v>
      </c>
      <c r="K2977" s="10">
        <f t="shared" si="232"/>
        <v>45.54277777770767</v>
      </c>
      <c r="L2977" s="1" t="str">
        <f t="shared" si="233"/>
        <v>OK</v>
      </c>
      <c r="M2977" s="1">
        <f t="shared" si="230"/>
        <v>1</v>
      </c>
      <c r="N2977" s="1">
        <f t="shared" si="231"/>
        <v>19</v>
      </c>
      <c r="O2977" s="10">
        <f t="shared" si="234"/>
        <v>45.54277777770767</v>
      </c>
    </row>
    <row r="2978" spans="1:15">
      <c r="A2978" s="1" t="s">
        <v>3083</v>
      </c>
      <c r="B2978" s="23">
        <v>45227.038194444445</v>
      </c>
      <c r="C2978" s="1" t="s">
        <v>11</v>
      </c>
      <c r="D2978" s="1" t="s">
        <v>26</v>
      </c>
      <c r="E2978" s="1" t="s">
        <v>33</v>
      </c>
      <c r="F2978" s="1" t="s">
        <v>52</v>
      </c>
      <c r="G2978" s="1">
        <v>800</v>
      </c>
      <c r="H2978" s="23">
        <v>45229.352534722224</v>
      </c>
      <c r="I2978" s="1" t="b">
        <v>0</v>
      </c>
      <c r="J2978" s="1">
        <v>4</v>
      </c>
      <c r="K2978" s="10">
        <f t="shared" si="232"/>
        <v>55.544166666688398</v>
      </c>
      <c r="L2978" s="1" t="str">
        <f t="shared" si="233"/>
        <v>OK</v>
      </c>
      <c r="M2978" s="1">
        <f t="shared" si="230"/>
        <v>1</v>
      </c>
      <c r="N2978" s="1">
        <f t="shared" si="231"/>
        <v>800</v>
      </c>
      <c r="O2978" s="10">
        <f t="shared" si="234"/>
        <v>55.544166666688398</v>
      </c>
    </row>
    <row r="2979" spans="1:15">
      <c r="A2979" s="1" t="s">
        <v>3084</v>
      </c>
      <c r="B2979" s="23">
        <v>45227.30972222222</v>
      </c>
      <c r="C2979" s="1" t="s">
        <v>25</v>
      </c>
      <c r="D2979" s="1" t="s">
        <v>17</v>
      </c>
      <c r="E2979" s="1" t="s">
        <v>18</v>
      </c>
      <c r="F2979" s="1" t="s">
        <v>46</v>
      </c>
      <c r="G2979" s="1">
        <v>219</v>
      </c>
      <c r="H2979" s="23">
        <v>45231.773587962962</v>
      </c>
      <c r="I2979" s="1" t="b">
        <v>0</v>
      </c>
      <c r="J2979" s="1">
        <v>5</v>
      </c>
      <c r="K2979" s="10">
        <f t="shared" si="232"/>
        <v>107.13277777779149</v>
      </c>
      <c r="L2979" s="1" t="str">
        <f t="shared" si="233"/>
        <v>OK</v>
      </c>
      <c r="M2979" s="1">
        <f t="shared" si="230"/>
        <v>1</v>
      </c>
      <c r="N2979" s="1">
        <f t="shared" si="231"/>
        <v>219</v>
      </c>
      <c r="O2979" s="10">
        <f t="shared" si="234"/>
        <v>107.13277777779149</v>
      </c>
    </row>
    <row r="2980" spans="1:15">
      <c r="A2980" s="1" t="s">
        <v>3085</v>
      </c>
      <c r="B2980" s="23">
        <v>45227.486111111109</v>
      </c>
      <c r="C2980" s="1" t="s">
        <v>43</v>
      </c>
      <c r="D2980" s="1" t="s">
        <v>12</v>
      </c>
      <c r="E2980" s="1" t="s">
        <v>18</v>
      </c>
      <c r="F2980" s="1" t="s">
        <v>198</v>
      </c>
      <c r="G2980" s="1">
        <v>11</v>
      </c>
      <c r="H2980" s="23">
        <v>45228.280543981484</v>
      </c>
      <c r="I2980" s="1" t="b">
        <v>0</v>
      </c>
      <c r="K2980" s="10">
        <f t="shared" si="232"/>
        <v>19.066388888983056</v>
      </c>
      <c r="L2980" s="1" t="str">
        <f t="shared" si="233"/>
        <v>OK</v>
      </c>
      <c r="M2980" s="1">
        <f t="shared" si="230"/>
        <v>1</v>
      </c>
      <c r="N2980" s="1">
        <f t="shared" si="231"/>
        <v>11</v>
      </c>
      <c r="O2980" s="10">
        <f t="shared" si="234"/>
        <v>19.066388888983056</v>
      </c>
    </row>
    <row r="2981" spans="1:15">
      <c r="A2981" s="1" t="s">
        <v>3086</v>
      </c>
      <c r="B2981" s="23">
        <v>45227.788888888892</v>
      </c>
      <c r="C2981" s="1" t="s">
        <v>25</v>
      </c>
      <c r="D2981" s="1" t="s">
        <v>17</v>
      </c>
      <c r="E2981" s="1" t="s">
        <v>22</v>
      </c>
      <c r="F2981" s="1" t="s">
        <v>274</v>
      </c>
      <c r="G2981" s="1">
        <v>23</v>
      </c>
      <c r="H2981" s="23">
        <v>45227.869386574072</v>
      </c>
      <c r="I2981" s="1" t="b">
        <v>0</v>
      </c>
      <c r="K2981" s="10">
        <f t="shared" si="232"/>
        <v>1.9319444443099201</v>
      </c>
      <c r="L2981" s="1" t="str">
        <f t="shared" si="233"/>
        <v>OK</v>
      </c>
      <c r="M2981" s="1">
        <f t="shared" si="230"/>
        <v>1</v>
      </c>
      <c r="N2981" s="1">
        <f t="shared" si="231"/>
        <v>23</v>
      </c>
      <c r="O2981" s="10">
        <f t="shared" si="234"/>
        <v>1.9319444443099201</v>
      </c>
    </row>
    <row r="2982" spans="1:15">
      <c r="A2982" s="1" t="s">
        <v>3087</v>
      </c>
      <c r="B2982" s="23">
        <v>45227.881944444445</v>
      </c>
      <c r="C2982" s="1" t="s">
        <v>25</v>
      </c>
      <c r="D2982" s="1" t="s">
        <v>17</v>
      </c>
      <c r="E2982" s="1" t="s">
        <v>13</v>
      </c>
      <c r="F2982" s="1" t="s">
        <v>106</v>
      </c>
      <c r="G2982" s="1">
        <v>26</v>
      </c>
      <c r="H2982" s="23">
        <v>45228.448680555557</v>
      </c>
      <c r="I2982" s="1" t="b">
        <v>0</v>
      </c>
      <c r="K2982" s="10">
        <f t="shared" si="232"/>
        <v>13.601666666683741</v>
      </c>
      <c r="L2982" s="1" t="str">
        <f t="shared" si="233"/>
        <v>OK</v>
      </c>
      <c r="M2982" s="1">
        <f t="shared" si="230"/>
        <v>1</v>
      </c>
      <c r="N2982" s="1">
        <f t="shared" si="231"/>
        <v>26</v>
      </c>
      <c r="O2982" s="10">
        <f t="shared" si="234"/>
        <v>13.601666666683741</v>
      </c>
    </row>
    <row r="2983" spans="1:15">
      <c r="A2983" s="1" t="s">
        <v>3088</v>
      </c>
      <c r="B2983" s="23">
        <v>45228.006249999999</v>
      </c>
      <c r="C2983" s="1" t="s">
        <v>43</v>
      </c>
      <c r="D2983" s="1" t="s">
        <v>21</v>
      </c>
      <c r="E2983" s="1" t="s">
        <v>13</v>
      </c>
      <c r="F2983" s="1" t="s">
        <v>206</v>
      </c>
      <c r="G2983" s="1">
        <v>57</v>
      </c>
      <c r="H2983" s="23">
        <v>45228.088009259256</v>
      </c>
      <c r="I2983" s="1" t="b">
        <v>0</v>
      </c>
      <c r="K2983" s="10">
        <f t="shared" si="232"/>
        <v>1.9622222221805714</v>
      </c>
      <c r="L2983" s="1" t="str">
        <f t="shared" si="233"/>
        <v>OK</v>
      </c>
      <c r="M2983" s="1">
        <f t="shared" si="230"/>
        <v>1</v>
      </c>
      <c r="N2983" s="1">
        <f t="shared" si="231"/>
        <v>57</v>
      </c>
      <c r="O2983" s="10">
        <f t="shared" si="234"/>
        <v>1.9622222221805714</v>
      </c>
    </row>
    <row r="2984" spans="1:15">
      <c r="A2984" s="1" t="s">
        <v>3089</v>
      </c>
      <c r="B2984" s="23">
        <v>45228.006944444445</v>
      </c>
      <c r="C2984" s="1" t="s">
        <v>16</v>
      </c>
      <c r="D2984" s="1" t="s">
        <v>26</v>
      </c>
      <c r="E2984" s="1" t="s">
        <v>18</v>
      </c>
      <c r="F2984" s="1" t="s">
        <v>159</v>
      </c>
      <c r="G2984" s="1">
        <v>92</v>
      </c>
      <c r="H2984" s="23">
        <v>45228.267268518517</v>
      </c>
      <c r="I2984" s="1" t="b">
        <v>0</v>
      </c>
      <c r="K2984" s="10">
        <f t="shared" si="232"/>
        <v>6.247777777723968</v>
      </c>
      <c r="L2984" s="1" t="str">
        <f t="shared" si="233"/>
        <v>OK</v>
      </c>
      <c r="M2984" s="1">
        <f t="shared" si="230"/>
        <v>1</v>
      </c>
      <c r="N2984" s="1">
        <f t="shared" si="231"/>
        <v>92</v>
      </c>
      <c r="O2984" s="10">
        <f t="shared" si="234"/>
        <v>6.247777777723968</v>
      </c>
    </row>
    <row r="2985" spans="1:15">
      <c r="A2985" s="1" t="s">
        <v>3090</v>
      </c>
      <c r="B2985" s="23">
        <v>45228.106944444444</v>
      </c>
      <c r="C2985" s="1" t="s">
        <v>11</v>
      </c>
      <c r="D2985" s="1" t="s">
        <v>17</v>
      </c>
      <c r="E2985" s="1" t="s">
        <v>18</v>
      </c>
      <c r="F2985" s="1" t="s">
        <v>102</v>
      </c>
      <c r="G2985" s="1">
        <v>50</v>
      </c>
      <c r="H2985" s="23">
        <v>45234.663310185184</v>
      </c>
      <c r="I2985" s="1" t="b">
        <v>0</v>
      </c>
      <c r="K2985" s="10">
        <f t="shared" si="232"/>
        <v>157.35277777776355</v>
      </c>
      <c r="L2985" s="1" t="str">
        <f t="shared" si="233"/>
        <v>OK</v>
      </c>
      <c r="M2985" s="1">
        <f t="shared" si="230"/>
        <v>1</v>
      </c>
      <c r="N2985" s="1">
        <f t="shared" si="231"/>
        <v>50</v>
      </c>
      <c r="O2985" s="10">
        <f t="shared" si="234"/>
        <v>157.35277777776355</v>
      </c>
    </row>
    <row r="2986" spans="1:15">
      <c r="A2986" s="1" t="s">
        <v>3091</v>
      </c>
      <c r="B2986" s="23">
        <v>45228.245138888888</v>
      </c>
      <c r="C2986" s="1" t="s">
        <v>11</v>
      </c>
      <c r="D2986" s="1" t="s">
        <v>17</v>
      </c>
      <c r="E2986" s="1" t="s">
        <v>18</v>
      </c>
      <c r="F2986" s="1" t="s">
        <v>302</v>
      </c>
      <c r="G2986" s="1">
        <v>186</v>
      </c>
      <c r="H2986" s="23">
        <v>45229.395810185182</v>
      </c>
      <c r="I2986" s="1" t="b">
        <v>0</v>
      </c>
      <c r="K2986" s="10">
        <f t="shared" si="232"/>
        <v>27.616111111070495</v>
      </c>
      <c r="L2986" s="1" t="str">
        <f t="shared" si="233"/>
        <v>OK</v>
      </c>
      <c r="M2986" s="1">
        <f t="shared" si="230"/>
        <v>1</v>
      </c>
      <c r="N2986" s="1">
        <f t="shared" si="231"/>
        <v>186</v>
      </c>
      <c r="O2986" s="10">
        <f t="shared" si="234"/>
        <v>27.616111111070495</v>
      </c>
    </row>
    <row r="2987" spans="1:15">
      <c r="A2987" s="1" t="s">
        <v>3092</v>
      </c>
      <c r="B2987" s="23">
        <v>45228.467361111114</v>
      </c>
      <c r="C2987" s="1" t="s">
        <v>11</v>
      </c>
      <c r="D2987" s="1" t="s">
        <v>59</v>
      </c>
      <c r="E2987" s="1" t="s">
        <v>22</v>
      </c>
      <c r="F2987" s="1" t="s">
        <v>245</v>
      </c>
      <c r="G2987" s="1">
        <v>56</v>
      </c>
      <c r="H2987" s="23">
        <v>45228.726377314815</v>
      </c>
      <c r="I2987" s="1" t="b">
        <v>0</v>
      </c>
      <c r="J2987" s="1">
        <v>2</v>
      </c>
      <c r="K2987" s="10">
        <f t="shared" si="232"/>
        <v>6.216388888831716</v>
      </c>
      <c r="L2987" s="1" t="str">
        <f t="shared" si="233"/>
        <v>OK</v>
      </c>
      <c r="M2987" s="1">
        <f t="shared" si="230"/>
        <v>1</v>
      </c>
      <c r="N2987" s="1">
        <f t="shared" si="231"/>
        <v>56</v>
      </c>
      <c r="O2987" s="10">
        <f t="shared" si="234"/>
        <v>6.216388888831716</v>
      </c>
    </row>
    <row r="2988" spans="1:15">
      <c r="A2988" s="1" t="s">
        <v>3093</v>
      </c>
      <c r="B2988" s="23">
        <v>45228.486111111109</v>
      </c>
      <c r="C2988" s="1" t="s">
        <v>16</v>
      </c>
      <c r="D2988" s="1" t="s">
        <v>59</v>
      </c>
      <c r="E2988" s="1" t="s">
        <v>22</v>
      </c>
      <c r="F2988" s="1" t="s">
        <v>102</v>
      </c>
      <c r="G2988" s="1">
        <v>34</v>
      </c>
      <c r="H2988" s="23">
        <v>45228.886087962965</v>
      </c>
      <c r="I2988" s="1" t="b">
        <v>0</v>
      </c>
      <c r="J2988" s="1">
        <v>5</v>
      </c>
      <c r="K2988" s="10">
        <f t="shared" si="232"/>
        <v>9.5994444445241243</v>
      </c>
      <c r="L2988" s="1" t="str">
        <f t="shared" si="233"/>
        <v>OK</v>
      </c>
      <c r="M2988" s="1">
        <f t="shared" si="230"/>
        <v>1</v>
      </c>
      <c r="N2988" s="1">
        <f t="shared" si="231"/>
        <v>34</v>
      </c>
      <c r="O2988" s="10">
        <f t="shared" si="234"/>
        <v>9.5994444445241243</v>
      </c>
    </row>
    <row r="2989" spans="1:15">
      <c r="A2989" s="1" t="s">
        <v>3094</v>
      </c>
      <c r="B2989" s="23">
        <v>45228.719444444447</v>
      </c>
      <c r="C2989" s="1" t="s">
        <v>25</v>
      </c>
      <c r="D2989" s="1" t="s">
        <v>17</v>
      </c>
      <c r="E2989" s="1" t="s">
        <v>33</v>
      </c>
      <c r="F2989" s="1" t="s">
        <v>52</v>
      </c>
      <c r="G2989" s="1">
        <v>467</v>
      </c>
      <c r="H2989" s="23">
        <v>45245.363437499997</v>
      </c>
      <c r="I2989" s="1" t="b">
        <v>0</v>
      </c>
      <c r="J2989" s="1">
        <v>5</v>
      </c>
      <c r="K2989" s="10">
        <f t="shared" si="232"/>
        <v>399.45583333319519</v>
      </c>
      <c r="L2989" s="1" t="str">
        <f t="shared" si="233"/>
        <v>OK</v>
      </c>
      <c r="M2989" s="1">
        <f t="shared" si="230"/>
        <v>1</v>
      </c>
      <c r="N2989" s="1">
        <f t="shared" si="231"/>
        <v>467</v>
      </c>
      <c r="O2989" s="10">
        <f t="shared" si="234"/>
        <v>399.45583333319519</v>
      </c>
    </row>
    <row r="2990" spans="1:15">
      <c r="A2990" s="1" t="s">
        <v>3095</v>
      </c>
      <c r="B2990" s="23">
        <v>45228.790972222225</v>
      </c>
      <c r="C2990" s="1" t="s">
        <v>25</v>
      </c>
      <c r="D2990" s="1" t="s">
        <v>12</v>
      </c>
      <c r="E2990" s="1" t="s">
        <v>33</v>
      </c>
      <c r="F2990" s="1" t="s">
        <v>224</v>
      </c>
      <c r="G2990" s="1">
        <v>308</v>
      </c>
      <c r="H2990" s="23">
        <v>45230.744120370371</v>
      </c>
      <c r="I2990" s="1" t="b">
        <v>0</v>
      </c>
      <c r="J2990" s="1">
        <v>5</v>
      </c>
      <c r="K2990" s="10">
        <f t="shared" si="232"/>
        <v>46.8755555555108</v>
      </c>
      <c r="L2990" s="1" t="str">
        <f t="shared" si="233"/>
        <v>OK</v>
      </c>
      <c r="M2990" s="1">
        <f t="shared" si="230"/>
        <v>1</v>
      </c>
      <c r="N2990" s="1">
        <f t="shared" si="231"/>
        <v>308</v>
      </c>
      <c r="O2990" s="10">
        <f t="shared" si="234"/>
        <v>46.8755555555108</v>
      </c>
    </row>
    <row r="2991" spans="1:15">
      <c r="A2991" s="1" t="s">
        <v>3096</v>
      </c>
      <c r="B2991" s="23">
        <v>45228.84375</v>
      </c>
      <c r="C2991" s="1" t="s">
        <v>16</v>
      </c>
      <c r="D2991" s="1" t="s">
        <v>12</v>
      </c>
      <c r="E2991" s="1" t="s">
        <v>18</v>
      </c>
      <c r="F2991" s="1" t="s">
        <v>186</v>
      </c>
      <c r="G2991" s="1">
        <v>186</v>
      </c>
      <c r="H2991" s="23">
        <v>45260.494189814817</v>
      </c>
      <c r="I2991" s="1" t="b">
        <v>0</v>
      </c>
      <c r="J2991" s="1">
        <v>3</v>
      </c>
      <c r="K2991" s="10">
        <f t="shared" si="232"/>
        <v>759.61055555561325</v>
      </c>
      <c r="L2991" s="1" t="str">
        <f t="shared" si="233"/>
        <v>OK</v>
      </c>
      <c r="M2991" s="1">
        <f t="shared" si="230"/>
        <v>1</v>
      </c>
      <c r="N2991" s="1">
        <f t="shared" si="231"/>
        <v>186</v>
      </c>
      <c r="O2991" s="10">
        <f t="shared" si="234"/>
        <v>759.61055555561325</v>
      </c>
    </row>
    <row r="2992" spans="1:15">
      <c r="A2992" s="1" t="s">
        <v>3097</v>
      </c>
      <c r="B2992" s="23">
        <v>45228.99722222222</v>
      </c>
      <c r="C2992" s="1" t="s">
        <v>25</v>
      </c>
      <c r="D2992" s="1" t="s">
        <v>17</v>
      </c>
      <c r="E2992" s="1" t="s">
        <v>18</v>
      </c>
      <c r="F2992" s="1" t="s">
        <v>98</v>
      </c>
      <c r="G2992" s="1">
        <v>33</v>
      </c>
      <c r="I2992" s="1" t="b">
        <v>0</v>
      </c>
      <c r="K2992" s="10" t="str">
        <f t="shared" si="232"/>
        <v/>
      </c>
      <c r="L2992" s="1" t="str">
        <f t="shared" si="233"/>
        <v>Cannot check</v>
      </c>
      <c r="M2992" s="1">
        <f t="shared" si="230"/>
        <v>1</v>
      </c>
      <c r="N2992" s="1">
        <f t="shared" si="231"/>
        <v>33</v>
      </c>
      <c r="O2992" s="10" t="str">
        <f t="shared" si="234"/>
        <v/>
      </c>
    </row>
    <row r="2993" spans="1:15">
      <c r="A2993" s="1" t="s">
        <v>3098</v>
      </c>
      <c r="B2993" s="23">
        <v>45229.136111111111</v>
      </c>
      <c r="C2993" s="1" t="s">
        <v>16</v>
      </c>
      <c r="D2993" s="1" t="s">
        <v>17</v>
      </c>
      <c r="E2993" s="1" t="s">
        <v>13</v>
      </c>
      <c r="F2993" s="1" t="s">
        <v>224</v>
      </c>
      <c r="G2993" s="1">
        <v>123</v>
      </c>
      <c r="H2993" s="23">
        <v>45231.430821759262</v>
      </c>
      <c r="I2993" s="1" t="b">
        <v>0</v>
      </c>
      <c r="J2993" s="1">
        <v>5</v>
      </c>
      <c r="K2993" s="10">
        <f t="shared" si="232"/>
        <v>55.073055555636529</v>
      </c>
      <c r="L2993" s="1" t="str">
        <f t="shared" si="233"/>
        <v>OK</v>
      </c>
      <c r="M2993" s="1">
        <f t="shared" si="230"/>
        <v>1</v>
      </c>
      <c r="N2993" s="1">
        <f t="shared" si="231"/>
        <v>123</v>
      </c>
      <c r="O2993" s="10">
        <f t="shared" si="234"/>
        <v>55.073055555636529</v>
      </c>
    </row>
    <row r="2994" spans="1:15">
      <c r="A2994" s="1" t="s">
        <v>3099</v>
      </c>
      <c r="B2994" s="23">
        <v>45229.180555555555</v>
      </c>
      <c r="C2994" s="1" t="s">
        <v>16</v>
      </c>
      <c r="D2994" s="1" t="s">
        <v>21</v>
      </c>
      <c r="E2994" s="1" t="s">
        <v>18</v>
      </c>
      <c r="F2994" s="1" t="s">
        <v>145</v>
      </c>
      <c r="G2994" s="1">
        <v>106</v>
      </c>
      <c r="H2994" s="23">
        <v>45230.869085648148</v>
      </c>
      <c r="I2994" s="1" t="b">
        <v>0</v>
      </c>
      <c r="K2994" s="10">
        <f t="shared" si="232"/>
        <v>40.524722222238779</v>
      </c>
      <c r="L2994" s="1" t="str">
        <f t="shared" si="233"/>
        <v>OK</v>
      </c>
      <c r="M2994" s="1">
        <f t="shared" si="230"/>
        <v>1</v>
      </c>
      <c r="N2994" s="1">
        <f t="shared" si="231"/>
        <v>106</v>
      </c>
      <c r="O2994" s="10">
        <f t="shared" si="234"/>
        <v>40.524722222238779</v>
      </c>
    </row>
    <row r="2995" spans="1:15">
      <c r="A2995" s="1" t="s">
        <v>3100</v>
      </c>
      <c r="B2995" s="23">
        <v>45229.243055555555</v>
      </c>
      <c r="C2995" s="1" t="s">
        <v>16</v>
      </c>
      <c r="D2995" s="1" t="s">
        <v>17</v>
      </c>
      <c r="E2995" s="1" t="s">
        <v>18</v>
      </c>
      <c r="F2995" s="1" t="s">
        <v>167</v>
      </c>
      <c r="G2995" s="1">
        <v>167</v>
      </c>
      <c r="H2995" s="23">
        <v>45232.981921296298</v>
      </c>
      <c r="I2995" s="1" t="b">
        <v>0</v>
      </c>
      <c r="K2995" s="10">
        <f t="shared" si="232"/>
        <v>89.732777777826414</v>
      </c>
      <c r="L2995" s="1" t="str">
        <f t="shared" si="233"/>
        <v>OK</v>
      </c>
      <c r="M2995" s="1">
        <f t="shared" si="230"/>
        <v>1</v>
      </c>
      <c r="N2995" s="1">
        <f t="shared" si="231"/>
        <v>167</v>
      </c>
      <c r="O2995" s="10">
        <f t="shared" si="234"/>
        <v>89.732777777826414</v>
      </c>
    </row>
    <row r="2996" spans="1:15">
      <c r="A2996" s="1" t="s">
        <v>3101</v>
      </c>
      <c r="B2996" s="23">
        <v>45229.272222222222</v>
      </c>
      <c r="C2996" s="1" t="s">
        <v>11</v>
      </c>
      <c r="D2996" s="1" t="s">
        <v>21</v>
      </c>
      <c r="E2996" s="1" t="s">
        <v>18</v>
      </c>
      <c r="F2996" s="1" t="s">
        <v>62</v>
      </c>
      <c r="G2996" s="1">
        <v>98</v>
      </c>
      <c r="I2996" s="1" t="b">
        <v>0</v>
      </c>
      <c r="K2996" s="10" t="str">
        <f t="shared" si="232"/>
        <v/>
      </c>
      <c r="L2996" s="1" t="str">
        <f t="shared" si="233"/>
        <v>Cannot check</v>
      </c>
      <c r="M2996" s="1">
        <f t="shared" si="230"/>
        <v>1</v>
      </c>
      <c r="N2996" s="1">
        <f t="shared" si="231"/>
        <v>98</v>
      </c>
      <c r="O2996" s="10" t="str">
        <f t="shared" si="234"/>
        <v/>
      </c>
    </row>
    <row r="2997" spans="1:15">
      <c r="A2997" s="1" t="s">
        <v>3102</v>
      </c>
      <c r="B2997" s="23">
        <v>45229.326388888891</v>
      </c>
      <c r="C2997" s="1" t="s">
        <v>25</v>
      </c>
      <c r="D2997" s="1" t="s">
        <v>17</v>
      </c>
      <c r="E2997" s="1" t="s">
        <v>18</v>
      </c>
      <c r="F2997" s="1" t="s">
        <v>198</v>
      </c>
      <c r="G2997" s="1">
        <v>131</v>
      </c>
      <c r="H2997" s="23">
        <v>45230.440995370373</v>
      </c>
      <c r="I2997" s="1" t="b">
        <v>0</v>
      </c>
      <c r="J2997" s="1">
        <v>1</v>
      </c>
      <c r="K2997" s="10">
        <f t="shared" si="232"/>
        <v>26.750555555569008</v>
      </c>
      <c r="L2997" s="1" t="str">
        <f t="shared" si="233"/>
        <v>OK</v>
      </c>
      <c r="M2997" s="1">
        <f t="shared" si="230"/>
        <v>1</v>
      </c>
      <c r="N2997" s="1">
        <f t="shared" si="231"/>
        <v>131</v>
      </c>
      <c r="O2997" s="10">
        <f t="shared" si="234"/>
        <v>26.750555555569008</v>
      </c>
    </row>
    <row r="2998" spans="1:15">
      <c r="A2998" s="1" t="s">
        <v>3103</v>
      </c>
      <c r="B2998" s="23">
        <v>45229.55972222222</v>
      </c>
      <c r="C2998" s="1" t="s">
        <v>16</v>
      </c>
      <c r="D2998" s="1" t="s">
        <v>21</v>
      </c>
      <c r="E2998" s="1" t="s">
        <v>33</v>
      </c>
      <c r="F2998" s="1" t="s">
        <v>66</v>
      </c>
      <c r="G2998" s="1">
        <v>409</v>
      </c>
      <c r="H2998" s="23">
        <v>45230.594826388886</v>
      </c>
      <c r="I2998" s="1" t="b">
        <v>1</v>
      </c>
      <c r="J2998" s="1">
        <v>5</v>
      </c>
      <c r="K2998" s="10">
        <f t="shared" si="232"/>
        <v>24.842499999969732</v>
      </c>
      <c r="L2998" s="1" t="str">
        <f t="shared" si="233"/>
        <v>OK</v>
      </c>
      <c r="M2998" s="1">
        <f t="shared" si="230"/>
        <v>1</v>
      </c>
      <c r="N2998" s="1">
        <f t="shared" si="231"/>
        <v>409</v>
      </c>
      <c r="O2998" s="10">
        <f t="shared" si="234"/>
        <v>24.842499999969732</v>
      </c>
    </row>
    <row r="2999" spans="1:15">
      <c r="A2999" s="1" t="s">
        <v>3104</v>
      </c>
      <c r="B2999" s="23">
        <v>45229.693749999999</v>
      </c>
      <c r="C2999" s="1" t="s">
        <v>16</v>
      </c>
      <c r="D2999" s="1" t="s">
        <v>26</v>
      </c>
      <c r="E2999" s="1" t="s">
        <v>18</v>
      </c>
      <c r="F2999" s="1" t="s">
        <v>201</v>
      </c>
      <c r="G2999" s="1">
        <v>15</v>
      </c>
      <c r="H2999" s="23">
        <v>45233.063634259262</v>
      </c>
      <c r="I2999" s="1" t="b">
        <v>0</v>
      </c>
      <c r="K2999" s="10">
        <f t="shared" si="232"/>
        <v>80.87722222233424</v>
      </c>
      <c r="L2999" s="1" t="str">
        <f t="shared" si="233"/>
        <v>OK</v>
      </c>
      <c r="M2999" s="1">
        <f t="shared" si="230"/>
        <v>1</v>
      </c>
      <c r="N2999" s="1">
        <f t="shared" si="231"/>
        <v>15</v>
      </c>
      <c r="O2999" s="10">
        <f t="shared" si="234"/>
        <v>80.87722222233424</v>
      </c>
    </row>
    <row r="3000" spans="1:15">
      <c r="A3000" s="1" t="s">
        <v>3105</v>
      </c>
      <c r="B3000" s="23">
        <v>45229.71597222222</v>
      </c>
      <c r="C3000" s="1" t="s">
        <v>11</v>
      </c>
      <c r="D3000" s="1" t="s">
        <v>21</v>
      </c>
      <c r="E3000" s="1" t="s">
        <v>18</v>
      </c>
      <c r="F3000" s="1" t="s">
        <v>198</v>
      </c>
      <c r="G3000" s="1">
        <v>141</v>
      </c>
      <c r="H3000" s="23">
        <v>45230.467916666668</v>
      </c>
      <c r="I3000" s="1" t="b">
        <v>0</v>
      </c>
      <c r="J3000" s="1">
        <v>1</v>
      </c>
      <c r="K3000" s="10">
        <f t="shared" si="232"/>
        <v>18.046666666748933</v>
      </c>
      <c r="L3000" s="1" t="str">
        <f t="shared" si="233"/>
        <v>OK</v>
      </c>
      <c r="M3000" s="1">
        <f t="shared" si="230"/>
        <v>1</v>
      </c>
      <c r="N3000" s="1">
        <f t="shared" si="231"/>
        <v>141</v>
      </c>
      <c r="O3000" s="10">
        <f t="shared" si="234"/>
        <v>18.046666666748933</v>
      </c>
    </row>
    <row r="3001" spans="1:15">
      <c r="A3001" s="1" t="s">
        <v>3106</v>
      </c>
      <c r="B3001" s="23">
        <v>45229.805555555555</v>
      </c>
      <c r="C3001" s="1" t="s">
        <v>11</v>
      </c>
      <c r="D3001" s="1" t="s">
        <v>17</v>
      </c>
      <c r="E3001" s="1" t="s">
        <v>18</v>
      </c>
      <c r="F3001" s="1" t="s">
        <v>114</v>
      </c>
      <c r="G3001" s="1">
        <v>193</v>
      </c>
      <c r="H3001" s="23">
        <v>45231.421770833331</v>
      </c>
      <c r="I3001" s="1" t="b">
        <v>0</v>
      </c>
      <c r="K3001" s="10">
        <f t="shared" si="232"/>
        <v>38.789166666625533</v>
      </c>
      <c r="L3001" s="1" t="str">
        <f t="shared" si="233"/>
        <v>OK</v>
      </c>
      <c r="M3001" s="1">
        <f t="shared" si="230"/>
        <v>1</v>
      </c>
      <c r="N3001" s="1">
        <f t="shared" si="231"/>
        <v>193</v>
      </c>
      <c r="O3001" s="10">
        <f t="shared" si="234"/>
        <v>38.789166666625533</v>
      </c>
    </row>
    <row r="3002" spans="1:15">
      <c r="A3002" s="1" t="s">
        <v>3107</v>
      </c>
      <c r="B3002" s="23">
        <v>45229.833333333336</v>
      </c>
      <c r="C3002" s="1" t="s">
        <v>25</v>
      </c>
      <c r="D3002" s="1" t="s">
        <v>17</v>
      </c>
      <c r="E3002" s="1" t="s">
        <v>33</v>
      </c>
      <c r="F3002" s="1" t="s">
        <v>237</v>
      </c>
      <c r="G3002" s="1">
        <v>119</v>
      </c>
      <c r="H3002" s="23">
        <v>45230.352141203701</v>
      </c>
      <c r="I3002" s="1" t="b">
        <v>0</v>
      </c>
      <c r="K3002" s="10">
        <f t="shared" si="232"/>
        <v>12.451388888759539</v>
      </c>
      <c r="L3002" s="1" t="str">
        <f t="shared" si="233"/>
        <v>OK</v>
      </c>
      <c r="M3002" s="1">
        <f t="shared" si="230"/>
        <v>1</v>
      </c>
      <c r="N3002" s="1">
        <f t="shared" si="231"/>
        <v>119</v>
      </c>
      <c r="O3002" s="10">
        <f t="shared" si="234"/>
        <v>12.451388888759539</v>
      </c>
    </row>
    <row r="3003" spans="1:15">
      <c r="A3003" s="1" t="s">
        <v>3108</v>
      </c>
      <c r="B3003" s="23">
        <v>45229.961111111108</v>
      </c>
      <c r="C3003" s="1" t="s">
        <v>16</v>
      </c>
      <c r="D3003" s="1" t="s">
        <v>12</v>
      </c>
      <c r="E3003" s="1" t="s">
        <v>33</v>
      </c>
      <c r="F3003" s="1" t="s">
        <v>709</v>
      </c>
      <c r="G3003" s="1">
        <v>46</v>
      </c>
      <c r="H3003" s="23">
        <v>45234.98877314815</v>
      </c>
      <c r="I3003" s="1" t="b">
        <v>0</v>
      </c>
      <c r="J3003" s="1">
        <v>5</v>
      </c>
      <c r="K3003" s="10">
        <f t="shared" si="232"/>
        <v>120.66388888901565</v>
      </c>
      <c r="L3003" s="1" t="str">
        <f t="shared" si="233"/>
        <v>OK</v>
      </c>
      <c r="M3003" s="1">
        <f t="shared" si="230"/>
        <v>1</v>
      </c>
      <c r="N3003" s="1">
        <f t="shared" si="231"/>
        <v>46</v>
      </c>
      <c r="O3003" s="10">
        <f t="shared" si="234"/>
        <v>120.66388888901565</v>
      </c>
    </row>
    <row r="3004" spans="1:15">
      <c r="A3004" s="1" t="s">
        <v>3109</v>
      </c>
      <c r="B3004" s="23">
        <v>45229.990972222222</v>
      </c>
      <c r="C3004" s="1" t="s">
        <v>16</v>
      </c>
      <c r="D3004" s="1" t="s">
        <v>26</v>
      </c>
      <c r="E3004" s="1" t="s">
        <v>18</v>
      </c>
      <c r="F3004" s="1" t="s">
        <v>167</v>
      </c>
      <c r="G3004" s="1">
        <v>129</v>
      </c>
      <c r="H3004" s="23">
        <v>45237.554618055554</v>
      </c>
      <c r="I3004" s="1" t="b">
        <v>0</v>
      </c>
      <c r="J3004" s="1">
        <v>5</v>
      </c>
      <c r="K3004" s="10">
        <f t="shared" si="232"/>
        <v>181.5274999999674</v>
      </c>
      <c r="L3004" s="1" t="str">
        <f t="shared" si="233"/>
        <v>OK</v>
      </c>
      <c r="M3004" s="1">
        <f t="shared" si="230"/>
        <v>1</v>
      </c>
      <c r="N3004" s="1">
        <f t="shared" si="231"/>
        <v>129</v>
      </c>
      <c r="O3004" s="10">
        <f t="shared" si="234"/>
        <v>181.5274999999674</v>
      </c>
    </row>
    <row r="3005" spans="1:15">
      <c r="A3005" s="1" t="s">
        <v>3110</v>
      </c>
      <c r="B3005" s="23">
        <v>45230.043055555558</v>
      </c>
      <c r="C3005" s="1" t="s">
        <v>11</v>
      </c>
      <c r="D3005" s="1" t="s">
        <v>26</v>
      </c>
      <c r="E3005" s="1" t="s">
        <v>18</v>
      </c>
      <c r="F3005" s="1" t="s">
        <v>237</v>
      </c>
      <c r="G3005" s="1">
        <v>193</v>
      </c>
      <c r="H3005" s="23">
        <v>45235.089918981481</v>
      </c>
      <c r="I3005" s="1" t="b">
        <v>0</v>
      </c>
      <c r="K3005" s="10">
        <f t="shared" si="232"/>
        <v>121.12472222215729</v>
      </c>
      <c r="L3005" s="1" t="str">
        <f t="shared" si="233"/>
        <v>OK</v>
      </c>
      <c r="M3005" s="1">
        <f t="shared" si="230"/>
        <v>1</v>
      </c>
      <c r="N3005" s="1">
        <f t="shared" si="231"/>
        <v>193</v>
      </c>
      <c r="O3005" s="10">
        <f t="shared" si="234"/>
        <v>121.12472222215729</v>
      </c>
    </row>
    <row r="3006" spans="1:15">
      <c r="A3006" s="1" t="s">
        <v>3111</v>
      </c>
      <c r="B3006" s="23">
        <v>45230.066666666666</v>
      </c>
      <c r="C3006" s="1" t="s">
        <v>16</v>
      </c>
      <c r="D3006" s="1" t="s">
        <v>17</v>
      </c>
      <c r="E3006" s="1" t="s">
        <v>18</v>
      </c>
      <c r="F3006" s="1" t="s">
        <v>226</v>
      </c>
      <c r="G3006" s="1">
        <v>32</v>
      </c>
      <c r="H3006" s="23">
        <v>45238.454710648148</v>
      </c>
      <c r="I3006" s="1" t="b">
        <v>0</v>
      </c>
      <c r="K3006" s="10">
        <f t="shared" si="232"/>
        <v>201.31305555556901</v>
      </c>
      <c r="L3006" s="1" t="str">
        <f t="shared" si="233"/>
        <v>OK</v>
      </c>
      <c r="M3006" s="1">
        <f t="shared" si="230"/>
        <v>1</v>
      </c>
      <c r="N3006" s="1">
        <f t="shared" si="231"/>
        <v>32</v>
      </c>
      <c r="O3006" s="10">
        <f t="shared" si="234"/>
        <v>201.31305555556901</v>
      </c>
    </row>
    <row r="3007" spans="1:15">
      <c r="A3007" s="1" t="s">
        <v>3112</v>
      </c>
      <c r="B3007" s="23">
        <v>45230.1</v>
      </c>
      <c r="C3007" s="1" t="s">
        <v>43</v>
      </c>
      <c r="D3007" s="1" t="s">
        <v>17</v>
      </c>
      <c r="E3007" s="1" t="s">
        <v>33</v>
      </c>
      <c r="F3007" s="1" t="s">
        <v>145</v>
      </c>
      <c r="G3007" s="1">
        <v>107</v>
      </c>
      <c r="H3007" s="23">
        <v>45238.198229166665</v>
      </c>
      <c r="I3007" s="1" t="b">
        <v>0</v>
      </c>
      <c r="K3007" s="10">
        <f t="shared" si="232"/>
        <v>194.3574999999837</v>
      </c>
      <c r="L3007" s="1" t="str">
        <f t="shared" si="233"/>
        <v>OK</v>
      </c>
      <c r="M3007" s="1">
        <f t="shared" si="230"/>
        <v>1</v>
      </c>
      <c r="N3007" s="1">
        <f t="shared" si="231"/>
        <v>107</v>
      </c>
      <c r="O3007" s="10">
        <f t="shared" si="234"/>
        <v>194.3574999999837</v>
      </c>
    </row>
    <row r="3008" spans="1:15">
      <c r="A3008" s="1" t="s">
        <v>3113</v>
      </c>
      <c r="B3008" s="23">
        <v>45230.181944444441</v>
      </c>
      <c r="C3008" s="1" t="s">
        <v>11</v>
      </c>
      <c r="D3008" s="1" t="s">
        <v>21</v>
      </c>
      <c r="E3008" s="1" t="s">
        <v>18</v>
      </c>
      <c r="F3008" s="1" t="s">
        <v>86</v>
      </c>
      <c r="G3008" s="1">
        <v>131</v>
      </c>
      <c r="H3008" s="23">
        <v>45230.447268518517</v>
      </c>
      <c r="I3008" s="1" t="b">
        <v>0</v>
      </c>
      <c r="J3008" s="1">
        <v>5</v>
      </c>
      <c r="K3008" s="10">
        <f t="shared" si="232"/>
        <v>6.3677777778357267</v>
      </c>
      <c r="L3008" s="1" t="str">
        <f t="shared" si="233"/>
        <v>OK</v>
      </c>
      <c r="M3008" s="1">
        <f t="shared" si="230"/>
        <v>1</v>
      </c>
      <c r="N3008" s="1">
        <f t="shared" si="231"/>
        <v>131</v>
      </c>
      <c r="O3008" s="10">
        <f t="shared" si="234"/>
        <v>6.3677777778357267</v>
      </c>
    </row>
    <row r="3009" spans="1:15">
      <c r="A3009" s="1" t="s">
        <v>3114</v>
      </c>
      <c r="B3009" s="23">
        <v>45230.193055555559</v>
      </c>
      <c r="C3009" s="1" t="s">
        <v>25</v>
      </c>
      <c r="D3009" s="1" t="s">
        <v>17</v>
      </c>
      <c r="E3009" s="1" t="s">
        <v>13</v>
      </c>
      <c r="F3009" s="1" t="s">
        <v>118</v>
      </c>
      <c r="G3009" s="1">
        <v>32</v>
      </c>
      <c r="H3009" s="23">
        <v>45244.535902777781</v>
      </c>
      <c r="I3009" s="1" t="b">
        <v>0</v>
      </c>
      <c r="K3009" s="10">
        <f t="shared" si="232"/>
        <v>344.22833333333256</v>
      </c>
      <c r="L3009" s="1" t="str">
        <f t="shared" si="233"/>
        <v>OK</v>
      </c>
      <c r="M3009" s="1">
        <f t="shared" si="230"/>
        <v>1</v>
      </c>
      <c r="N3009" s="1">
        <f t="shared" si="231"/>
        <v>32</v>
      </c>
      <c r="O3009" s="10">
        <f t="shared" si="234"/>
        <v>344.22833333333256</v>
      </c>
    </row>
    <row r="3010" spans="1:15">
      <c r="A3010" s="1" t="s">
        <v>3115</v>
      </c>
      <c r="B3010" s="23">
        <v>45230.320833333331</v>
      </c>
      <c r="C3010" s="1" t="s">
        <v>43</v>
      </c>
      <c r="D3010" s="1" t="s">
        <v>17</v>
      </c>
      <c r="E3010" s="1" t="s">
        <v>18</v>
      </c>
      <c r="F3010" s="1" t="s">
        <v>206</v>
      </c>
      <c r="G3010" s="1">
        <v>112</v>
      </c>
      <c r="H3010" s="23">
        <v>45237.372256944444</v>
      </c>
      <c r="I3010" s="1" t="b">
        <v>0</v>
      </c>
      <c r="K3010" s="10">
        <f t="shared" si="232"/>
        <v>169.23416666669073</v>
      </c>
      <c r="L3010" s="1" t="str">
        <f t="shared" si="233"/>
        <v>OK</v>
      </c>
      <c r="M3010" s="1">
        <f t="shared" ref="M3010:M3073" si="235">COUNTIF($A$2:$A$4001,A3010)</f>
        <v>1</v>
      </c>
      <c r="N3010" s="1">
        <f t="shared" ref="N3010:N3073" si="236">IF(OR(L3010="Review",G3010=""),"",G3010)</f>
        <v>112</v>
      </c>
      <c r="O3010" s="10">
        <f t="shared" si="234"/>
        <v>169.23416666669073</v>
      </c>
    </row>
    <row r="3011" spans="1:15">
      <c r="A3011" s="1" t="s">
        <v>3116</v>
      </c>
      <c r="B3011" s="23">
        <v>45230.503472222219</v>
      </c>
      <c r="C3011" s="1" t="s">
        <v>25</v>
      </c>
      <c r="D3011" s="1" t="s">
        <v>26</v>
      </c>
      <c r="E3011" s="1" t="s">
        <v>13</v>
      </c>
      <c r="F3011" s="1" t="s">
        <v>68</v>
      </c>
      <c r="H3011" s="23">
        <v>45236.203310185185</v>
      </c>
      <c r="I3011" s="1" t="b">
        <v>0</v>
      </c>
      <c r="K3011" s="10">
        <f t="shared" ref="K3011:K3074" si="237">IF(H3011="","",(H3011-B3011)*24)</f>
        <v>136.79611111117993</v>
      </c>
      <c r="L3011" s="1" t="str">
        <f t="shared" ref="L3011:L3074" si="238">IF(OR(G3011="",K3011=""),"Cannot check",IF(G3011&gt;K3011*60,"Review","OK"))</f>
        <v>Cannot check</v>
      </c>
      <c r="M3011" s="1">
        <f t="shared" si="235"/>
        <v>1</v>
      </c>
      <c r="N3011" s="1" t="str">
        <f t="shared" si="236"/>
        <v/>
      </c>
      <c r="O3011" s="10">
        <f t="shared" ref="O3011:O3074" si="239">IF(OR(L3011="Review",K3011=""),"",K3011)</f>
        <v>136.79611111117993</v>
      </c>
    </row>
    <row r="3012" spans="1:15">
      <c r="A3012" s="1" t="s">
        <v>3117</v>
      </c>
      <c r="B3012" s="23">
        <v>45230.888194444444</v>
      </c>
      <c r="C3012" s="1" t="s">
        <v>16</v>
      </c>
      <c r="D3012" s="1" t="s">
        <v>21</v>
      </c>
      <c r="E3012" s="1" t="s">
        <v>18</v>
      </c>
      <c r="F3012" s="1" t="s">
        <v>66</v>
      </c>
      <c r="G3012" s="1">
        <v>130</v>
      </c>
      <c r="H3012" s="23">
        <v>45231.503055555557</v>
      </c>
      <c r="I3012" s="1" t="b">
        <v>0</v>
      </c>
      <c r="J3012" s="1">
        <v>5</v>
      </c>
      <c r="K3012" s="10">
        <f t="shared" si="237"/>
        <v>14.756666666711681</v>
      </c>
      <c r="L3012" s="1" t="str">
        <f t="shared" si="238"/>
        <v>OK</v>
      </c>
      <c r="M3012" s="1">
        <f t="shared" si="235"/>
        <v>1</v>
      </c>
      <c r="N3012" s="1">
        <f t="shared" si="236"/>
        <v>130</v>
      </c>
      <c r="O3012" s="10">
        <f t="shared" si="239"/>
        <v>14.756666666711681</v>
      </c>
    </row>
    <row r="3013" spans="1:15">
      <c r="A3013" s="1" t="s">
        <v>3118</v>
      </c>
      <c r="B3013" s="23">
        <v>45231.084722222222</v>
      </c>
      <c r="C3013" s="1" t="s">
        <v>11</v>
      </c>
      <c r="D3013" s="1" t="s">
        <v>21</v>
      </c>
      <c r="E3013" s="1" t="s">
        <v>18</v>
      </c>
      <c r="F3013" s="1" t="s">
        <v>228</v>
      </c>
      <c r="G3013" s="1">
        <v>17</v>
      </c>
      <c r="H3013" s="23">
        <v>45231.253622685188</v>
      </c>
      <c r="I3013" s="1" t="b">
        <v>0</v>
      </c>
      <c r="K3013" s="10">
        <f t="shared" si="237"/>
        <v>4.0536111111869104</v>
      </c>
      <c r="L3013" s="1" t="str">
        <f t="shared" si="238"/>
        <v>OK</v>
      </c>
      <c r="M3013" s="1">
        <f t="shared" si="235"/>
        <v>1</v>
      </c>
      <c r="N3013" s="1">
        <f t="shared" si="236"/>
        <v>17</v>
      </c>
      <c r="O3013" s="10">
        <f t="shared" si="239"/>
        <v>4.0536111111869104</v>
      </c>
    </row>
    <row r="3014" spans="1:15">
      <c r="A3014" s="1" t="s">
        <v>3119</v>
      </c>
      <c r="B3014" s="23">
        <v>45231.37777777778</v>
      </c>
      <c r="C3014" s="1" t="s">
        <v>16</v>
      </c>
      <c r="D3014" s="1" t="s">
        <v>21</v>
      </c>
      <c r="E3014" s="1" t="s">
        <v>13</v>
      </c>
      <c r="F3014" s="1" t="s">
        <v>153</v>
      </c>
      <c r="G3014" s="1">
        <v>58</v>
      </c>
      <c r="H3014" s="23">
        <v>45231.684745370374</v>
      </c>
      <c r="I3014" s="1" t="b">
        <v>0</v>
      </c>
      <c r="J3014" s="1">
        <v>4</v>
      </c>
      <c r="K3014" s="10">
        <f t="shared" si="237"/>
        <v>7.3672222222667187</v>
      </c>
      <c r="L3014" s="1" t="str">
        <f t="shared" si="238"/>
        <v>OK</v>
      </c>
      <c r="M3014" s="1">
        <f t="shared" si="235"/>
        <v>1</v>
      </c>
      <c r="N3014" s="1">
        <f t="shared" si="236"/>
        <v>58</v>
      </c>
      <c r="O3014" s="10">
        <f t="shared" si="239"/>
        <v>7.3672222222667187</v>
      </c>
    </row>
    <row r="3015" spans="1:15">
      <c r="A3015" s="1" t="s">
        <v>3120</v>
      </c>
      <c r="B3015" s="23">
        <v>45231.446527777778</v>
      </c>
      <c r="C3015" s="1" t="s">
        <v>25</v>
      </c>
      <c r="D3015" s="1" t="s">
        <v>17</v>
      </c>
      <c r="E3015" s="1" t="s">
        <v>22</v>
      </c>
      <c r="F3015" s="1" t="s">
        <v>198</v>
      </c>
      <c r="G3015" s="1">
        <v>15</v>
      </c>
      <c r="H3015" s="23">
        <v>45231.595486111109</v>
      </c>
      <c r="I3015" s="1" t="b">
        <v>0</v>
      </c>
      <c r="K3015" s="10">
        <f t="shared" si="237"/>
        <v>3.5749999999534339</v>
      </c>
      <c r="L3015" s="1" t="str">
        <f t="shared" si="238"/>
        <v>OK</v>
      </c>
      <c r="M3015" s="1">
        <f t="shared" si="235"/>
        <v>1</v>
      </c>
      <c r="N3015" s="1">
        <f t="shared" si="236"/>
        <v>15</v>
      </c>
      <c r="O3015" s="10">
        <f t="shared" si="239"/>
        <v>3.5749999999534339</v>
      </c>
    </row>
    <row r="3016" spans="1:15">
      <c r="A3016" s="1" t="s">
        <v>3121</v>
      </c>
      <c r="B3016" s="23">
        <v>45231.570833333331</v>
      </c>
      <c r="C3016" s="1" t="s">
        <v>16</v>
      </c>
      <c r="D3016" s="1" t="s">
        <v>12</v>
      </c>
      <c r="E3016" s="1" t="s">
        <v>13</v>
      </c>
      <c r="F3016" s="1" t="s">
        <v>66</v>
      </c>
      <c r="G3016" s="1">
        <v>205</v>
      </c>
      <c r="H3016" s="23">
        <v>45231.696851851855</v>
      </c>
      <c r="I3016" s="1" t="b">
        <v>0</v>
      </c>
      <c r="K3016" s="10">
        <f t="shared" si="237"/>
        <v>3.0244444445706904</v>
      </c>
      <c r="L3016" s="1" t="str">
        <f t="shared" si="238"/>
        <v>Review</v>
      </c>
      <c r="M3016" s="1">
        <f t="shared" si="235"/>
        <v>1</v>
      </c>
      <c r="N3016" s="1" t="str">
        <f t="shared" si="236"/>
        <v/>
      </c>
      <c r="O3016" s="10" t="str">
        <f t="shared" si="239"/>
        <v/>
      </c>
    </row>
    <row r="3017" spans="1:15">
      <c r="A3017" s="1" t="s">
        <v>3122</v>
      </c>
      <c r="B3017" s="23">
        <v>45231.620833333334</v>
      </c>
      <c r="C3017" s="1" t="s">
        <v>16</v>
      </c>
      <c r="D3017" s="1" t="s">
        <v>21</v>
      </c>
      <c r="E3017" s="1" t="s">
        <v>13</v>
      </c>
      <c r="F3017" s="1" t="s">
        <v>132</v>
      </c>
      <c r="G3017" s="1">
        <v>259</v>
      </c>
      <c r="H3017" s="23">
        <v>45231.738668981481</v>
      </c>
      <c r="I3017" s="1" t="b">
        <v>0</v>
      </c>
      <c r="J3017" s="1">
        <v>5</v>
      </c>
      <c r="K3017" s="10">
        <f t="shared" si="237"/>
        <v>2.8280555555247702</v>
      </c>
      <c r="L3017" s="1" t="str">
        <f t="shared" si="238"/>
        <v>Review</v>
      </c>
      <c r="M3017" s="1">
        <f t="shared" si="235"/>
        <v>1</v>
      </c>
      <c r="N3017" s="1" t="str">
        <f t="shared" si="236"/>
        <v/>
      </c>
      <c r="O3017" s="10" t="str">
        <f t="shared" si="239"/>
        <v/>
      </c>
    </row>
    <row r="3018" spans="1:15">
      <c r="A3018" s="1" t="s">
        <v>3123</v>
      </c>
      <c r="B3018" s="23">
        <v>45231.649305555555</v>
      </c>
      <c r="C3018" s="1" t="s">
        <v>11</v>
      </c>
      <c r="D3018" s="1" t="s">
        <v>21</v>
      </c>
      <c r="E3018" s="1" t="s">
        <v>22</v>
      </c>
      <c r="F3018" s="1" t="s">
        <v>175</v>
      </c>
      <c r="G3018" s="1">
        <v>25</v>
      </c>
      <c r="H3018" s="23">
        <v>45232.374502314815</v>
      </c>
      <c r="I3018" s="1" t="b">
        <v>0</v>
      </c>
      <c r="K3018" s="10">
        <f t="shared" si="237"/>
        <v>17.404722222243436</v>
      </c>
      <c r="L3018" s="1" t="str">
        <f t="shared" si="238"/>
        <v>OK</v>
      </c>
      <c r="M3018" s="1">
        <f t="shared" si="235"/>
        <v>1</v>
      </c>
      <c r="N3018" s="1">
        <f t="shared" si="236"/>
        <v>25</v>
      </c>
      <c r="O3018" s="10">
        <f t="shared" si="239"/>
        <v>17.404722222243436</v>
      </c>
    </row>
    <row r="3019" spans="1:15">
      <c r="A3019" s="1" t="s">
        <v>3124</v>
      </c>
      <c r="B3019" s="23">
        <v>45231.664583333331</v>
      </c>
      <c r="C3019" s="1" t="s">
        <v>16</v>
      </c>
      <c r="D3019" s="1" t="s">
        <v>21</v>
      </c>
      <c r="E3019" s="1" t="s">
        <v>18</v>
      </c>
      <c r="F3019" s="1" t="s">
        <v>118</v>
      </c>
      <c r="G3019" s="1">
        <v>207</v>
      </c>
      <c r="H3019" s="23">
        <v>45231.783773148149</v>
      </c>
      <c r="I3019" s="1" t="b">
        <v>0</v>
      </c>
      <c r="J3019" s="1">
        <v>3</v>
      </c>
      <c r="K3019" s="10">
        <f t="shared" si="237"/>
        <v>2.8605555556132458</v>
      </c>
      <c r="L3019" s="1" t="str">
        <f t="shared" si="238"/>
        <v>Review</v>
      </c>
      <c r="M3019" s="1">
        <f t="shared" si="235"/>
        <v>1</v>
      </c>
      <c r="N3019" s="1" t="str">
        <f t="shared" si="236"/>
        <v/>
      </c>
      <c r="O3019" s="10" t="str">
        <f t="shared" si="239"/>
        <v/>
      </c>
    </row>
    <row r="3020" spans="1:15">
      <c r="A3020" s="1" t="s">
        <v>3125</v>
      </c>
      <c r="B3020" s="23">
        <v>45231.666666666664</v>
      </c>
      <c r="C3020" s="1" t="s">
        <v>16</v>
      </c>
      <c r="D3020" s="1" t="s">
        <v>17</v>
      </c>
      <c r="E3020" s="1" t="s">
        <v>13</v>
      </c>
      <c r="F3020" s="1" t="s">
        <v>19</v>
      </c>
      <c r="G3020" s="1">
        <v>55</v>
      </c>
      <c r="H3020" s="23">
        <v>45232.267233796294</v>
      </c>
      <c r="I3020" s="1" t="b">
        <v>0</v>
      </c>
      <c r="K3020" s="10">
        <f t="shared" si="237"/>
        <v>14.413611111114733</v>
      </c>
      <c r="L3020" s="1" t="str">
        <f t="shared" si="238"/>
        <v>OK</v>
      </c>
      <c r="M3020" s="1">
        <f t="shared" si="235"/>
        <v>1</v>
      </c>
      <c r="N3020" s="1">
        <f t="shared" si="236"/>
        <v>55</v>
      </c>
      <c r="O3020" s="10">
        <f t="shared" si="239"/>
        <v>14.413611111114733</v>
      </c>
    </row>
    <row r="3021" spans="1:15">
      <c r="A3021" s="1" t="s">
        <v>3126</v>
      </c>
      <c r="B3021" s="23">
        <v>45231.689583333333</v>
      </c>
      <c r="C3021" s="1" t="s">
        <v>25</v>
      </c>
      <c r="D3021" s="1" t="s">
        <v>17</v>
      </c>
      <c r="E3021" s="1" t="s">
        <v>18</v>
      </c>
      <c r="F3021" s="1" t="s">
        <v>198</v>
      </c>
      <c r="G3021" s="1">
        <v>55</v>
      </c>
      <c r="H3021" s="23">
        <v>45233.358854166669</v>
      </c>
      <c r="I3021" s="1" t="b">
        <v>0</v>
      </c>
      <c r="K3021" s="10">
        <f t="shared" si="237"/>
        <v>40.062500000058208</v>
      </c>
      <c r="L3021" s="1" t="str">
        <f t="shared" si="238"/>
        <v>OK</v>
      </c>
      <c r="M3021" s="1">
        <f t="shared" si="235"/>
        <v>1</v>
      </c>
      <c r="N3021" s="1">
        <f t="shared" si="236"/>
        <v>55</v>
      </c>
      <c r="O3021" s="10">
        <f t="shared" si="239"/>
        <v>40.062500000058208</v>
      </c>
    </row>
    <row r="3022" spans="1:15">
      <c r="A3022" s="1" t="s">
        <v>3127</v>
      </c>
      <c r="B3022" s="23">
        <v>45231.747916666667</v>
      </c>
      <c r="C3022" s="1" t="s">
        <v>11</v>
      </c>
      <c r="D3022" s="1" t="s">
        <v>59</v>
      </c>
      <c r="E3022" s="1" t="s">
        <v>33</v>
      </c>
      <c r="F3022" s="1" t="s">
        <v>367</v>
      </c>
      <c r="G3022" s="1">
        <v>114</v>
      </c>
      <c r="H3022" s="23">
        <v>45231.885648148149</v>
      </c>
      <c r="I3022" s="1" t="b">
        <v>0</v>
      </c>
      <c r="J3022" s="1">
        <v>4</v>
      </c>
      <c r="K3022" s="10">
        <f t="shared" si="237"/>
        <v>3.3055555555620231</v>
      </c>
      <c r="L3022" s="1" t="str">
        <f t="shared" si="238"/>
        <v>OK</v>
      </c>
      <c r="M3022" s="1">
        <f t="shared" si="235"/>
        <v>1</v>
      </c>
      <c r="N3022" s="1">
        <f t="shared" si="236"/>
        <v>114</v>
      </c>
      <c r="O3022" s="10">
        <f t="shared" si="239"/>
        <v>3.3055555555620231</v>
      </c>
    </row>
    <row r="3023" spans="1:15">
      <c r="A3023" s="1" t="s">
        <v>3128</v>
      </c>
      <c r="B3023" s="23">
        <v>45232.166666666664</v>
      </c>
      <c r="C3023" s="1" t="s">
        <v>16</v>
      </c>
      <c r="D3023" s="1" t="s">
        <v>26</v>
      </c>
      <c r="E3023" s="1" t="s">
        <v>13</v>
      </c>
      <c r="F3023" s="1" t="s">
        <v>159</v>
      </c>
      <c r="G3023" s="1">
        <v>12</v>
      </c>
      <c r="H3023" s="23">
        <v>45232.416284722225</v>
      </c>
      <c r="I3023" s="1" t="b">
        <v>0</v>
      </c>
      <c r="J3023" s="1">
        <v>5</v>
      </c>
      <c r="K3023" s="10">
        <f t="shared" si="237"/>
        <v>5.9908333334606141</v>
      </c>
      <c r="L3023" s="1" t="str">
        <f t="shared" si="238"/>
        <v>OK</v>
      </c>
      <c r="M3023" s="1">
        <f t="shared" si="235"/>
        <v>1</v>
      </c>
      <c r="N3023" s="1">
        <f t="shared" si="236"/>
        <v>12</v>
      </c>
      <c r="O3023" s="10">
        <f t="shared" si="239"/>
        <v>5.9908333334606141</v>
      </c>
    </row>
    <row r="3024" spans="1:15">
      <c r="A3024" s="1" t="s">
        <v>3129</v>
      </c>
      <c r="B3024" s="23">
        <v>45232.183333333334</v>
      </c>
      <c r="C3024" s="1" t="s">
        <v>25</v>
      </c>
      <c r="D3024" s="1" t="s">
        <v>26</v>
      </c>
      <c r="E3024" s="1" t="s">
        <v>18</v>
      </c>
      <c r="F3024" s="1" t="s">
        <v>128</v>
      </c>
      <c r="G3024" s="1">
        <v>70</v>
      </c>
      <c r="H3024" s="23">
        <v>45238.806481481479</v>
      </c>
      <c r="I3024" s="1" t="b">
        <v>0</v>
      </c>
      <c r="J3024" s="1">
        <v>5</v>
      </c>
      <c r="K3024" s="10">
        <f t="shared" si="237"/>
        <v>158.95555555546889</v>
      </c>
      <c r="L3024" s="1" t="str">
        <f t="shared" si="238"/>
        <v>OK</v>
      </c>
      <c r="M3024" s="1">
        <f t="shared" si="235"/>
        <v>1</v>
      </c>
      <c r="N3024" s="1">
        <f t="shared" si="236"/>
        <v>70</v>
      </c>
      <c r="O3024" s="10">
        <f t="shared" si="239"/>
        <v>158.95555555546889</v>
      </c>
    </row>
    <row r="3025" spans="1:15">
      <c r="A3025" s="1" t="s">
        <v>3130</v>
      </c>
      <c r="B3025" s="23">
        <v>45232.265972222223</v>
      </c>
      <c r="C3025" s="1" t="s">
        <v>16</v>
      </c>
      <c r="D3025" s="1" t="s">
        <v>17</v>
      </c>
      <c r="E3025" s="1" t="s">
        <v>18</v>
      </c>
      <c r="F3025" s="1" t="s">
        <v>206</v>
      </c>
      <c r="H3025" s="23">
        <v>45232.846446759257</v>
      </c>
      <c r="I3025" s="1" t="b">
        <v>0</v>
      </c>
      <c r="K3025" s="10">
        <f t="shared" si="237"/>
        <v>13.93138888879912</v>
      </c>
      <c r="L3025" s="1" t="str">
        <f t="shared" si="238"/>
        <v>Cannot check</v>
      </c>
      <c r="M3025" s="1">
        <f t="shared" si="235"/>
        <v>1</v>
      </c>
      <c r="N3025" s="1" t="str">
        <f t="shared" si="236"/>
        <v/>
      </c>
      <c r="O3025" s="10">
        <f t="shared" si="239"/>
        <v>13.93138888879912</v>
      </c>
    </row>
    <row r="3026" spans="1:15">
      <c r="A3026" s="1" t="s">
        <v>3131</v>
      </c>
      <c r="B3026" s="23">
        <v>45232.292361111111</v>
      </c>
      <c r="C3026" s="1" t="s">
        <v>16</v>
      </c>
      <c r="D3026" s="1" t="s">
        <v>21</v>
      </c>
      <c r="E3026" s="1" t="s">
        <v>18</v>
      </c>
      <c r="F3026" s="1" t="s">
        <v>118</v>
      </c>
      <c r="G3026" s="1">
        <v>26</v>
      </c>
      <c r="H3026" s="23">
        <v>45234.015590277777</v>
      </c>
      <c r="I3026" s="1" t="b">
        <v>0</v>
      </c>
      <c r="K3026" s="10">
        <f t="shared" si="237"/>
        <v>41.357499999983702</v>
      </c>
      <c r="L3026" s="1" t="str">
        <f t="shared" si="238"/>
        <v>OK</v>
      </c>
      <c r="M3026" s="1">
        <f t="shared" si="235"/>
        <v>1</v>
      </c>
      <c r="N3026" s="1">
        <f t="shared" si="236"/>
        <v>26</v>
      </c>
      <c r="O3026" s="10">
        <f t="shared" si="239"/>
        <v>41.357499999983702</v>
      </c>
    </row>
    <row r="3027" spans="1:15">
      <c r="A3027" s="1" t="s">
        <v>3132</v>
      </c>
      <c r="B3027" s="23">
        <v>45232.301388888889</v>
      </c>
      <c r="C3027" s="1" t="s">
        <v>16</v>
      </c>
      <c r="D3027" s="1" t="s">
        <v>17</v>
      </c>
      <c r="E3027" s="1" t="s">
        <v>33</v>
      </c>
      <c r="F3027" s="1" t="s">
        <v>92</v>
      </c>
      <c r="G3027" s="1">
        <v>296</v>
      </c>
      <c r="H3027" s="23">
        <v>45259.968101851853</v>
      </c>
      <c r="I3027" s="1" t="b">
        <v>0</v>
      </c>
      <c r="J3027" s="1">
        <v>4</v>
      </c>
      <c r="K3027" s="10">
        <f t="shared" si="237"/>
        <v>664.00111111113802</v>
      </c>
      <c r="L3027" s="1" t="str">
        <f t="shared" si="238"/>
        <v>OK</v>
      </c>
      <c r="M3027" s="1">
        <f t="shared" si="235"/>
        <v>1</v>
      </c>
      <c r="N3027" s="1">
        <f t="shared" si="236"/>
        <v>296</v>
      </c>
      <c r="O3027" s="10">
        <f t="shared" si="239"/>
        <v>664.00111111113802</v>
      </c>
    </row>
    <row r="3028" spans="1:15">
      <c r="A3028" s="1" t="s">
        <v>3133</v>
      </c>
      <c r="B3028" s="23">
        <v>45232.352083333331</v>
      </c>
      <c r="C3028" s="1" t="s">
        <v>16</v>
      </c>
      <c r="D3028" s="1" t="s">
        <v>59</v>
      </c>
      <c r="E3028" s="1" t="s">
        <v>18</v>
      </c>
      <c r="F3028" s="1" t="s">
        <v>106</v>
      </c>
      <c r="G3028" s="1">
        <v>169</v>
      </c>
      <c r="H3028" s="23">
        <v>45233.131863425922</v>
      </c>
      <c r="I3028" s="1" t="b">
        <v>0</v>
      </c>
      <c r="K3028" s="10">
        <f t="shared" si="237"/>
        <v>18.7147222221829</v>
      </c>
      <c r="L3028" s="1" t="str">
        <f t="shared" si="238"/>
        <v>OK</v>
      </c>
      <c r="M3028" s="1">
        <f t="shared" si="235"/>
        <v>1</v>
      </c>
      <c r="N3028" s="1">
        <f t="shared" si="236"/>
        <v>169</v>
      </c>
      <c r="O3028" s="10">
        <f t="shared" si="239"/>
        <v>18.7147222221829</v>
      </c>
    </row>
    <row r="3029" spans="1:15">
      <c r="A3029" s="1" t="s">
        <v>3134</v>
      </c>
      <c r="B3029" s="23">
        <v>45232.388888888891</v>
      </c>
      <c r="C3029" s="1" t="s">
        <v>11</v>
      </c>
      <c r="D3029" s="1" t="s">
        <v>17</v>
      </c>
      <c r="E3029" s="1" t="s">
        <v>18</v>
      </c>
      <c r="F3029" s="1" t="s">
        <v>108</v>
      </c>
      <c r="G3029" s="1">
        <v>167</v>
      </c>
      <c r="H3029" s="23">
        <v>45235.49114583333</v>
      </c>
      <c r="I3029" s="1" t="b">
        <v>0</v>
      </c>
      <c r="J3029" s="1">
        <v>1</v>
      </c>
      <c r="K3029" s="10">
        <f t="shared" si="237"/>
        <v>74.454166666546371</v>
      </c>
      <c r="L3029" s="1" t="str">
        <f t="shared" si="238"/>
        <v>OK</v>
      </c>
      <c r="M3029" s="1">
        <f t="shared" si="235"/>
        <v>1</v>
      </c>
      <c r="N3029" s="1">
        <f t="shared" si="236"/>
        <v>167</v>
      </c>
      <c r="O3029" s="10">
        <f t="shared" si="239"/>
        <v>74.454166666546371</v>
      </c>
    </row>
    <row r="3030" spans="1:15">
      <c r="A3030" s="1" t="s">
        <v>3135</v>
      </c>
      <c r="B3030" s="23">
        <v>45232.413888888892</v>
      </c>
      <c r="C3030" s="1" t="s">
        <v>43</v>
      </c>
      <c r="D3030" s="1" t="s">
        <v>59</v>
      </c>
      <c r="E3030" s="1" t="s">
        <v>13</v>
      </c>
      <c r="F3030" s="1" t="s">
        <v>80</v>
      </c>
      <c r="G3030" s="1">
        <v>15</v>
      </c>
      <c r="H3030" s="23">
        <v>45232.804108796299</v>
      </c>
      <c r="I3030" s="1" t="b">
        <v>0</v>
      </c>
      <c r="J3030" s="1">
        <v>5</v>
      </c>
      <c r="K3030" s="10">
        <f t="shared" si="237"/>
        <v>9.3652777777751908</v>
      </c>
      <c r="L3030" s="1" t="str">
        <f t="shared" si="238"/>
        <v>OK</v>
      </c>
      <c r="M3030" s="1">
        <f t="shared" si="235"/>
        <v>1</v>
      </c>
      <c r="N3030" s="1">
        <f t="shared" si="236"/>
        <v>15</v>
      </c>
      <c r="O3030" s="10">
        <f t="shared" si="239"/>
        <v>9.3652777777751908</v>
      </c>
    </row>
    <row r="3031" spans="1:15">
      <c r="A3031" s="1" t="s">
        <v>3136</v>
      </c>
      <c r="B3031" s="23">
        <v>45232.513194444444</v>
      </c>
      <c r="C3031" s="1" t="s">
        <v>11</v>
      </c>
      <c r="D3031" s="1" t="s">
        <v>17</v>
      </c>
      <c r="E3031" s="1" t="s">
        <v>18</v>
      </c>
      <c r="F3031" s="1" t="s">
        <v>74</v>
      </c>
      <c r="G3031" s="1">
        <v>210</v>
      </c>
      <c r="H3031" s="23">
        <v>45234.604583333334</v>
      </c>
      <c r="I3031" s="1" t="b">
        <v>0</v>
      </c>
      <c r="K3031" s="10">
        <f t="shared" si="237"/>
        <v>50.193333333358169</v>
      </c>
      <c r="L3031" s="1" t="str">
        <f t="shared" si="238"/>
        <v>OK</v>
      </c>
      <c r="M3031" s="1">
        <f t="shared" si="235"/>
        <v>1</v>
      </c>
      <c r="N3031" s="1">
        <f t="shared" si="236"/>
        <v>210</v>
      </c>
      <c r="O3031" s="10">
        <f t="shared" si="239"/>
        <v>50.193333333358169</v>
      </c>
    </row>
    <row r="3032" spans="1:15">
      <c r="A3032" s="1" t="s">
        <v>3137</v>
      </c>
      <c r="B3032" s="23">
        <v>45232.522916666669</v>
      </c>
      <c r="C3032" s="1" t="s">
        <v>43</v>
      </c>
      <c r="D3032" s="1" t="s">
        <v>21</v>
      </c>
      <c r="E3032" s="1" t="s">
        <v>18</v>
      </c>
      <c r="F3032" s="1" t="s">
        <v>245</v>
      </c>
      <c r="G3032" s="1">
        <v>374</v>
      </c>
      <c r="H3032" s="23">
        <v>45237.665567129632</v>
      </c>
      <c r="I3032" s="1" t="b">
        <v>0</v>
      </c>
      <c r="K3032" s="10">
        <f t="shared" si="237"/>
        <v>123.42361111112405</v>
      </c>
      <c r="L3032" s="1" t="str">
        <f t="shared" si="238"/>
        <v>OK</v>
      </c>
      <c r="M3032" s="1">
        <f t="shared" si="235"/>
        <v>1</v>
      </c>
      <c r="N3032" s="1">
        <f t="shared" si="236"/>
        <v>374</v>
      </c>
      <c r="O3032" s="10">
        <f t="shared" si="239"/>
        <v>123.42361111112405</v>
      </c>
    </row>
    <row r="3033" spans="1:15">
      <c r="A3033" s="1" t="s">
        <v>3138</v>
      </c>
      <c r="B3033" s="23">
        <v>45232.592361111114</v>
      </c>
      <c r="C3033" s="1" t="s">
        <v>25</v>
      </c>
      <c r="D3033" s="1" t="s">
        <v>17</v>
      </c>
      <c r="E3033" s="1" t="s">
        <v>18</v>
      </c>
      <c r="F3033" s="1" t="s">
        <v>19</v>
      </c>
      <c r="G3033" s="1">
        <v>63</v>
      </c>
      <c r="H3033" s="23">
        <v>45234.404652777775</v>
      </c>
      <c r="I3033" s="1" t="b">
        <v>0</v>
      </c>
      <c r="K3033" s="10">
        <f t="shared" si="237"/>
        <v>43.494999999878928</v>
      </c>
      <c r="L3033" s="1" t="str">
        <f t="shared" si="238"/>
        <v>OK</v>
      </c>
      <c r="M3033" s="1">
        <f t="shared" si="235"/>
        <v>1</v>
      </c>
      <c r="N3033" s="1">
        <f t="shared" si="236"/>
        <v>63</v>
      </c>
      <c r="O3033" s="10">
        <f t="shared" si="239"/>
        <v>43.494999999878928</v>
      </c>
    </row>
    <row r="3034" spans="1:15">
      <c r="A3034" s="1" t="s">
        <v>3139</v>
      </c>
      <c r="B3034" s="23">
        <v>45232.63958333333</v>
      </c>
      <c r="C3034" s="1" t="s">
        <v>11</v>
      </c>
      <c r="D3034" s="1" t="s">
        <v>17</v>
      </c>
      <c r="E3034" s="1" t="s">
        <v>18</v>
      </c>
      <c r="F3034" s="1" t="s">
        <v>206</v>
      </c>
      <c r="G3034" s="1">
        <v>97</v>
      </c>
      <c r="H3034" s="23">
        <v>45239.088252314818</v>
      </c>
      <c r="I3034" s="1" t="b">
        <v>0</v>
      </c>
      <c r="K3034" s="10">
        <f t="shared" si="237"/>
        <v>154.76805555570172</v>
      </c>
      <c r="L3034" s="1" t="str">
        <f t="shared" si="238"/>
        <v>OK</v>
      </c>
      <c r="M3034" s="1">
        <f t="shared" si="235"/>
        <v>1</v>
      </c>
      <c r="N3034" s="1">
        <f t="shared" si="236"/>
        <v>97</v>
      </c>
      <c r="O3034" s="10">
        <f t="shared" si="239"/>
        <v>154.76805555570172</v>
      </c>
    </row>
    <row r="3035" spans="1:15">
      <c r="A3035" s="1" t="s">
        <v>3140</v>
      </c>
      <c r="B3035" s="23">
        <v>45232.847222222219</v>
      </c>
      <c r="C3035" s="1" t="s">
        <v>25</v>
      </c>
      <c r="D3035" s="1" t="s">
        <v>21</v>
      </c>
      <c r="E3035" s="1" t="s">
        <v>18</v>
      </c>
      <c r="F3035" s="1" t="s">
        <v>120</v>
      </c>
      <c r="G3035" s="1">
        <v>114</v>
      </c>
      <c r="H3035" s="23">
        <v>45233.123078703706</v>
      </c>
      <c r="I3035" s="1" t="b">
        <v>0</v>
      </c>
      <c r="K3035" s="10">
        <f t="shared" si="237"/>
        <v>6.6205555556807667</v>
      </c>
      <c r="L3035" s="1" t="str">
        <f t="shared" si="238"/>
        <v>OK</v>
      </c>
      <c r="M3035" s="1">
        <f t="shared" si="235"/>
        <v>1</v>
      </c>
      <c r="N3035" s="1">
        <f t="shared" si="236"/>
        <v>114</v>
      </c>
      <c r="O3035" s="10">
        <f t="shared" si="239"/>
        <v>6.6205555556807667</v>
      </c>
    </row>
    <row r="3036" spans="1:15">
      <c r="A3036" s="1" t="s">
        <v>3141</v>
      </c>
      <c r="B3036" s="23">
        <v>45233.100694444445</v>
      </c>
      <c r="C3036" s="1" t="s">
        <v>25</v>
      </c>
      <c r="D3036" s="1" t="s">
        <v>17</v>
      </c>
      <c r="E3036" s="1" t="s">
        <v>22</v>
      </c>
      <c r="F3036" s="1" t="s">
        <v>46</v>
      </c>
      <c r="G3036" s="1">
        <v>51</v>
      </c>
      <c r="H3036" s="23">
        <v>45233.19189814815</v>
      </c>
      <c r="I3036" s="1" t="b">
        <v>0</v>
      </c>
      <c r="K3036" s="10">
        <f t="shared" si="237"/>
        <v>2.18888888892252</v>
      </c>
      <c r="L3036" s="1" t="str">
        <f t="shared" si="238"/>
        <v>OK</v>
      </c>
      <c r="M3036" s="1">
        <f t="shared" si="235"/>
        <v>1</v>
      </c>
      <c r="N3036" s="1">
        <f t="shared" si="236"/>
        <v>51</v>
      </c>
      <c r="O3036" s="10">
        <f t="shared" si="239"/>
        <v>2.18888888892252</v>
      </c>
    </row>
    <row r="3037" spans="1:15">
      <c r="A3037" s="1" t="s">
        <v>3142</v>
      </c>
      <c r="B3037" s="23">
        <v>45233.106944444444</v>
      </c>
      <c r="C3037" s="1" t="s">
        <v>25</v>
      </c>
      <c r="D3037" s="1" t="s">
        <v>12</v>
      </c>
      <c r="E3037" s="1" t="s">
        <v>33</v>
      </c>
      <c r="F3037" s="1" t="s">
        <v>302</v>
      </c>
      <c r="G3037" s="1">
        <v>188</v>
      </c>
      <c r="H3037" s="23">
        <v>45234.054594907408</v>
      </c>
      <c r="I3037" s="1" t="b">
        <v>0</v>
      </c>
      <c r="K3037" s="10">
        <f t="shared" si="237"/>
        <v>22.743611111131031</v>
      </c>
      <c r="L3037" s="1" t="str">
        <f t="shared" si="238"/>
        <v>OK</v>
      </c>
      <c r="M3037" s="1">
        <f t="shared" si="235"/>
        <v>1</v>
      </c>
      <c r="N3037" s="1">
        <f t="shared" si="236"/>
        <v>188</v>
      </c>
      <c r="O3037" s="10">
        <f t="shared" si="239"/>
        <v>22.743611111131031</v>
      </c>
    </row>
    <row r="3038" spans="1:15">
      <c r="A3038" s="1" t="s">
        <v>3143</v>
      </c>
      <c r="B3038" s="23">
        <v>45233.260416666664</v>
      </c>
      <c r="C3038" s="1" t="s">
        <v>11</v>
      </c>
      <c r="D3038" s="1" t="s">
        <v>21</v>
      </c>
      <c r="E3038" s="1" t="s">
        <v>18</v>
      </c>
      <c r="F3038" s="1" t="s">
        <v>256</v>
      </c>
      <c r="G3038" s="1">
        <v>83</v>
      </c>
      <c r="H3038" s="23">
        <v>45239.359513888892</v>
      </c>
      <c r="I3038" s="1" t="b">
        <v>0</v>
      </c>
      <c r="K3038" s="10">
        <f t="shared" si="237"/>
        <v>146.37833333347226</v>
      </c>
      <c r="L3038" s="1" t="str">
        <f t="shared" si="238"/>
        <v>OK</v>
      </c>
      <c r="M3038" s="1">
        <f t="shared" si="235"/>
        <v>1</v>
      </c>
      <c r="N3038" s="1">
        <f t="shared" si="236"/>
        <v>83</v>
      </c>
      <c r="O3038" s="10">
        <f t="shared" si="239"/>
        <v>146.37833333347226</v>
      </c>
    </row>
    <row r="3039" spans="1:15">
      <c r="A3039" s="1" t="s">
        <v>3144</v>
      </c>
      <c r="B3039" s="23">
        <v>45233.288888888892</v>
      </c>
      <c r="C3039" s="1" t="s">
        <v>25</v>
      </c>
      <c r="D3039" s="1" t="s">
        <v>17</v>
      </c>
      <c r="E3039" s="1" t="s">
        <v>18</v>
      </c>
      <c r="F3039" s="1" t="s">
        <v>167</v>
      </c>
      <c r="G3039" s="1">
        <v>504</v>
      </c>
      <c r="I3039" s="1" t="b">
        <v>0</v>
      </c>
      <c r="K3039" s="10" t="str">
        <f t="shared" si="237"/>
        <v/>
      </c>
      <c r="L3039" s="1" t="str">
        <f t="shared" si="238"/>
        <v>Cannot check</v>
      </c>
      <c r="M3039" s="1">
        <f t="shared" si="235"/>
        <v>1</v>
      </c>
      <c r="N3039" s="1">
        <f t="shared" si="236"/>
        <v>504</v>
      </c>
      <c r="O3039" s="10" t="str">
        <f t="shared" si="239"/>
        <v/>
      </c>
    </row>
    <row r="3040" spans="1:15">
      <c r="A3040" s="1" t="s">
        <v>3145</v>
      </c>
      <c r="B3040" s="23">
        <v>45233.349305555559</v>
      </c>
      <c r="C3040" s="1" t="s">
        <v>11</v>
      </c>
      <c r="D3040" s="1" t="s">
        <v>12</v>
      </c>
      <c r="E3040" s="1" t="s">
        <v>13</v>
      </c>
      <c r="F3040" s="1" t="s">
        <v>326</v>
      </c>
      <c r="G3040" s="1">
        <v>34</v>
      </c>
      <c r="H3040" s="23">
        <v>45233.679108796299</v>
      </c>
      <c r="I3040" s="1" t="b">
        <v>0</v>
      </c>
      <c r="J3040" s="1">
        <v>4</v>
      </c>
      <c r="K3040" s="10">
        <f t="shared" si="237"/>
        <v>7.9152777777635492</v>
      </c>
      <c r="L3040" s="1" t="str">
        <f t="shared" si="238"/>
        <v>OK</v>
      </c>
      <c r="M3040" s="1">
        <f t="shared" si="235"/>
        <v>1</v>
      </c>
      <c r="N3040" s="1">
        <f t="shared" si="236"/>
        <v>34</v>
      </c>
      <c r="O3040" s="10">
        <f t="shared" si="239"/>
        <v>7.9152777777635492</v>
      </c>
    </row>
    <row r="3041" spans="1:15">
      <c r="A3041" s="1" t="s">
        <v>3146</v>
      </c>
      <c r="B3041" s="23">
        <v>45233.463194444441</v>
      </c>
      <c r="C3041" s="1" t="s">
        <v>16</v>
      </c>
      <c r="D3041" s="1" t="s">
        <v>59</v>
      </c>
      <c r="E3041" s="1" t="s">
        <v>18</v>
      </c>
      <c r="F3041" s="1" t="s">
        <v>302</v>
      </c>
      <c r="G3041" s="1">
        <v>34</v>
      </c>
      <c r="H3041" s="23">
        <v>45233.573680555557</v>
      </c>
      <c r="I3041" s="1" t="b">
        <v>0</v>
      </c>
      <c r="K3041" s="10">
        <f t="shared" si="237"/>
        <v>2.6516666667885147</v>
      </c>
      <c r="L3041" s="1" t="str">
        <f t="shared" si="238"/>
        <v>OK</v>
      </c>
      <c r="M3041" s="1">
        <f t="shared" si="235"/>
        <v>1</v>
      </c>
      <c r="N3041" s="1">
        <f t="shared" si="236"/>
        <v>34</v>
      </c>
      <c r="O3041" s="10">
        <f t="shared" si="239"/>
        <v>2.6516666667885147</v>
      </c>
    </row>
    <row r="3042" spans="1:15">
      <c r="A3042" s="1" t="s">
        <v>3147</v>
      </c>
      <c r="B3042" s="23">
        <v>45233.472916666666</v>
      </c>
      <c r="C3042" s="1" t="s">
        <v>25</v>
      </c>
      <c r="D3042" s="1" t="s">
        <v>12</v>
      </c>
      <c r="E3042" s="1" t="s">
        <v>13</v>
      </c>
      <c r="F3042" s="1" t="s">
        <v>130</v>
      </c>
      <c r="G3042" s="1">
        <v>32</v>
      </c>
      <c r="H3042" s="23">
        <v>45233.558692129627</v>
      </c>
      <c r="I3042" s="1" t="b">
        <v>0</v>
      </c>
      <c r="J3042" s="1">
        <v>5</v>
      </c>
      <c r="K3042" s="10">
        <f t="shared" si="237"/>
        <v>2.0586111110751517</v>
      </c>
      <c r="L3042" s="1" t="str">
        <f t="shared" si="238"/>
        <v>OK</v>
      </c>
      <c r="M3042" s="1">
        <f t="shared" si="235"/>
        <v>1</v>
      </c>
      <c r="N3042" s="1">
        <f t="shared" si="236"/>
        <v>32</v>
      </c>
      <c r="O3042" s="10">
        <f t="shared" si="239"/>
        <v>2.0586111110751517</v>
      </c>
    </row>
    <row r="3043" spans="1:15">
      <c r="A3043" s="1" t="s">
        <v>3148</v>
      </c>
      <c r="B3043" s="23">
        <v>45233.511805555558</v>
      </c>
      <c r="C3043" s="1" t="s">
        <v>25</v>
      </c>
      <c r="D3043" s="1" t="s">
        <v>26</v>
      </c>
      <c r="E3043" s="1" t="s">
        <v>18</v>
      </c>
      <c r="F3043" s="1" t="s">
        <v>317</v>
      </c>
      <c r="G3043" s="1">
        <v>256</v>
      </c>
      <c r="H3043" s="23">
        <v>45233.823460648149</v>
      </c>
      <c r="I3043" s="1" t="b">
        <v>0</v>
      </c>
      <c r="K3043" s="10">
        <f t="shared" si="237"/>
        <v>7.4797222221968696</v>
      </c>
      <c r="L3043" s="1" t="str">
        <f t="shared" si="238"/>
        <v>OK</v>
      </c>
      <c r="M3043" s="1">
        <f t="shared" si="235"/>
        <v>1</v>
      </c>
      <c r="N3043" s="1">
        <f t="shared" si="236"/>
        <v>256</v>
      </c>
      <c r="O3043" s="10">
        <f t="shared" si="239"/>
        <v>7.4797222221968696</v>
      </c>
    </row>
    <row r="3044" spans="1:15">
      <c r="A3044" s="1" t="s">
        <v>3149</v>
      </c>
      <c r="B3044" s="23">
        <v>45233.695138888892</v>
      </c>
      <c r="C3044" s="1" t="s">
        <v>25</v>
      </c>
      <c r="D3044" s="1" t="s">
        <v>21</v>
      </c>
      <c r="E3044" s="1" t="s">
        <v>18</v>
      </c>
      <c r="F3044" s="1" t="s">
        <v>96</v>
      </c>
      <c r="G3044" s="1">
        <v>196</v>
      </c>
      <c r="H3044" s="23">
        <v>45239.3203587963</v>
      </c>
      <c r="I3044" s="1" t="b">
        <v>0</v>
      </c>
      <c r="J3044" s="1">
        <v>1</v>
      </c>
      <c r="K3044" s="10">
        <f t="shared" si="237"/>
        <v>135.00527777778916</v>
      </c>
      <c r="L3044" s="1" t="str">
        <f t="shared" si="238"/>
        <v>OK</v>
      </c>
      <c r="M3044" s="1">
        <f t="shared" si="235"/>
        <v>1</v>
      </c>
      <c r="N3044" s="1">
        <f t="shared" si="236"/>
        <v>196</v>
      </c>
      <c r="O3044" s="10">
        <f t="shared" si="239"/>
        <v>135.00527777778916</v>
      </c>
    </row>
    <row r="3045" spans="1:15">
      <c r="A3045" s="1" t="s">
        <v>3150</v>
      </c>
      <c r="B3045" s="23">
        <v>45233.805555555555</v>
      </c>
      <c r="C3045" s="1" t="s">
        <v>43</v>
      </c>
      <c r="D3045" s="1" t="s">
        <v>21</v>
      </c>
      <c r="E3045" s="1" t="s">
        <v>13</v>
      </c>
      <c r="F3045" s="1" t="s">
        <v>245</v>
      </c>
      <c r="G3045" s="1">
        <v>12</v>
      </c>
      <c r="H3045" s="23">
        <v>45234.34611111111</v>
      </c>
      <c r="I3045" s="1" t="b">
        <v>0</v>
      </c>
      <c r="K3045" s="10">
        <f t="shared" si="237"/>
        <v>12.973333333327901</v>
      </c>
      <c r="L3045" s="1" t="str">
        <f t="shared" si="238"/>
        <v>OK</v>
      </c>
      <c r="M3045" s="1">
        <f t="shared" si="235"/>
        <v>1</v>
      </c>
      <c r="N3045" s="1">
        <f t="shared" si="236"/>
        <v>12</v>
      </c>
      <c r="O3045" s="10">
        <f t="shared" si="239"/>
        <v>12.973333333327901</v>
      </c>
    </row>
    <row r="3046" spans="1:15">
      <c r="A3046" s="1" t="s">
        <v>3151</v>
      </c>
      <c r="B3046" s="23">
        <v>45233.864583333336</v>
      </c>
      <c r="C3046" s="1" t="s">
        <v>43</v>
      </c>
      <c r="D3046" s="1" t="s">
        <v>17</v>
      </c>
      <c r="E3046" s="1" t="s">
        <v>18</v>
      </c>
      <c r="F3046" s="1" t="s">
        <v>392</v>
      </c>
      <c r="G3046" s="1">
        <v>64</v>
      </c>
      <c r="H3046" s="23">
        <v>45234.681296296294</v>
      </c>
      <c r="I3046" s="1" t="b">
        <v>0</v>
      </c>
      <c r="K3046" s="10">
        <f t="shared" si="237"/>
        <v>19.601111110998318</v>
      </c>
      <c r="L3046" s="1" t="str">
        <f t="shared" si="238"/>
        <v>OK</v>
      </c>
      <c r="M3046" s="1">
        <f t="shared" si="235"/>
        <v>1</v>
      </c>
      <c r="N3046" s="1">
        <f t="shared" si="236"/>
        <v>64</v>
      </c>
      <c r="O3046" s="10">
        <f t="shared" si="239"/>
        <v>19.601111110998318</v>
      </c>
    </row>
    <row r="3047" spans="1:15">
      <c r="A3047" s="1" t="s">
        <v>3152</v>
      </c>
      <c r="B3047" s="23">
        <v>45233.938194444447</v>
      </c>
      <c r="C3047" s="1" t="s">
        <v>11</v>
      </c>
      <c r="D3047" s="1" t="s">
        <v>17</v>
      </c>
      <c r="E3047" s="1" t="s">
        <v>33</v>
      </c>
      <c r="F3047" s="1" t="s">
        <v>116</v>
      </c>
      <c r="G3047" s="1">
        <v>77</v>
      </c>
      <c r="H3047" s="23">
        <v>45241.780543981484</v>
      </c>
      <c r="I3047" s="1" t="b">
        <v>0</v>
      </c>
      <c r="J3047" s="1">
        <v>1</v>
      </c>
      <c r="K3047" s="10">
        <f t="shared" si="237"/>
        <v>188.21638888888992</v>
      </c>
      <c r="L3047" s="1" t="str">
        <f t="shared" si="238"/>
        <v>OK</v>
      </c>
      <c r="M3047" s="1">
        <f t="shared" si="235"/>
        <v>1</v>
      </c>
      <c r="N3047" s="1">
        <f t="shared" si="236"/>
        <v>77</v>
      </c>
      <c r="O3047" s="10">
        <f t="shared" si="239"/>
        <v>188.21638888888992</v>
      </c>
    </row>
    <row r="3048" spans="1:15">
      <c r="A3048" s="1" t="s">
        <v>3153</v>
      </c>
      <c r="B3048" s="23">
        <v>45234.009722222225</v>
      </c>
      <c r="C3048" s="1" t="s">
        <v>25</v>
      </c>
      <c r="D3048" s="1" t="s">
        <v>26</v>
      </c>
      <c r="E3048" s="1" t="s">
        <v>18</v>
      </c>
      <c r="F3048" s="1" t="s">
        <v>415</v>
      </c>
      <c r="G3048" s="1">
        <v>124</v>
      </c>
      <c r="H3048" s="23">
        <v>45244.419166666667</v>
      </c>
      <c r="I3048" s="1" t="b">
        <v>0</v>
      </c>
      <c r="J3048" s="1">
        <v>5</v>
      </c>
      <c r="K3048" s="10">
        <f t="shared" si="237"/>
        <v>249.82666666660225</v>
      </c>
      <c r="L3048" s="1" t="str">
        <f t="shared" si="238"/>
        <v>OK</v>
      </c>
      <c r="M3048" s="1">
        <f t="shared" si="235"/>
        <v>1</v>
      </c>
      <c r="N3048" s="1">
        <f t="shared" si="236"/>
        <v>124</v>
      </c>
      <c r="O3048" s="10">
        <f t="shared" si="239"/>
        <v>249.82666666660225</v>
      </c>
    </row>
    <row r="3049" spans="1:15">
      <c r="A3049" s="1" t="s">
        <v>3154</v>
      </c>
      <c r="B3049" s="23">
        <v>45234.034722222219</v>
      </c>
      <c r="C3049" s="1" t="s">
        <v>11</v>
      </c>
      <c r="D3049" s="1" t="s">
        <v>21</v>
      </c>
      <c r="E3049" s="1" t="s">
        <v>33</v>
      </c>
      <c r="F3049" s="1" t="s">
        <v>234</v>
      </c>
      <c r="G3049" s="1">
        <v>213</v>
      </c>
      <c r="H3049" s="23">
        <v>45235.114178240743</v>
      </c>
      <c r="I3049" s="1" t="b">
        <v>1</v>
      </c>
      <c r="J3049" s="1">
        <v>1</v>
      </c>
      <c r="K3049" s="10">
        <f t="shared" si="237"/>
        <v>25.906944444577675</v>
      </c>
      <c r="L3049" s="1" t="str">
        <f t="shared" si="238"/>
        <v>OK</v>
      </c>
      <c r="M3049" s="1">
        <f t="shared" si="235"/>
        <v>1</v>
      </c>
      <c r="N3049" s="1">
        <f t="shared" si="236"/>
        <v>213</v>
      </c>
      <c r="O3049" s="10">
        <f t="shared" si="239"/>
        <v>25.906944444577675</v>
      </c>
    </row>
    <row r="3050" spans="1:15">
      <c r="A3050" s="1" t="s">
        <v>3155</v>
      </c>
      <c r="B3050" s="23">
        <v>45234.036805555559</v>
      </c>
      <c r="C3050" s="1" t="s">
        <v>25</v>
      </c>
      <c r="D3050" s="1" t="s">
        <v>26</v>
      </c>
      <c r="E3050" s="1" t="s">
        <v>18</v>
      </c>
      <c r="F3050" s="1" t="s">
        <v>206</v>
      </c>
      <c r="G3050" s="1">
        <v>226</v>
      </c>
      <c r="H3050" s="23">
        <v>45240.047384259262</v>
      </c>
      <c r="I3050" s="1" t="b">
        <v>0</v>
      </c>
      <c r="K3050" s="10">
        <f t="shared" si="237"/>
        <v>144.25388888886664</v>
      </c>
      <c r="L3050" s="1" t="str">
        <f t="shared" si="238"/>
        <v>OK</v>
      </c>
      <c r="M3050" s="1">
        <f t="shared" si="235"/>
        <v>1</v>
      </c>
      <c r="N3050" s="1">
        <f t="shared" si="236"/>
        <v>226</v>
      </c>
      <c r="O3050" s="10">
        <f t="shared" si="239"/>
        <v>144.25388888886664</v>
      </c>
    </row>
    <row r="3051" spans="1:15">
      <c r="A3051" s="1" t="s">
        <v>3156</v>
      </c>
      <c r="B3051" s="23">
        <v>45234.129861111112</v>
      </c>
      <c r="C3051" s="1" t="s">
        <v>25</v>
      </c>
      <c r="D3051" s="1" t="s">
        <v>17</v>
      </c>
      <c r="E3051" s="1" t="s">
        <v>13</v>
      </c>
      <c r="F3051" s="1" t="s">
        <v>128</v>
      </c>
      <c r="G3051" s="1">
        <v>91</v>
      </c>
      <c r="H3051" s="23">
        <v>45236.651770833334</v>
      </c>
      <c r="I3051" s="1" t="b">
        <v>0</v>
      </c>
      <c r="J3051" s="1">
        <v>4</v>
      </c>
      <c r="K3051" s="10">
        <f t="shared" si="237"/>
        <v>60.525833333318587</v>
      </c>
      <c r="L3051" s="1" t="str">
        <f t="shared" si="238"/>
        <v>OK</v>
      </c>
      <c r="M3051" s="1">
        <f t="shared" si="235"/>
        <v>1</v>
      </c>
      <c r="N3051" s="1">
        <f t="shared" si="236"/>
        <v>91</v>
      </c>
      <c r="O3051" s="10">
        <f t="shared" si="239"/>
        <v>60.525833333318587</v>
      </c>
    </row>
    <row r="3052" spans="1:15">
      <c r="A3052" s="1" t="s">
        <v>3157</v>
      </c>
      <c r="B3052" s="23">
        <v>45234.245138888888</v>
      </c>
      <c r="C3052" s="1" t="s">
        <v>43</v>
      </c>
      <c r="D3052" s="1" t="s">
        <v>17</v>
      </c>
      <c r="E3052" s="1" t="s">
        <v>33</v>
      </c>
      <c r="F3052" s="1" t="s">
        <v>108</v>
      </c>
      <c r="G3052" s="1">
        <v>53</v>
      </c>
      <c r="H3052" s="23">
        <v>45244.237766203703</v>
      </c>
      <c r="I3052" s="1" t="b">
        <v>0</v>
      </c>
      <c r="J3052" s="1">
        <v>5</v>
      </c>
      <c r="K3052" s="10">
        <f t="shared" si="237"/>
        <v>239.82305555557832</v>
      </c>
      <c r="L3052" s="1" t="str">
        <f t="shared" si="238"/>
        <v>OK</v>
      </c>
      <c r="M3052" s="1">
        <f t="shared" si="235"/>
        <v>1</v>
      </c>
      <c r="N3052" s="1">
        <f t="shared" si="236"/>
        <v>53</v>
      </c>
      <c r="O3052" s="10">
        <f t="shared" si="239"/>
        <v>239.82305555557832</v>
      </c>
    </row>
    <row r="3053" spans="1:15">
      <c r="A3053" s="1" t="s">
        <v>3158</v>
      </c>
      <c r="B3053" s="23">
        <v>45234.276388888888</v>
      </c>
      <c r="C3053" s="1" t="s">
        <v>25</v>
      </c>
      <c r="D3053" s="1" t="s">
        <v>17</v>
      </c>
      <c r="E3053" s="1" t="s">
        <v>13</v>
      </c>
      <c r="F3053" s="1" t="s">
        <v>96</v>
      </c>
      <c r="G3053" s="1">
        <v>45</v>
      </c>
      <c r="H3053" s="23">
        <v>45237.933078703703</v>
      </c>
      <c r="I3053" s="1" t="b">
        <v>0</v>
      </c>
      <c r="K3053" s="10">
        <f t="shared" si="237"/>
        <v>87.760555555578321</v>
      </c>
      <c r="L3053" s="1" t="str">
        <f t="shared" si="238"/>
        <v>OK</v>
      </c>
      <c r="M3053" s="1">
        <f t="shared" si="235"/>
        <v>1</v>
      </c>
      <c r="N3053" s="1">
        <f t="shared" si="236"/>
        <v>45</v>
      </c>
      <c r="O3053" s="10">
        <f t="shared" si="239"/>
        <v>87.760555555578321</v>
      </c>
    </row>
    <row r="3054" spans="1:15">
      <c r="A3054" s="1" t="s">
        <v>3159</v>
      </c>
      <c r="B3054" s="23">
        <v>45234.353472222225</v>
      </c>
      <c r="C3054" s="1" t="s">
        <v>43</v>
      </c>
      <c r="D3054" s="1" t="s">
        <v>26</v>
      </c>
      <c r="E3054" s="1" t="s">
        <v>33</v>
      </c>
      <c r="F3054" s="1" t="s">
        <v>415</v>
      </c>
      <c r="G3054" s="1">
        <v>27</v>
      </c>
      <c r="H3054" s="23">
        <v>45240.032962962963</v>
      </c>
      <c r="I3054" s="1" t="b">
        <v>0</v>
      </c>
      <c r="K3054" s="10">
        <f t="shared" si="237"/>
        <v>136.30777777772164</v>
      </c>
      <c r="L3054" s="1" t="str">
        <f t="shared" si="238"/>
        <v>OK</v>
      </c>
      <c r="M3054" s="1">
        <f t="shared" si="235"/>
        <v>1</v>
      </c>
      <c r="N3054" s="1">
        <f t="shared" si="236"/>
        <v>27</v>
      </c>
      <c r="O3054" s="10">
        <f t="shared" si="239"/>
        <v>136.30777777772164</v>
      </c>
    </row>
    <row r="3055" spans="1:15">
      <c r="A3055" s="1" t="s">
        <v>3160</v>
      </c>
      <c r="B3055" s="23">
        <v>45234.359027777777</v>
      </c>
      <c r="C3055" s="1" t="s">
        <v>11</v>
      </c>
      <c r="D3055" s="1" t="s">
        <v>59</v>
      </c>
      <c r="E3055" s="1" t="s">
        <v>18</v>
      </c>
      <c r="F3055" s="1" t="s">
        <v>234</v>
      </c>
      <c r="G3055" s="1">
        <v>228</v>
      </c>
      <c r="I3055" s="1" t="b">
        <v>0</v>
      </c>
      <c r="K3055" s="10" t="str">
        <f t="shared" si="237"/>
        <v/>
      </c>
      <c r="L3055" s="1" t="str">
        <f t="shared" si="238"/>
        <v>Cannot check</v>
      </c>
      <c r="M3055" s="1">
        <f t="shared" si="235"/>
        <v>1</v>
      </c>
      <c r="N3055" s="1">
        <f t="shared" si="236"/>
        <v>228</v>
      </c>
      <c r="O3055" s="10" t="str">
        <f t="shared" si="239"/>
        <v/>
      </c>
    </row>
    <row r="3056" spans="1:15">
      <c r="A3056" s="1" t="s">
        <v>3161</v>
      </c>
      <c r="B3056" s="23">
        <v>45234.414583333331</v>
      </c>
      <c r="C3056" s="1" t="s">
        <v>11</v>
      </c>
      <c r="D3056" s="1" t="s">
        <v>12</v>
      </c>
      <c r="E3056" s="1" t="s">
        <v>18</v>
      </c>
      <c r="F3056" s="1" t="s">
        <v>392</v>
      </c>
      <c r="G3056" s="1">
        <v>278</v>
      </c>
      <c r="H3056" s="23">
        <v>45235.978819444441</v>
      </c>
      <c r="I3056" s="1" t="b">
        <v>0</v>
      </c>
      <c r="K3056" s="10">
        <f t="shared" si="237"/>
        <v>37.541666666627862</v>
      </c>
      <c r="L3056" s="1" t="str">
        <f t="shared" si="238"/>
        <v>OK</v>
      </c>
      <c r="M3056" s="1">
        <f t="shared" si="235"/>
        <v>1</v>
      </c>
      <c r="N3056" s="1">
        <f t="shared" si="236"/>
        <v>278</v>
      </c>
      <c r="O3056" s="10">
        <f t="shared" si="239"/>
        <v>37.541666666627862</v>
      </c>
    </row>
    <row r="3057" spans="1:15">
      <c r="A3057" s="1" t="s">
        <v>3162</v>
      </c>
      <c r="B3057" s="23">
        <v>45234.426388888889</v>
      </c>
      <c r="C3057" s="1" t="s">
        <v>25</v>
      </c>
      <c r="D3057" s="1" t="s">
        <v>26</v>
      </c>
      <c r="E3057" s="1" t="s">
        <v>18</v>
      </c>
      <c r="F3057" s="1" t="s">
        <v>88</v>
      </c>
      <c r="G3057" s="1">
        <v>61</v>
      </c>
      <c r="H3057" s="23">
        <v>45234.951006944444</v>
      </c>
      <c r="I3057" s="1" t="b">
        <v>0</v>
      </c>
      <c r="J3057" s="1">
        <v>4</v>
      </c>
      <c r="K3057" s="10">
        <f t="shared" si="237"/>
        <v>12.590833333320916</v>
      </c>
      <c r="L3057" s="1" t="str">
        <f t="shared" si="238"/>
        <v>OK</v>
      </c>
      <c r="M3057" s="1">
        <f t="shared" si="235"/>
        <v>1</v>
      </c>
      <c r="N3057" s="1">
        <f t="shared" si="236"/>
        <v>61</v>
      </c>
      <c r="O3057" s="10">
        <f t="shared" si="239"/>
        <v>12.590833333320916</v>
      </c>
    </row>
    <row r="3058" spans="1:15">
      <c r="A3058" s="1" t="s">
        <v>3163</v>
      </c>
      <c r="B3058" s="23">
        <v>45234.658333333333</v>
      </c>
      <c r="C3058" s="1" t="s">
        <v>43</v>
      </c>
      <c r="D3058" s="1" t="s">
        <v>21</v>
      </c>
      <c r="E3058" s="1" t="s">
        <v>13</v>
      </c>
      <c r="F3058" s="1" t="s">
        <v>134</v>
      </c>
      <c r="G3058" s="1">
        <v>118</v>
      </c>
      <c r="H3058" s="23">
        <v>45236.56863425926</v>
      </c>
      <c r="I3058" s="1" t="b">
        <v>0</v>
      </c>
      <c r="K3058" s="10">
        <f t="shared" si="237"/>
        <v>45.847222222248092</v>
      </c>
      <c r="L3058" s="1" t="str">
        <f t="shared" si="238"/>
        <v>OK</v>
      </c>
      <c r="M3058" s="1">
        <f t="shared" si="235"/>
        <v>1</v>
      </c>
      <c r="N3058" s="1">
        <f t="shared" si="236"/>
        <v>118</v>
      </c>
      <c r="O3058" s="10">
        <f t="shared" si="239"/>
        <v>45.847222222248092</v>
      </c>
    </row>
    <row r="3059" spans="1:15">
      <c r="A3059" s="1" t="s">
        <v>3164</v>
      </c>
      <c r="B3059" s="23">
        <v>45234.683333333334</v>
      </c>
      <c r="C3059" s="1" t="s">
        <v>16</v>
      </c>
      <c r="D3059" s="1" t="s">
        <v>21</v>
      </c>
      <c r="E3059" s="1" t="s">
        <v>18</v>
      </c>
      <c r="F3059" s="1" t="s">
        <v>134</v>
      </c>
      <c r="G3059" s="1">
        <v>102</v>
      </c>
      <c r="H3059" s="23">
        <v>45235.262037037035</v>
      </c>
      <c r="I3059" s="1" t="b">
        <v>0</v>
      </c>
      <c r="K3059" s="10">
        <f t="shared" si="237"/>
        <v>13.888888888817746</v>
      </c>
      <c r="L3059" s="1" t="str">
        <f t="shared" si="238"/>
        <v>OK</v>
      </c>
      <c r="M3059" s="1">
        <f t="shared" si="235"/>
        <v>1</v>
      </c>
      <c r="N3059" s="1">
        <f t="shared" si="236"/>
        <v>102</v>
      </c>
      <c r="O3059" s="10">
        <f t="shared" si="239"/>
        <v>13.888888888817746</v>
      </c>
    </row>
    <row r="3060" spans="1:15">
      <c r="A3060" s="1" t="s">
        <v>3165</v>
      </c>
      <c r="B3060" s="23">
        <v>45234.739583333336</v>
      </c>
      <c r="C3060" s="1" t="s">
        <v>16</v>
      </c>
      <c r="D3060" s="1" t="s">
        <v>21</v>
      </c>
      <c r="E3060" s="1" t="s">
        <v>33</v>
      </c>
      <c r="F3060" s="1" t="s">
        <v>206</v>
      </c>
      <c r="G3060" s="1">
        <v>644</v>
      </c>
      <c r="H3060" s="23">
        <v>45235.788310185184</v>
      </c>
      <c r="I3060" s="1" t="b">
        <v>0</v>
      </c>
      <c r="J3060" s="1">
        <v>5</v>
      </c>
      <c r="K3060" s="10">
        <f t="shared" si="237"/>
        <v>25.169444444356486</v>
      </c>
      <c r="L3060" s="1" t="str">
        <f t="shared" si="238"/>
        <v>OK</v>
      </c>
      <c r="M3060" s="1">
        <f t="shared" si="235"/>
        <v>1</v>
      </c>
      <c r="N3060" s="1">
        <f t="shared" si="236"/>
        <v>644</v>
      </c>
      <c r="O3060" s="10">
        <f t="shared" si="239"/>
        <v>25.169444444356486</v>
      </c>
    </row>
    <row r="3061" spans="1:15">
      <c r="A3061" s="1" t="s">
        <v>3166</v>
      </c>
      <c r="B3061" s="23">
        <v>45235.184027777781</v>
      </c>
      <c r="C3061" s="1" t="s">
        <v>11</v>
      </c>
      <c r="D3061" s="1" t="s">
        <v>21</v>
      </c>
      <c r="E3061" s="1" t="s">
        <v>18</v>
      </c>
      <c r="F3061" s="1" t="s">
        <v>23</v>
      </c>
      <c r="G3061" s="1">
        <v>101</v>
      </c>
      <c r="H3061" s="23">
        <v>45237.000474537039</v>
      </c>
      <c r="I3061" s="1" t="b">
        <v>0</v>
      </c>
      <c r="K3061" s="10">
        <f t="shared" si="237"/>
        <v>43.594722222187556</v>
      </c>
      <c r="L3061" s="1" t="str">
        <f t="shared" si="238"/>
        <v>OK</v>
      </c>
      <c r="M3061" s="1">
        <f t="shared" si="235"/>
        <v>1</v>
      </c>
      <c r="N3061" s="1">
        <f t="shared" si="236"/>
        <v>101</v>
      </c>
      <c r="O3061" s="10">
        <f t="shared" si="239"/>
        <v>43.594722222187556</v>
      </c>
    </row>
    <row r="3062" spans="1:15">
      <c r="A3062" s="1" t="s">
        <v>3167</v>
      </c>
      <c r="B3062" s="23">
        <v>45235.237500000003</v>
      </c>
      <c r="C3062" s="1" t="s">
        <v>16</v>
      </c>
      <c r="D3062" s="1" t="s">
        <v>17</v>
      </c>
      <c r="E3062" s="1" t="s">
        <v>33</v>
      </c>
      <c r="F3062" s="1" t="s">
        <v>104</v>
      </c>
      <c r="G3062" s="1">
        <v>251</v>
      </c>
      <c r="H3062" s="23">
        <v>45249.71471064815</v>
      </c>
      <c r="I3062" s="1" t="b">
        <v>0</v>
      </c>
      <c r="K3062" s="10">
        <f t="shared" si="237"/>
        <v>347.45305555552477</v>
      </c>
      <c r="L3062" s="1" t="str">
        <f t="shared" si="238"/>
        <v>OK</v>
      </c>
      <c r="M3062" s="1">
        <f t="shared" si="235"/>
        <v>1</v>
      </c>
      <c r="N3062" s="1">
        <f t="shared" si="236"/>
        <v>251</v>
      </c>
      <c r="O3062" s="10">
        <f t="shared" si="239"/>
        <v>347.45305555552477</v>
      </c>
    </row>
    <row r="3063" spans="1:15">
      <c r="A3063" s="1" t="s">
        <v>3168</v>
      </c>
      <c r="B3063" s="23">
        <v>45235.411805555559</v>
      </c>
      <c r="C3063" s="1" t="s">
        <v>25</v>
      </c>
      <c r="D3063" s="1" t="s">
        <v>12</v>
      </c>
      <c r="E3063" s="1" t="s">
        <v>13</v>
      </c>
      <c r="F3063" s="1" t="s">
        <v>96</v>
      </c>
      <c r="G3063" s="1">
        <v>13</v>
      </c>
      <c r="H3063" s="23">
        <v>45235.822997685187</v>
      </c>
      <c r="I3063" s="1" t="b">
        <v>0</v>
      </c>
      <c r="K3063" s="10">
        <f t="shared" si="237"/>
        <v>9.8686111110728234</v>
      </c>
      <c r="L3063" s="1" t="str">
        <f t="shared" si="238"/>
        <v>OK</v>
      </c>
      <c r="M3063" s="1">
        <f t="shared" si="235"/>
        <v>1</v>
      </c>
      <c r="N3063" s="1">
        <f t="shared" si="236"/>
        <v>13</v>
      </c>
      <c r="O3063" s="10">
        <f t="shared" si="239"/>
        <v>9.8686111110728234</v>
      </c>
    </row>
    <row r="3064" spans="1:15">
      <c r="A3064" s="1" t="s">
        <v>3169</v>
      </c>
      <c r="B3064" s="23">
        <v>45235.67083333333</v>
      </c>
      <c r="C3064" s="1" t="s">
        <v>11</v>
      </c>
      <c r="D3064" s="1" t="s">
        <v>26</v>
      </c>
      <c r="E3064" s="1" t="s">
        <v>18</v>
      </c>
      <c r="F3064" s="1" t="s">
        <v>112</v>
      </c>
      <c r="G3064" s="1">
        <v>43</v>
      </c>
      <c r="H3064" s="23">
        <v>45240.821250000001</v>
      </c>
      <c r="I3064" s="1" t="b">
        <v>0</v>
      </c>
      <c r="K3064" s="10">
        <f t="shared" si="237"/>
        <v>123.61000000010245</v>
      </c>
      <c r="L3064" s="1" t="str">
        <f t="shared" si="238"/>
        <v>OK</v>
      </c>
      <c r="M3064" s="1">
        <f t="shared" si="235"/>
        <v>1</v>
      </c>
      <c r="N3064" s="1">
        <f t="shared" si="236"/>
        <v>43</v>
      </c>
      <c r="O3064" s="10">
        <f t="shared" si="239"/>
        <v>123.61000000010245</v>
      </c>
    </row>
    <row r="3065" spans="1:15">
      <c r="A3065" s="1" t="s">
        <v>3170</v>
      </c>
      <c r="B3065" s="23">
        <v>45235.782638888886</v>
      </c>
      <c r="C3065" s="1" t="s">
        <v>11</v>
      </c>
      <c r="D3065" s="1" t="s">
        <v>59</v>
      </c>
      <c r="E3065" s="1" t="s">
        <v>22</v>
      </c>
      <c r="F3065" s="1" t="s">
        <v>145</v>
      </c>
      <c r="G3065" s="1">
        <v>19</v>
      </c>
      <c r="H3065" s="23">
        <v>45235.864618055559</v>
      </c>
      <c r="I3065" s="1" t="b">
        <v>0</v>
      </c>
      <c r="K3065" s="10">
        <f t="shared" si="237"/>
        <v>1.967500000144355</v>
      </c>
      <c r="L3065" s="1" t="str">
        <f t="shared" si="238"/>
        <v>OK</v>
      </c>
      <c r="M3065" s="1">
        <f t="shared" si="235"/>
        <v>1</v>
      </c>
      <c r="N3065" s="1">
        <f t="shared" si="236"/>
        <v>19</v>
      </c>
      <c r="O3065" s="10">
        <f t="shared" si="239"/>
        <v>1.967500000144355</v>
      </c>
    </row>
    <row r="3066" spans="1:15">
      <c r="A3066" s="1" t="s">
        <v>3171</v>
      </c>
      <c r="B3066" s="23">
        <v>45235.979861111111</v>
      </c>
      <c r="C3066" s="1" t="s">
        <v>11</v>
      </c>
      <c r="D3066" s="1" t="s">
        <v>17</v>
      </c>
      <c r="E3066" s="1" t="s">
        <v>33</v>
      </c>
      <c r="F3066" s="1" t="s">
        <v>178</v>
      </c>
      <c r="G3066" s="1">
        <v>789</v>
      </c>
      <c r="H3066" s="23">
        <v>45239.919340277775</v>
      </c>
      <c r="I3066" s="1" t="b">
        <v>0</v>
      </c>
      <c r="J3066" s="1">
        <v>5</v>
      </c>
      <c r="K3066" s="10">
        <f t="shared" si="237"/>
        <v>94.547499999927823</v>
      </c>
      <c r="L3066" s="1" t="str">
        <f t="shared" si="238"/>
        <v>OK</v>
      </c>
      <c r="M3066" s="1">
        <f t="shared" si="235"/>
        <v>1</v>
      </c>
      <c r="N3066" s="1">
        <f t="shared" si="236"/>
        <v>789</v>
      </c>
      <c r="O3066" s="10">
        <f t="shared" si="239"/>
        <v>94.547499999927823</v>
      </c>
    </row>
    <row r="3067" spans="1:15">
      <c r="A3067" s="1" t="s">
        <v>3172</v>
      </c>
      <c r="B3067" s="23">
        <v>45236.004166666666</v>
      </c>
      <c r="C3067" s="1" t="s">
        <v>11</v>
      </c>
      <c r="D3067" s="1" t="s">
        <v>17</v>
      </c>
      <c r="E3067" s="1" t="s">
        <v>22</v>
      </c>
      <c r="F3067" s="1" t="s">
        <v>201</v>
      </c>
      <c r="H3067" s="23">
        <v>45236.287777777776</v>
      </c>
      <c r="I3067" s="1" t="b">
        <v>0</v>
      </c>
      <c r="K3067" s="10">
        <f t="shared" si="237"/>
        <v>6.8066666666418314</v>
      </c>
      <c r="L3067" s="1" t="str">
        <f t="shared" si="238"/>
        <v>Cannot check</v>
      </c>
      <c r="M3067" s="1">
        <f t="shared" si="235"/>
        <v>1</v>
      </c>
      <c r="N3067" s="1" t="str">
        <f t="shared" si="236"/>
        <v/>
      </c>
      <c r="O3067" s="10">
        <f t="shared" si="239"/>
        <v>6.8066666666418314</v>
      </c>
    </row>
    <row r="3068" spans="1:15">
      <c r="A3068" s="1" t="s">
        <v>3173</v>
      </c>
      <c r="B3068" s="23">
        <v>45236.24722222222</v>
      </c>
      <c r="C3068" s="1" t="s">
        <v>25</v>
      </c>
      <c r="D3068" s="1" t="s">
        <v>17</v>
      </c>
      <c r="E3068" s="1" t="s">
        <v>18</v>
      </c>
      <c r="F3068" s="1" t="s">
        <v>39</v>
      </c>
      <c r="G3068" s="1">
        <v>34</v>
      </c>
      <c r="H3068" s="23">
        <v>45238.158182870371</v>
      </c>
      <c r="I3068" s="1" t="b">
        <v>0</v>
      </c>
      <c r="J3068" s="1">
        <v>5</v>
      </c>
      <c r="K3068" s="10">
        <f t="shared" si="237"/>
        <v>45.863055555615574</v>
      </c>
      <c r="L3068" s="1" t="str">
        <f t="shared" si="238"/>
        <v>OK</v>
      </c>
      <c r="M3068" s="1">
        <f t="shared" si="235"/>
        <v>1</v>
      </c>
      <c r="N3068" s="1">
        <f t="shared" si="236"/>
        <v>34</v>
      </c>
      <c r="O3068" s="10">
        <f t="shared" si="239"/>
        <v>45.863055555615574</v>
      </c>
    </row>
    <row r="3069" spans="1:15">
      <c r="A3069" s="1" t="s">
        <v>3174</v>
      </c>
      <c r="B3069" s="23">
        <v>45236.25277777778</v>
      </c>
      <c r="C3069" s="1" t="s">
        <v>11</v>
      </c>
      <c r="D3069" s="1" t="s">
        <v>17</v>
      </c>
      <c r="E3069" s="1" t="s">
        <v>18</v>
      </c>
      <c r="F3069" s="1" t="s">
        <v>98</v>
      </c>
      <c r="G3069" s="1">
        <v>340</v>
      </c>
      <c r="H3069" s="23">
        <v>45237.532372685186</v>
      </c>
      <c r="I3069" s="1" t="b">
        <v>0</v>
      </c>
      <c r="K3069" s="10">
        <f t="shared" si="237"/>
        <v>30.710277777747251</v>
      </c>
      <c r="L3069" s="1" t="str">
        <f t="shared" si="238"/>
        <v>OK</v>
      </c>
      <c r="M3069" s="1">
        <f t="shared" si="235"/>
        <v>1</v>
      </c>
      <c r="N3069" s="1">
        <f t="shared" si="236"/>
        <v>340</v>
      </c>
      <c r="O3069" s="10">
        <f t="shared" si="239"/>
        <v>30.710277777747251</v>
      </c>
    </row>
    <row r="3070" spans="1:15">
      <c r="A3070" s="1" t="s">
        <v>3175</v>
      </c>
      <c r="B3070" s="23">
        <v>45236.253472222219</v>
      </c>
      <c r="C3070" s="1" t="s">
        <v>43</v>
      </c>
      <c r="D3070" s="1" t="s">
        <v>59</v>
      </c>
      <c r="E3070" s="1" t="s">
        <v>18</v>
      </c>
      <c r="F3070" s="1" t="s">
        <v>110</v>
      </c>
      <c r="G3070" s="1">
        <v>111</v>
      </c>
      <c r="H3070" s="23">
        <v>45239.296539351853</v>
      </c>
      <c r="I3070" s="1" t="b">
        <v>0</v>
      </c>
      <c r="K3070" s="10">
        <f t="shared" si="237"/>
        <v>73.033611111226492</v>
      </c>
      <c r="L3070" s="1" t="str">
        <f t="shared" si="238"/>
        <v>OK</v>
      </c>
      <c r="M3070" s="1">
        <f t="shared" si="235"/>
        <v>1</v>
      </c>
      <c r="N3070" s="1">
        <f t="shared" si="236"/>
        <v>111</v>
      </c>
      <c r="O3070" s="10">
        <f t="shared" si="239"/>
        <v>73.033611111226492</v>
      </c>
    </row>
    <row r="3071" spans="1:15">
      <c r="A3071" s="1" t="s">
        <v>3176</v>
      </c>
      <c r="B3071" s="23">
        <v>45236.263194444444</v>
      </c>
      <c r="C3071" s="1" t="s">
        <v>11</v>
      </c>
      <c r="D3071" s="1" t="s">
        <v>17</v>
      </c>
      <c r="E3071" s="1" t="s">
        <v>18</v>
      </c>
      <c r="F3071" s="1" t="s">
        <v>19</v>
      </c>
      <c r="G3071" s="1">
        <v>22</v>
      </c>
      <c r="H3071" s="23">
        <v>45242.677407407406</v>
      </c>
      <c r="I3071" s="1" t="b">
        <v>0</v>
      </c>
      <c r="K3071" s="10">
        <f t="shared" si="237"/>
        <v>153.94111111108214</v>
      </c>
      <c r="L3071" s="1" t="str">
        <f t="shared" si="238"/>
        <v>OK</v>
      </c>
      <c r="M3071" s="1">
        <f t="shared" si="235"/>
        <v>1</v>
      </c>
      <c r="N3071" s="1">
        <f t="shared" si="236"/>
        <v>22</v>
      </c>
      <c r="O3071" s="10">
        <f t="shared" si="239"/>
        <v>153.94111111108214</v>
      </c>
    </row>
    <row r="3072" spans="1:15">
      <c r="A3072" s="1" t="s">
        <v>3177</v>
      </c>
      <c r="B3072" s="23">
        <v>45236.447222222225</v>
      </c>
      <c r="C3072" s="1" t="s">
        <v>11</v>
      </c>
      <c r="D3072" s="1" t="s">
        <v>17</v>
      </c>
      <c r="E3072" s="1" t="s">
        <v>13</v>
      </c>
      <c r="F3072" s="1" t="s">
        <v>178</v>
      </c>
      <c r="G3072" s="1">
        <v>18</v>
      </c>
      <c r="H3072" s="23">
        <v>45237.462222222224</v>
      </c>
      <c r="I3072" s="1" t="b">
        <v>1</v>
      </c>
      <c r="K3072" s="10">
        <f t="shared" si="237"/>
        <v>24.35999999998603</v>
      </c>
      <c r="L3072" s="1" t="str">
        <f t="shared" si="238"/>
        <v>OK</v>
      </c>
      <c r="M3072" s="1">
        <f t="shared" si="235"/>
        <v>1</v>
      </c>
      <c r="N3072" s="1">
        <f t="shared" si="236"/>
        <v>18</v>
      </c>
      <c r="O3072" s="10">
        <f t="shared" si="239"/>
        <v>24.35999999998603</v>
      </c>
    </row>
    <row r="3073" spans="1:15">
      <c r="A3073" s="1" t="s">
        <v>3178</v>
      </c>
      <c r="B3073" s="23">
        <v>45236.487500000003</v>
      </c>
      <c r="C3073" s="1" t="s">
        <v>25</v>
      </c>
      <c r="D3073" s="1" t="s">
        <v>17</v>
      </c>
      <c r="E3073" s="1" t="s">
        <v>33</v>
      </c>
      <c r="F3073" s="1" t="s">
        <v>245</v>
      </c>
      <c r="G3073" s="1">
        <v>76</v>
      </c>
      <c r="I3073" s="1" t="b">
        <v>0</v>
      </c>
      <c r="K3073" s="10" t="str">
        <f t="shared" si="237"/>
        <v/>
      </c>
      <c r="L3073" s="1" t="str">
        <f t="shared" si="238"/>
        <v>Cannot check</v>
      </c>
      <c r="M3073" s="1">
        <f t="shared" si="235"/>
        <v>1</v>
      </c>
      <c r="N3073" s="1">
        <f t="shared" si="236"/>
        <v>76</v>
      </c>
      <c r="O3073" s="10" t="str">
        <f t="shared" si="239"/>
        <v/>
      </c>
    </row>
    <row r="3074" spans="1:15">
      <c r="A3074" s="1" t="s">
        <v>3179</v>
      </c>
      <c r="B3074" s="23">
        <v>45236.540972222225</v>
      </c>
      <c r="C3074" s="1" t="s">
        <v>16</v>
      </c>
      <c r="D3074" s="1" t="s">
        <v>17</v>
      </c>
      <c r="E3074" s="1" t="s">
        <v>18</v>
      </c>
      <c r="F3074" s="1" t="s">
        <v>145</v>
      </c>
      <c r="G3074" s="1">
        <v>311</v>
      </c>
      <c r="H3074" s="23">
        <v>45237.988043981481</v>
      </c>
      <c r="I3074" s="1" t="b">
        <v>0</v>
      </c>
      <c r="J3074" s="1">
        <v>4</v>
      </c>
      <c r="K3074" s="10">
        <f t="shared" si="237"/>
        <v>34.729722222138662</v>
      </c>
      <c r="L3074" s="1" t="str">
        <f t="shared" si="238"/>
        <v>OK</v>
      </c>
      <c r="M3074" s="1">
        <f t="shared" ref="M3074:M3137" si="240">COUNTIF($A$2:$A$4001,A3074)</f>
        <v>1</v>
      </c>
      <c r="N3074" s="1">
        <f t="shared" ref="N3074:N3137" si="241">IF(OR(L3074="Review",G3074=""),"",G3074)</f>
        <v>311</v>
      </c>
      <c r="O3074" s="10">
        <f t="shared" si="239"/>
        <v>34.729722222138662</v>
      </c>
    </row>
    <row r="3075" spans="1:15">
      <c r="A3075" s="1" t="s">
        <v>3180</v>
      </c>
      <c r="B3075" s="23">
        <v>45236.575694444444</v>
      </c>
      <c r="C3075" s="1" t="s">
        <v>16</v>
      </c>
      <c r="D3075" s="1" t="s">
        <v>21</v>
      </c>
      <c r="E3075" s="1" t="s">
        <v>18</v>
      </c>
      <c r="F3075" s="1" t="s">
        <v>80</v>
      </c>
      <c r="G3075" s="1">
        <v>13</v>
      </c>
      <c r="H3075" s="23">
        <v>45239.522372685184</v>
      </c>
      <c r="I3075" s="1" t="b">
        <v>0</v>
      </c>
      <c r="K3075" s="10">
        <f t="shared" ref="K3075:K3138" si="242">IF(H3075="","",(H3075-B3075)*24)</f>
        <v>70.720277777756564</v>
      </c>
      <c r="L3075" s="1" t="str">
        <f t="shared" ref="L3075:L3138" si="243">IF(OR(G3075="",K3075=""),"Cannot check",IF(G3075&gt;K3075*60,"Review","OK"))</f>
        <v>OK</v>
      </c>
      <c r="M3075" s="1">
        <f t="shared" si="240"/>
        <v>1</v>
      </c>
      <c r="N3075" s="1">
        <f t="shared" si="241"/>
        <v>13</v>
      </c>
      <c r="O3075" s="10">
        <f t="shared" ref="O3075:O3138" si="244">IF(OR(L3075="Review",K3075=""),"",K3075)</f>
        <v>70.720277777756564</v>
      </c>
    </row>
    <row r="3076" spans="1:15">
      <c r="A3076" s="1" t="s">
        <v>3181</v>
      </c>
      <c r="B3076" s="23">
        <v>45236.604861111111</v>
      </c>
      <c r="C3076" s="1" t="s">
        <v>25</v>
      </c>
      <c r="D3076" s="1" t="s">
        <v>21</v>
      </c>
      <c r="E3076" s="1" t="s">
        <v>18</v>
      </c>
      <c r="F3076" s="1" t="s">
        <v>326</v>
      </c>
      <c r="G3076" s="1">
        <v>17</v>
      </c>
      <c r="H3076" s="23">
        <v>45237.136307870373</v>
      </c>
      <c r="I3076" s="1" t="b">
        <v>0</v>
      </c>
      <c r="K3076" s="10">
        <f t="shared" si="242"/>
        <v>12.75472222227836</v>
      </c>
      <c r="L3076" s="1" t="str">
        <f t="shared" si="243"/>
        <v>OK</v>
      </c>
      <c r="M3076" s="1">
        <f t="shared" si="240"/>
        <v>1</v>
      </c>
      <c r="N3076" s="1">
        <f t="shared" si="241"/>
        <v>17</v>
      </c>
      <c r="O3076" s="10">
        <f t="shared" si="244"/>
        <v>12.75472222227836</v>
      </c>
    </row>
    <row r="3077" spans="1:15">
      <c r="A3077" s="1" t="s">
        <v>3182</v>
      </c>
      <c r="B3077" s="23">
        <v>45236.828472222223</v>
      </c>
      <c r="C3077" s="1" t="s">
        <v>11</v>
      </c>
      <c r="D3077" s="1" t="s">
        <v>21</v>
      </c>
      <c r="E3077" s="1" t="s">
        <v>13</v>
      </c>
      <c r="F3077" s="1" t="s">
        <v>120</v>
      </c>
      <c r="G3077" s="1">
        <v>1196</v>
      </c>
      <c r="H3077" s="23">
        <v>45236.989537037036</v>
      </c>
      <c r="I3077" s="1" t="b">
        <v>0</v>
      </c>
      <c r="K3077" s="10">
        <f t="shared" si="242"/>
        <v>3.8655555555014871</v>
      </c>
      <c r="L3077" s="1" t="str">
        <f t="shared" si="243"/>
        <v>Review</v>
      </c>
      <c r="M3077" s="1">
        <f t="shared" si="240"/>
        <v>1</v>
      </c>
      <c r="N3077" s="1" t="str">
        <f t="shared" si="241"/>
        <v/>
      </c>
      <c r="O3077" s="10" t="str">
        <f t="shared" si="244"/>
        <v/>
      </c>
    </row>
    <row r="3078" spans="1:15">
      <c r="A3078" s="1" t="s">
        <v>3183</v>
      </c>
      <c r="B3078" s="23">
        <v>45236.85</v>
      </c>
      <c r="C3078" s="1" t="s">
        <v>43</v>
      </c>
      <c r="D3078" s="1" t="s">
        <v>59</v>
      </c>
      <c r="E3078" s="1" t="s">
        <v>18</v>
      </c>
      <c r="F3078" s="1" t="s">
        <v>145</v>
      </c>
      <c r="G3078" s="1">
        <v>1060</v>
      </c>
      <c r="I3078" s="1" t="b">
        <v>0</v>
      </c>
      <c r="K3078" s="10" t="str">
        <f t="shared" si="242"/>
        <v/>
      </c>
      <c r="L3078" s="1" t="str">
        <f t="shared" si="243"/>
        <v>Cannot check</v>
      </c>
      <c r="M3078" s="1">
        <f t="shared" si="240"/>
        <v>1</v>
      </c>
      <c r="N3078" s="1">
        <f t="shared" si="241"/>
        <v>1060</v>
      </c>
      <c r="O3078" s="10" t="str">
        <f t="shared" si="244"/>
        <v/>
      </c>
    </row>
    <row r="3079" spans="1:15">
      <c r="A3079" s="1" t="s">
        <v>3184</v>
      </c>
      <c r="B3079" s="23">
        <v>45236.876388888886</v>
      </c>
      <c r="C3079" s="1" t="s">
        <v>25</v>
      </c>
      <c r="D3079" s="1" t="s">
        <v>17</v>
      </c>
      <c r="E3079" s="1" t="s">
        <v>33</v>
      </c>
      <c r="F3079" s="1" t="s">
        <v>104</v>
      </c>
      <c r="G3079" s="1">
        <v>175</v>
      </c>
      <c r="H3079" s="23">
        <v>45245.657939814817</v>
      </c>
      <c r="I3079" s="1" t="b">
        <v>0</v>
      </c>
      <c r="J3079" s="1">
        <v>3</v>
      </c>
      <c r="K3079" s="10">
        <f t="shared" si="242"/>
        <v>210.7572222223389</v>
      </c>
      <c r="L3079" s="1" t="str">
        <f t="shared" si="243"/>
        <v>OK</v>
      </c>
      <c r="M3079" s="1">
        <f t="shared" si="240"/>
        <v>1</v>
      </c>
      <c r="N3079" s="1">
        <f t="shared" si="241"/>
        <v>175</v>
      </c>
      <c r="O3079" s="10">
        <f t="shared" si="244"/>
        <v>210.7572222223389</v>
      </c>
    </row>
    <row r="3080" spans="1:15">
      <c r="A3080" s="1" t="s">
        <v>3185</v>
      </c>
      <c r="B3080" s="23">
        <v>45236.997916666667</v>
      </c>
      <c r="C3080" s="1" t="s">
        <v>25</v>
      </c>
      <c r="D3080" s="1" t="s">
        <v>17</v>
      </c>
      <c r="E3080" s="1" t="s">
        <v>33</v>
      </c>
      <c r="F3080" s="1" t="s">
        <v>110</v>
      </c>
      <c r="G3080" s="1">
        <v>257</v>
      </c>
      <c r="H3080" s="23">
        <v>45254.492546296293</v>
      </c>
      <c r="I3080" s="1" t="b">
        <v>0</v>
      </c>
      <c r="J3080" s="1">
        <v>5</v>
      </c>
      <c r="K3080" s="10">
        <f t="shared" si="242"/>
        <v>419.87111111101694</v>
      </c>
      <c r="L3080" s="1" t="str">
        <f t="shared" si="243"/>
        <v>OK</v>
      </c>
      <c r="M3080" s="1">
        <f t="shared" si="240"/>
        <v>1</v>
      </c>
      <c r="N3080" s="1">
        <f t="shared" si="241"/>
        <v>257</v>
      </c>
      <c r="O3080" s="10">
        <f t="shared" si="244"/>
        <v>419.87111111101694</v>
      </c>
    </row>
    <row r="3081" spans="1:15">
      <c r="A3081" s="1" t="s">
        <v>3186</v>
      </c>
      <c r="B3081" s="23">
        <v>45237.054861111108</v>
      </c>
      <c r="C3081" s="1" t="s">
        <v>25</v>
      </c>
      <c r="D3081" s="1" t="s">
        <v>17</v>
      </c>
      <c r="E3081" s="1" t="s">
        <v>13</v>
      </c>
      <c r="F3081" s="1" t="s">
        <v>35</v>
      </c>
      <c r="G3081" s="1">
        <v>44</v>
      </c>
      <c r="H3081" s="23">
        <v>45237.355428240742</v>
      </c>
      <c r="I3081" s="1" t="b">
        <v>0</v>
      </c>
      <c r="K3081" s="10">
        <f t="shared" si="242"/>
        <v>7.2136111112195067</v>
      </c>
      <c r="L3081" s="1" t="str">
        <f t="shared" si="243"/>
        <v>OK</v>
      </c>
      <c r="M3081" s="1">
        <f t="shared" si="240"/>
        <v>1</v>
      </c>
      <c r="N3081" s="1">
        <f t="shared" si="241"/>
        <v>44</v>
      </c>
      <c r="O3081" s="10">
        <f t="shared" si="244"/>
        <v>7.2136111112195067</v>
      </c>
    </row>
    <row r="3082" spans="1:15">
      <c r="A3082" s="1" t="s">
        <v>3187</v>
      </c>
      <c r="B3082" s="23">
        <v>45237.065972222219</v>
      </c>
      <c r="C3082" s="1" t="s">
        <v>43</v>
      </c>
      <c r="D3082" s="1" t="s">
        <v>12</v>
      </c>
      <c r="E3082" s="1" t="s">
        <v>18</v>
      </c>
      <c r="F3082" s="1" t="s">
        <v>78</v>
      </c>
      <c r="G3082" s="1">
        <v>24</v>
      </c>
      <c r="H3082" s="23">
        <v>45237.376446759263</v>
      </c>
      <c r="I3082" s="1" t="b">
        <v>1</v>
      </c>
      <c r="K3082" s="10">
        <f t="shared" si="242"/>
        <v>7.4513888890505768</v>
      </c>
      <c r="L3082" s="1" t="str">
        <f t="shared" si="243"/>
        <v>OK</v>
      </c>
      <c r="M3082" s="1">
        <f t="shared" si="240"/>
        <v>1</v>
      </c>
      <c r="N3082" s="1">
        <f t="shared" si="241"/>
        <v>24</v>
      </c>
      <c r="O3082" s="10">
        <f t="shared" si="244"/>
        <v>7.4513888890505768</v>
      </c>
    </row>
    <row r="3083" spans="1:15">
      <c r="A3083" s="1" t="s">
        <v>3188</v>
      </c>
      <c r="B3083" s="23">
        <v>45237.433333333334</v>
      </c>
      <c r="C3083" s="1" t="s">
        <v>25</v>
      </c>
      <c r="D3083" s="1" t="s">
        <v>17</v>
      </c>
      <c r="E3083" s="1" t="s">
        <v>18</v>
      </c>
      <c r="F3083" s="1" t="s">
        <v>224</v>
      </c>
      <c r="G3083" s="1">
        <v>34</v>
      </c>
      <c r="H3083" s="23">
        <v>45241.965428240743</v>
      </c>
      <c r="I3083" s="1" t="b">
        <v>0</v>
      </c>
      <c r="K3083" s="10">
        <f t="shared" si="242"/>
        <v>108.77027777780313</v>
      </c>
      <c r="L3083" s="1" t="str">
        <f t="shared" si="243"/>
        <v>OK</v>
      </c>
      <c r="M3083" s="1">
        <f t="shared" si="240"/>
        <v>1</v>
      </c>
      <c r="N3083" s="1">
        <f t="shared" si="241"/>
        <v>34</v>
      </c>
      <c r="O3083" s="10">
        <f t="shared" si="244"/>
        <v>108.77027777780313</v>
      </c>
    </row>
    <row r="3084" spans="1:15">
      <c r="A3084" s="1" t="s">
        <v>3189</v>
      </c>
      <c r="B3084" s="23">
        <v>45237.620138888888</v>
      </c>
      <c r="C3084" s="1" t="s">
        <v>25</v>
      </c>
      <c r="D3084" s="1" t="s">
        <v>21</v>
      </c>
      <c r="E3084" s="1" t="s">
        <v>33</v>
      </c>
      <c r="F3084" s="1" t="s">
        <v>78</v>
      </c>
      <c r="G3084" s="1">
        <v>148</v>
      </c>
      <c r="H3084" s="23">
        <v>45239.961377314816</v>
      </c>
      <c r="I3084" s="1" t="b">
        <v>0</v>
      </c>
      <c r="K3084" s="10">
        <f t="shared" si="242"/>
        <v>56.189722222276032</v>
      </c>
      <c r="L3084" s="1" t="str">
        <f t="shared" si="243"/>
        <v>OK</v>
      </c>
      <c r="M3084" s="1">
        <f t="shared" si="240"/>
        <v>1</v>
      </c>
      <c r="N3084" s="1">
        <f t="shared" si="241"/>
        <v>148</v>
      </c>
      <c r="O3084" s="10">
        <f t="shared" si="244"/>
        <v>56.189722222276032</v>
      </c>
    </row>
    <row r="3085" spans="1:15">
      <c r="A3085" s="1" t="s">
        <v>3190</v>
      </c>
      <c r="B3085" s="23">
        <v>45237.624305555553</v>
      </c>
      <c r="C3085" s="1" t="s">
        <v>11</v>
      </c>
      <c r="D3085" s="1" t="s">
        <v>12</v>
      </c>
      <c r="E3085" s="1" t="s">
        <v>33</v>
      </c>
      <c r="F3085" s="1" t="s">
        <v>134</v>
      </c>
      <c r="G3085" s="1">
        <v>192</v>
      </c>
      <c r="H3085" s="23">
        <v>45240.125393518516</v>
      </c>
      <c r="I3085" s="1" t="b">
        <v>0</v>
      </c>
      <c r="K3085" s="10">
        <f t="shared" si="242"/>
        <v>60.026111111103091</v>
      </c>
      <c r="L3085" s="1" t="str">
        <f t="shared" si="243"/>
        <v>OK</v>
      </c>
      <c r="M3085" s="1">
        <f t="shared" si="240"/>
        <v>1</v>
      </c>
      <c r="N3085" s="1">
        <f t="shared" si="241"/>
        <v>192</v>
      </c>
      <c r="O3085" s="10">
        <f t="shared" si="244"/>
        <v>60.026111111103091</v>
      </c>
    </row>
    <row r="3086" spans="1:15">
      <c r="A3086" s="1" t="s">
        <v>3191</v>
      </c>
      <c r="B3086" s="23">
        <v>45237.722916666666</v>
      </c>
      <c r="C3086" s="1" t="s">
        <v>16</v>
      </c>
      <c r="D3086" s="1" t="s">
        <v>59</v>
      </c>
      <c r="E3086" s="1" t="s">
        <v>13</v>
      </c>
      <c r="F3086" s="1" t="s">
        <v>92</v>
      </c>
      <c r="H3086" s="23">
        <v>45237.931712962964</v>
      </c>
      <c r="I3086" s="1" t="b">
        <v>0</v>
      </c>
      <c r="K3086" s="10">
        <f t="shared" si="242"/>
        <v>5.0111111111473292</v>
      </c>
      <c r="L3086" s="1" t="str">
        <f t="shared" si="243"/>
        <v>Cannot check</v>
      </c>
      <c r="M3086" s="1">
        <f t="shared" si="240"/>
        <v>1</v>
      </c>
      <c r="N3086" s="1" t="str">
        <f t="shared" si="241"/>
        <v/>
      </c>
      <c r="O3086" s="10">
        <f t="shared" si="244"/>
        <v>5.0111111111473292</v>
      </c>
    </row>
    <row r="3087" spans="1:15">
      <c r="A3087" s="1" t="s">
        <v>3192</v>
      </c>
      <c r="B3087" s="23">
        <v>45237.824999999997</v>
      </c>
      <c r="C3087" s="1" t="s">
        <v>25</v>
      </c>
      <c r="D3087" s="1" t="s">
        <v>21</v>
      </c>
      <c r="E3087" s="1" t="s">
        <v>18</v>
      </c>
      <c r="F3087" s="1" t="s">
        <v>317</v>
      </c>
      <c r="G3087" s="1">
        <v>74</v>
      </c>
      <c r="H3087" s="23">
        <v>45242.702824074076</v>
      </c>
      <c r="I3087" s="1" t="b">
        <v>0</v>
      </c>
      <c r="J3087" s="1">
        <v>5</v>
      </c>
      <c r="K3087" s="10">
        <f t="shared" si="242"/>
        <v>117.06777777790558</v>
      </c>
      <c r="L3087" s="1" t="str">
        <f t="shared" si="243"/>
        <v>OK</v>
      </c>
      <c r="M3087" s="1">
        <f t="shared" si="240"/>
        <v>1</v>
      </c>
      <c r="N3087" s="1">
        <f t="shared" si="241"/>
        <v>74</v>
      </c>
      <c r="O3087" s="10">
        <f t="shared" si="244"/>
        <v>117.06777777790558</v>
      </c>
    </row>
    <row r="3088" spans="1:15">
      <c r="A3088" s="1" t="s">
        <v>3193</v>
      </c>
      <c r="B3088" s="23">
        <v>45237.9</v>
      </c>
      <c r="C3088" s="1" t="s">
        <v>11</v>
      </c>
      <c r="D3088" s="1" t="s">
        <v>12</v>
      </c>
      <c r="E3088" s="1" t="s">
        <v>13</v>
      </c>
      <c r="F3088" s="1" t="s">
        <v>178</v>
      </c>
      <c r="G3088" s="1">
        <v>71</v>
      </c>
      <c r="H3088" s="23">
        <v>45239.487453703703</v>
      </c>
      <c r="I3088" s="1" t="b">
        <v>0</v>
      </c>
      <c r="J3088" s="1">
        <v>3</v>
      </c>
      <c r="K3088" s="10">
        <f t="shared" si="242"/>
        <v>38.098888888838701</v>
      </c>
      <c r="L3088" s="1" t="str">
        <f t="shared" si="243"/>
        <v>OK</v>
      </c>
      <c r="M3088" s="1">
        <f t="shared" si="240"/>
        <v>1</v>
      </c>
      <c r="N3088" s="1">
        <f t="shared" si="241"/>
        <v>71</v>
      </c>
      <c r="O3088" s="10">
        <f t="shared" si="244"/>
        <v>38.098888888838701</v>
      </c>
    </row>
    <row r="3089" spans="1:15">
      <c r="A3089" s="1" t="s">
        <v>3194</v>
      </c>
      <c r="B3089" s="23">
        <v>45238.070138888892</v>
      </c>
      <c r="C3089" s="1" t="s">
        <v>43</v>
      </c>
      <c r="D3089" s="1" t="s">
        <v>59</v>
      </c>
      <c r="E3089" s="1" t="s">
        <v>22</v>
      </c>
      <c r="F3089" s="1" t="s">
        <v>120</v>
      </c>
      <c r="G3089" s="1">
        <v>14</v>
      </c>
      <c r="H3089" s="23">
        <v>45238.095046296294</v>
      </c>
      <c r="I3089" s="1" t="b">
        <v>0</v>
      </c>
      <c r="K3089" s="10">
        <f t="shared" si="242"/>
        <v>0.5977777776424773</v>
      </c>
      <c r="L3089" s="1" t="str">
        <f t="shared" si="243"/>
        <v>OK</v>
      </c>
      <c r="M3089" s="1">
        <f t="shared" si="240"/>
        <v>1</v>
      </c>
      <c r="N3089" s="1">
        <f t="shared" si="241"/>
        <v>14</v>
      </c>
      <c r="O3089" s="10">
        <f t="shared" si="244"/>
        <v>0.5977777776424773</v>
      </c>
    </row>
    <row r="3090" spans="1:15">
      <c r="A3090" s="1" t="s">
        <v>3195</v>
      </c>
      <c r="B3090" s="23">
        <v>45238.29583333333</v>
      </c>
      <c r="C3090" s="1" t="s">
        <v>11</v>
      </c>
      <c r="D3090" s="1" t="s">
        <v>59</v>
      </c>
      <c r="E3090" s="1" t="s">
        <v>13</v>
      </c>
      <c r="F3090" s="1" t="s">
        <v>70</v>
      </c>
      <c r="G3090" s="1">
        <v>326</v>
      </c>
      <c r="H3090" s="23">
        <v>45242.238229166665</v>
      </c>
      <c r="I3090" s="1" t="b">
        <v>0</v>
      </c>
      <c r="K3090" s="10">
        <f t="shared" si="242"/>
        <v>94.617500000051223</v>
      </c>
      <c r="L3090" s="1" t="str">
        <f t="shared" si="243"/>
        <v>OK</v>
      </c>
      <c r="M3090" s="1">
        <f t="shared" si="240"/>
        <v>1</v>
      </c>
      <c r="N3090" s="1">
        <f t="shared" si="241"/>
        <v>326</v>
      </c>
      <c r="O3090" s="10">
        <f t="shared" si="244"/>
        <v>94.617500000051223</v>
      </c>
    </row>
    <row r="3091" spans="1:15">
      <c r="A3091" s="1" t="s">
        <v>3196</v>
      </c>
      <c r="B3091" s="23">
        <v>45238.720833333333</v>
      </c>
      <c r="C3091" s="1" t="s">
        <v>43</v>
      </c>
      <c r="D3091" s="1" t="s">
        <v>59</v>
      </c>
      <c r="E3091" s="1" t="s">
        <v>18</v>
      </c>
      <c r="F3091" s="1" t="s">
        <v>19</v>
      </c>
      <c r="G3091" s="1">
        <v>38</v>
      </c>
      <c r="H3091" s="23">
        <v>45242.264733796299</v>
      </c>
      <c r="I3091" s="1" t="b">
        <v>0</v>
      </c>
      <c r="K3091" s="10">
        <f t="shared" si="242"/>
        <v>85.05361111118691</v>
      </c>
      <c r="L3091" s="1" t="str">
        <f t="shared" si="243"/>
        <v>OK</v>
      </c>
      <c r="M3091" s="1">
        <f t="shared" si="240"/>
        <v>1</v>
      </c>
      <c r="N3091" s="1">
        <f t="shared" si="241"/>
        <v>38</v>
      </c>
      <c r="O3091" s="10">
        <f t="shared" si="244"/>
        <v>85.05361111118691</v>
      </c>
    </row>
    <row r="3092" spans="1:15">
      <c r="A3092" s="1" t="s">
        <v>3197</v>
      </c>
      <c r="B3092" s="23">
        <v>45238.730555555558</v>
      </c>
      <c r="C3092" s="1" t="s">
        <v>11</v>
      </c>
      <c r="D3092" s="1" t="s">
        <v>12</v>
      </c>
      <c r="E3092" s="1" t="s">
        <v>13</v>
      </c>
      <c r="F3092" s="1" t="s">
        <v>23</v>
      </c>
      <c r="G3092" s="1">
        <v>9</v>
      </c>
      <c r="H3092" s="23">
        <v>45239.946597222224</v>
      </c>
      <c r="I3092" s="1" t="b">
        <v>1</v>
      </c>
      <c r="K3092" s="10">
        <f t="shared" si="242"/>
        <v>29.184999999997672</v>
      </c>
      <c r="L3092" s="1" t="str">
        <f t="shared" si="243"/>
        <v>OK</v>
      </c>
      <c r="M3092" s="1">
        <f t="shared" si="240"/>
        <v>1</v>
      </c>
      <c r="N3092" s="1">
        <f t="shared" si="241"/>
        <v>9</v>
      </c>
      <c r="O3092" s="10">
        <f t="shared" si="244"/>
        <v>29.184999999997672</v>
      </c>
    </row>
    <row r="3093" spans="1:15">
      <c r="A3093" s="1" t="s">
        <v>3198</v>
      </c>
      <c r="B3093" s="23">
        <v>45238.756249999999</v>
      </c>
      <c r="C3093" s="1" t="s">
        <v>43</v>
      </c>
      <c r="D3093" s="1" t="s">
        <v>17</v>
      </c>
      <c r="E3093" s="1" t="s">
        <v>33</v>
      </c>
      <c r="F3093" s="1" t="s">
        <v>46</v>
      </c>
      <c r="G3093" s="1">
        <v>81</v>
      </c>
      <c r="H3093" s="23">
        <v>45240.243692129632</v>
      </c>
      <c r="I3093" s="1" t="b">
        <v>0</v>
      </c>
      <c r="K3093" s="10">
        <f t="shared" si="242"/>
        <v>35.698611111205537</v>
      </c>
      <c r="L3093" s="1" t="str">
        <f t="shared" si="243"/>
        <v>OK</v>
      </c>
      <c r="M3093" s="1">
        <f t="shared" si="240"/>
        <v>1</v>
      </c>
      <c r="N3093" s="1">
        <f t="shared" si="241"/>
        <v>81</v>
      </c>
      <c r="O3093" s="10">
        <f t="shared" si="244"/>
        <v>35.698611111205537</v>
      </c>
    </row>
    <row r="3094" spans="1:15">
      <c r="A3094" s="1" t="s">
        <v>3199</v>
      </c>
      <c r="B3094" s="23">
        <v>45238.822916666664</v>
      </c>
      <c r="C3094" s="1" t="s">
        <v>11</v>
      </c>
      <c r="D3094" s="1" t="s">
        <v>26</v>
      </c>
      <c r="E3094" s="1" t="s">
        <v>33</v>
      </c>
      <c r="F3094" s="1" t="s">
        <v>84</v>
      </c>
      <c r="G3094" s="1">
        <v>799</v>
      </c>
      <c r="H3094" s="23">
        <v>45240.431307870371</v>
      </c>
      <c r="I3094" s="1" t="b">
        <v>0</v>
      </c>
      <c r="K3094" s="10">
        <f t="shared" si="242"/>
        <v>38.601388888957445</v>
      </c>
      <c r="L3094" s="1" t="str">
        <f t="shared" si="243"/>
        <v>OK</v>
      </c>
      <c r="M3094" s="1">
        <f t="shared" si="240"/>
        <v>1</v>
      </c>
      <c r="N3094" s="1">
        <f t="shared" si="241"/>
        <v>799</v>
      </c>
      <c r="O3094" s="10">
        <f t="shared" si="244"/>
        <v>38.601388888957445</v>
      </c>
    </row>
    <row r="3095" spans="1:15">
      <c r="A3095" s="1" t="s">
        <v>3200</v>
      </c>
      <c r="B3095" s="23">
        <v>45239.115972222222</v>
      </c>
      <c r="C3095" s="1" t="s">
        <v>11</v>
      </c>
      <c r="D3095" s="1" t="s">
        <v>59</v>
      </c>
      <c r="E3095" s="1" t="s">
        <v>33</v>
      </c>
      <c r="F3095" s="1" t="s">
        <v>106</v>
      </c>
      <c r="G3095" s="1">
        <v>72</v>
      </c>
      <c r="H3095" s="23">
        <v>45241.089398148149</v>
      </c>
      <c r="I3095" s="1" t="b">
        <v>0</v>
      </c>
      <c r="K3095" s="10">
        <f t="shared" si="242"/>
        <v>47.362222222262062</v>
      </c>
      <c r="L3095" s="1" t="str">
        <f t="shared" si="243"/>
        <v>OK</v>
      </c>
      <c r="M3095" s="1">
        <f t="shared" si="240"/>
        <v>1</v>
      </c>
      <c r="N3095" s="1">
        <f t="shared" si="241"/>
        <v>72</v>
      </c>
      <c r="O3095" s="10">
        <f t="shared" si="244"/>
        <v>47.362222222262062</v>
      </c>
    </row>
    <row r="3096" spans="1:15">
      <c r="A3096" s="1" t="s">
        <v>3201</v>
      </c>
      <c r="B3096" s="23">
        <v>45239.20208333333</v>
      </c>
      <c r="C3096" s="1" t="s">
        <v>16</v>
      </c>
      <c r="D3096" s="1" t="s">
        <v>59</v>
      </c>
      <c r="E3096" s="1" t="s">
        <v>18</v>
      </c>
      <c r="F3096" s="1" t="s">
        <v>23</v>
      </c>
      <c r="G3096" s="1">
        <v>32</v>
      </c>
      <c r="H3096" s="23">
        <v>45240.337245370371</v>
      </c>
      <c r="I3096" s="1" t="b">
        <v>0</v>
      </c>
      <c r="K3096" s="10">
        <f t="shared" si="242"/>
        <v>27.243888888973743</v>
      </c>
      <c r="L3096" s="1" t="str">
        <f t="shared" si="243"/>
        <v>OK</v>
      </c>
      <c r="M3096" s="1">
        <f t="shared" si="240"/>
        <v>1</v>
      </c>
      <c r="N3096" s="1">
        <f t="shared" si="241"/>
        <v>32</v>
      </c>
      <c r="O3096" s="10">
        <f t="shared" si="244"/>
        <v>27.243888888973743</v>
      </c>
    </row>
    <row r="3097" spans="1:15">
      <c r="A3097" s="1" t="s">
        <v>3202</v>
      </c>
      <c r="B3097" s="23">
        <v>45239.286805555559</v>
      </c>
      <c r="C3097" s="1" t="s">
        <v>11</v>
      </c>
      <c r="D3097" s="1" t="s">
        <v>17</v>
      </c>
      <c r="E3097" s="1" t="s">
        <v>13</v>
      </c>
      <c r="F3097" s="1" t="s">
        <v>80</v>
      </c>
      <c r="G3097" s="1">
        <v>20</v>
      </c>
      <c r="H3097" s="23">
        <v>45239.571273148147</v>
      </c>
      <c r="I3097" s="1" t="b">
        <v>0</v>
      </c>
      <c r="K3097" s="10">
        <f t="shared" si="242"/>
        <v>6.8272222221130505</v>
      </c>
      <c r="L3097" s="1" t="str">
        <f t="shared" si="243"/>
        <v>OK</v>
      </c>
      <c r="M3097" s="1">
        <f t="shared" si="240"/>
        <v>1</v>
      </c>
      <c r="N3097" s="1">
        <f t="shared" si="241"/>
        <v>20</v>
      </c>
      <c r="O3097" s="10">
        <f t="shared" si="244"/>
        <v>6.8272222221130505</v>
      </c>
    </row>
    <row r="3098" spans="1:15">
      <c r="A3098" s="1" t="s">
        <v>3203</v>
      </c>
      <c r="B3098" s="23">
        <v>45239.287499999999</v>
      </c>
      <c r="C3098" s="1" t="s">
        <v>25</v>
      </c>
      <c r="D3098" s="1" t="s">
        <v>26</v>
      </c>
      <c r="E3098" s="1" t="s">
        <v>18</v>
      </c>
      <c r="F3098" s="1" t="s">
        <v>215</v>
      </c>
      <c r="G3098" s="1">
        <v>244</v>
      </c>
      <c r="H3098" s="23">
        <v>45241.441724537035</v>
      </c>
      <c r="I3098" s="1" t="b">
        <v>0</v>
      </c>
      <c r="K3098" s="10">
        <f t="shared" si="242"/>
        <v>51.701388888875954</v>
      </c>
      <c r="L3098" s="1" t="str">
        <f t="shared" si="243"/>
        <v>OK</v>
      </c>
      <c r="M3098" s="1">
        <f t="shared" si="240"/>
        <v>1</v>
      </c>
      <c r="N3098" s="1">
        <f t="shared" si="241"/>
        <v>244</v>
      </c>
      <c r="O3098" s="10">
        <f t="shared" si="244"/>
        <v>51.701388888875954</v>
      </c>
    </row>
    <row r="3099" spans="1:15">
      <c r="A3099" s="1" t="s">
        <v>3204</v>
      </c>
      <c r="B3099" s="23">
        <v>45239.313888888886</v>
      </c>
      <c r="C3099" s="1" t="s">
        <v>25</v>
      </c>
      <c r="D3099" s="1" t="s">
        <v>26</v>
      </c>
      <c r="E3099" s="1" t="s">
        <v>18</v>
      </c>
      <c r="F3099" s="1" t="s">
        <v>100</v>
      </c>
      <c r="G3099" s="1">
        <v>161</v>
      </c>
      <c r="H3099" s="23">
        <v>45245.909305555557</v>
      </c>
      <c r="I3099" s="1" t="b">
        <v>0</v>
      </c>
      <c r="K3099" s="10">
        <f t="shared" si="242"/>
        <v>158.29000000009546</v>
      </c>
      <c r="L3099" s="1" t="str">
        <f t="shared" si="243"/>
        <v>OK</v>
      </c>
      <c r="M3099" s="1">
        <f t="shared" si="240"/>
        <v>1</v>
      </c>
      <c r="N3099" s="1">
        <f t="shared" si="241"/>
        <v>161</v>
      </c>
      <c r="O3099" s="10">
        <f t="shared" si="244"/>
        <v>158.29000000009546</v>
      </c>
    </row>
    <row r="3100" spans="1:15">
      <c r="A3100" s="1" t="s">
        <v>3205</v>
      </c>
      <c r="B3100" s="23">
        <v>45239.530555555553</v>
      </c>
      <c r="C3100" s="1" t="s">
        <v>25</v>
      </c>
      <c r="D3100" s="1" t="s">
        <v>59</v>
      </c>
      <c r="E3100" s="1" t="s">
        <v>33</v>
      </c>
      <c r="F3100" s="1" t="s">
        <v>74</v>
      </c>
      <c r="G3100" s="1">
        <v>109</v>
      </c>
      <c r="H3100" s="23">
        <v>45240.444571759261</v>
      </c>
      <c r="I3100" s="1" t="b">
        <v>0</v>
      </c>
      <c r="K3100" s="10">
        <f t="shared" si="242"/>
        <v>21.936388888978399</v>
      </c>
      <c r="L3100" s="1" t="str">
        <f t="shared" si="243"/>
        <v>OK</v>
      </c>
      <c r="M3100" s="1">
        <f t="shared" si="240"/>
        <v>1</v>
      </c>
      <c r="N3100" s="1">
        <f t="shared" si="241"/>
        <v>109</v>
      </c>
      <c r="O3100" s="10">
        <f t="shared" si="244"/>
        <v>21.936388888978399</v>
      </c>
    </row>
    <row r="3101" spans="1:15">
      <c r="A3101" s="1" t="s">
        <v>3206</v>
      </c>
      <c r="B3101" s="23">
        <v>45239.597222222219</v>
      </c>
      <c r="C3101" s="1" t="s">
        <v>25</v>
      </c>
      <c r="D3101" s="1" t="s">
        <v>21</v>
      </c>
      <c r="E3101" s="1" t="s">
        <v>13</v>
      </c>
      <c r="F3101" s="1" t="s">
        <v>367</v>
      </c>
      <c r="G3101" s="1">
        <v>22</v>
      </c>
      <c r="H3101" s="23">
        <v>45239.676041666666</v>
      </c>
      <c r="I3101" s="1" t="b">
        <v>0</v>
      </c>
      <c r="J3101" s="1">
        <v>3</v>
      </c>
      <c r="K3101" s="10">
        <f t="shared" si="242"/>
        <v>1.8916666667209938</v>
      </c>
      <c r="L3101" s="1" t="str">
        <f t="shared" si="243"/>
        <v>OK</v>
      </c>
      <c r="M3101" s="1">
        <f t="shared" si="240"/>
        <v>1</v>
      </c>
      <c r="N3101" s="1">
        <f t="shared" si="241"/>
        <v>22</v>
      </c>
      <c r="O3101" s="10">
        <f t="shared" si="244"/>
        <v>1.8916666667209938</v>
      </c>
    </row>
    <row r="3102" spans="1:15">
      <c r="A3102" s="1" t="s">
        <v>3207</v>
      </c>
      <c r="B3102" s="23">
        <v>45239.77847222222</v>
      </c>
      <c r="C3102" s="1" t="s">
        <v>25</v>
      </c>
      <c r="D3102" s="1" t="s">
        <v>21</v>
      </c>
      <c r="E3102" s="1" t="s">
        <v>13</v>
      </c>
      <c r="F3102" s="1" t="s">
        <v>234</v>
      </c>
      <c r="G3102" s="1">
        <v>92</v>
      </c>
      <c r="H3102" s="23">
        <v>45240.806180555555</v>
      </c>
      <c r="I3102" s="1" t="b">
        <v>0</v>
      </c>
      <c r="J3102" s="1">
        <v>4</v>
      </c>
      <c r="K3102" s="10">
        <f t="shared" si="242"/>
        <v>24.665000000037253</v>
      </c>
      <c r="L3102" s="1" t="str">
        <f t="shared" si="243"/>
        <v>OK</v>
      </c>
      <c r="M3102" s="1">
        <f t="shared" si="240"/>
        <v>1</v>
      </c>
      <c r="N3102" s="1">
        <f t="shared" si="241"/>
        <v>92</v>
      </c>
      <c r="O3102" s="10">
        <f t="shared" si="244"/>
        <v>24.665000000037253</v>
      </c>
    </row>
    <row r="3103" spans="1:15">
      <c r="A3103" s="1" t="s">
        <v>3208</v>
      </c>
      <c r="B3103" s="23">
        <v>45239.826388888891</v>
      </c>
      <c r="C3103" s="1" t="s">
        <v>43</v>
      </c>
      <c r="D3103" s="1" t="s">
        <v>17</v>
      </c>
      <c r="E3103" s="1" t="s">
        <v>18</v>
      </c>
      <c r="F3103" s="1" t="s">
        <v>178</v>
      </c>
      <c r="G3103" s="1">
        <v>16</v>
      </c>
      <c r="H3103" s="23">
        <v>45240.368414351855</v>
      </c>
      <c r="I3103" s="1" t="b">
        <v>0</v>
      </c>
      <c r="J3103" s="1">
        <v>4</v>
      </c>
      <c r="K3103" s="10">
        <f t="shared" si="242"/>
        <v>13.008611111145001</v>
      </c>
      <c r="L3103" s="1" t="str">
        <f t="shared" si="243"/>
        <v>OK</v>
      </c>
      <c r="M3103" s="1">
        <f t="shared" si="240"/>
        <v>1</v>
      </c>
      <c r="N3103" s="1">
        <f t="shared" si="241"/>
        <v>16</v>
      </c>
      <c r="O3103" s="10">
        <f t="shared" si="244"/>
        <v>13.008611111145001</v>
      </c>
    </row>
    <row r="3104" spans="1:15">
      <c r="A3104" s="1" t="s">
        <v>3209</v>
      </c>
      <c r="B3104" s="23">
        <v>45239.841666666667</v>
      </c>
      <c r="C3104" s="1" t="s">
        <v>43</v>
      </c>
      <c r="D3104" s="1" t="s">
        <v>21</v>
      </c>
      <c r="E3104" s="1" t="s">
        <v>13</v>
      </c>
      <c r="F3104" s="1" t="s">
        <v>74</v>
      </c>
      <c r="G3104" s="1">
        <v>101</v>
      </c>
      <c r="H3104" s="23">
        <v>45240.023043981484</v>
      </c>
      <c r="I3104" s="1" t="b">
        <v>0</v>
      </c>
      <c r="K3104" s="10">
        <f t="shared" si="242"/>
        <v>4.3530555556062609</v>
      </c>
      <c r="L3104" s="1" t="str">
        <f t="shared" si="243"/>
        <v>OK</v>
      </c>
      <c r="M3104" s="1">
        <f t="shared" si="240"/>
        <v>1</v>
      </c>
      <c r="N3104" s="1">
        <f t="shared" si="241"/>
        <v>101</v>
      </c>
      <c r="O3104" s="10">
        <f t="shared" si="244"/>
        <v>4.3530555556062609</v>
      </c>
    </row>
    <row r="3105" spans="1:15">
      <c r="A3105" s="1" t="s">
        <v>3210</v>
      </c>
      <c r="B3105" s="23">
        <v>45239.873611111114</v>
      </c>
      <c r="C3105" s="1" t="s">
        <v>25</v>
      </c>
      <c r="D3105" s="1" t="s">
        <v>17</v>
      </c>
      <c r="E3105" s="1" t="s">
        <v>18</v>
      </c>
      <c r="F3105" s="1" t="s">
        <v>108</v>
      </c>
      <c r="G3105" s="1">
        <v>211</v>
      </c>
      <c r="H3105" s="23">
        <v>45241.839317129627</v>
      </c>
      <c r="I3105" s="1" t="b">
        <v>0</v>
      </c>
      <c r="K3105" s="10">
        <f t="shared" si="242"/>
        <v>47.176944444305263</v>
      </c>
      <c r="L3105" s="1" t="str">
        <f t="shared" si="243"/>
        <v>OK</v>
      </c>
      <c r="M3105" s="1">
        <f t="shared" si="240"/>
        <v>1</v>
      </c>
      <c r="N3105" s="1">
        <f t="shared" si="241"/>
        <v>211</v>
      </c>
      <c r="O3105" s="10">
        <f t="shared" si="244"/>
        <v>47.176944444305263</v>
      </c>
    </row>
    <row r="3106" spans="1:15">
      <c r="A3106" s="1" t="s">
        <v>3211</v>
      </c>
      <c r="B3106" s="23">
        <v>45239.881249999999</v>
      </c>
      <c r="C3106" s="1" t="s">
        <v>16</v>
      </c>
      <c r="D3106" s="1" t="s">
        <v>17</v>
      </c>
      <c r="E3106" s="1" t="s">
        <v>13</v>
      </c>
      <c r="F3106" s="1" t="s">
        <v>245</v>
      </c>
      <c r="G3106" s="1">
        <v>63</v>
      </c>
      <c r="H3106" s="23">
        <v>45240.085474537038</v>
      </c>
      <c r="I3106" s="1" t="b">
        <v>1</v>
      </c>
      <c r="K3106" s="10">
        <f t="shared" si="242"/>
        <v>4.901388888945803</v>
      </c>
      <c r="L3106" s="1" t="str">
        <f t="shared" si="243"/>
        <v>OK</v>
      </c>
      <c r="M3106" s="1">
        <f t="shared" si="240"/>
        <v>1</v>
      </c>
      <c r="N3106" s="1">
        <f t="shared" si="241"/>
        <v>63</v>
      </c>
      <c r="O3106" s="10">
        <f t="shared" si="244"/>
        <v>4.901388888945803</v>
      </c>
    </row>
    <row r="3107" spans="1:15">
      <c r="A3107" s="1" t="s">
        <v>3212</v>
      </c>
      <c r="B3107" s="23">
        <v>45240.081944444442</v>
      </c>
      <c r="C3107" s="1" t="s">
        <v>25</v>
      </c>
      <c r="D3107" s="1" t="s">
        <v>17</v>
      </c>
      <c r="E3107" s="1" t="s">
        <v>18</v>
      </c>
      <c r="F3107" s="1" t="s">
        <v>19</v>
      </c>
      <c r="G3107" s="1">
        <v>19</v>
      </c>
      <c r="H3107" s="23">
        <v>45240.716689814813</v>
      </c>
      <c r="I3107" s="1" t="b">
        <v>0</v>
      </c>
      <c r="K3107" s="10">
        <f t="shared" si="242"/>
        <v>15.233888888906222</v>
      </c>
      <c r="L3107" s="1" t="str">
        <f t="shared" si="243"/>
        <v>OK</v>
      </c>
      <c r="M3107" s="1">
        <f t="shared" si="240"/>
        <v>1</v>
      </c>
      <c r="N3107" s="1">
        <f t="shared" si="241"/>
        <v>19</v>
      </c>
      <c r="O3107" s="10">
        <f t="shared" si="244"/>
        <v>15.233888888906222</v>
      </c>
    </row>
    <row r="3108" spans="1:15">
      <c r="A3108" s="1" t="s">
        <v>3213</v>
      </c>
      <c r="B3108" s="23">
        <v>45240.097222222219</v>
      </c>
      <c r="C3108" s="1" t="s">
        <v>11</v>
      </c>
      <c r="D3108" s="1" t="s">
        <v>26</v>
      </c>
      <c r="E3108" s="1" t="s">
        <v>13</v>
      </c>
      <c r="F3108" s="1" t="s">
        <v>84</v>
      </c>
      <c r="G3108" s="1">
        <v>140</v>
      </c>
      <c r="H3108" s="23">
        <v>45241.356874999998</v>
      </c>
      <c r="I3108" s="1" t="b">
        <v>0</v>
      </c>
      <c r="J3108" s="1">
        <v>5</v>
      </c>
      <c r="K3108" s="10">
        <f t="shared" si="242"/>
        <v>30.231666666688398</v>
      </c>
      <c r="L3108" s="1" t="str">
        <f t="shared" si="243"/>
        <v>OK</v>
      </c>
      <c r="M3108" s="1">
        <f t="shared" si="240"/>
        <v>1</v>
      </c>
      <c r="N3108" s="1">
        <f t="shared" si="241"/>
        <v>140</v>
      </c>
      <c r="O3108" s="10">
        <f t="shared" si="244"/>
        <v>30.231666666688398</v>
      </c>
    </row>
    <row r="3109" spans="1:15">
      <c r="A3109" s="1" t="s">
        <v>3214</v>
      </c>
      <c r="B3109" s="23">
        <v>45240.273611111108</v>
      </c>
      <c r="C3109" s="1" t="s">
        <v>16</v>
      </c>
      <c r="D3109" s="1" t="s">
        <v>12</v>
      </c>
      <c r="E3109" s="1" t="s">
        <v>18</v>
      </c>
      <c r="F3109" s="1" t="s">
        <v>80</v>
      </c>
      <c r="G3109" s="1">
        <v>83</v>
      </c>
      <c r="H3109" s="23">
        <v>45240.532766203702</v>
      </c>
      <c r="I3109" s="1" t="b">
        <v>1</v>
      </c>
      <c r="K3109" s="10">
        <f t="shared" si="242"/>
        <v>6.219722222245764</v>
      </c>
      <c r="L3109" s="1" t="str">
        <f t="shared" si="243"/>
        <v>OK</v>
      </c>
      <c r="M3109" s="1">
        <f t="shared" si="240"/>
        <v>1</v>
      </c>
      <c r="N3109" s="1">
        <f t="shared" si="241"/>
        <v>83</v>
      </c>
      <c r="O3109" s="10">
        <f t="shared" si="244"/>
        <v>6.219722222245764</v>
      </c>
    </row>
    <row r="3110" spans="1:15">
      <c r="A3110" s="1" t="s">
        <v>3215</v>
      </c>
      <c r="B3110" s="23">
        <v>45240.378472222219</v>
      </c>
      <c r="C3110" s="1" t="s">
        <v>25</v>
      </c>
      <c r="D3110" s="1" t="s">
        <v>17</v>
      </c>
      <c r="E3110" s="1" t="s">
        <v>18</v>
      </c>
      <c r="F3110" s="1" t="s">
        <v>23</v>
      </c>
      <c r="H3110" s="23">
        <v>45246.967303240737</v>
      </c>
      <c r="I3110" s="1" t="b">
        <v>0</v>
      </c>
      <c r="K3110" s="10">
        <f t="shared" si="242"/>
        <v>158.13194444443798</v>
      </c>
      <c r="L3110" s="1" t="str">
        <f t="shared" si="243"/>
        <v>Cannot check</v>
      </c>
      <c r="M3110" s="1">
        <f t="shared" si="240"/>
        <v>1</v>
      </c>
      <c r="N3110" s="1" t="str">
        <f t="shared" si="241"/>
        <v/>
      </c>
      <c r="O3110" s="10">
        <f t="shared" si="244"/>
        <v>158.13194444443798</v>
      </c>
    </row>
    <row r="3111" spans="1:15">
      <c r="A3111" s="1" t="s">
        <v>3216</v>
      </c>
      <c r="B3111" s="23">
        <v>45240.413194444445</v>
      </c>
      <c r="C3111" s="1" t="s">
        <v>43</v>
      </c>
      <c r="D3111" s="1" t="s">
        <v>12</v>
      </c>
      <c r="E3111" s="1" t="s">
        <v>13</v>
      </c>
      <c r="F3111" s="1" t="s">
        <v>234</v>
      </c>
      <c r="G3111" s="1">
        <v>39</v>
      </c>
      <c r="H3111" s="23">
        <v>45241.582199074073</v>
      </c>
      <c r="I3111" s="1" t="b">
        <v>1</v>
      </c>
      <c r="J3111" s="1">
        <v>4</v>
      </c>
      <c r="K3111" s="10">
        <f t="shared" si="242"/>
        <v>28.056111111072823</v>
      </c>
      <c r="L3111" s="1" t="str">
        <f t="shared" si="243"/>
        <v>OK</v>
      </c>
      <c r="M3111" s="1">
        <f t="shared" si="240"/>
        <v>1</v>
      </c>
      <c r="N3111" s="1">
        <f t="shared" si="241"/>
        <v>39</v>
      </c>
      <c r="O3111" s="10">
        <f t="shared" si="244"/>
        <v>28.056111111072823</v>
      </c>
    </row>
    <row r="3112" spans="1:15">
      <c r="A3112" s="1" t="s">
        <v>3217</v>
      </c>
      <c r="B3112" s="23">
        <v>45240.481249999997</v>
      </c>
      <c r="C3112" s="1" t="s">
        <v>25</v>
      </c>
      <c r="D3112" s="1" t="s">
        <v>17</v>
      </c>
      <c r="E3112" s="1" t="s">
        <v>13</v>
      </c>
      <c r="F3112" s="1" t="s">
        <v>106</v>
      </c>
      <c r="G3112" s="1">
        <v>28</v>
      </c>
      <c r="H3112" s="23">
        <v>45244.832708333335</v>
      </c>
      <c r="I3112" s="1" t="b">
        <v>0</v>
      </c>
      <c r="K3112" s="10">
        <f t="shared" si="242"/>
        <v>104.43500000011409</v>
      </c>
      <c r="L3112" s="1" t="str">
        <f t="shared" si="243"/>
        <v>OK</v>
      </c>
      <c r="M3112" s="1">
        <f t="shared" si="240"/>
        <v>1</v>
      </c>
      <c r="N3112" s="1">
        <f t="shared" si="241"/>
        <v>28</v>
      </c>
      <c r="O3112" s="10">
        <f t="shared" si="244"/>
        <v>104.43500000011409</v>
      </c>
    </row>
    <row r="3113" spans="1:15">
      <c r="A3113" s="1" t="s">
        <v>3218</v>
      </c>
      <c r="B3113" s="23">
        <v>45240.530555555553</v>
      </c>
      <c r="C3113" s="1" t="s">
        <v>11</v>
      </c>
      <c r="D3113" s="1" t="s">
        <v>17</v>
      </c>
      <c r="E3113" s="1" t="s">
        <v>13</v>
      </c>
      <c r="F3113" s="1" t="s">
        <v>112</v>
      </c>
      <c r="G3113" s="1">
        <v>56</v>
      </c>
      <c r="H3113" s="23">
        <v>45241.61513888889</v>
      </c>
      <c r="I3113" s="1" t="b">
        <v>0</v>
      </c>
      <c r="K3113" s="10">
        <f t="shared" si="242"/>
        <v>26.030000000086147</v>
      </c>
      <c r="L3113" s="1" t="str">
        <f t="shared" si="243"/>
        <v>OK</v>
      </c>
      <c r="M3113" s="1">
        <f t="shared" si="240"/>
        <v>1</v>
      </c>
      <c r="N3113" s="1">
        <f t="shared" si="241"/>
        <v>56</v>
      </c>
      <c r="O3113" s="10">
        <f t="shared" si="244"/>
        <v>26.030000000086147</v>
      </c>
    </row>
    <row r="3114" spans="1:15">
      <c r="A3114" s="1" t="s">
        <v>3219</v>
      </c>
      <c r="B3114" s="23">
        <v>45240.69027777778</v>
      </c>
      <c r="C3114" s="1" t="s">
        <v>16</v>
      </c>
      <c r="D3114" s="1" t="s">
        <v>59</v>
      </c>
      <c r="E3114" s="1" t="s">
        <v>33</v>
      </c>
      <c r="F3114" s="1" t="s">
        <v>114</v>
      </c>
      <c r="G3114" s="1">
        <v>62</v>
      </c>
      <c r="H3114" s="23">
        <v>45248.27480324074</v>
      </c>
      <c r="I3114" s="1" t="b">
        <v>0</v>
      </c>
      <c r="K3114" s="10">
        <f t="shared" si="242"/>
        <v>182.02861111104721</v>
      </c>
      <c r="L3114" s="1" t="str">
        <f t="shared" si="243"/>
        <v>OK</v>
      </c>
      <c r="M3114" s="1">
        <f t="shared" si="240"/>
        <v>1</v>
      </c>
      <c r="N3114" s="1">
        <f t="shared" si="241"/>
        <v>62</v>
      </c>
      <c r="O3114" s="10">
        <f t="shared" si="244"/>
        <v>182.02861111104721</v>
      </c>
    </row>
    <row r="3115" spans="1:15">
      <c r="A3115" s="1" t="s">
        <v>3220</v>
      </c>
      <c r="B3115" s="23">
        <v>45240.772222222222</v>
      </c>
      <c r="C3115" s="1" t="s">
        <v>11</v>
      </c>
      <c r="D3115" s="1" t="s">
        <v>59</v>
      </c>
      <c r="E3115" s="1" t="s">
        <v>13</v>
      </c>
      <c r="F3115" s="1" t="s">
        <v>92</v>
      </c>
      <c r="G3115" s="1">
        <v>7</v>
      </c>
      <c r="H3115" s="23">
        <v>45241.269791666666</v>
      </c>
      <c r="I3115" s="1" t="b">
        <v>0</v>
      </c>
      <c r="K3115" s="10">
        <f t="shared" si="242"/>
        <v>11.941666666651145</v>
      </c>
      <c r="L3115" s="1" t="str">
        <f t="shared" si="243"/>
        <v>OK</v>
      </c>
      <c r="M3115" s="1">
        <f t="shared" si="240"/>
        <v>1</v>
      </c>
      <c r="N3115" s="1">
        <f t="shared" si="241"/>
        <v>7</v>
      </c>
      <c r="O3115" s="10">
        <f t="shared" si="244"/>
        <v>11.941666666651145</v>
      </c>
    </row>
    <row r="3116" spans="1:15">
      <c r="A3116" s="1" t="s">
        <v>3221</v>
      </c>
      <c r="B3116" s="23">
        <v>45240.806250000001</v>
      </c>
      <c r="C3116" s="1" t="s">
        <v>25</v>
      </c>
      <c r="D3116" s="1" t="s">
        <v>12</v>
      </c>
      <c r="E3116" s="1" t="s">
        <v>33</v>
      </c>
      <c r="F3116" s="1" t="s">
        <v>104</v>
      </c>
      <c r="G3116" s="1">
        <v>534</v>
      </c>
      <c r="H3116" s="23">
        <v>45242.046516203707</v>
      </c>
      <c r="I3116" s="1" t="b">
        <v>0</v>
      </c>
      <c r="J3116" s="1">
        <v>5</v>
      </c>
      <c r="K3116" s="10">
        <f t="shared" si="242"/>
        <v>29.76638888893649</v>
      </c>
      <c r="L3116" s="1" t="str">
        <f t="shared" si="243"/>
        <v>OK</v>
      </c>
      <c r="M3116" s="1">
        <f t="shared" si="240"/>
        <v>1</v>
      </c>
      <c r="N3116" s="1">
        <f t="shared" si="241"/>
        <v>534</v>
      </c>
      <c r="O3116" s="10">
        <f t="shared" si="244"/>
        <v>29.76638888893649</v>
      </c>
    </row>
    <row r="3117" spans="1:15">
      <c r="A3117" s="1" t="s">
        <v>3222</v>
      </c>
      <c r="B3117" s="23">
        <v>45240.883333333331</v>
      </c>
      <c r="C3117" s="1" t="s">
        <v>11</v>
      </c>
      <c r="D3117" s="1" t="s">
        <v>17</v>
      </c>
      <c r="E3117" s="1" t="s">
        <v>33</v>
      </c>
      <c r="F3117" s="1" t="s">
        <v>326</v>
      </c>
      <c r="G3117" s="1">
        <v>217</v>
      </c>
      <c r="H3117" s="23">
        <v>45255.927210648151</v>
      </c>
      <c r="I3117" s="1" t="b">
        <v>0</v>
      </c>
      <c r="K3117" s="10">
        <f t="shared" si="242"/>
        <v>361.05305555567611</v>
      </c>
      <c r="L3117" s="1" t="str">
        <f t="shared" si="243"/>
        <v>OK</v>
      </c>
      <c r="M3117" s="1">
        <f t="shared" si="240"/>
        <v>1</v>
      </c>
      <c r="N3117" s="1">
        <f t="shared" si="241"/>
        <v>217</v>
      </c>
      <c r="O3117" s="10">
        <f t="shared" si="244"/>
        <v>361.05305555567611</v>
      </c>
    </row>
    <row r="3118" spans="1:15">
      <c r="A3118" s="1" t="s">
        <v>3223</v>
      </c>
      <c r="B3118" s="23">
        <v>45240.899305555555</v>
      </c>
      <c r="C3118" s="1" t="s">
        <v>11</v>
      </c>
      <c r="D3118" s="1" t="s">
        <v>26</v>
      </c>
      <c r="E3118" s="1" t="s">
        <v>18</v>
      </c>
      <c r="F3118" s="1" t="s">
        <v>274</v>
      </c>
      <c r="H3118" s="23">
        <v>45241.531053240738</v>
      </c>
      <c r="I3118" s="1" t="b">
        <v>0</v>
      </c>
      <c r="K3118" s="10">
        <f t="shared" si="242"/>
        <v>15.161944444407709</v>
      </c>
      <c r="L3118" s="1" t="str">
        <f t="shared" si="243"/>
        <v>Cannot check</v>
      </c>
      <c r="M3118" s="1">
        <f t="shared" si="240"/>
        <v>1</v>
      </c>
      <c r="N3118" s="1" t="str">
        <f t="shared" si="241"/>
        <v/>
      </c>
      <c r="O3118" s="10">
        <f t="shared" si="244"/>
        <v>15.161944444407709</v>
      </c>
    </row>
    <row r="3119" spans="1:15">
      <c r="A3119" s="1" t="s">
        <v>3224</v>
      </c>
      <c r="B3119" s="23">
        <v>45240.925694444442</v>
      </c>
      <c r="C3119" s="1" t="s">
        <v>43</v>
      </c>
      <c r="D3119" s="1" t="s">
        <v>59</v>
      </c>
      <c r="E3119" s="1" t="s">
        <v>18</v>
      </c>
      <c r="F3119" s="1" t="s">
        <v>130</v>
      </c>
      <c r="G3119" s="1">
        <v>60</v>
      </c>
      <c r="H3119" s="23">
        <v>45244.719733796293</v>
      </c>
      <c r="I3119" s="1" t="b">
        <v>0</v>
      </c>
      <c r="K3119" s="10">
        <f t="shared" si="242"/>
        <v>91.056944444426335</v>
      </c>
      <c r="L3119" s="1" t="str">
        <f t="shared" si="243"/>
        <v>OK</v>
      </c>
      <c r="M3119" s="1">
        <f t="shared" si="240"/>
        <v>1</v>
      </c>
      <c r="N3119" s="1">
        <f t="shared" si="241"/>
        <v>60</v>
      </c>
      <c r="O3119" s="10">
        <f t="shared" si="244"/>
        <v>91.056944444426335</v>
      </c>
    </row>
    <row r="3120" spans="1:15">
      <c r="A3120" s="1" t="s">
        <v>3225</v>
      </c>
      <c r="B3120" s="23">
        <v>45241.118750000001</v>
      </c>
      <c r="C3120" s="1" t="s">
        <v>16</v>
      </c>
      <c r="D3120" s="1" t="s">
        <v>17</v>
      </c>
      <c r="E3120" s="1" t="s">
        <v>13</v>
      </c>
      <c r="F3120" s="1" t="s">
        <v>29</v>
      </c>
      <c r="G3120" s="1">
        <v>25</v>
      </c>
      <c r="H3120" s="23">
        <v>45244.816921296297</v>
      </c>
      <c r="I3120" s="1" t="b">
        <v>0</v>
      </c>
      <c r="K3120" s="10">
        <f t="shared" si="242"/>
        <v>88.756111111084465</v>
      </c>
      <c r="L3120" s="1" t="str">
        <f t="shared" si="243"/>
        <v>OK</v>
      </c>
      <c r="M3120" s="1">
        <f t="shared" si="240"/>
        <v>1</v>
      </c>
      <c r="N3120" s="1">
        <f t="shared" si="241"/>
        <v>25</v>
      </c>
      <c r="O3120" s="10">
        <f t="shared" si="244"/>
        <v>88.756111111084465</v>
      </c>
    </row>
    <row r="3121" spans="1:15">
      <c r="A3121" s="1" t="s">
        <v>3226</v>
      </c>
      <c r="B3121" s="23">
        <v>45241.217361111114</v>
      </c>
      <c r="C3121" s="1" t="s">
        <v>43</v>
      </c>
      <c r="D3121" s="1" t="s">
        <v>59</v>
      </c>
      <c r="E3121" s="1" t="s">
        <v>13</v>
      </c>
      <c r="F3121" s="1" t="s">
        <v>148</v>
      </c>
      <c r="G3121" s="1">
        <v>10</v>
      </c>
      <c r="H3121" s="23">
        <v>45242.335833333331</v>
      </c>
      <c r="I3121" s="1" t="b">
        <v>0</v>
      </c>
      <c r="K3121" s="10">
        <f t="shared" si="242"/>
        <v>26.843333333206829</v>
      </c>
      <c r="L3121" s="1" t="str">
        <f t="shared" si="243"/>
        <v>OK</v>
      </c>
      <c r="M3121" s="1">
        <f t="shared" si="240"/>
        <v>1</v>
      </c>
      <c r="N3121" s="1">
        <f t="shared" si="241"/>
        <v>10</v>
      </c>
      <c r="O3121" s="10">
        <f t="shared" si="244"/>
        <v>26.843333333206829</v>
      </c>
    </row>
    <row r="3122" spans="1:15">
      <c r="A3122" s="1" t="s">
        <v>3227</v>
      </c>
      <c r="B3122" s="23">
        <v>45241.382638888892</v>
      </c>
      <c r="C3122" s="1" t="s">
        <v>25</v>
      </c>
      <c r="D3122" s="1" t="s">
        <v>21</v>
      </c>
      <c r="E3122" s="1" t="s">
        <v>33</v>
      </c>
      <c r="F3122" s="1" t="s">
        <v>224</v>
      </c>
      <c r="G3122" s="1">
        <v>37</v>
      </c>
      <c r="H3122" s="23">
        <v>45244.508252314816</v>
      </c>
      <c r="I3122" s="1" t="b">
        <v>0</v>
      </c>
      <c r="K3122" s="10">
        <f t="shared" si="242"/>
        <v>75.014722222171258</v>
      </c>
      <c r="L3122" s="1" t="str">
        <f t="shared" si="243"/>
        <v>OK</v>
      </c>
      <c r="M3122" s="1">
        <f t="shared" si="240"/>
        <v>1</v>
      </c>
      <c r="N3122" s="1">
        <f t="shared" si="241"/>
        <v>37</v>
      </c>
      <c r="O3122" s="10">
        <f t="shared" si="244"/>
        <v>75.014722222171258</v>
      </c>
    </row>
    <row r="3123" spans="1:15">
      <c r="A3123" s="1" t="s">
        <v>3228</v>
      </c>
      <c r="B3123" s="23">
        <v>45241.786805555559</v>
      </c>
      <c r="C3123" s="1" t="s">
        <v>16</v>
      </c>
      <c r="D3123" s="1" t="s">
        <v>59</v>
      </c>
      <c r="E3123" s="1" t="s">
        <v>13</v>
      </c>
      <c r="F3123" s="1" t="s">
        <v>245</v>
      </c>
      <c r="G3123" s="1">
        <v>5</v>
      </c>
      <c r="H3123" s="23">
        <v>45242.575370370374</v>
      </c>
      <c r="I3123" s="1" t="b">
        <v>0</v>
      </c>
      <c r="K3123" s="10">
        <f t="shared" si="242"/>
        <v>18.925555555557366</v>
      </c>
      <c r="L3123" s="1" t="str">
        <f t="shared" si="243"/>
        <v>OK</v>
      </c>
      <c r="M3123" s="1">
        <f t="shared" si="240"/>
        <v>1</v>
      </c>
      <c r="N3123" s="1">
        <f t="shared" si="241"/>
        <v>5</v>
      </c>
      <c r="O3123" s="10">
        <f t="shared" si="244"/>
        <v>18.925555555557366</v>
      </c>
    </row>
    <row r="3124" spans="1:15">
      <c r="A3124" s="1" t="s">
        <v>3229</v>
      </c>
      <c r="B3124" s="23">
        <v>45241.950694444444</v>
      </c>
      <c r="C3124" s="1" t="s">
        <v>11</v>
      </c>
      <c r="D3124" s="1" t="s">
        <v>21</v>
      </c>
      <c r="E3124" s="1" t="s">
        <v>18</v>
      </c>
      <c r="F3124" s="1" t="s">
        <v>64</v>
      </c>
      <c r="G3124" s="1">
        <v>465</v>
      </c>
      <c r="H3124" s="23">
        <v>45243.919722222221</v>
      </c>
      <c r="I3124" s="1" t="b">
        <v>0</v>
      </c>
      <c r="J3124" s="1">
        <v>5</v>
      </c>
      <c r="K3124" s="10">
        <f t="shared" si="242"/>
        <v>47.256666666653473</v>
      </c>
      <c r="L3124" s="1" t="str">
        <f t="shared" si="243"/>
        <v>OK</v>
      </c>
      <c r="M3124" s="1">
        <f t="shared" si="240"/>
        <v>1</v>
      </c>
      <c r="N3124" s="1">
        <f t="shared" si="241"/>
        <v>465</v>
      </c>
      <c r="O3124" s="10">
        <f t="shared" si="244"/>
        <v>47.256666666653473</v>
      </c>
    </row>
    <row r="3125" spans="1:15">
      <c r="A3125" s="1" t="s">
        <v>3230</v>
      </c>
      <c r="B3125" s="23">
        <v>45242.111805555556</v>
      </c>
      <c r="C3125" s="1" t="s">
        <v>43</v>
      </c>
      <c r="D3125" s="1" t="s">
        <v>59</v>
      </c>
      <c r="E3125" s="1" t="s">
        <v>13</v>
      </c>
      <c r="F3125" s="1" t="s">
        <v>64</v>
      </c>
      <c r="G3125" s="1">
        <v>4</v>
      </c>
      <c r="H3125" s="23">
        <v>45243.985462962963</v>
      </c>
      <c r="I3125" s="1" t="b">
        <v>0</v>
      </c>
      <c r="J3125" s="1">
        <v>4</v>
      </c>
      <c r="K3125" s="10">
        <f t="shared" si="242"/>
        <v>44.967777777754236</v>
      </c>
      <c r="L3125" s="1" t="str">
        <f t="shared" si="243"/>
        <v>OK</v>
      </c>
      <c r="M3125" s="1">
        <f t="shared" si="240"/>
        <v>1</v>
      </c>
      <c r="N3125" s="1">
        <f t="shared" si="241"/>
        <v>4</v>
      </c>
      <c r="O3125" s="10">
        <f t="shared" si="244"/>
        <v>44.967777777754236</v>
      </c>
    </row>
    <row r="3126" spans="1:15">
      <c r="A3126" s="1" t="s">
        <v>3231</v>
      </c>
      <c r="B3126" s="23">
        <v>45242.183333333334</v>
      </c>
      <c r="C3126" s="1" t="s">
        <v>16</v>
      </c>
      <c r="D3126" s="1" t="s">
        <v>59</v>
      </c>
      <c r="E3126" s="1" t="s">
        <v>18</v>
      </c>
      <c r="F3126" s="1" t="s">
        <v>23</v>
      </c>
      <c r="G3126" s="1">
        <v>123</v>
      </c>
      <c r="H3126" s="23">
        <v>45243.204375000001</v>
      </c>
      <c r="I3126" s="1" t="b">
        <v>0</v>
      </c>
      <c r="J3126" s="1">
        <v>4</v>
      </c>
      <c r="K3126" s="10">
        <f t="shared" si="242"/>
        <v>24.505000000004657</v>
      </c>
      <c r="L3126" s="1" t="str">
        <f t="shared" si="243"/>
        <v>OK</v>
      </c>
      <c r="M3126" s="1">
        <f t="shared" si="240"/>
        <v>1</v>
      </c>
      <c r="N3126" s="1">
        <f t="shared" si="241"/>
        <v>123</v>
      </c>
      <c r="O3126" s="10">
        <f t="shared" si="244"/>
        <v>24.505000000004657</v>
      </c>
    </row>
    <row r="3127" spans="1:15">
      <c r="A3127" s="1" t="s">
        <v>3232</v>
      </c>
      <c r="B3127" s="23">
        <v>45242.1875</v>
      </c>
      <c r="C3127" s="1" t="s">
        <v>43</v>
      </c>
      <c r="D3127" s="1" t="s">
        <v>21</v>
      </c>
      <c r="E3127" s="1" t="s">
        <v>18</v>
      </c>
      <c r="F3127" s="1" t="s">
        <v>39</v>
      </c>
      <c r="H3127" s="23">
        <v>45243.483171296299</v>
      </c>
      <c r="I3127" s="1" t="b">
        <v>0</v>
      </c>
      <c r="J3127" s="1">
        <v>3</v>
      </c>
      <c r="K3127" s="10">
        <f t="shared" si="242"/>
        <v>31.096111111168284</v>
      </c>
      <c r="L3127" s="1" t="str">
        <f t="shared" si="243"/>
        <v>Cannot check</v>
      </c>
      <c r="M3127" s="1">
        <f t="shared" si="240"/>
        <v>1</v>
      </c>
      <c r="N3127" s="1" t="str">
        <f t="shared" si="241"/>
        <v/>
      </c>
      <c r="O3127" s="10">
        <f t="shared" si="244"/>
        <v>31.096111111168284</v>
      </c>
    </row>
    <row r="3128" spans="1:15">
      <c r="A3128" s="1" t="s">
        <v>3233</v>
      </c>
      <c r="B3128" s="23">
        <v>45242.354166666664</v>
      </c>
      <c r="C3128" s="1" t="s">
        <v>25</v>
      </c>
      <c r="D3128" s="1" t="s">
        <v>26</v>
      </c>
      <c r="E3128" s="1" t="s">
        <v>18</v>
      </c>
      <c r="F3128" s="1" t="s">
        <v>130</v>
      </c>
      <c r="G3128" s="1">
        <v>173</v>
      </c>
      <c r="H3128" s="23">
        <v>45246.361122685186</v>
      </c>
      <c r="I3128" s="1" t="b">
        <v>0</v>
      </c>
      <c r="J3128" s="1">
        <v>5</v>
      </c>
      <c r="K3128" s="10">
        <f t="shared" si="242"/>
        <v>96.166944444528781</v>
      </c>
      <c r="L3128" s="1" t="str">
        <f t="shared" si="243"/>
        <v>OK</v>
      </c>
      <c r="M3128" s="1">
        <f t="shared" si="240"/>
        <v>1</v>
      </c>
      <c r="N3128" s="1">
        <f t="shared" si="241"/>
        <v>173</v>
      </c>
      <c r="O3128" s="10">
        <f t="shared" si="244"/>
        <v>96.166944444528781</v>
      </c>
    </row>
    <row r="3129" spans="1:15">
      <c r="A3129" s="1" t="s">
        <v>3234</v>
      </c>
      <c r="B3129" s="23">
        <v>45242.592361111114</v>
      </c>
      <c r="C3129" s="1" t="s">
        <v>11</v>
      </c>
      <c r="D3129" s="1" t="s">
        <v>21</v>
      </c>
      <c r="E3129" s="1" t="s">
        <v>13</v>
      </c>
      <c r="F3129" s="1" t="s">
        <v>486</v>
      </c>
      <c r="G3129" s="1">
        <v>81</v>
      </c>
      <c r="H3129" s="23">
        <v>45242.999594907407</v>
      </c>
      <c r="I3129" s="1" t="b">
        <v>0</v>
      </c>
      <c r="K3129" s="10">
        <f t="shared" si="242"/>
        <v>9.7736111110425554</v>
      </c>
      <c r="L3129" s="1" t="str">
        <f t="shared" si="243"/>
        <v>OK</v>
      </c>
      <c r="M3129" s="1">
        <f t="shared" si="240"/>
        <v>1</v>
      </c>
      <c r="N3129" s="1">
        <f t="shared" si="241"/>
        <v>81</v>
      </c>
      <c r="O3129" s="10">
        <f t="shared" si="244"/>
        <v>9.7736111110425554</v>
      </c>
    </row>
    <row r="3130" spans="1:15">
      <c r="A3130" s="1" t="s">
        <v>3235</v>
      </c>
      <c r="B3130" s="23">
        <v>45242.848611111112</v>
      </c>
      <c r="C3130" s="1" t="s">
        <v>11</v>
      </c>
      <c r="D3130" s="1" t="s">
        <v>17</v>
      </c>
      <c r="E3130" s="1" t="s">
        <v>33</v>
      </c>
      <c r="F3130" s="1" t="s">
        <v>148</v>
      </c>
      <c r="G3130" s="1">
        <v>673</v>
      </c>
      <c r="H3130" s="23">
        <v>45245.131412037037</v>
      </c>
      <c r="I3130" s="1" t="b">
        <v>0</v>
      </c>
      <c r="J3130" s="1">
        <v>5</v>
      </c>
      <c r="K3130" s="10">
        <f t="shared" si="242"/>
        <v>54.787222222192213</v>
      </c>
      <c r="L3130" s="1" t="str">
        <f t="shared" si="243"/>
        <v>OK</v>
      </c>
      <c r="M3130" s="1">
        <f t="shared" si="240"/>
        <v>1</v>
      </c>
      <c r="N3130" s="1">
        <f t="shared" si="241"/>
        <v>673</v>
      </c>
      <c r="O3130" s="10">
        <f t="shared" si="244"/>
        <v>54.787222222192213</v>
      </c>
    </row>
    <row r="3131" spans="1:15">
      <c r="A3131" s="1" t="s">
        <v>3236</v>
      </c>
      <c r="B3131" s="23">
        <v>45242.925000000003</v>
      </c>
      <c r="C3131" s="1" t="s">
        <v>25</v>
      </c>
      <c r="D3131" s="1" t="s">
        <v>26</v>
      </c>
      <c r="E3131" s="1" t="s">
        <v>18</v>
      </c>
      <c r="F3131" s="1" t="s">
        <v>64</v>
      </c>
      <c r="G3131" s="1">
        <v>74</v>
      </c>
      <c r="H3131" s="23">
        <v>45247.74454861111</v>
      </c>
      <c r="I3131" s="1" t="b">
        <v>0</v>
      </c>
      <c r="K3131" s="10">
        <f t="shared" si="242"/>
        <v>115.66916666657198</v>
      </c>
      <c r="L3131" s="1" t="str">
        <f t="shared" si="243"/>
        <v>OK</v>
      </c>
      <c r="M3131" s="1">
        <f t="shared" si="240"/>
        <v>1</v>
      </c>
      <c r="N3131" s="1">
        <f t="shared" si="241"/>
        <v>74</v>
      </c>
      <c r="O3131" s="10">
        <f t="shared" si="244"/>
        <v>115.66916666657198</v>
      </c>
    </row>
    <row r="3132" spans="1:15">
      <c r="A3132" s="1" t="s">
        <v>3237</v>
      </c>
      <c r="B3132" s="23">
        <v>45242.953472222223</v>
      </c>
      <c r="C3132" s="1" t="s">
        <v>16</v>
      </c>
      <c r="D3132" s="1" t="s">
        <v>17</v>
      </c>
      <c r="E3132" s="1" t="s">
        <v>13</v>
      </c>
      <c r="F3132" s="1" t="s">
        <v>31</v>
      </c>
      <c r="G3132" s="1">
        <v>26</v>
      </c>
      <c r="H3132" s="23">
        <v>45243.599432870367</v>
      </c>
      <c r="I3132" s="1" t="b">
        <v>0</v>
      </c>
      <c r="K3132" s="10">
        <f t="shared" si="242"/>
        <v>15.503055555454921</v>
      </c>
      <c r="L3132" s="1" t="str">
        <f t="shared" si="243"/>
        <v>OK</v>
      </c>
      <c r="M3132" s="1">
        <f t="shared" si="240"/>
        <v>1</v>
      </c>
      <c r="N3132" s="1">
        <f t="shared" si="241"/>
        <v>26</v>
      </c>
      <c r="O3132" s="10">
        <f t="shared" si="244"/>
        <v>15.503055555454921</v>
      </c>
    </row>
    <row r="3133" spans="1:15">
      <c r="A3133" s="1" t="s">
        <v>3238</v>
      </c>
      <c r="B3133" s="23">
        <v>45242.972222222219</v>
      </c>
      <c r="C3133" s="1" t="s">
        <v>16</v>
      </c>
      <c r="D3133" s="1" t="s">
        <v>17</v>
      </c>
      <c r="E3133" s="1" t="s">
        <v>33</v>
      </c>
      <c r="F3133" s="1" t="s">
        <v>145</v>
      </c>
      <c r="G3133" s="1">
        <v>138</v>
      </c>
      <c r="H3133" s="23">
        <v>45247.630902777775</v>
      </c>
      <c r="I3133" s="1" t="b">
        <v>0</v>
      </c>
      <c r="K3133" s="10">
        <f t="shared" si="242"/>
        <v>111.80833333334886</v>
      </c>
      <c r="L3133" s="1" t="str">
        <f t="shared" si="243"/>
        <v>OK</v>
      </c>
      <c r="M3133" s="1">
        <f t="shared" si="240"/>
        <v>1</v>
      </c>
      <c r="N3133" s="1">
        <f t="shared" si="241"/>
        <v>138</v>
      </c>
      <c r="O3133" s="10">
        <f t="shared" si="244"/>
        <v>111.80833333334886</v>
      </c>
    </row>
    <row r="3134" spans="1:15">
      <c r="A3134" s="1" t="s">
        <v>3239</v>
      </c>
      <c r="B3134" s="23">
        <v>45243.031944444447</v>
      </c>
      <c r="C3134" s="1" t="s">
        <v>25</v>
      </c>
      <c r="D3134" s="1" t="s">
        <v>26</v>
      </c>
      <c r="E3134" s="1" t="s">
        <v>13</v>
      </c>
      <c r="F3134" s="1" t="s">
        <v>23</v>
      </c>
      <c r="G3134" s="1">
        <v>55</v>
      </c>
      <c r="H3134" s="23">
        <v>45245.692719907405</v>
      </c>
      <c r="I3134" s="1" t="b">
        <v>0</v>
      </c>
      <c r="J3134" s="1">
        <v>5</v>
      </c>
      <c r="K3134" s="10">
        <f t="shared" si="242"/>
        <v>63.858611111005303</v>
      </c>
      <c r="L3134" s="1" t="str">
        <f t="shared" si="243"/>
        <v>OK</v>
      </c>
      <c r="M3134" s="1">
        <f t="shared" si="240"/>
        <v>1</v>
      </c>
      <c r="N3134" s="1">
        <f t="shared" si="241"/>
        <v>55</v>
      </c>
      <c r="O3134" s="10">
        <f t="shared" si="244"/>
        <v>63.858611111005303</v>
      </c>
    </row>
    <row r="3135" spans="1:15">
      <c r="A3135" s="1" t="s">
        <v>3240</v>
      </c>
      <c r="B3135" s="23">
        <v>45243.127083333333</v>
      </c>
      <c r="C3135" s="1" t="s">
        <v>16</v>
      </c>
      <c r="D3135" s="1" t="s">
        <v>12</v>
      </c>
      <c r="E3135" s="1" t="s">
        <v>33</v>
      </c>
      <c r="F3135" s="1" t="s">
        <v>108</v>
      </c>
      <c r="G3135" s="1">
        <v>543</v>
      </c>
      <c r="H3135" s="23">
        <v>45244.59815972222</v>
      </c>
      <c r="I3135" s="1" t="b">
        <v>0</v>
      </c>
      <c r="K3135" s="10">
        <f t="shared" si="242"/>
        <v>35.305833333288319</v>
      </c>
      <c r="L3135" s="1" t="str">
        <f t="shared" si="243"/>
        <v>OK</v>
      </c>
      <c r="M3135" s="1">
        <f t="shared" si="240"/>
        <v>1</v>
      </c>
      <c r="N3135" s="1">
        <f t="shared" si="241"/>
        <v>543</v>
      </c>
      <c r="O3135" s="10">
        <f t="shared" si="244"/>
        <v>35.305833333288319</v>
      </c>
    </row>
    <row r="3136" spans="1:15">
      <c r="A3136" s="1" t="s">
        <v>3241</v>
      </c>
      <c r="B3136" s="23">
        <v>45243.202777777777</v>
      </c>
      <c r="C3136" s="1" t="s">
        <v>25</v>
      </c>
      <c r="D3136" s="1" t="s">
        <v>17</v>
      </c>
      <c r="E3136" s="1" t="s">
        <v>33</v>
      </c>
      <c r="F3136" s="1" t="s">
        <v>134</v>
      </c>
      <c r="G3136" s="1">
        <v>65</v>
      </c>
      <c r="H3136" s="23">
        <v>45248.010682870372</v>
      </c>
      <c r="I3136" s="1" t="b">
        <v>0</v>
      </c>
      <c r="K3136" s="10">
        <f t="shared" si="242"/>
        <v>115.38972222228767</v>
      </c>
      <c r="L3136" s="1" t="str">
        <f t="shared" si="243"/>
        <v>OK</v>
      </c>
      <c r="M3136" s="1">
        <f t="shared" si="240"/>
        <v>1</v>
      </c>
      <c r="N3136" s="1">
        <f t="shared" si="241"/>
        <v>65</v>
      </c>
      <c r="O3136" s="10">
        <f t="shared" si="244"/>
        <v>115.38972222228767</v>
      </c>
    </row>
    <row r="3137" spans="1:15">
      <c r="A3137" s="1" t="s">
        <v>3242</v>
      </c>
      <c r="B3137" s="23">
        <v>45243.508333333331</v>
      </c>
      <c r="C3137" s="1" t="s">
        <v>25</v>
      </c>
      <c r="D3137" s="1" t="s">
        <v>17</v>
      </c>
      <c r="E3137" s="1" t="s">
        <v>13</v>
      </c>
      <c r="F3137" s="1" t="s">
        <v>102</v>
      </c>
      <c r="G3137" s="1">
        <v>46</v>
      </c>
      <c r="I3137" s="1" t="b">
        <v>0</v>
      </c>
      <c r="K3137" s="10" t="str">
        <f t="shared" si="242"/>
        <v/>
      </c>
      <c r="L3137" s="1" t="str">
        <f t="shared" si="243"/>
        <v>Cannot check</v>
      </c>
      <c r="M3137" s="1">
        <f t="shared" si="240"/>
        <v>1</v>
      </c>
      <c r="N3137" s="1">
        <f t="shared" si="241"/>
        <v>46</v>
      </c>
      <c r="O3137" s="10" t="str">
        <f t="shared" si="244"/>
        <v/>
      </c>
    </row>
    <row r="3138" spans="1:15">
      <c r="A3138" s="1" t="s">
        <v>3243</v>
      </c>
      <c r="B3138" s="23">
        <v>45243.637499999997</v>
      </c>
      <c r="C3138" s="1" t="s">
        <v>11</v>
      </c>
      <c r="D3138" s="1" t="s">
        <v>17</v>
      </c>
      <c r="E3138" s="1" t="s">
        <v>18</v>
      </c>
      <c r="F3138" s="1" t="s">
        <v>201</v>
      </c>
      <c r="G3138" s="1">
        <v>123</v>
      </c>
      <c r="I3138" s="1" t="b">
        <v>0</v>
      </c>
      <c r="K3138" s="10" t="str">
        <f t="shared" si="242"/>
        <v/>
      </c>
      <c r="L3138" s="1" t="str">
        <f t="shared" si="243"/>
        <v>Cannot check</v>
      </c>
      <c r="M3138" s="1">
        <f t="shared" ref="M3138:M3201" si="245">COUNTIF($A$2:$A$4001,A3138)</f>
        <v>1</v>
      </c>
      <c r="N3138" s="1">
        <f t="shared" ref="N3138:N3201" si="246">IF(OR(L3138="Review",G3138=""),"",G3138)</f>
        <v>123</v>
      </c>
      <c r="O3138" s="10" t="str">
        <f t="shared" si="244"/>
        <v/>
      </c>
    </row>
    <row r="3139" spans="1:15">
      <c r="A3139" s="1" t="s">
        <v>3244</v>
      </c>
      <c r="B3139" s="23">
        <v>45243.667361111111</v>
      </c>
      <c r="C3139" s="1" t="s">
        <v>16</v>
      </c>
      <c r="D3139" s="1" t="s">
        <v>26</v>
      </c>
      <c r="E3139" s="1" t="s">
        <v>22</v>
      </c>
      <c r="F3139" s="1" t="s">
        <v>35</v>
      </c>
      <c r="G3139" s="1">
        <v>36</v>
      </c>
      <c r="H3139" s="23">
        <v>45244.496469907404</v>
      </c>
      <c r="I3139" s="1" t="b">
        <v>0</v>
      </c>
      <c r="K3139" s="10">
        <f t="shared" ref="K3139:K3202" si="247">IF(H3139="","",(H3139-B3139)*24)</f>
        <v>19.898611111042555</v>
      </c>
      <c r="L3139" s="1" t="str">
        <f t="shared" ref="L3139:L3202" si="248">IF(OR(G3139="",K3139=""),"Cannot check",IF(G3139&gt;K3139*60,"Review","OK"))</f>
        <v>OK</v>
      </c>
      <c r="M3139" s="1">
        <f t="shared" si="245"/>
        <v>1</v>
      </c>
      <c r="N3139" s="1">
        <f t="shared" si="246"/>
        <v>36</v>
      </c>
      <c r="O3139" s="10">
        <f t="shared" ref="O3139:O3202" si="249">IF(OR(L3139="Review",K3139=""),"",K3139)</f>
        <v>19.898611111042555</v>
      </c>
    </row>
    <row r="3140" spans="1:15">
      <c r="A3140" s="1" t="s">
        <v>3245</v>
      </c>
      <c r="B3140" s="23">
        <v>45243.71597222222</v>
      </c>
      <c r="C3140" s="1" t="s">
        <v>25</v>
      </c>
      <c r="D3140" s="1" t="s">
        <v>26</v>
      </c>
      <c r="E3140" s="1" t="s">
        <v>18</v>
      </c>
      <c r="F3140" s="1" t="s">
        <v>116</v>
      </c>
      <c r="G3140" s="1">
        <v>162</v>
      </c>
      <c r="H3140" s="23">
        <v>45247.55877314815</v>
      </c>
      <c r="I3140" s="1" t="b">
        <v>0</v>
      </c>
      <c r="K3140" s="10">
        <f t="shared" si="247"/>
        <v>92.227222222310957</v>
      </c>
      <c r="L3140" s="1" t="str">
        <f t="shared" si="248"/>
        <v>OK</v>
      </c>
      <c r="M3140" s="1">
        <f t="shared" si="245"/>
        <v>1</v>
      </c>
      <c r="N3140" s="1">
        <f t="shared" si="246"/>
        <v>162</v>
      </c>
      <c r="O3140" s="10">
        <f t="shared" si="249"/>
        <v>92.227222222310957</v>
      </c>
    </row>
    <row r="3141" spans="1:15">
      <c r="A3141" s="1" t="s">
        <v>3246</v>
      </c>
      <c r="B3141" s="23">
        <v>45243.740277777775</v>
      </c>
      <c r="C3141" s="1" t="s">
        <v>43</v>
      </c>
      <c r="D3141" s="1" t="s">
        <v>21</v>
      </c>
      <c r="E3141" s="1" t="s">
        <v>18</v>
      </c>
      <c r="F3141" s="1" t="s">
        <v>48</v>
      </c>
      <c r="G3141" s="1">
        <v>68</v>
      </c>
      <c r="H3141" s="23">
        <v>45244.178344907406</v>
      </c>
      <c r="I3141" s="1" t="b">
        <v>0</v>
      </c>
      <c r="J3141" s="1">
        <v>5</v>
      </c>
      <c r="K3141" s="10">
        <f t="shared" si="247"/>
        <v>10.513611111149658</v>
      </c>
      <c r="L3141" s="1" t="str">
        <f t="shared" si="248"/>
        <v>OK</v>
      </c>
      <c r="M3141" s="1">
        <f t="shared" si="245"/>
        <v>1</v>
      </c>
      <c r="N3141" s="1">
        <f t="shared" si="246"/>
        <v>68</v>
      </c>
      <c r="O3141" s="10">
        <f t="shared" si="249"/>
        <v>10.513611111149658</v>
      </c>
    </row>
    <row r="3142" spans="1:15">
      <c r="A3142" s="1" t="s">
        <v>3247</v>
      </c>
      <c r="B3142" s="23">
        <v>45243.769444444442</v>
      </c>
      <c r="C3142" s="1" t="s">
        <v>11</v>
      </c>
      <c r="D3142" s="1" t="s">
        <v>59</v>
      </c>
      <c r="E3142" s="1" t="s">
        <v>18</v>
      </c>
      <c r="F3142" s="1" t="s">
        <v>29</v>
      </c>
      <c r="G3142" s="1">
        <v>42</v>
      </c>
      <c r="H3142" s="23">
        <v>45249.336053240739</v>
      </c>
      <c r="I3142" s="1" t="b">
        <v>0</v>
      </c>
      <c r="K3142" s="10">
        <f t="shared" si="247"/>
        <v>133.5986111111124</v>
      </c>
      <c r="L3142" s="1" t="str">
        <f t="shared" si="248"/>
        <v>OK</v>
      </c>
      <c r="M3142" s="1">
        <f t="shared" si="245"/>
        <v>1</v>
      </c>
      <c r="N3142" s="1">
        <f t="shared" si="246"/>
        <v>42</v>
      </c>
      <c r="O3142" s="10">
        <f t="shared" si="249"/>
        <v>133.5986111111124</v>
      </c>
    </row>
    <row r="3143" spans="1:15">
      <c r="A3143" s="1" t="s">
        <v>3248</v>
      </c>
      <c r="B3143" s="23">
        <v>45243.807638888888</v>
      </c>
      <c r="C3143" s="1" t="s">
        <v>16</v>
      </c>
      <c r="D3143" s="1" t="s">
        <v>26</v>
      </c>
      <c r="E3143" s="1" t="s">
        <v>18</v>
      </c>
      <c r="F3143" s="1" t="s">
        <v>198</v>
      </c>
      <c r="G3143" s="1">
        <v>73</v>
      </c>
      <c r="H3143" s="23">
        <v>45244.963564814818</v>
      </c>
      <c r="I3143" s="1" t="b">
        <v>0</v>
      </c>
      <c r="K3143" s="10">
        <f t="shared" si="247"/>
        <v>27.742222222324926</v>
      </c>
      <c r="L3143" s="1" t="str">
        <f t="shared" si="248"/>
        <v>OK</v>
      </c>
      <c r="M3143" s="1">
        <f t="shared" si="245"/>
        <v>1</v>
      </c>
      <c r="N3143" s="1">
        <f t="shared" si="246"/>
        <v>73</v>
      </c>
      <c r="O3143" s="10">
        <f t="shared" si="249"/>
        <v>27.742222222324926</v>
      </c>
    </row>
    <row r="3144" spans="1:15">
      <c r="A3144" s="1" t="s">
        <v>3249</v>
      </c>
      <c r="B3144" s="23">
        <v>45243.932638888888</v>
      </c>
      <c r="C3144" s="1" t="s">
        <v>11</v>
      </c>
      <c r="D3144" s="1" t="s">
        <v>17</v>
      </c>
      <c r="E3144" s="1" t="s">
        <v>18</v>
      </c>
      <c r="F3144" s="1" t="s">
        <v>112</v>
      </c>
      <c r="G3144" s="1">
        <v>60</v>
      </c>
      <c r="H3144" s="23">
        <v>45244.526979166665</v>
      </c>
      <c r="I3144" s="1" t="b">
        <v>0</v>
      </c>
      <c r="K3144" s="10">
        <f t="shared" si="247"/>
        <v>14.264166666660458</v>
      </c>
      <c r="L3144" s="1" t="str">
        <f t="shared" si="248"/>
        <v>OK</v>
      </c>
      <c r="M3144" s="1">
        <f t="shared" si="245"/>
        <v>1</v>
      </c>
      <c r="N3144" s="1">
        <f t="shared" si="246"/>
        <v>60</v>
      </c>
      <c r="O3144" s="10">
        <f t="shared" si="249"/>
        <v>14.264166666660458</v>
      </c>
    </row>
    <row r="3145" spans="1:15">
      <c r="A3145" s="1" t="s">
        <v>3250</v>
      </c>
      <c r="B3145" s="23">
        <v>45243.93472222222</v>
      </c>
      <c r="C3145" s="1" t="s">
        <v>16</v>
      </c>
      <c r="D3145" s="1" t="s">
        <v>26</v>
      </c>
      <c r="E3145" s="1" t="s">
        <v>18</v>
      </c>
      <c r="F3145" s="1" t="s">
        <v>153</v>
      </c>
      <c r="G3145" s="1">
        <v>10</v>
      </c>
      <c r="H3145" s="23">
        <v>45244.301655092589</v>
      </c>
      <c r="I3145" s="1" t="b">
        <v>1</v>
      </c>
      <c r="K3145" s="10">
        <f t="shared" si="247"/>
        <v>8.8063888888573274</v>
      </c>
      <c r="L3145" s="1" t="str">
        <f t="shared" si="248"/>
        <v>OK</v>
      </c>
      <c r="M3145" s="1">
        <f t="shared" si="245"/>
        <v>1</v>
      </c>
      <c r="N3145" s="1">
        <f t="shared" si="246"/>
        <v>10</v>
      </c>
      <c r="O3145" s="10">
        <f t="shared" si="249"/>
        <v>8.8063888888573274</v>
      </c>
    </row>
    <row r="3146" spans="1:15">
      <c r="A3146" s="1" t="s">
        <v>3251</v>
      </c>
      <c r="B3146" s="23">
        <v>45244.000694444447</v>
      </c>
      <c r="C3146" s="1" t="s">
        <v>25</v>
      </c>
      <c r="D3146" s="1" t="s">
        <v>26</v>
      </c>
      <c r="E3146" s="1" t="s">
        <v>13</v>
      </c>
      <c r="F3146" s="1" t="s">
        <v>74</v>
      </c>
      <c r="G3146" s="1">
        <v>11</v>
      </c>
      <c r="H3146" s="23">
        <v>45244.268680555557</v>
      </c>
      <c r="I3146" s="1" t="b">
        <v>0</v>
      </c>
      <c r="K3146" s="10">
        <f t="shared" si="247"/>
        <v>6.4316666666418314</v>
      </c>
      <c r="L3146" s="1" t="str">
        <f t="shared" si="248"/>
        <v>OK</v>
      </c>
      <c r="M3146" s="1">
        <f t="shared" si="245"/>
        <v>1</v>
      </c>
      <c r="N3146" s="1">
        <f t="shared" si="246"/>
        <v>11</v>
      </c>
      <c r="O3146" s="10">
        <f t="shared" si="249"/>
        <v>6.4316666666418314</v>
      </c>
    </row>
    <row r="3147" spans="1:15">
      <c r="A3147" s="1" t="s">
        <v>3252</v>
      </c>
      <c r="B3147" s="23">
        <v>45244.436805555553</v>
      </c>
      <c r="C3147" s="1" t="s">
        <v>11</v>
      </c>
      <c r="D3147" s="1" t="s">
        <v>17</v>
      </c>
      <c r="E3147" s="1" t="s">
        <v>18</v>
      </c>
      <c r="F3147" s="1" t="s">
        <v>37</v>
      </c>
      <c r="G3147" s="1">
        <v>158</v>
      </c>
      <c r="H3147" s="23">
        <v>45258.599942129629</v>
      </c>
      <c r="I3147" s="1" t="b">
        <v>0</v>
      </c>
      <c r="J3147" s="1">
        <v>5</v>
      </c>
      <c r="K3147" s="10">
        <f t="shared" si="247"/>
        <v>339.91527777782176</v>
      </c>
      <c r="L3147" s="1" t="str">
        <f t="shared" si="248"/>
        <v>OK</v>
      </c>
      <c r="M3147" s="1">
        <f t="shared" si="245"/>
        <v>1</v>
      </c>
      <c r="N3147" s="1">
        <f t="shared" si="246"/>
        <v>158</v>
      </c>
      <c r="O3147" s="10">
        <f t="shared" si="249"/>
        <v>339.91527777782176</v>
      </c>
    </row>
    <row r="3148" spans="1:15">
      <c r="A3148" s="1" t="s">
        <v>3253</v>
      </c>
      <c r="B3148" s="23">
        <v>45244.555555555555</v>
      </c>
      <c r="C3148" s="1" t="s">
        <v>11</v>
      </c>
      <c r="D3148" s="1" t="s">
        <v>12</v>
      </c>
      <c r="E3148" s="1" t="s">
        <v>18</v>
      </c>
      <c r="F3148" s="1" t="s">
        <v>60</v>
      </c>
      <c r="G3148" s="1">
        <v>137</v>
      </c>
      <c r="I3148" s="1" t="b">
        <v>0</v>
      </c>
      <c r="K3148" s="10" t="str">
        <f t="shared" si="247"/>
        <v/>
      </c>
      <c r="L3148" s="1" t="str">
        <f t="shared" si="248"/>
        <v>Cannot check</v>
      </c>
      <c r="M3148" s="1">
        <f t="shared" si="245"/>
        <v>1</v>
      </c>
      <c r="N3148" s="1">
        <f t="shared" si="246"/>
        <v>137</v>
      </c>
      <c r="O3148" s="10" t="str">
        <f t="shared" si="249"/>
        <v/>
      </c>
    </row>
    <row r="3149" spans="1:15">
      <c r="A3149" s="1" t="s">
        <v>3254</v>
      </c>
      <c r="B3149" s="23">
        <v>45244.56527777778</v>
      </c>
      <c r="C3149" s="1" t="s">
        <v>11</v>
      </c>
      <c r="D3149" s="1" t="s">
        <v>12</v>
      </c>
      <c r="E3149" s="1" t="s">
        <v>18</v>
      </c>
      <c r="F3149" s="1" t="s">
        <v>41</v>
      </c>
      <c r="G3149" s="1">
        <v>65</v>
      </c>
      <c r="H3149" s="23">
        <v>45244.732743055552</v>
      </c>
      <c r="I3149" s="1" t="b">
        <v>0</v>
      </c>
      <c r="J3149" s="1">
        <v>4</v>
      </c>
      <c r="K3149" s="10">
        <f t="shared" si="247"/>
        <v>4.0191666665486991</v>
      </c>
      <c r="L3149" s="1" t="str">
        <f t="shared" si="248"/>
        <v>OK</v>
      </c>
      <c r="M3149" s="1">
        <f t="shared" si="245"/>
        <v>1</v>
      </c>
      <c r="N3149" s="1">
        <f t="shared" si="246"/>
        <v>65</v>
      </c>
      <c r="O3149" s="10">
        <f t="shared" si="249"/>
        <v>4.0191666665486991</v>
      </c>
    </row>
    <row r="3150" spans="1:15">
      <c r="A3150" s="1" t="s">
        <v>3255</v>
      </c>
      <c r="B3150" s="23">
        <v>45244.619444444441</v>
      </c>
      <c r="C3150" s="1" t="s">
        <v>43</v>
      </c>
      <c r="D3150" s="1" t="s">
        <v>21</v>
      </c>
      <c r="E3150" s="1" t="s">
        <v>33</v>
      </c>
      <c r="F3150" s="1" t="s">
        <v>108</v>
      </c>
      <c r="G3150" s="1">
        <v>92</v>
      </c>
      <c r="H3150" s="23">
        <v>45245.718472222223</v>
      </c>
      <c r="I3150" s="1" t="b">
        <v>0</v>
      </c>
      <c r="K3150" s="10">
        <f t="shared" si="247"/>
        <v>26.376666666765232</v>
      </c>
      <c r="L3150" s="1" t="str">
        <f t="shared" si="248"/>
        <v>OK</v>
      </c>
      <c r="M3150" s="1">
        <f t="shared" si="245"/>
        <v>1</v>
      </c>
      <c r="N3150" s="1">
        <f t="shared" si="246"/>
        <v>92</v>
      </c>
      <c r="O3150" s="10">
        <f t="shared" si="249"/>
        <v>26.376666666765232</v>
      </c>
    </row>
    <row r="3151" spans="1:15">
      <c r="A3151" s="1" t="s">
        <v>3256</v>
      </c>
      <c r="B3151" s="23">
        <v>45244.686111111114</v>
      </c>
      <c r="C3151" s="1" t="s">
        <v>25</v>
      </c>
      <c r="D3151" s="1" t="s">
        <v>26</v>
      </c>
      <c r="E3151" s="1" t="s">
        <v>18</v>
      </c>
      <c r="F3151" s="1" t="s">
        <v>162</v>
      </c>
      <c r="G3151" s="1">
        <v>127</v>
      </c>
      <c r="I3151" s="1" t="b">
        <v>0</v>
      </c>
      <c r="K3151" s="10" t="str">
        <f t="shared" si="247"/>
        <v/>
      </c>
      <c r="L3151" s="1" t="str">
        <f t="shared" si="248"/>
        <v>Cannot check</v>
      </c>
      <c r="M3151" s="1">
        <f t="shared" si="245"/>
        <v>1</v>
      </c>
      <c r="N3151" s="1">
        <f t="shared" si="246"/>
        <v>127</v>
      </c>
      <c r="O3151" s="10" t="str">
        <f t="shared" si="249"/>
        <v/>
      </c>
    </row>
    <row r="3152" spans="1:15">
      <c r="A3152" s="1" t="s">
        <v>3257</v>
      </c>
      <c r="B3152" s="23">
        <v>45244.770833333336</v>
      </c>
      <c r="C3152" s="1" t="s">
        <v>25</v>
      </c>
      <c r="D3152" s="1" t="s">
        <v>26</v>
      </c>
      <c r="E3152" s="1" t="s">
        <v>18</v>
      </c>
      <c r="F3152" s="1" t="s">
        <v>198</v>
      </c>
      <c r="G3152" s="1">
        <v>378</v>
      </c>
      <c r="H3152" s="23">
        <v>45273.068171296298</v>
      </c>
      <c r="I3152" s="1" t="b">
        <v>0</v>
      </c>
      <c r="K3152" s="10">
        <f t="shared" si="247"/>
        <v>679.13611111108912</v>
      </c>
      <c r="L3152" s="1" t="str">
        <f t="shared" si="248"/>
        <v>OK</v>
      </c>
      <c r="M3152" s="1">
        <f t="shared" si="245"/>
        <v>1</v>
      </c>
      <c r="N3152" s="1">
        <f t="shared" si="246"/>
        <v>378</v>
      </c>
      <c r="O3152" s="10">
        <f t="shared" si="249"/>
        <v>679.13611111108912</v>
      </c>
    </row>
    <row r="3153" spans="1:15">
      <c r="A3153" s="1" t="s">
        <v>3258</v>
      </c>
      <c r="B3153" s="23">
        <v>45244.838194444441</v>
      </c>
      <c r="C3153" s="1" t="s">
        <v>16</v>
      </c>
      <c r="D3153" s="1" t="s">
        <v>21</v>
      </c>
      <c r="E3153" s="1" t="s">
        <v>33</v>
      </c>
      <c r="F3153" s="1" t="s">
        <v>60</v>
      </c>
      <c r="G3153" s="1">
        <v>174</v>
      </c>
      <c r="H3153" s="23">
        <v>45246.803402777776</v>
      </c>
      <c r="I3153" s="1" t="b">
        <v>0</v>
      </c>
      <c r="K3153" s="10">
        <f t="shared" si="247"/>
        <v>47.165000000037253</v>
      </c>
      <c r="L3153" s="1" t="str">
        <f t="shared" si="248"/>
        <v>OK</v>
      </c>
      <c r="M3153" s="1">
        <f t="shared" si="245"/>
        <v>1</v>
      </c>
      <c r="N3153" s="1">
        <f t="shared" si="246"/>
        <v>174</v>
      </c>
      <c r="O3153" s="10">
        <f t="shared" si="249"/>
        <v>47.165000000037253</v>
      </c>
    </row>
    <row r="3154" spans="1:15">
      <c r="A3154" s="1" t="s">
        <v>3259</v>
      </c>
      <c r="B3154" s="23">
        <v>45244.884722222225</v>
      </c>
      <c r="C3154" s="1" t="s">
        <v>25</v>
      </c>
      <c r="D3154" s="1" t="s">
        <v>17</v>
      </c>
      <c r="E3154" s="1" t="s">
        <v>33</v>
      </c>
      <c r="F3154" s="1" t="s">
        <v>175</v>
      </c>
      <c r="G3154" s="1">
        <v>395</v>
      </c>
      <c r="H3154" s="23">
        <v>45245.678506944445</v>
      </c>
      <c r="I3154" s="1" t="b">
        <v>0</v>
      </c>
      <c r="K3154" s="10">
        <f t="shared" si="247"/>
        <v>19.050833333283663</v>
      </c>
      <c r="L3154" s="1" t="str">
        <f t="shared" si="248"/>
        <v>OK</v>
      </c>
      <c r="M3154" s="1">
        <f t="shared" si="245"/>
        <v>1</v>
      </c>
      <c r="N3154" s="1">
        <f t="shared" si="246"/>
        <v>395</v>
      </c>
      <c r="O3154" s="10">
        <f t="shared" si="249"/>
        <v>19.050833333283663</v>
      </c>
    </row>
    <row r="3155" spans="1:15">
      <c r="A3155" s="1" t="s">
        <v>3260</v>
      </c>
      <c r="B3155" s="23">
        <v>45245.011111111111</v>
      </c>
      <c r="C3155" s="1" t="s">
        <v>16</v>
      </c>
      <c r="D3155" s="1" t="s">
        <v>12</v>
      </c>
      <c r="E3155" s="1" t="s">
        <v>13</v>
      </c>
      <c r="F3155" s="1" t="s">
        <v>112</v>
      </c>
      <c r="G3155" s="1">
        <v>120</v>
      </c>
      <c r="H3155" s="23">
        <v>45245.781076388892</v>
      </c>
      <c r="I3155" s="1" t="b">
        <v>0</v>
      </c>
      <c r="J3155" s="1">
        <v>4</v>
      </c>
      <c r="K3155" s="10">
        <f t="shared" si="247"/>
        <v>18.479166666744277</v>
      </c>
      <c r="L3155" s="1" t="str">
        <f t="shared" si="248"/>
        <v>OK</v>
      </c>
      <c r="M3155" s="1">
        <f t="shared" si="245"/>
        <v>1</v>
      </c>
      <c r="N3155" s="1">
        <f t="shared" si="246"/>
        <v>120</v>
      </c>
      <c r="O3155" s="10">
        <f t="shared" si="249"/>
        <v>18.479166666744277</v>
      </c>
    </row>
    <row r="3156" spans="1:15">
      <c r="A3156" s="1" t="s">
        <v>3261</v>
      </c>
      <c r="B3156" s="23">
        <v>45245.125694444447</v>
      </c>
      <c r="C3156" s="1" t="s">
        <v>11</v>
      </c>
      <c r="D3156" s="1" t="s">
        <v>26</v>
      </c>
      <c r="E3156" s="1" t="s">
        <v>18</v>
      </c>
      <c r="F3156" s="1" t="s">
        <v>92</v>
      </c>
      <c r="G3156" s="1">
        <v>214</v>
      </c>
      <c r="H3156" s="23">
        <v>45248.984201388892</v>
      </c>
      <c r="I3156" s="1" t="b">
        <v>0</v>
      </c>
      <c r="J3156" s="1">
        <v>5</v>
      </c>
      <c r="K3156" s="10">
        <f t="shared" si="247"/>
        <v>92.604166666686069</v>
      </c>
      <c r="L3156" s="1" t="str">
        <f t="shared" si="248"/>
        <v>OK</v>
      </c>
      <c r="M3156" s="1">
        <f t="shared" si="245"/>
        <v>1</v>
      </c>
      <c r="N3156" s="1">
        <f t="shared" si="246"/>
        <v>214</v>
      </c>
      <c r="O3156" s="10">
        <f t="shared" si="249"/>
        <v>92.604166666686069</v>
      </c>
    </row>
    <row r="3157" spans="1:15">
      <c r="A3157" s="1" t="s">
        <v>3262</v>
      </c>
      <c r="B3157" s="23">
        <v>45245.15347222222</v>
      </c>
      <c r="C3157" s="1" t="s">
        <v>25</v>
      </c>
      <c r="D3157" s="1" t="s">
        <v>17</v>
      </c>
      <c r="E3157" s="1" t="s">
        <v>18</v>
      </c>
      <c r="F3157" s="1" t="s">
        <v>19</v>
      </c>
      <c r="G3157" s="1">
        <v>40</v>
      </c>
      <c r="H3157" s="23">
        <v>45246.156157407408</v>
      </c>
      <c r="I3157" s="1" t="b">
        <v>0</v>
      </c>
      <c r="J3157" s="1">
        <v>3</v>
      </c>
      <c r="K3157" s="10">
        <f t="shared" si="247"/>
        <v>24.064444444491528</v>
      </c>
      <c r="L3157" s="1" t="str">
        <f t="shared" si="248"/>
        <v>OK</v>
      </c>
      <c r="M3157" s="1">
        <f t="shared" si="245"/>
        <v>1</v>
      </c>
      <c r="N3157" s="1">
        <f t="shared" si="246"/>
        <v>40</v>
      </c>
      <c r="O3157" s="10">
        <f t="shared" si="249"/>
        <v>24.064444444491528</v>
      </c>
    </row>
    <row r="3158" spans="1:15">
      <c r="A3158" s="1" t="s">
        <v>3263</v>
      </c>
      <c r="B3158" s="23">
        <v>45245.181944444441</v>
      </c>
      <c r="C3158" s="1" t="s">
        <v>16</v>
      </c>
      <c r="D3158" s="1" t="s">
        <v>59</v>
      </c>
      <c r="E3158" s="1" t="s">
        <v>33</v>
      </c>
      <c r="F3158" s="1" t="s">
        <v>46</v>
      </c>
      <c r="G3158" s="1">
        <v>122</v>
      </c>
      <c r="H3158" s="23">
        <v>45247.047337962962</v>
      </c>
      <c r="I3158" s="1" t="b">
        <v>0</v>
      </c>
      <c r="K3158" s="10">
        <f t="shared" si="247"/>
        <v>44.769444444507826</v>
      </c>
      <c r="L3158" s="1" t="str">
        <f t="shared" si="248"/>
        <v>OK</v>
      </c>
      <c r="M3158" s="1">
        <f t="shared" si="245"/>
        <v>1</v>
      </c>
      <c r="N3158" s="1">
        <f t="shared" si="246"/>
        <v>122</v>
      </c>
      <c r="O3158" s="10">
        <f t="shared" si="249"/>
        <v>44.769444444507826</v>
      </c>
    </row>
    <row r="3159" spans="1:15">
      <c r="A3159" s="1" t="s">
        <v>3264</v>
      </c>
      <c r="B3159" s="23">
        <v>45245.213194444441</v>
      </c>
      <c r="C3159" s="1" t="s">
        <v>25</v>
      </c>
      <c r="D3159" s="1" t="s">
        <v>21</v>
      </c>
      <c r="E3159" s="1" t="s">
        <v>33</v>
      </c>
      <c r="F3159" s="1" t="s">
        <v>153</v>
      </c>
      <c r="G3159" s="1">
        <v>200</v>
      </c>
      <c r="H3159" s="23">
        <v>45246.008344907408</v>
      </c>
      <c r="I3159" s="1" t="b">
        <v>0</v>
      </c>
      <c r="K3159" s="10">
        <f t="shared" si="247"/>
        <v>19.08361111121485</v>
      </c>
      <c r="L3159" s="1" t="str">
        <f t="shared" si="248"/>
        <v>OK</v>
      </c>
      <c r="M3159" s="1">
        <f t="shared" si="245"/>
        <v>1</v>
      </c>
      <c r="N3159" s="1">
        <f t="shared" si="246"/>
        <v>200</v>
      </c>
      <c r="O3159" s="10">
        <f t="shared" si="249"/>
        <v>19.08361111121485</v>
      </c>
    </row>
    <row r="3160" spans="1:15">
      <c r="A3160" s="1" t="s">
        <v>3265</v>
      </c>
      <c r="B3160" s="23">
        <v>45245.259722222225</v>
      </c>
      <c r="C3160" s="1" t="s">
        <v>16</v>
      </c>
      <c r="D3160" s="1" t="s">
        <v>12</v>
      </c>
      <c r="E3160" s="1" t="s">
        <v>18</v>
      </c>
      <c r="F3160" s="1" t="s">
        <v>274</v>
      </c>
      <c r="G3160" s="1">
        <v>190</v>
      </c>
      <c r="H3160" s="23">
        <v>45247.663252314815</v>
      </c>
      <c r="I3160" s="1" t="b">
        <v>0</v>
      </c>
      <c r="J3160" s="1">
        <v>5</v>
      </c>
      <c r="K3160" s="10">
        <f t="shared" si="247"/>
        <v>57.68472222215496</v>
      </c>
      <c r="L3160" s="1" t="str">
        <f t="shared" si="248"/>
        <v>OK</v>
      </c>
      <c r="M3160" s="1">
        <f t="shared" si="245"/>
        <v>1</v>
      </c>
      <c r="N3160" s="1">
        <f t="shared" si="246"/>
        <v>190</v>
      </c>
      <c r="O3160" s="10">
        <f t="shared" si="249"/>
        <v>57.68472222215496</v>
      </c>
    </row>
    <row r="3161" spans="1:15">
      <c r="A3161" s="1" t="s">
        <v>3266</v>
      </c>
      <c r="B3161" s="23">
        <v>45245.313194444447</v>
      </c>
      <c r="C3161" s="1" t="s">
        <v>16</v>
      </c>
      <c r="D3161" s="1" t="s">
        <v>12</v>
      </c>
      <c r="E3161" s="1" t="s">
        <v>33</v>
      </c>
      <c r="F3161" s="1" t="s">
        <v>198</v>
      </c>
      <c r="G3161" s="1">
        <v>39</v>
      </c>
      <c r="H3161" s="23">
        <v>45248.277361111112</v>
      </c>
      <c r="I3161" s="1" t="b">
        <v>0</v>
      </c>
      <c r="K3161" s="10">
        <f t="shared" si="247"/>
        <v>71.139999999955762</v>
      </c>
      <c r="L3161" s="1" t="str">
        <f t="shared" si="248"/>
        <v>OK</v>
      </c>
      <c r="M3161" s="1">
        <f t="shared" si="245"/>
        <v>1</v>
      </c>
      <c r="N3161" s="1">
        <f t="shared" si="246"/>
        <v>39</v>
      </c>
      <c r="O3161" s="10">
        <f t="shared" si="249"/>
        <v>71.139999999955762</v>
      </c>
    </row>
    <row r="3162" spans="1:15">
      <c r="A3162" s="1" t="s">
        <v>3267</v>
      </c>
      <c r="B3162" s="23">
        <v>45245.344444444447</v>
      </c>
      <c r="C3162" s="1" t="s">
        <v>25</v>
      </c>
      <c r="D3162" s="1" t="s">
        <v>21</v>
      </c>
      <c r="E3162" s="1" t="s">
        <v>18</v>
      </c>
      <c r="F3162" s="1" t="s">
        <v>70</v>
      </c>
      <c r="G3162" s="1">
        <v>62</v>
      </c>
      <c r="H3162" s="23">
        <v>45247.138460648152</v>
      </c>
      <c r="I3162" s="1" t="b">
        <v>0</v>
      </c>
      <c r="J3162" s="1">
        <v>5</v>
      </c>
      <c r="K3162" s="10">
        <f t="shared" si="247"/>
        <v>43.056388888915535</v>
      </c>
      <c r="L3162" s="1" t="str">
        <f t="shared" si="248"/>
        <v>OK</v>
      </c>
      <c r="M3162" s="1">
        <f t="shared" si="245"/>
        <v>1</v>
      </c>
      <c r="N3162" s="1">
        <f t="shared" si="246"/>
        <v>62</v>
      </c>
      <c r="O3162" s="10">
        <f t="shared" si="249"/>
        <v>43.056388888915535</v>
      </c>
    </row>
    <row r="3163" spans="1:15">
      <c r="A3163" s="1" t="s">
        <v>3268</v>
      </c>
      <c r="B3163" s="23">
        <v>45245.404166666667</v>
      </c>
      <c r="C3163" s="1" t="s">
        <v>16</v>
      </c>
      <c r="D3163" s="1" t="s">
        <v>17</v>
      </c>
      <c r="E3163" s="1" t="s">
        <v>18</v>
      </c>
      <c r="F3163" s="1" t="s">
        <v>130</v>
      </c>
      <c r="G3163" s="1">
        <v>179</v>
      </c>
      <c r="H3163" s="23">
        <v>45245.570347222223</v>
      </c>
      <c r="I3163" s="1" t="b">
        <v>0</v>
      </c>
      <c r="K3163" s="10">
        <f t="shared" si="247"/>
        <v>3.9883333333418705</v>
      </c>
      <c r="L3163" s="1" t="str">
        <f t="shared" si="248"/>
        <v>OK</v>
      </c>
      <c r="M3163" s="1">
        <f t="shared" si="245"/>
        <v>1</v>
      </c>
      <c r="N3163" s="1">
        <f t="shared" si="246"/>
        <v>179</v>
      </c>
      <c r="O3163" s="10">
        <f t="shared" si="249"/>
        <v>3.9883333333418705</v>
      </c>
    </row>
    <row r="3164" spans="1:15">
      <c r="A3164" s="1" t="s">
        <v>3269</v>
      </c>
      <c r="B3164" s="23">
        <v>45245.46597222222</v>
      </c>
      <c r="C3164" s="1" t="s">
        <v>16</v>
      </c>
      <c r="D3164" s="1" t="s">
        <v>17</v>
      </c>
      <c r="E3164" s="1" t="s">
        <v>22</v>
      </c>
      <c r="F3164" s="1" t="s">
        <v>54</v>
      </c>
      <c r="G3164" s="1">
        <v>11</v>
      </c>
      <c r="H3164" s="23">
        <v>45247.266053240739</v>
      </c>
      <c r="I3164" s="1" t="b">
        <v>0</v>
      </c>
      <c r="K3164" s="10">
        <f t="shared" si="247"/>
        <v>43.201944444444962</v>
      </c>
      <c r="L3164" s="1" t="str">
        <f t="shared" si="248"/>
        <v>OK</v>
      </c>
      <c r="M3164" s="1">
        <f t="shared" si="245"/>
        <v>1</v>
      </c>
      <c r="N3164" s="1">
        <f t="shared" si="246"/>
        <v>11</v>
      </c>
      <c r="O3164" s="10">
        <f t="shared" si="249"/>
        <v>43.201944444444962</v>
      </c>
    </row>
    <row r="3165" spans="1:15">
      <c r="A3165" s="1" t="s">
        <v>3270</v>
      </c>
      <c r="B3165" s="23">
        <v>45245.525694444441</v>
      </c>
      <c r="C3165" s="1" t="s">
        <v>43</v>
      </c>
      <c r="D3165" s="1" t="s">
        <v>17</v>
      </c>
      <c r="E3165" s="1" t="s">
        <v>33</v>
      </c>
      <c r="F3165" s="1" t="s">
        <v>162</v>
      </c>
      <c r="G3165" s="1">
        <v>264</v>
      </c>
      <c r="H3165" s="23">
        <v>45246.930925925924</v>
      </c>
      <c r="I3165" s="1" t="b">
        <v>0</v>
      </c>
      <c r="K3165" s="10">
        <f t="shared" si="247"/>
        <v>33.725555555603933</v>
      </c>
      <c r="L3165" s="1" t="str">
        <f t="shared" si="248"/>
        <v>OK</v>
      </c>
      <c r="M3165" s="1">
        <f t="shared" si="245"/>
        <v>1</v>
      </c>
      <c r="N3165" s="1">
        <f t="shared" si="246"/>
        <v>264</v>
      </c>
      <c r="O3165" s="10">
        <f t="shared" si="249"/>
        <v>33.725555555603933</v>
      </c>
    </row>
    <row r="3166" spans="1:15">
      <c r="A3166" s="1" t="s">
        <v>3271</v>
      </c>
      <c r="B3166" s="23">
        <v>45245.539583333331</v>
      </c>
      <c r="C3166" s="1" t="s">
        <v>11</v>
      </c>
      <c r="D3166" s="1" t="s">
        <v>59</v>
      </c>
      <c r="E3166" s="1" t="s">
        <v>18</v>
      </c>
      <c r="F3166" s="1" t="s">
        <v>64</v>
      </c>
      <c r="G3166" s="1">
        <v>163</v>
      </c>
      <c r="H3166" s="23">
        <v>45265.412766203706</v>
      </c>
      <c r="I3166" s="1" t="b">
        <v>0</v>
      </c>
      <c r="K3166" s="10">
        <f t="shared" si="247"/>
        <v>476.95638888899703</v>
      </c>
      <c r="L3166" s="1" t="str">
        <f t="shared" si="248"/>
        <v>OK</v>
      </c>
      <c r="M3166" s="1">
        <f t="shared" si="245"/>
        <v>1</v>
      </c>
      <c r="N3166" s="1">
        <f t="shared" si="246"/>
        <v>163</v>
      </c>
      <c r="O3166" s="10">
        <f t="shared" si="249"/>
        <v>476.95638888899703</v>
      </c>
    </row>
    <row r="3167" spans="1:15">
      <c r="A3167" s="1" t="s">
        <v>3272</v>
      </c>
      <c r="B3167" s="23">
        <v>45245.625694444447</v>
      </c>
      <c r="C3167" s="1" t="s">
        <v>25</v>
      </c>
      <c r="D3167" s="1" t="s">
        <v>59</v>
      </c>
      <c r="E3167" s="1" t="s">
        <v>33</v>
      </c>
      <c r="F3167" s="1" t="s">
        <v>29</v>
      </c>
      <c r="G3167" s="1">
        <v>440</v>
      </c>
      <c r="H3167" s="23">
        <v>45246.523182870369</v>
      </c>
      <c r="I3167" s="1" t="b">
        <v>0</v>
      </c>
      <c r="J3167" s="1">
        <v>4</v>
      </c>
      <c r="K3167" s="10">
        <f t="shared" si="247"/>
        <v>21.539722222136334</v>
      </c>
      <c r="L3167" s="1" t="str">
        <f t="shared" si="248"/>
        <v>OK</v>
      </c>
      <c r="M3167" s="1">
        <f t="shared" si="245"/>
        <v>1</v>
      </c>
      <c r="N3167" s="1">
        <f t="shared" si="246"/>
        <v>440</v>
      </c>
      <c r="O3167" s="10">
        <f t="shared" si="249"/>
        <v>21.539722222136334</v>
      </c>
    </row>
    <row r="3168" spans="1:15">
      <c r="A3168" s="1" t="s">
        <v>3273</v>
      </c>
      <c r="B3168" s="23">
        <v>45245.736805555556</v>
      </c>
      <c r="C3168" s="1" t="s">
        <v>16</v>
      </c>
      <c r="D3168" s="1" t="s">
        <v>17</v>
      </c>
      <c r="E3168" s="1" t="s">
        <v>33</v>
      </c>
      <c r="F3168" s="1" t="s">
        <v>60</v>
      </c>
      <c r="G3168" s="1">
        <v>126</v>
      </c>
      <c r="H3168" s="23">
        <v>45251.947881944441</v>
      </c>
      <c r="I3168" s="1" t="b">
        <v>0</v>
      </c>
      <c r="K3168" s="10">
        <f t="shared" si="247"/>
        <v>149.06583333323942</v>
      </c>
      <c r="L3168" s="1" t="str">
        <f t="shared" si="248"/>
        <v>OK</v>
      </c>
      <c r="M3168" s="1">
        <f t="shared" si="245"/>
        <v>1</v>
      </c>
      <c r="N3168" s="1">
        <f t="shared" si="246"/>
        <v>126</v>
      </c>
      <c r="O3168" s="10">
        <f t="shared" si="249"/>
        <v>149.06583333323942</v>
      </c>
    </row>
    <row r="3169" spans="1:15">
      <c r="A3169" s="1" t="s">
        <v>3274</v>
      </c>
      <c r="B3169" s="23">
        <v>45245.841666666667</v>
      </c>
      <c r="C3169" s="1" t="s">
        <v>16</v>
      </c>
      <c r="D3169" s="1" t="s">
        <v>17</v>
      </c>
      <c r="E3169" s="1" t="s">
        <v>33</v>
      </c>
      <c r="F3169" s="1" t="s">
        <v>228</v>
      </c>
      <c r="G3169" s="1">
        <v>183</v>
      </c>
      <c r="H3169" s="23">
        <v>45254.949699074074</v>
      </c>
      <c r="I3169" s="1" t="b">
        <v>0</v>
      </c>
      <c r="K3169" s="10">
        <f t="shared" si="247"/>
        <v>218.59277777775424</v>
      </c>
      <c r="L3169" s="1" t="str">
        <f t="shared" si="248"/>
        <v>OK</v>
      </c>
      <c r="M3169" s="1">
        <f t="shared" si="245"/>
        <v>1</v>
      </c>
      <c r="N3169" s="1">
        <f t="shared" si="246"/>
        <v>183</v>
      </c>
      <c r="O3169" s="10">
        <f t="shared" si="249"/>
        <v>218.59277777775424</v>
      </c>
    </row>
    <row r="3170" spans="1:15">
      <c r="A3170" s="1" t="s">
        <v>3275</v>
      </c>
      <c r="B3170" s="23">
        <v>45245.855555555558</v>
      </c>
      <c r="C3170" s="1" t="s">
        <v>16</v>
      </c>
      <c r="D3170" s="1" t="s">
        <v>17</v>
      </c>
      <c r="E3170" s="1" t="s">
        <v>13</v>
      </c>
      <c r="F3170" s="1" t="s">
        <v>46</v>
      </c>
      <c r="G3170" s="1">
        <v>71</v>
      </c>
      <c r="I3170" s="1" t="b">
        <v>0</v>
      </c>
      <c r="K3170" s="10" t="str">
        <f t="shared" si="247"/>
        <v/>
      </c>
      <c r="L3170" s="1" t="str">
        <f t="shared" si="248"/>
        <v>Cannot check</v>
      </c>
      <c r="M3170" s="1">
        <f t="shared" si="245"/>
        <v>1</v>
      </c>
      <c r="N3170" s="1">
        <f t="shared" si="246"/>
        <v>71</v>
      </c>
      <c r="O3170" s="10" t="str">
        <f t="shared" si="249"/>
        <v/>
      </c>
    </row>
    <row r="3171" spans="1:15">
      <c r="A3171" s="1" t="s">
        <v>3276</v>
      </c>
      <c r="B3171" s="23">
        <v>45245.881944444445</v>
      </c>
      <c r="C3171" s="1" t="s">
        <v>16</v>
      </c>
      <c r="D3171" s="1" t="s">
        <v>26</v>
      </c>
      <c r="E3171" s="1" t="s">
        <v>13</v>
      </c>
      <c r="F3171" s="1" t="s">
        <v>198</v>
      </c>
      <c r="G3171" s="1">
        <v>120</v>
      </c>
      <c r="H3171" s="23">
        <v>45246.2502662037</v>
      </c>
      <c r="I3171" s="1" t="b">
        <v>0</v>
      </c>
      <c r="J3171" s="1">
        <v>5</v>
      </c>
      <c r="K3171" s="10">
        <f t="shared" si="247"/>
        <v>8.8397222221246921</v>
      </c>
      <c r="L3171" s="1" t="str">
        <f t="shared" si="248"/>
        <v>OK</v>
      </c>
      <c r="M3171" s="1">
        <f t="shared" si="245"/>
        <v>1</v>
      </c>
      <c r="N3171" s="1">
        <f t="shared" si="246"/>
        <v>120</v>
      </c>
      <c r="O3171" s="10">
        <f t="shared" si="249"/>
        <v>8.8397222221246921</v>
      </c>
    </row>
    <row r="3172" spans="1:15">
      <c r="A3172" s="1" t="s">
        <v>3277</v>
      </c>
      <c r="B3172" s="23">
        <v>45246.161805555559</v>
      </c>
      <c r="C3172" s="1" t="s">
        <v>16</v>
      </c>
      <c r="D3172" s="1" t="s">
        <v>59</v>
      </c>
      <c r="E3172" s="1" t="s">
        <v>18</v>
      </c>
      <c r="F3172" s="1" t="s">
        <v>709</v>
      </c>
      <c r="G3172" s="1">
        <v>80</v>
      </c>
      <c r="H3172" s="23">
        <v>45246.741331018522</v>
      </c>
      <c r="I3172" s="1" t="b">
        <v>0</v>
      </c>
      <c r="K3172" s="10">
        <f t="shared" si="247"/>
        <v>13.908611111110076</v>
      </c>
      <c r="L3172" s="1" t="str">
        <f t="shared" si="248"/>
        <v>OK</v>
      </c>
      <c r="M3172" s="1">
        <f t="shared" si="245"/>
        <v>1</v>
      </c>
      <c r="N3172" s="1">
        <f t="shared" si="246"/>
        <v>80</v>
      </c>
      <c r="O3172" s="10">
        <f t="shared" si="249"/>
        <v>13.908611111110076</v>
      </c>
    </row>
    <row r="3173" spans="1:15">
      <c r="A3173" s="1" t="s">
        <v>3278</v>
      </c>
      <c r="B3173" s="23">
        <v>45246.3125</v>
      </c>
      <c r="C3173" s="1" t="s">
        <v>11</v>
      </c>
      <c r="D3173" s="1" t="s">
        <v>21</v>
      </c>
      <c r="E3173" s="1" t="s">
        <v>33</v>
      </c>
      <c r="F3173" s="1" t="s">
        <v>104</v>
      </c>
      <c r="G3173" s="1">
        <v>60</v>
      </c>
      <c r="H3173" s="23">
        <v>45246.857673611114</v>
      </c>
      <c r="I3173" s="1" t="b">
        <v>0</v>
      </c>
      <c r="K3173" s="10">
        <f t="shared" si="247"/>
        <v>13.08416666672565</v>
      </c>
      <c r="L3173" s="1" t="str">
        <f t="shared" si="248"/>
        <v>OK</v>
      </c>
      <c r="M3173" s="1">
        <f t="shared" si="245"/>
        <v>1</v>
      </c>
      <c r="N3173" s="1">
        <f t="shared" si="246"/>
        <v>60</v>
      </c>
      <c r="O3173" s="10">
        <f t="shared" si="249"/>
        <v>13.08416666672565</v>
      </c>
    </row>
    <row r="3174" spans="1:15">
      <c r="A3174" s="1" t="s">
        <v>3279</v>
      </c>
      <c r="B3174" s="23">
        <v>45246.387499999997</v>
      </c>
      <c r="C3174" s="1" t="s">
        <v>43</v>
      </c>
      <c r="D3174" s="1" t="s">
        <v>12</v>
      </c>
      <c r="E3174" s="1" t="s">
        <v>18</v>
      </c>
      <c r="F3174" s="1" t="s">
        <v>72</v>
      </c>
      <c r="G3174" s="1">
        <v>53</v>
      </c>
      <c r="H3174" s="23">
        <v>45248.365162037036</v>
      </c>
      <c r="I3174" s="1" t="b">
        <v>0</v>
      </c>
      <c r="J3174" s="1">
        <v>4</v>
      </c>
      <c r="K3174" s="10">
        <f t="shared" si="247"/>
        <v>47.463888888945803</v>
      </c>
      <c r="L3174" s="1" t="str">
        <f t="shared" si="248"/>
        <v>OK</v>
      </c>
      <c r="M3174" s="1">
        <f t="shared" si="245"/>
        <v>1</v>
      </c>
      <c r="N3174" s="1">
        <f t="shared" si="246"/>
        <v>53</v>
      </c>
      <c r="O3174" s="10">
        <f t="shared" si="249"/>
        <v>47.463888888945803</v>
      </c>
    </row>
    <row r="3175" spans="1:15">
      <c r="A3175" s="1" t="s">
        <v>3280</v>
      </c>
      <c r="B3175" s="23">
        <v>45246.462500000001</v>
      </c>
      <c r="C3175" s="1" t="s">
        <v>16</v>
      </c>
      <c r="D3175" s="1" t="s">
        <v>59</v>
      </c>
      <c r="E3175" s="1" t="s">
        <v>13</v>
      </c>
      <c r="F3175" s="1" t="s">
        <v>72</v>
      </c>
      <c r="G3175" s="1">
        <v>50</v>
      </c>
      <c r="H3175" s="23">
        <v>45246.576701388891</v>
      </c>
      <c r="I3175" s="1" t="b">
        <v>0</v>
      </c>
      <c r="K3175" s="10">
        <f t="shared" si="247"/>
        <v>2.7408333333441988</v>
      </c>
      <c r="L3175" s="1" t="str">
        <f t="shared" si="248"/>
        <v>OK</v>
      </c>
      <c r="M3175" s="1">
        <f t="shared" si="245"/>
        <v>1</v>
      </c>
      <c r="N3175" s="1">
        <f t="shared" si="246"/>
        <v>50</v>
      </c>
      <c r="O3175" s="10">
        <f t="shared" si="249"/>
        <v>2.7408333333441988</v>
      </c>
    </row>
    <row r="3176" spans="1:15">
      <c r="A3176" s="1" t="s">
        <v>3281</v>
      </c>
      <c r="B3176" s="23">
        <v>45246.551388888889</v>
      </c>
      <c r="C3176" s="1" t="s">
        <v>11</v>
      </c>
      <c r="D3176" s="1" t="s">
        <v>59</v>
      </c>
      <c r="E3176" s="1" t="s">
        <v>18</v>
      </c>
      <c r="F3176" s="1" t="s">
        <v>274</v>
      </c>
      <c r="G3176" s="1">
        <v>90</v>
      </c>
      <c r="H3176" s="23">
        <v>45248.579594907409</v>
      </c>
      <c r="I3176" s="1" t="b">
        <v>0</v>
      </c>
      <c r="J3176" s="1">
        <v>5</v>
      </c>
      <c r="K3176" s="10">
        <f t="shared" si="247"/>
        <v>48.676944444479886</v>
      </c>
      <c r="L3176" s="1" t="str">
        <f t="shared" si="248"/>
        <v>OK</v>
      </c>
      <c r="M3176" s="1">
        <f t="shared" si="245"/>
        <v>1</v>
      </c>
      <c r="N3176" s="1">
        <f t="shared" si="246"/>
        <v>90</v>
      </c>
      <c r="O3176" s="10">
        <f t="shared" si="249"/>
        <v>48.676944444479886</v>
      </c>
    </row>
    <row r="3177" spans="1:15">
      <c r="A3177" s="1" t="s">
        <v>3282</v>
      </c>
      <c r="B3177" s="23">
        <v>45246.731249999997</v>
      </c>
      <c r="C3177" s="1" t="s">
        <v>16</v>
      </c>
      <c r="D3177" s="1" t="s">
        <v>12</v>
      </c>
      <c r="E3177" s="1" t="s">
        <v>18</v>
      </c>
      <c r="F3177" s="1" t="s">
        <v>23</v>
      </c>
      <c r="G3177" s="1">
        <v>154</v>
      </c>
      <c r="H3177" s="23">
        <v>45248.256747685184</v>
      </c>
      <c r="I3177" s="1" t="b">
        <v>0</v>
      </c>
      <c r="J3177" s="1">
        <v>5</v>
      </c>
      <c r="K3177" s="10">
        <f t="shared" si="247"/>
        <v>36.611944444477558</v>
      </c>
      <c r="L3177" s="1" t="str">
        <f t="shared" si="248"/>
        <v>OK</v>
      </c>
      <c r="M3177" s="1">
        <f t="shared" si="245"/>
        <v>1</v>
      </c>
      <c r="N3177" s="1">
        <f t="shared" si="246"/>
        <v>154</v>
      </c>
      <c r="O3177" s="10">
        <f t="shared" si="249"/>
        <v>36.611944444477558</v>
      </c>
    </row>
    <row r="3178" spans="1:15">
      <c r="A3178" s="1" t="s">
        <v>3283</v>
      </c>
      <c r="B3178" s="23">
        <v>45246.742361111108</v>
      </c>
      <c r="C3178" s="1" t="s">
        <v>11</v>
      </c>
      <c r="D3178" s="1" t="s">
        <v>59</v>
      </c>
      <c r="E3178" s="1" t="s">
        <v>18</v>
      </c>
      <c r="F3178" s="1" t="s">
        <v>178</v>
      </c>
      <c r="G3178" s="1">
        <v>56</v>
      </c>
      <c r="H3178" s="23">
        <v>45246.863692129627</v>
      </c>
      <c r="I3178" s="1" t="b">
        <v>0</v>
      </c>
      <c r="J3178" s="1">
        <v>5</v>
      </c>
      <c r="K3178" s="10">
        <f t="shared" si="247"/>
        <v>2.9119444444659166</v>
      </c>
      <c r="L3178" s="1" t="str">
        <f t="shared" si="248"/>
        <v>OK</v>
      </c>
      <c r="M3178" s="1">
        <f t="shared" si="245"/>
        <v>1</v>
      </c>
      <c r="N3178" s="1">
        <f t="shared" si="246"/>
        <v>56</v>
      </c>
      <c r="O3178" s="10">
        <f t="shared" si="249"/>
        <v>2.9119444444659166</v>
      </c>
    </row>
    <row r="3179" spans="1:15">
      <c r="A3179" s="1" t="s">
        <v>3284</v>
      </c>
      <c r="B3179" s="23">
        <v>45246.755555555559</v>
      </c>
      <c r="C3179" s="1" t="s">
        <v>25</v>
      </c>
      <c r="D3179" s="1" t="s">
        <v>17</v>
      </c>
      <c r="E3179" s="1" t="s">
        <v>13</v>
      </c>
      <c r="F3179" s="1" t="s">
        <v>102</v>
      </c>
      <c r="G3179" s="1">
        <v>108</v>
      </c>
      <c r="H3179" s="23">
        <v>45247.107372685183</v>
      </c>
      <c r="I3179" s="1" t="b">
        <v>0</v>
      </c>
      <c r="K3179" s="10">
        <f t="shared" si="247"/>
        <v>8.4436111109680496</v>
      </c>
      <c r="L3179" s="1" t="str">
        <f t="shared" si="248"/>
        <v>OK</v>
      </c>
      <c r="M3179" s="1">
        <f t="shared" si="245"/>
        <v>1</v>
      </c>
      <c r="N3179" s="1">
        <f t="shared" si="246"/>
        <v>108</v>
      </c>
      <c r="O3179" s="10">
        <f t="shared" si="249"/>
        <v>8.4436111109680496</v>
      </c>
    </row>
    <row r="3180" spans="1:15">
      <c r="A3180" s="1" t="s">
        <v>3285</v>
      </c>
      <c r="B3180" s="23">
        <v>45246.793055555558</v>
      </c>
      <c r="C3180" s="1" t="s">
        <v>11</v>
      </c>
      <c r="D3180" s="1" t="s">
        <v>21</v>
      </c>
      <c r="E3180" s="1" t="s">
        <v>18</v>
      </c>
      <c r="F3180" s="1" t="s">
        <v>108</v>
      </c>
      <c r="G3180" s="1">
        <v>45</v>
      </c>
      <c r="H3180" s="23">
        <v>45247.388506944444</v>
      </c>
      <c r="I3180" s="1" t="b">
        <v>0</v>
      </c>
      <c r="J3180" s="1">
        <v>3</v>
      </c>
      <c r="K3180" s="10">
        <f t="shared" si="247"/>
        <v>14.29083333327435</v>
      </c>
      <c r="L3180" s="1" t="str">
        <f t="shared" si="248"/>
        <v>OK</v>
      </c>
      <c r="M3180" s="1">
        <f t="shared" si="245"/>
        <v>1</v>
      </c>
      <c r="N3180" s="1">
        <f t="shared" si="246"/>
        <v>45</v>
      </c>
      <c r="O3180" s="10">
        <f t="shared" si="249"/>
        <v>14.29083333327435</v>
      </c>
    </row>
    <row r="3181" spans="1:15">
      <c r="A3181" s="1" t="s">
        <v>3286</v>
      </c>
      <c r="B3181" s="23">
        <v>45246.831250000003</v>
      </c>
      <c r="C3181" s="1" t="s">
        <v>25</v>
      </c>
      <c r="D3181" s="1" t="s">
        <v>17</v>
      </c>
      <c r="E3181" s="1" t="s">
        <v>13</v>
      </c>
      <c r="F3181" s="1" t="s">
        <v>90</v>
      </c>
      <c r="G3181" s="1">
        <v>77</v>
      </c>
      <c r="H3181" s="23">
        <v>45247.923194444447</v>
      </c>
      <c r="I3181" s="1" t="b">
        <v>0</v>
      </c>
      <c r="J3181" s="1">
        <v>2</v>
      </c>
      <c r="K3181" s="10">
        <f t="shared" si="247"/>
        <v>26.206666666665114</v>
      </c>
      <c r="L3181" s="1" t="str">
        <f t="shared" si="248"/>
        <v>OK</v>
      </c>
      <c r="M3181" s="1">
        <f t="shared" si="245"/>
        <v>1</v>
      </c>
      <c r="N3181" s="1">
        <f t="shared" si="246"/>
        <v>77</v>
      </c>
      <c r="O3181" s="10">
        <f t="shared" si="249"/>
        <v>26.206666666665114</v>
      </c>
    </row>
    <row r="3182" spans="1:15">
      <c r="A3182" s="1" t="s">
        <v>3287</v>
      </c>
      <c r="B3182" s="23">
        <v>45246.85833333333</v>
      </c>
      <c r="C3182" s="1" t="s">
        <v>25</v>
      </c>
      <c r="D3182" s="1" t="s">
        <v>17</v>
      </c>
      <c r="E3182" s="1" t="s">
        <v>18</v>
      </c>
      <c r="F3182" s="1" t="s">
        <v>90</v>
      </c>
      <c r="G3182" s="1">
        <v>251</v>
      </c>
      <c r="I3182" s="1" t="b">
        <v>0</v>
      </c>
      <c r="K3182" s="10" t="str">
        <f t="shared" si="247"/>
        <v/>
      </c>
      <c r="L3182" s="1" t="str">
        <f t="shared" si="248"/>
        <v>Cannot check</v>
      </c>
      <c r="M3182" s="1">
        <f t="shared" si="245"/>
        <v>1</v>
      </c>
      <c r="N3182" s="1">
        <f t="shared" si="246"/>
        <v>251</v>
      </c>
      <c r="O3182" s="10" t="str">
        <f t="shared" si="249"/>
        <v/>
      </c>
    </row>
    <row r="3183" spans="1:15">
      <c r="A3183" s="1" t="s">
        <v>3288</v>
      </c>
      <c r="B3183" s="23">
        <v>45246.862500000003</v>
      </c>
      <c r="C3183" s="1" t="s">
        <v>25</v>
      </c>
      <c r="D3183" s="1" t="s">
        <v>26</v>
      </c>
      <c r="E3183" s="1" t="s">
        <v>33</v>
      </c>
      <c r="F3183" s="1" t="s">
        <v>186</v>
      </c>
      <c r="G3183" s="1">
        <v>206</v>
      </c>
      <c r="H3183" s="23">
        <v>45252.324120370373</v>
      </c>
      <c r="I3183" s="1" t="b">
        <v>0</v>
      </c>
      <c r="K3183" s="10">
        <f t="shared" si="247"/>
        <v>131.07888888887828</v>
      </c>
      <c r="L3183" s="1" t="str">
        <f t="shared" si="248"/>
        <v>OK</v>
      </c>
      <c r="M3183" s="1">
        <f t="shared" si="245"/>
        <v>1</v>
      </c>
      <c r="N3183" s="1">
        <f t="shared" si="246"/>
        <v>206</v>
      </c>
      <c r="O3183" s="10">
        <f t="shared" si="249"/>
        <v>131.07888888887828</v>
      </c>
    </row>
    <row r="3184" spans="1:15">
      <c r="A3184" s="1" t="s">
        <v>3289</v>
      </c>
      <c r="B3184" s="23">
        <v>45246.952777777777</v>
      </c>
      <c r="C3184" s="1" t="s">
        <v>43</v>
      </c>
      <c r="D3184" s="1" t="s">
        <v>21</v>
      </c>
      <c r="E3184" s="1" t="s">
        <v>13</v>
      </c>
      <c r="F3184" s="1" t="s">
        <v>84</v>
      </c>
      <c r="G3184" s="1">
        <v>11</v>
      </c>
      <c r="H3184" s="23">
        <v>45247.424363425926</v>
      </c>
      <c r="I3184" s="1" t="b">
        <v>0</v>
      </c>
      <c r="K3184" s="10">
        <f t="shared" si="247"/>
        <v>11.318055555573665</v>
      </c>
      <c r="L3184" s="1" t="str">
        <f t="shared" si="248"/>
        <v>OK</v>
      </c>
      <c r="M3184" s="1">
        <f t="shared" si="245"/>
        <v>1</v>
      </c>
      <c r="N3184" s="1">
        <f t="shared" si="246"/>
        <v>11</v>
      </c>
      <c r="O3184" s="10">
        <f t="shared" si="249"/>
        <v>11.318055555573665</v>
      </c>
    </row>
    <row r="3185" spans="1:15">
      <c r="A3185" s="1" t="s">
        <v>3290</v>
      </c>
      <c r="B3185" s="23">
        <v>45247.01666666667</v>
      </c>
      <c r="C3185" s="1" t="s">
        <v>43</v>
      </c>
      <c r="D3185" s="1" t="s">
        <v>17</v>
      </c>
      <c r="E3185" s="1" t="s">
        <v>13</v>
      </c>
      <c r="F3185" s="1" t="s">
        <v>70</v>
      </c>
      <c r="G3185" s="1">
        <v>428</v>
      </c>
      <c r="I3185" s="1" t="b">
        <v>0</v>
      </c>
      <c r="K3185" s="10" t="str">
        <f t="shared" si="247"/>
        <v/>
      </c>
      <c r="L3185" s="1" t="str">
        <f t="shared" si="248"/>
        <v>Cannot check</v>
      </c>
      <c r="M3185" s="1">
        <f t="shared" si="245"/>
        <v>1</v>
      </c>
      <c r="N3185" s="1">
        <f t="shared" si="246"/>
        <v>428</v>
      </c>
      <c r="O3185" s="10" t="str">
        <f t="shared" si="249"/>
        <v/>
      </c>
    </row>
    <row r="3186" spans="1:15">
      <c r="A3186" s="1" t="s">
        <v>3291</v>
      </c>
      <c r="B3186" s="23">
        <v>45247.030555555553</v>
      </c>
      <c r="C3186" s="1" t="s">
        <v>25</v>
      </c>
      <c r="D3186" s="1" t="s">
        <v>17</v>
      </c>
      <c r="E3186" s="1" t="s">
        <v>22</v>
      </c>
      <c r="F3186" s="1" t="s">
        <v>206</v>
      </c>
      <c r="G3186" s="1">
        <v>6</v>
      </c>
      <c r="H3186" s="23">
        <v>45247.451909722222</v>
      </c>
      <c r="I3186" s="1" t="b">
        <v>1</v>
      </c>
      <c r="K3186" s="10">
        <f t="shared" si="247"/>
        <v>10.112500000046566</v>
      </c>
      <c r="L3186" s="1" t="str">
        <f t="shared" si="248"/>
        <v>OK</v>
      </c>
      <c r="M3186" s="1">
        <f t="shared" si="245"/>
        <v>1</v>
      </c>
      <c r="N3186" s="1">
        <f t="shared" si="246"/>
        <v>6</v>
      </c>
      <c r="O3186" s="10">
        <f t="shared" si="249"/>
        <v>10.112500000046566</v>
      </c>
    </row>
    <row r="3187" spans="1:15">
      <c r="A3187" s="1" t="s">
        <v>3292</v>
      </c>
      <c r="B3187" s="23">
        <v>45247.255555555559</v>
      </c>
      <c r="C3187" s="1" t="s">
        <v>43</v>
      </c>
      <c r="D3187" s="1" t="s">
        <v>26</v>
      </c>
      <c r="E3187" s="1" t="s">
        <v>18</v>
      </c>
      <c r="F3187" s="1" t="s">
        <v>46</v>
      </c>
      <c r="G3187" s="1">
        <v>535</v>
      </c>
      <c r="H3187" s="23">
        <v>45250.21570601852</v>
      </c>
      <c r="I3187" s="1" t="b">
        <v>0</v>
      </c>
      <c r="J3187" s="1">
        <v>4</v>
      </c>
      <c r="K3187" s="10">
        <f t="shared" si="247"/>
        <v>71.043611111061182</v>
      </c>
      <c r="L3187" s="1" t="str">
        <f t="shared" si="248"/>
        <v>OK</v>
      </c>
      <c r="M3187" s="1">
        <f t="shared" si="245"/>
        <v>1</v>
      </c>
      <c r="N3187" s="1">
        <f t="shared" si="246"/>
        <v>535</v>
      </c>
      <c r="O3187" s="10">
        <f t="shared" si="249"/>
        <v>71.043611111061182</v>
      </c>
    </row>
    <row r="3188" spans="1:15">
      <c r="A3188" s="1" t="s">
        <v>3293</v>
      </c>
      <c r="B3188" s="23">
        <v>45247.307638888888</v>
      </c>
      <c r="C3188" s="1" t="s">
        <v>43</v>
      </c>
      <c r="D3188" s="1" t="s">
        <v>17</v>
      </c>
      <c r="E3188" s="1" t="s">
        <v>13</v>
      </c>
      <c r="F3188" s="1" t="s">
        <v>486</v>
      </c>
      <c r="G3188" s="1">
        <v>34</v>
      </c>
      <c r="H3188" s="23">
        <v>45247.784629629627</v>
      </c>
      <c r="I3188" s="1" t="b">
        <v>0</v>
      </c>
      <c r="K3188" s="10">
        <f t="shared" si="247"/>
        <v>11.44777777773561</v>
      </c>
      <c r="L3188" s="1" t="str">
        <f t="shared" si="248"/>
        <v>OK</v>
      </c>
      <c r="M3188" s="1">
        <f t="shared" si="245"/>
        <v>1</v>
      </c>
      <c r="N3188" s="1">
        <f t="shared" si="246"/>
        <v>34</v>
      </c>
      <c r="O3188" s="10">
        <f t="shared" si="249"/>
        <v>11.44777777773561</v>
      </c>
    </row>
    <row r="3189" spans="1:15">
      <c r="A3189" s="1" t="s">
        <v>3294</v>
      </c>
      <c r="B3189" s="23">
        <v>45247.444444444445</v>
      </c>
      <c r="C3189" s="1" t="s">
        <v>11</v>
      </c>
      <c r="D3189" s="1" t="s">
        <v>17</v>
      </c>
      <c r="E3189" s="1" t="s">
        <v>33</v>
      </c>
      <c r="F3189" s="1" t="s">
        <v>88</v>
      </c>
      <c r="G3189" s="1">
        <v>116</v>
      </c>
      <c r="H3189" s="23">
        <v>45270.012962962966</v>
      </c>
      <c r="I3189" s="1" t="b">
        <v>0</v>
      </c>
      <c r="K3189" s="10">
        <f t="shared" si="247"/>
        <v>541.64444444450783</v>
      </c>
      <c r="L3189" s="1" t="str">
        <f t="shared" si="248"/>
        <v>OK</v>
      </c>
      <c r="M3189" s="1">
        <f t="shared" si="245"/>
        <v>1</v>
      </c>
      <c r="N3189" s="1">
        <f t="shared" si="246"/>
        <v>116</v>
      </c>
      <c r="O3189" s="10">
        <f t="shared" si="249"/>
        <v>541.64444444450783</v>
      </c>
    </row>
    <row r="3190" spans="1:15">
      <c r="A3190" s="1" t="s">
        <v>3295</v>
      </c>
      <c r="B3190" s="23">
        <v>45247.459722222222</v>
      </c>
      <c r="C3190" s="1" t="s">
        <v>16</v>
      </c>
      <c r="D3190" s="1" t="s">
        <v>17</v>
      </c>
      <c r="E3190" s="1" t="s">
        <v>18</v>
      </c>
      <c r="F3190" s="1" t="s">
        <v>259</v>
      </c>
      <c r="G3190" s="1">
        <v>65</v>
      </c>
      <c r="H3190" s="23">
        <v>45247.656608796293</v>
      </c>
      <c r="I3190" s="1" t="b">
        <v>0</v>
      </c>
      <c r="K3190" s="10">
        <f t="shared" si="247"/>
        <v>4.7252777777030133</v>
      </c>
      <c r="L3190" s="1" t="str">
        <f t="shared" si="248"/>
        <v>OK</v>
      </c>
      <c r="M3190" s="1">
        <f t="shared" si="245"/>
        <v>1</v>
      </c>
      <c r="N3190" s="1">
        <f t="shared" si="246"/>
        <v>65</v>
      </c>
      <c r="O3190" s="10">
        <f t="shared" si="249"/>
        <v>4.7252777777030133</v>
      </c>
    </row>
    <row r="3191" spans="1:15">
      <c r="A3191" s="1" t="s">
        <v>3296</v>
      </c>
      <c r="B3191" s="23">
        <v>45247.47152777778</v>
      </c>
      <c r="C3191" s="1" t="s">
        <v>25</v>
      </c>
      <c r="D3191" s="1" t="s">
        <v>12</v>
      </c>
      <c r="E3191" s="1" t="s">
        <v>13</v>
      </c>
      <c r="F3191" s="1" t="s">
        <v>110</v>
      </c>
      <c r="G3191" s="1">
        <v>147</v>
      </c>
      <c r="H3191" s="23">
        <v>45247.968993055554</v>
      </c>
      <c r="I3191" s="1" t="b">
        <v>0</v>
      </c>
      <c r="J3191" s="1">
        <v>5</v>
      </c>
      <c r="K3191" s="10">
        <f t="shared" si="247"/>
        <v>11.939166666590609</v>
      </c>
      <c r="L3191" s="1" t="str">
        <f t="shared" si="248"/>
        <v>OK</v>
      </c>
      <c r="M3191" s="1">
        <f t="shared" si="245"/>
        <v>1</v>
      </c>
      <c r="N3191" s="1">
        <f t="shared" si="246"/>
        <v>147</v>
      </c>
      <c r="O3191" s="10">
        <f t="shared" si="249"/>
        <v>11.939166666590609</v>
      </c>
    </row>
    <row r="3192" spans="1:15">
      <c r="A3192" s="1" t="s">
        <v>3297</v>
      </c>
      <c r="B3192" s="23">
        <v>45247.565972222219</v>
      </c>
      <c r="C3192" s="1" t="s">
        <v>16</v>
      </c>
      <c r="D3192" s="1" t="s">
        <v>17</v>
      </c>
      <c r="E3192" s="1" t="s">
        <v>18</v>
      </c>
      <c r="F3192" s="1" t="s">
        <v>29</v>
      </c>
      <c r="G3192" s="1">
        <v>126</v>
      </c>
      <c r="H3192" s="23">
        <v>45257.875324074077</v>
      </c>
      <c r="I3192" s="1" t="b">
        <v>0</v>
      </c>
      <c r="J3192" s="1">
        <v>3</v>
      </c>
      <c r="K3192" s="10">
        <f t="shared" si="247"/>
        <v>247.42444444459397</v>
      </c>
      <c r="L3192" s="1" t="str">
        <f t="shared" si="248"/>
        <v>OK</v>
      </c>
      <c r="M3192" s="1">
        <f t="shared" si="245"/>
        <v>1</v>
      </c>
      <c r="N3192" s="1">
        <f t="shared" si="246"/>
        <v>126</v>
      </c>
      <c r="O3192" s="10">
        <f t="shared" si="249"/>
        <v>247.42444444459397</v>
      </c>
    </row>
    <row r="3193" spans="1:15">
      <c r="A3193" s="1" t="s">
        <v>3298</v>
      </c>
      <c r="B3193" s="23">
        <v>45247.671527777777</v>
      </c>
      <c r="C3193" s="1" t="s">
        <v>11</v>
      </c>
      <c r="D3193" s="1" t="s">
        <v>26</v>
      </c>
      <c r="E3193" s="1" t="s">
        <v>18</v>
      </c>
      <c r="F3193" s="1" t="s">
        <v>118</v>
      </c>
      <c r="G3193" s="1">
        <v>30</v>
      </c>
      <c r="H3193" s="23">
        <v>45248.965949074074</v>
      </c>
      <c r="I3193" s="1" t="b">
        <v>0</v>
      </c>
      <c r="K3193" s="10">
        <f t="shared" si="247"/>
        <v>31.066111111140344</v>
      </c>
      <c r="L3193" s="1" t="str">
        <f t="shared" si="248"/>
        <v>OK</v>
      </c>
      <c r="M3193" s="1">
        <f t="shared" si="245"/>
        <v>1</v>
      </c>
      <c r="N3193" s="1">
        <f t="shared" si="246"/>
        <v>30</v>
      </c>
      <c r="O3193" s="10">
        <f t="shared" si="249"/>
        <v>31.066111111140344</v>
      </c>
    </row>
    <row r="3194" spans="1:15">
      <c r="A3194" s="1" t="s">
        <v>3299</v>
      </c>
      <c r="B3194" s="23">
        <v>45247.688888888886</v>
      </c>
      <c r="C3194" s="1" t="s">
        <v>43</v>
      </c>
      <c r="D3194" s="1" t="s">
        <v>59</v>
      </c>
      <c r="E3194" s="1" t="s">
        <v>13</v>
      </c>
      <c r="F3194" s="1" t="s">
        <v>64</v>
      </c>
      <c r="G3194" s="1">
        <v>65</v>
      </c>
      <c r="H3194" s="23">
        <v>45248.168946759259</v>
      </c>
      <c r="I3194" s="1" t="b">
        <v>0</v>
      </c>
      <c r="K3194" s="10">
        <f t="shared" si="247"/>
        <v>11.521388888941146</v>
      </c>
      <c r="L3194" s="1" t="str">
        <f t="shared" si="248"/>
        <v>OK</v>
      </c>
      <c r="M3194" s="1">
        <f t="shared" si="245"/>
        <v>1</v>
      </c>
      <c r="N3194" s="1">
        <f t="shared" si="246"/>
        <v>65</v>
      </c>
      <c r="O3194" s="10">
        <f t="shared" si="249"/>
        <v>11.521388888941146</v>
      </c>
    </row>
    <row r="3195" spans="1:15">
      <c r="A3195" s="1" t="s">
        <v>3300</v>
      </c>
      <c r="B3195" s="23">
        <v>45247.712500000001</v>
      </c>
      <c r="C3195" s="1" t="s">
        <v>16</v>
      </c>
      <c r="D3195" s="1" t="s">
        <v>59</v>
      </c>
      <c r="E3195" s="1" t="s">
        <v>18</v>
      </c>
      <c r="F3195" s="1" t="s">
        <v>175</v>
      </c>
      <c r="G3195" s="1">
        <v>230</v>
      </c>
      <c r="H3195" s="23">
        <v>45248.801550925928</v>
      </c>
      <c r="I3195" s="1" t="b">
        <v>0</v>
      </c>
      <c r="K3195" s="10">
        <f t="shared" si="247"/>
        <v>26.137222222227138</v>
      </c>
      <c r="L3195" s="1" t="str">
        <f t="shared" si="248"/>
        <v>OK</v>
      </c>
      <c r="M3195" s="1">
        <f t="shared" si="245"/>
        <v>1</v>
      </c>
      <c r="N3195" s="1">
        <f t="shared" si="246"/>
        <v>230</v>
      </c>
      <c r="O3195" s="10">
        <f t="shared" si="249"/>
        <v>26.137222222227138</v>
      </c>
    </row>
    <row r="3196" spans="1:15">
      <c r="A3196" s="1" t="s">
        <v>3301</v>
      </c>
      <c r="B3196" s="23">
        <v>45247.739583333336</v>
      </c>
      <c r="C3196" s="1" t="s">
        <v>25</v>
      </c>
      <c r="D3196" s="1" t="s">
        <v>59</v>
      </c>
      <c r="E3196" s="1" t="s">
        <v>18</v>
      </c>
      <c r="F3196" s="1" t="s">
        <v>134</v>
      </c>
      <c r="G3196" s="1">
        <v>42</v>
      </c>
      <c r="H3196" s="23">
        <v>45250.831145833334</v>
      </c>
      <c r="I3196" s="1" t="b">
        <v>0</v>
      </c>
      <c r="K3196" s="10">
        <f t="shared" si="247"/>
        <v>74.197499999951106</v>
      </c>
      <c r="L3196" s="1" t="str">
        <f t="shared" si="248"/>
        <v>OK</v>
      </c>
      <c r="M3196" s="1">
        <f t="shared" si="245"/>
        <v>1</v>
      </c>
      <c r="N3196" s="1">
        <f t="shared" si="246"/>
        <v>42</v>
      </c>
      <c r="O3196" s="10">
        <f t="shared" si="249"/>
        <v>74.197499999951106</v>
      </c>
    </row>
    <row r="3197" spans="1:15">
      <c r="A3197" s="1" t="s">
        <v>3302</v>
      </c>
      <c r="B3197" s="23">
        <v>45247.839583333334</v>
      </c>
      <c r="C3197" s="1" t="s">
        <v>16</v>
      </c>
      <c r="D3197" s="1" t="s">
        <v>26</v>
      </c>
      <c r="E3197" s="1" t="s">
        <v>18</v>
      </c>
      <c r="F3197" s="1" t="s">
        <v>175</v>
      </c>
      <c r="G3197" s="1">
        <v>54</v>
      </c>
      <c r="H3197" s="23">
        <v>45253.079027777778</v>
      </c>
      <c r="I3197" s="1" t="b">
        <v>1</v>
      </c>
      <c r="J3197" s="1">
        <v>4</v>
      </c>
      <c r="K3197" s="10">
        <f t="shared" si="247"/>
        <v>125.74666666664416</v>
      </c>
      <c r="L3197" s="1" t="str">
        <f t="shared" si="248"/>
        <v>OK</v>
      </c>
      <c r="M3197" s="1">
        <f t="shared" si="245"/>
        <v>1</v>
      </c>
      <c r="N3197" s="1">
        <f t="shared" si="246"/>
        <v>54</v>
      </c>
      <c r="O3197" s="10">
        <f t="shared" si="249"/>
        <v>125.74666666664416</v>
      </c>
    </row>
    <row r="3198" spans="1:15">
      <c r="A3198" s="1" t="s">
        <v>3303</v>
      </c>
      <c r="B3198" s="23">
        <v>45247.874305555553</v>
      </c>
      <c r="C3198" s="1" t="s">
        <v>16</v>
      </c>
      <c r="D3198" s="1" t="s">
        <v>59</v>
      </c>
      <c r="E3198" s="1" t="s">
        <v>18</v>
      </c>
      <c r="F3198" s="1" t="s">
        <v>178</v>
      </c>
      <c r="G3198" s="1">
        <v>40</v>
      </c>
      <c r="H3198" s="23">
        <v>45251.156469907408</v>
      </c>
      <c r="I3198" s="1" t="b">
        <v>0</v>
      </c>
      <c r="J3198" s="1">
        <v>4</v>
      </c>
      <c r="K3198" s="10">
        <f t="shared" si="247"/>
        <v>78.771944444510154</v>
      </c>
      <c r="L3198" s="1" t="str">
        <f t="shared" si="248"/>
        <v>OK</v>
      </c>
      <c r="M3198" s="1">
        <f t="shared" si="245"/>
        <v>1</v>
      </c>
      <c r="N3198" s="1">
        <f t="shared" si="246"/>
        <v>40</v>
      </c>
      <c r="O3198" s="10">
        <f t="shared" si="249"/>
        <v>78.771944444510154</v>
      </c>
    </row>
    <row r="3199" spans="1:15">
      <c r="A3199" s="1" t="s">
        <v>3304</v>
      </c>
      <c r="B3199" s="23">
        <v>45247.951388888891</v>
      </c>
      <c r="C3199" s="1" t="s">
        <v>16</v>
      </c>
      <c r="D3199" s="1" t="s">
        <v>17</v>
      </c>
      <c r="E3199" s="1" t="s">
        <v>33</v>
      </c>
      <c r="F3199" s="1" t="s">
        <v>64</v>
      </c>
      <c r="G3199" s="1">
        <v>494</v>
      </c>
      <c r="H3199" s="23">
        <v>45248.986006944448</v>
      </c>
      <c r="I3199" s="1" t="b">
        <v>0</v>
      </c>
      <c r="J3199" s="1">
        <v>3</v>
      </c>
      <c r="K3199" s="10">
        <f t="shared" si="247"/>
        <v>24.83083333336981</v>
      </c>
      <c r="L3199" s="1" t="str">
        <f t="shared" si="248"/>
        <v>OK</v>
      </c>
      <c r="M3199" s="1">
        <f t="shared" si="245"/>
        <v>1</v>
      </c>
      <c r="N3199" s="1">
        <f t="shared" si="246"/>
        <v>494</v>
      </c>
      <c r="O3199" s="10">
        <f t="shared" si="249"/>
        <v>24.83083333336981</v>
      </c>
    </row>
    <row r="3200" spans="1:15">
      <c r="A3200" s="1" t="s">
        <v>3305</v>
      </c>
      <c r="B3200" s="23">
        <v>45248.144444444442</v>
      </c>
      <c r="C3200" s="1" t="s">
        <v>43</v>
      </c>
      <c r="D3200" s="1" t="s">
        <v>17</v>
      </c>
      <c r="E3200" s="1" t="s">
        <v>33</v>
      </c>
      <c r="F3200" s="1" t="s">
        <v>96</v>
      </c>
      <c r="G3200" s="1">
        <v>245</v>
      </c>
      <c r="H3200" s="23">
        <v>45258.722256944442</v>
      </c>
      <c r="I3200" s="1" t="b">
        <v>0</v>
      </c>
      <c r="J3200" s="1">
        <v>5</v>
      </c>
      <c r="K3200" s="10">
        <f t="shared" si="247"/>
        <v>253.86749999999302</v>
      </c>
      <c r="L3200" s="1" t="str">
        <f t="shared" si="248"/>
        <v>OK</v>
      </c>
      <c r="M3200" s="1">
        <f t="shared" si="245"/>
        <v>1</v>
      </c>
      <c r="N3200" s="1">
        <f t="shared" si="246"/>
        <v>245</v>
      </c>
      <c r="O3200" s="10">
        <f t="shared" si="249"/>
        <v>253.86749999999302</v>
      </c>
    </row>
    <row r="3201" spans="1:15">
      <c r="A3201" s="1" t="s">
        <v>3306</v>
      </c>
      <c r="B3201" s="23">
        <v>45248.31527777778</v>
      </c>
      <c r="C3201" s="1" t="s">
        <v>25</v>
      </c>
      <c r="D3201" s="1" t="s">
        <v>21</v>
      </c>
      <c r="E3201" s="1" t="s">
        <v>13</v>
      </c>
      <c r="F3201" s="1" t="s">
        <v>70</v>
      </c>
      <c r="G3201" s="1">
        <v>6</v>
      </c>
      <c r="H3201" s="23">
        <v>45248.805358796293</v>
      </c>
      <c r="I3201" s="1" t="b">
        <v>0</v>
      </c>
      <c r="K3201" s="10">
        <f t="shared" si="247"/>
        <v>11.761944444326218</v>
      </c>
      <c r="L3201" s="1" t="str">
        <f t="shared" si="248"/>
        <v>OK</v>
      </c>
      <c r="M3201" s="1">
        <f t="shared" si="245"/>
        <v>1</v>
      </c>
      <c r="N3201" s="1">
        <f t="shared" si="246"/>
        <v>6</v>
      </c>
      <c r="O3201" s="10">
        <f t="shared" si="249"/>
        <v>11.761944444326218</v>
      </c>
    </row>
    <row r="3202" spans="1:15">
      <c r="A3202" s="1" t="s">
        <v>3307</v>
      </c>
      <c r="B3202" s="23">
        <v>45248.334722222222</v>
      </c>
      <c r="C3202" s="1" t="s">
        <v>11</v>
      </c>
      <c r="D3202" s="1" t="s">
        <v>59</v>
      </c>
      <c r="E3202" s="1" t="s">
        <v>33</v>
      </c>
      <c r="F3202" s="1" t="s">
        <v>198</v>
      </c>
      <c r="G3202" s="1">
        <v>458</v>
      </c>
      <c r="H3202" s="23">
        <v>45248.924780092595</v>
      </c>
      <c r="I3202" s="1" t="b">
        <v>0</v>
      </c>
      <c r="J3202" s="1">
        <v>4</v>
      </c>
      <c r="K3202" s="10">
        <f t="shared" si="247"/>
        <v>14.161388888955116</v>
      </c>
      <c r="L3202" s="1" t="str">
        <f t="shared" si="248"/>
        <v>OK</v>
      </c>
      <c r="M3202" s="1">
        <f t="shared" ref="M3202:M3265" si="250">COUNTIF($A$2:$A$4001,A3202)</f>
        <v>1</v>
      </c>
      <c r="N3202" s="1">
        <f t="shared" ref="N3202:N3265" si="251">IF(OR(L3202="Review",G3202=""),"",G3202)</f>
        <v>458</v>
      </c>
      <c r="O3202" s="10">
        <f t="shared" si="249"/>
        <v>14.161388888955116</v>
      </c>
    </row>
    <row r="3203" spans="1:15">
      <c r="A3203" s="1" t="s">
        <v>3308</v>
      </c>
      <c r="B3203" s="23">
        <v>45248.552083333336</v>
      </c>
      <c r="C3203" s="1" t="s">
        <v>16</v>
      </c>
      <c r="D3203" s="1" t="s">
        <v>17</v>
      </c>
      <c r="E3203" s="1" t="s">
        <v>18</v>
      </c>
      <c r="F3203" s="1" t="s">
        <v>345</v>
      </c>
      <c r="G3203" s="1">
        <v>260</v>
      </c>
      <c r="H3203" s="23">
        <v>45251.320798611108</v>
      </c>
      <c r="I3203" s="1" t="b">
        <v>0</v>
      </c>
      <c r="J3203" s="1">
        <v>4</v>
      </c>
      <c r="K3203" s="10">
        <f t="shared" ref="K3203:K3266" si="252">IF(H3203="","",(H3203-B3203)*24)</f>
        <v>66.449166666541714</v>
      </c>
      <c r="L3203" s="1" t="str">
        <f t="shared" ref="L3203:L3266" si="253">IF(OR(G3203="",K3203=""),"Cannot check",IF(G3203&gt;K3203*60,"Review","OK"))</f>
        <v>OK</v>
      </c>
      <c r="M3203" s="1">
        <f t="shared" si="250"/>
        <v>1</v>
      </c>
      <c r="N3203" s="1">
        <f t="shared" si="251"/>
        <v>260</v>
      </c>
      <c r="O3203" s="10">
        <f t="shared" ref="O3203:O3266" si="254">IF(OR(L3203="Review",K3203=""),"",K3203)</f>
        <v>66.449166666541714</v>
      </c>
    </row>
    <row r="3204" spans="1:15">
      <c r="A3204" s="1" t="s">
        <v>3309</v>
      </c>
      <c r="B3204" s="23">
        <v>45248.563888888886</v>
      </c>
      <c r="C3204" s="1" t="s">
        <v>25</v>
      </c>
      <c r="D3204" s="1" t="s">
        <v>21</v>
      </c>
      <c r="E3204" s="1" t="s">
        <v>18</v>
      </c>
      <c r="F3204" s="1" t="s">
        <v>120</v>
      </c>
      <c r="G3204" s="1">
        <v>21</v>
      </c>
      <c r="I3204" s="1" t="b">
        <v>0</v>
      </c>
      <c r="K3204" s="10" t="str">
        <f t="shared" si="252"/>
        <v/>
      </c>
      <c r="L3204" s="1" t="str">
        <f t="shared" si="253"/>
        <v>Cannot check</v>
      </c>
      <c r="M3204" s="1">
        <f t="shared" si="250"/>
        <v>1</v>
      </c>
      <c r="N3204" s="1">
        <f t="shared" si="251"/>
        <v>21</v>
      </c>
      <c r="O3204" s="10" t="str">
        <f t="shared" si="254"/>
        <v/>
      </c>
    </row>
    <row r="3205" spans="1:15">
      <c r="A3205" s="1" t="s">
        <v>3310</v>
      </c>
      <c r="B3205" s="23">
        <v>45248.629166666666</v>
      </c>
      <c r="C3205" s="1" t="s">
        <v>11</v>
      </c>
      <c r="D3205" s="1" t="s">
        <v>21</v>
      </c>
      <c r="E3205" s="1" t="s">
        <v>18</v>
      </c>
      <c r="F3205" s="1" t="s">
        <v>62</v>
      </c>
      <c r="G3205" s="1">
        <v>106</v>
      </c>
      <c r="H3205" s="23">
        <v>45250.857025462959</v>
      </c>
      <c r="I3205" s="1" t="b">
        <v>0</v>
      </c>
      <c r="K3205" s="10">
        <f t="shared" si="252"/>
        <v>53.46861111104954</v>
      </c>
      <c r="L3205" s="1" t="str">
        <f t="shared" si="253"/>
        <v>OK</v>
      </c>
      <c r="M3205" s="1">
        <f t="shared" si="250"/>
        <v>1</v>
      </c>
      <c r="N3205" s="1">
        <f t="shared" si="251"/>
        <v>106</v>
      </c>
      <c r="O3205" s="10">
        <f t="shared" si="254"/>
        <v>53.46861111104954</v>
      </c>
    </row>
    <row r="3206" spans="1:15">
      <c r="A3206" s="1" t="s">
        <v>3311</v>
      </c>
      <c r="B3206" s="23">
        <v>45248.770138888889</v>
      </c>
      <c r="C3206" s="1" t="s">
        <v>43</v>
      </c>
      <c r="D3206" s="1" t="s">
        <v>17</v>
      </c>
      <c r="E3206" s="1" t="s">
        <v>22</v>
      </c>
      <c r="F3206" s="1" t="s">
        <v>70</v>
      </c>
      <c r="H3206" s="23">
        <v>45248.912210648145</v>
      </c>
      <c r="I3206" s="1" t="b">
        <v>0</v>
      </c>
      <c r="K3206" s="10">
        <f t="shared" si="252"/>
        <v>3.409722222131677</v>
      </c>
      <c r="L3206" s="1" t="str">
        <f t="shared" si="253"/>
        <v>Cannot check</v>
      </c>
      <c r="M3206" s="1">
        <f t="shared" si="250"/>
        <v>1</v>
      </c>
      <c r="N3206" s="1" t="str">
        <f t="shared" si="251"/>
        <v/>
      </c>
      <c r="O3206" s="10">
        <f t="shared" si="254"/>
        <v>3.409722222131677</v>
      </c>
    </row>
    <row r="3207" spans="1:15">
      <c r="A3207" s="1" t="s">
        <v>3312</v>
      </c>
      <c r="B3207" s="23">
        <v>45248.830555555556</v>
      </c>
      <c r="C3207" s="1" t="s">
        <v>25</v>
      </c>
      <c r="D3207" s="1" t="s">
        <v>21</v>
      </c>
      <c r="E3207" s="1" t="s">
        <v>13</v>
      </c>
      <c r="F3207" s="1" t="s">
        <v>57</v>
      </c>
      <c r="H3207" s="23">
        <v>45249.045810185184</v>
      </c>
      <c r="I3207" s="1" t="b">
        <v>0</v>
      </c>
      <c r="J3207" s="1">
        <v>4</v>
      </c>
      <c r="K3207" s="10">
        <f t="shared" si="252"/>
        <v>5.1661111110588536</v>
      </c>
      <c r="L3207" s="1" t="str">
        <f t="shared" si="253"/>
        <v>Cannot check</v>
      </c>
      <c r="M3207" s="1">
        <f t="shared" si="250"/>
        <v>1</v>
      </c>
      <c r="N3207" s="1" t="str">
        <f t="shared" si="251"/>
        <v/>
      </c>
      <c r="O3207" s="10">
        <f t="shared" si="254"/>
        <v>5.1661111110588536</v>
      </c>
    </row>
    <row r="3208" spans="1:15">
      <c r="A3208" s="1" t="s">
        <v>3313</v>
      </c>
      <c r="B3208" s="23">
        <v>45248.881944444445</v>
      </c>
      <c r="C3208" s="1" t="s">
        <v>16</v>
      </c>
      <c r="D3208" s="1" t="s">
        <v>17</v>
      </c>
      <c r="E3208" s="1" t="s">
        <v>18</v>
      </c>
      <c r="F3208" s="1" t="s">
        <v>60</v>
      </c>
      <c r="G3208" s="1">
        <v>86</v>
      </c>
      <c r="H3208" s="23">
        <v>45251.095034722224</v>
      </c>
      <c r="I3208" s="1" t="b">
        <v>0</v>
      </c>
      <c r="J3208" s="1">
        <v>4</v>
      </c>
      <c r="K3208" s="10">
        <f t="shared" si="252"/>
        <v>53.114166666695382</v>
      </c>
      <c r="L3208" s="1" t="str">
        <f t="shared" si="253"/>
        <v>OK</v>
      </c>
      <c r="M3208" s="1">
        <f t="shared" si="250"/>
        <v>1</v>
      </c>
      <c r="N3208" s="1">
        <f t="shared" si="251"/>
        <v>86</v>
      </c>
      <c r="O3208" s="10">
        <f t="shared" si="254"/>
        <v>53.114166666695382</v>
      </c>
    </row>
    <row r="3209" spans="1:15">
      <c r="A3209" s="1" t="s">
        <v>3314</v>
      </c>
      <c r="B3209" s="23">
        <v>45248.970138888886</v>
      </c>
      <c r="C3209" s="1" t="s">
        <v>43</v>
      </c>
      <c r="D3209" s="1" t="s">
        <v>17</v>
      </c>
      <c r="E3209" s="1" t="s">
        <v>18</v>
      </c>
      <c r="F3209" s="1" t="s">
        <v>345</v>
      </c>
      <c r="G3209" s="1">
        <v>51</v>
      </c>
      <c r="H3209" s="23">
        <v>45249.656076388892</v>
      </c>
      <c r="I3209" s="1" t="b">
        <v>0</v>
      </c>
      <c r="K3209" s="10">
        <f t="shared" si="252"/>
        <v>16.462500000139698</v>
      </c>
      <c r="L3209" s="1" t="str">
        <f t="shared" si="253"/>
        <v>OK</v>
      </c>
      <c r="M3209" s="1">
        <f t="shared" si="250"/>
        <v>1</v>
      </c>
      <c r="N3209" s="1">
        <f t="shared" si="251"/>
        <v>51</v>
      </c>
      <c r="O3209" s="10">
        <f t="shared" si="254"/>
        <v>16.462500000139698</v>
      </c>
    </row>
    <row r="3210" spans="1:15">
      <c r="A3210" s="1" t="s">
        <v>3315</v>
      </c>
      <c r="B3210" s="23">
        <v>45249.089583333334</v>
      </c>
      <c r="C3210" s="1" t="s">
        <v>11</v>
      </c>
      <c r="D3210" s="1" t="s">
        <v>21</v>
      </c>
      <c r="E3210" s="1" t="s">
        <v>18</v>
      </c>
      <c r="F3210" s="1" t="s">
        <v>114</v>
      </c>
      <c r="H3210" s="23">
        <v>45249.482916666668</v>
      </c>
      <c r="I3210" s="1" t="b">
        <v>0</v>
      </c>
      <c r="J3210" s="1">
        <v>3</v>
      </c>
      <c r="K3210" s="10">
        <f t="shared" si="252"/>
        <v>9.4400000000023283</v>
      </c>
      <c r="L3210" s="1" t="str">
        <f t="shared" si="253"/>
        <v>Cannot check</v>
      </c>
      <c r="M3210" s="1">
        <f t="shared" si="250"/>
        <v>1</v>
      </c>
      <c r="N3210" s="1" t="str">
        <f t="shared" si="251"/>
        <v/>
      </c>
      <c r="O3210" s="10">
        <f t="shared" si="254"/>
        <v>9.4400000000023283</v>
      </c>
    </row>
    <row r="3211" spans="1:15">
      <c r="A3211" s="1" t="s">
        <v>3316</v>
      </c>
      <c r="B3211" s="23">
        <v>45249.191666666666</v>
      </c>
      <c r="C3211" s="1" t="s">
        <v>16</v>
      </c>
      <c r="D3211" s="1" t="s">
        <v>12</v>
      </c>
      <c r="E3211" s="1" t="s">
        <v>13</v>
      </c>
      <c r="F3211" s="1" t="s">
        <v>78</v>
      </c>
      <c r="G3211" s="1">
        <v>59</v>
      </c>
      <c r="H3211" s="23">
        <v>45250.73709490741</v>
      </c>
      <c r="I3211" s="1" t="b">
        <v>0</v>
      </c>
      <c r="K3211" s="10">
        <f t="shared" si="252"/>
        <v>37.090277777868323</v>
      </c>
      <c r="L3211" s="1" t="str">
        <f t="shared" si="253"/>
        <v>OK</v>
      </c>
      <c r="M3211" s="1">
        <f t="shared" si="250"/>
        <v>1</v>
      </c>
      <c r="N3211" s="1">
        <f t="shared" si="251"/>
        <v>59</v>
      </c>
      <c r="O3211" s="10">
        <f t="shared" si="254"/>
        <v>37.090277777868323</v>
      </c>
    </row>
    <row r="3212" spans="1:15">
      <c r="A3212" s="1" t="s">
        <v>3317</v>
      </c>
      <c r="B3212" s="23">
        <v>45249.277083333334</v>
      </c>
      <c r="C3212" s="1" t="s">
        <v>25</v>
      </c>
      <c r="D3212" s="1" t="s">
        <v>17</v>
      </c>
      <c r="E3212" s="1" t="s">
        <v>13</v>
      </c>
      <c r="F3212" s="1" t="s">
        <v>44</v>
      </c>
      <c r="G3212" s="1">
        <v>66</v>
      </c>
      <c r="H3212" s="23">
        <v>45249.852824074071</v>
      </c>
      <c r="I3212" s="1" t="b">
        <v>1</v>
      </c>
      <c r="K3212" s="10">
        <f t="shared" si="252"/>
        <v>13.817777777672745</v>
      </c>
      <c r="L3212" s="1" t="str">
        <f t="shared" si="253"/>
        <v>OK</v>
      </c>
      <c r="M3212" s="1">
        <f t="shared" si="250"/>
        <v>1</v>
      </c>
      <c r="N3212" s="1">
        <f t="shared" si="251"/>
        <v>66</v>
      </c>
      <c r="O3212" s="10">
        <f t="shared" si="254"/>
        <v>13.817777777672745</v>
      </c>
    </row>
    <row r="3213" spans="1:15">
      <c r="A3213" s="1" t="s">
        <v>3318</v>
      </c>
      <c r="B3213" s="23">
        <v>45249.47152777778</v>
      </c>
      <c r="C3213" s="1" t="s">
        <v>25</v>
      </c>
      <c r="D3213" s="1" t="s">
        <v>17</v>
      </c>
      <c r="E3213" s="1" t="s">
        <v>18</v>
      </c>
      <c r="F3213" s="1" t="s">
        <v>52</v>
      </c>
      <c r="G3213" s="1">
        <v>142</v>
      </c>
      <c r="H3213" s="23">
        <v>45258.047881944447</v>
      </c>
      <c r="I3213" s="1" t="b">
        <v>1</v>
      </c>
      <c r="J3213" s="1">
        <v>5</v>
      </c>
      <c r="K3213" s="10">
        <f t="shared" si="252"/>
        <v>205.83250000001863</v>
      </c>
      <c r="L3213" s="1" t="str">
        <f t="shared" si="253"/>
        <v>OK</v>
      </c>
      <c r="M3213" s="1">
        <f t="shared" si="250"/>
        <v>1</v>
      </c>
      <c r="N3213" s="1">
        <f t="shared" si="251"/>
        <v>142</v>
      </c>
      <c r="O3213" s="10">
        <f t="shared" si="254"/>
        <v>205.83250000001863</v>
      </c>
    </row>
    <row r="3214" spans="1:15">
      <c r="A3214" s="1" t="s">
        <v>3319</v>
      </c>
      <c r="B3214" s="23">
        <v>45249.597916666666</v>
      </c>
      <c r="C3214" s="1" t="s">
        <v>16</v>
      </c>
      <c r="D3214" s="1" t="s">
        <v>12</v>
      </c>
      <c r="E3214" s="1" t="s">
        <v>18</v>
      </c>
      <c r="F3214" s="1" t="s">
        <v>245</v>
      </c>
      <c r="G3214" s="1">
        <v>106</v>
      </c>
      <c r="H3214" s="23">
        <v>45250.414594907408</v>
      </c>
      <c r="I3214" s="1" t="b">
        <v>0</v>
      </c>
      <c r="K3214" s="10">
        <f t="shared" si="252"/>
        <v>19.600277777819429</v>
      </c>
      <c r="L3214" s="1" t="str">
        <f t="shared" si="253"/>
        <v>OK</v>
      </c>
      <c r="M3214" s="1">
        <f t="shared" si="250"/>
        <v>1</v>
      </c>
      <c r="N3214" s="1">
        <f t="shared" si="251"/>
        <v>106</v>
      </c>
      <c r="O3214" s="10">
        <f t="shared" si="254"/>
        <v>19.600277777819429</v>
      </c>
    </row>
    <row r="3215" spans="1:15">
      <c r="A3215" s="1" t="s">
        <v>3320</v>
      </c>
      <c r="B3215" s="23">
        <v>45249.661805555559</v>
      </c>
      <c r="C3215" s="1" t="s">
        <v>16</v>
      </c>
      <c r="D3215" s="1" t="s">
        <v>26</v>
      </c>
      <c r="E3215" s="1" t="s">
        <v>18</v>
      </c>
      <c r="F3215" s="1" t="s">
        <v>224</v>
      </c>
      <c r="G3215" s="1">
        <v>25</v>
      </c>
      <c r="I3215" s="1" t="b">
        <v>0</v>
      </c>
      <c r="K3215" s="10" t="str">
        <f t="shared" si="252"/>
        <v/>
      </c>
      <c r="L3215" s="1" t="str">
        <f t="shared" si="253"/>
        <v>Cannot check</v>
      </c>
      <c r="M3215" s="1">
        <f t="shared" si="250"/>
        <v>1</v>
      </c>
      <c r="N3215" s="1">
        <f t="shared" si="251"/>
        <v>25</v>
      </c>
      <c r="O3215" s="10" t="str">
        <f t="shared" si="254"/>
        <v/>
      </c>
    </row>
    <row r="3216" spans="1:15">
      <c r="A3216" s="1" t="s">
        <v>3321</v>
      </c>
      <c r="B3216" s="23">
        <v>45249.685416666667</v>
      </c>
      <c r="C3216" s="1" t="s">
        <v>25</v>
      </c>
      <c r="D3216" s="1" t="s">
        <v>21</v>
      </c>
      <c r="E3216" s="1" t="s">
        <v>33</v>
      </c>
      <c r="F3216" s="1" t="s">
        <v>72</v>
      </c>
      <c r="G3216" s="1">
        <v>64</v>
      </c>
      <c r="H3216" s="23">
        <v>45251.234872685185</v>
      </c>
      <c r="I3216" s="1" t="b">
        <v>0</v>
      </c>
      <c r="K3216" s="10">
        <f t="shared" si="252"/>
        <v>37.186944444430992</v>
      </c>
      <c r="L3216" s="1" t="str">
        <f t="shared" si="253"/>
        <v>OK</v>
      </c>
      <c r="M3216" s="1">
        <f t="shared" si="250"/>
        <v>1</v>
      </c>
      <c r="N3216" s="1">
        <f t="shared" si="251"/>
        <v>64</v>
      </c>
      <c r="O3216" s="10">
        <f t="shared" si="254"/>
        <v>37.186944444430992</v>
      </c>
    </row>
    <row r="3217" spans="1:15">
      <c r="A3217" s="1" t="s">
        <v>3322</v>
      </c>
      <c r="B3217" s="23">
        <v>45249.705555555556</v>
      </c>
      <c r="C3217" s="1" t="s">
        <v>25</v>
      </c>
      <c r="D3217" s="1" t="s">
        <v>21</v>
      </c>
      <c r="E3217" s="1" t="s">
        <v>18</v>
      </c>
      <c r="F3217" s="1" t="s">
        <v>145</v>
      </c>
      <c r="G3217" s="1">
        <v>74</v>
      </c>
      <c r="H3217" s="23">
        <v>45252.537939814814</v>
      </c>
      <c r="I3217" s="1" t="b">
        <v>0</v>
      </c>
      <c r="J3217" s="1">
        <v>4</v>
      </c>
      <c r="K3217" s="10">
        <f t="shared" si="252"/>
        <v>67.977222222194541</v>
      </c>
      <c r="L3217" s="1" t="str">
        <f t="shared" si="253"/>
        <v>OK</v>
      </c>
      <c r="M3217" s="1">
        <f t="shared" si="250"/>
        <v>1</v>
      </c>
      <c r="N3217" s="1">
        <f t="shared" si="251"/>
        <v>74</v>
      </c>
      <c r="O3217" s="10">
        <f t="shared" si="254"/>
        <v>67.977222222194541</v>
      </c>
    </row>
    <row r="3218" spans="1:15">
      <c r="A3218" s="1" t="s">
        <v>3323</v>
      </c>
      <c r="B3218" s="23">
        <v>45249.760416666664</v>
      </c>
      <c r="C3218" s="1" t="s">
        <v>11</v>
      </c>
      <c r="D3218" s="1" t="s">
        <v>59</v>
      </c>
      <c r="E3218" s="1" t="s">
        <v>13</v>
      </c>
      <c r="F3218" s="1" t="s">
        <v>114</v>
      </c>
      <c r="H3218" s="23">
        <v>45250.395127314812</v>
      </c>
      <c r="I3218" s="1" t="b">
        <v>0</v>
      </c>
      <c r="J3218" s="1">
        <v>4</v>
      </c>
      <c r="K3218" s="10">
        <f t="shared" si="252"/>
        <v>15.23305555555271</v>
      </c>
      <c r="L3218" s="1" t="str">
        <f t="shared" si="253"/>
        <v>Cannot check</v>
      </c>
      <c r="M3218" s="1">
        <f t="shared" si="250"/>
        <v>1</v>
      </c>
      <c r="N3218" s="1" t="str">
        <f t="shared" si="251"/>
        <v/>
      </c>
      <c r="O3218" s="10">
        <f t="shared" si="254"/>
        <v>15.23305555555271</v>
      </c>
    </row>
    <row r="3219" spans="1:15">
      <c r="A3219" s="1" t="s">
        <v>3324</v>
      </c>
      <c r="B3219" s="23">
        <v>45249.848611111112</v>
      </c>
      <c r="C3219" s="1" t="s">
        <v>43</v>
      </c>
      <c r="D3219" s="1" t="s">
        <v>59</v>
      </c>
      <c r="E3219" s="1" t="s">
        <v>18</v>
      </c>
      <c r="F3219" s="1" t="s">
        <v>415</v>
      </c>
      <c r="G3219" s="1">
        <v>229</v>
      </c>
      <c r="H3219" s="23">
        <v>45250.28297453704</v>
      </c>
      <c r="I3219" s="1" t="b">
        <v>0</v>
      </c>
      <c r="J3219" s="1">
        <v>5</v>
      </c>
      <c r="K3219" s="10">
        <f t="shared" si="252"/>
        <v>10.424722222262062</v>
      </c>
      <c r="L3219" s="1" t="str">
        <f t="shared" si="253"/>
        <v>OK</v>
      </c>
      <c r="M3219" s="1">
        <f t="shared" si="250"/>
        <v>1</v>
      </c>
      <c r="N3219" s="1">
        <f t="shared" si="251"/>
        <v>229</v>
      </c>
      <c r="O3219" s="10">
        <f t="shared" si="254"/>
        <v>10.424722222262062</v>
      </c>
    </row>
    <row r="3220" spans="1:15">
      <c r="A3220" s="1" t="s">
        <v>3325</v>
      </c>
      <c r="B3220" s="23">
        <v>45249.89166666667</v>
      </c>
      <c r="C3220" s="1" t="s">
        <v>11</v>
      </c>
      <c r="D3220" s="1" t="s">
        <v>21</v>
      </c>
      <c r="E3220" s="1" t="s">
        <v>18</v>
      </c>
      <c r="F3220" s="1" t="s">
        <v>302</v>
      </c>
      <c r="G3220" s="1">
        <v>148</v>
      </c>
      <c r="H3220" s="23">
        <v>45252.4528587963</v>
      </c>
      <c r="I3220" s="1" t="b">
        <v>0</v>
      </c>
      <c r="J3220" s="1">
        <v>5</v>
      </c>
      <c r="K3220" s="10">
        <f t="shared" si="252"/>
        <v>61.468611111107748</v>
      </c>
      <c r="L3220" s="1" t="str">
        <f t="shared" si="253"/>
        <v>OK</v>
      </c>
      <c r="M3220" s="1">
        <f t="shared" si="250"/>
        <v>1</v>
      </c>
      <c r="N3220" s="1">
        <f t="shared" si="251"/>
        <v>148</v>
      </c>
      <c r="O3220" s="10">
        <f t="shared" si="254"/>
        <v>61.468611111107748</v>
      </c>
    </row>
    <row r="3221" spans="1:15">
      <c r="A3221" s="1" t="s">
        <v>3326</v>
      </c>
      <c r="B3221" s="23">
        <v>45250.100694444445</v>
      </c>
      <c r="C3221" s="1" t="s">
        <v>16</v>
      </c>
      <c r="D3221" s="1" t="s">
        <v>21</v>
      </c>
      <c r="E3221" s="1" t="s">
        <v>18</v>
      </c>
      <c r="F3221" s="1" t="s">
        <v>68</v>
      </c>
      <c r="G3221" s="1">
        <v>104</v>
      </c>
      <c r="H3221" s="23">
        <v>45250.20579861111</v>
      </c>
      <c r="I3221" s="1" t="b">
        <v>0</v>
      </c>
      <c r="J3221" s="1">
        <v>4</v>
      </c>
      <c r="K3221" s="10">
        <f t="shared" si="252"/>
        <v>2.5224999999627471</v>
      </c>
      <c r="L3221" s="1" t="str">
        <f t="shared" si="253"/>
        <v>OK</v>
      </c>
      <c r="M3221" s="1">
        <f t="shared" si="250"/>
        <v>1</v>
      </c>
      <c r="N3221" s="1">
        <f t="shared" si="251"/>
        <v>104</v>
      </c>
      <c r="O3221" s="10">
        <f t="shared" si="254"/>
        <v>2.5224999999627471</v>
      </c>
    </row>
    <row r="3222" spans="1:15">
      <c r="A3222" s="1" t="s">
        <v>3327</v>
      </c>
      <c r="B3222" s="23">
        <v>45250.3125</v>
      </c>
      <c r="C3222" s="1" t="s">
        <v>11</v>
      </c>
      <c r="D3222" s="1" t="s">
        <v>17</v>
      </c>
      <c r="E3222" s="1" t="s">
        <v>18</v>
      </c>
      <c r="F3222" s="1" t="s">
        <v>90</v>
      </c>
      <c r="H3222" s="23">
        <v>45250.437974537039</v>
      </c>
      <c r="I3222" s="1" t="b">
        <v>0</v>
      </c>
      <c r="J3222" s="1">
        <v>3</v>
      </c>
      <c r="K3222" s="10">
        <f t="shared" si="252"/>
        <v>3.0113888889318332</v>
      </c>
      <c r="L3222" s="1" t="str">
        <f t="shared" si="253"/>
        <v>Cannot check</v>
      </c>
      <c r="M3222" s="1">
        <f t="shared" si="250"/>
        <v>1</v>
      </c>
      <c r="N3222" s="1" t="str">
        <f t="shared" si="251"/>
        <v/>
      </c>
      <c r="O3222" s="10">
        <f t="shared" si="254"/>
        <v>3.0113888889318332</v>
      </c>
    </row>
    <row r="3223" spans="1:15">
      <c r="A3223" s="1" t="s">
        <v>3328</v>
      </c>
      <c r="B3223" s="23">
        <v>45250.313194444447</v>
      </c>
      <c r="C3223" s="1" t="s">
        <v>25</v>
      </c>
      <c r="D3223" s="1" t="s">
        <v>26</v>
      </c>
      <c r="E3223" s="1" t="s">
        <v>18</v>
      </c>
      <c r="F3223" s="1" t="s">
        <v>84</v>
      </c>
      <c r="H3223" s="23">
        <v>45252.618055555555</v>
      </c>
      <c r="I3223" s="1" t="b">
        <v>0</v>
      </c>
      <c r="J3223" s="1">
        <v>5</v>
      </c>
      <c r="K3223" s="10">
        <f t="shared" si="252"/>
        <v>55.316666666592937</v>
      </c>
      <c r="L3223" s="1" t="str">
        <f t="shared" si="253"/>
        <v>Cannot check</v>
      </c>
      <c r="M3223" s="1">
        <f t="shared" si="250"/>
        <v>1</v>
      </c>
      <c r="N3223" s="1" t="str">
        <f t="shared" si="251"/>
        <v/>
      </c>
      <c r="O3223" s="10">
        <f t="shared" si="254"/>
        <v>55.316666666592937</v>
      </c>
    </row>
    <row r="3224" spans="1:15">
      <c r="A3224" s="1" t="s">
        <v>3329</v>
      </c>
      <c r="B3224" s="23">
        <v>45250.479166666664</v>
      </c>
      <c r="C3224" s="1" t="s">
        <v>16</v>
      </c>
      <c r="D3224" s="1" t="s">
        <v>59</v>
      </c>
      <c r="E3224" s="1" t="s">
        <v>13</v>
      </c>
      <c r="F3224" s="1" t="s">
        <v>62</v>
      </c>
      <c r="G3224" s="1">
        <v>45</v>
      </c>
      <c r="H3224" s="23">
        <v>45251.202453703707</v>
      </c>
      <c r="I3224" s="1" t="b">
        <v>0</v>
      </c>
      <c r="K3224" s="10">
        <f t="shared" si="252"/>
        <v>17.358888889022637</v>
      </c>
      <c r="L3224" s="1" t="str">
        <f t="shared" si="253"/>
        <v>OK</v>
      </c>
      <c r="M3224" s="1">
        <f t="shared" si="250"/>
        <v>1</v>
      </c>
      <c r="N3224" s="1">
        <f t="shared" si="251"/>
        <v>45</v>
      </c>
      <c r="O3224" s="10">
        <f t="shared" si="254"/>
        <v>17.358888889022637</v>
      </c>
    </row>
    <row r="3225" spans="1:15">
      <c r="A3225" s="1" t="s">
        <v>3330</v>
      </c>
      <c r="B3225" s="23">
        <v>45250.657638888886</v>
      </c>
      <c r="C3225" s="1" t="s">
        <v>43</v>
      </c>
      <c r="D3225" s="1" t="s">
        <v>17</v>
      </c>
      <c r="E3225" s="1" t="s">
        <v>18</v>
      </c>
      <c r="F3225" s="1" t="s">
        <v>162</v>
      </c>
      <c r="G3225" s="1">
        <v>139</v>
      </c>
      <c r="H3225" s="23">
        <v>45251.583831018521</v>
      </c>
      <c r="I3225" s="1" t="b">
        <v>0</v>
      </c>
      <c r="K3225" s="10">
        <f t="shared" si="252"/>
        <v>22.228611111233477</v>
      </c>
      <c r="L3225" s="1" t="str">
        <f t="shared" si="253"/>
        <v>OK</v>
      </c>
      <c r="M3225" s="1">
        <f t="shared" si="250"/>
        <v>1</v>
      </c>
      <c r="N3225" s="1">
        <f t="shared" si="251"/>
        <v>139</v>
      </c>
      <c r="O3225" s="10">
        <f t="shared" si="254"/>
        <v>22.228611111233477</v>
      </c>
    </row>
    <row r="3226" spans="1:15">
      <c r="A3226" s="1" t="s">
        <v>3331</v>
      </c>
      <c r="B3226" s="23">
        <v>45250.663194444445</v>
      </c>
      <c r="C3226" s="1" t="s">
        <v>25</v>
      </c>
      <c r="D3226" s="1" t="s">
        <v>21</v>
      </c>
      <c r="E3226" s="1" t="s">
        <v>18</v>
      </c>
      <c r="F3226" s="1" t="s">
        <v>116</v>
      </c>
      <c r="G3226" s="1">
        <v>81</v>
      </c>
      <c r="H3226" s="23">
        <v>45251.22351851852</v>
      </c>
      <c r="I3226" s="1" t="b">
        <v>0</v>
      </c>
      <c r="K3226" s="10">
        <f t="shared" si="252"/>
        <v>13.447777777793817</v>
      </c>
      <c r="L3226" s="1" t="str">
        <f t="shared" si="253"/>
        <v>OK</v>
      </c>
      <c r="M3226" s="1">
        <f t="shared" si="250"/>
        <v>1</v>
      </c>
      <c r="N3226" s="1">
        <f t="shared" si="251"/>
        <v>81</v>
      </c>
      <c r="O3226" s="10">
        <f t="shared" si="254"/>
        <v>13.447777777793817</v>
      </c>
    </row>
    <row r="3227" spans="1:15">
      <c r="A3227" s="1" t="s">
        <v>3332</v>
      </c>
      <c r="B3227" s="23">
        <v>45250.761111111111</v>
      </c>
      <c r="C3227" s="1" t="s">
        <v>16</v>
      </c>
      <c r="D3227" s="1" t="s">
        <v>21</v>
      </c>
      <c r="E3227" s="1" t="s">
        <v>18</v>
      </c>
      <c r="F3227" s="1" t="s">
        <v>239</v>
      </c>
      <c r="G3227" s="1">
        <v>138</v>
      </c>
      <c r="H3227" s="23">
        <v>45251.572546296295</v>
      </c>
      <c r="I3227" s="1" t="b">
        <v>0</v>
      </c>
      <c r="J3227" s="1">
        <v>5</v>
      </c>
      <c r="K3227" s="10">
        <f t="shared" si="252"/>
        <v>19.474444444407709</v>
      </c>
      <c r="L3227" s="1" t="str">
        <f t="shared" si="253"/>
        <v>OK</v>
      </c>
      <c r="M3227" s="1">
        <f t="shared" si="250"/>
        <v>1</v>
      </c>
      <c r="N3227" s="1">
        <f t="shared" si="251"/>
        <v>138</v>
      </c>
      <c r="O3227" s="10">
        <f t="shared" si="254"/>
        <v>19.474444444407709</v>
      </c>
    </row>
    <row r="3228" spans="1:15">
      <c r="A3228" s="1" t="s">
        <v>3333</v>
      </c>
      <c r="B3228" s="23">
        <v>45250.813194444447</v>
      </c>
      <c r="C3228" s="1" t="s">
        <v>25</v>
      </c>
      <c r="D3228" s="1" t="s">
        <v>12</v>
      </c>
      <c r="E3228" s="1" t="s">
        <v>18</v>
      </c>
      <c r="F3228" s="1" t="s">
        <v>198</v>
      </c>
      <c r="G3228" s="1">
        <v>73</v>
      </c>
      <c r="H3228" s="23">
        <v>45251.173009259262</v>
      </c>
      <c r="I3228" s="1" t="b">
        <v>0</v>
      </c>
      <c r="J3228" s="1">
        <v>5</v>
      </c>
      <c r="K3228" s="10">
        <f t="shared" si="252"/>
        <v>8.6355555555783212</v>
      </c>
      <c r="L3228" s="1" t="str">
        <f t="shared" si="253"/>
        <v>OK</v>
      </c>
      <c r="M3228" s="1">
        <f t="shared" si="250"/>
        <v>1</v>
      </c>
      <c r="N3228" s="1">
        <f t="shared" si="251"/>
        <v>73</v>
      </c>
      <c r="O3228" s="10">
        <f t="shared" si="254"/>
        <v>8.6355555555783212</v>
      </c>
    </row>
    <row r="3229" spans="1:15">
      <c r="A3229" s="1" t="s">
        <v>3334</v>
      </c>
      <c r="B3229" s="23">
        <v>45250.981944444444</v>
      </c>
      <c r="C3229" s="1" t="s">
        <v>11</v>
      </c>
      <c r="D3229" s="1" t="s">
        <v>59</v>
      </c>
      <c r="E3229" s="1" t="s">
        <v>33</v>
      </c>
      <c r="F3229" s="1" t="s">
        <v>106</v>
      </c>
      <c r="G3229" s="1">
        <v>233</v>
      </c>
      <c r="H3229" s="23">
        <v>45251.859456018516</v>
      </c>
      <c r="I3229" s="1" t="b">
        <v>1</v>
      </c>
      <c r="J3229" s="1">
        <v>5</v>
      </c>
      <c r="K3229" s="10">
        <f t="shared" si="252"/>
        <v>21.060277777723968</v>
      </c>
      <c r="L3229" s="1" t="str">
        <f t="shared" si="253"/>
        <v>OK</v>
      </c>
      <c r="M3229" s="1">
        <f t="shared" si="250"/>
        <v>1</v>
      </c>
      <c r="N3229" s="1">
        <f t="shared" si="251"/>
        <v>233</v>
      </c>
      <c r="O3229" s="10">
        <f t="shared" si="254"/>
        <v>21.060277777723968</v>
      </c>
    </row>
    <row r="3230" spans="1:15">
      <c r="A3230" s="1" t="s">
        <v>3335</v>
      </c>
      <c r="B3230" s="23">
        <v>45250.999305555553</v>
      </c>
      <c r="C3230" s="1" t="s">
        <v>11</v>
      </c>
      <c r="D3230" s="1" t="s">
        <v>21</v>
      </c>
      <c r="E3230" s="1" t="s">
        <v>18</v>
      </c>
      <c r="F3230" s="1" t="s">
        <v>132</v>
      </c>
      <c r="G3230" s="1">
        <v>16</v>
      </c>
      <c r="H3230" s="23">
        <v>45251.902754629627</v>
      </c>
      <c r="I3230" s="1" t="b">
        <v>0</v>
      </c>
      <c r="K3230" s="10">
        <f t="shared" si="252"/>
        <v>21.682777777779847</v>
      </c>
      <c r="L3230" s="1" t="str">
        <f t="shared" si="253"/>
        <v>OK</v>
      </c>
      <c r="M3230" s="1">
        <f t="shared" si="250"/>
        <v>1</v>
      </c>
      <c r="N3230" s="1">
        <f t="shared" si="251"/>
        <v>16</v>
      </c>
      <c r="O3230" s="10">
        <f t="shared" si="254"/>
        <v>21.682777777779847</v>
      </c>
    </row>
    <row r="3231" spans="1:15">
      <c r="A3231" s="1" t="s">
        <v>3336</v>
      </c>
      <c r="B3231" s="23">
        <v>45251.023611111108</v>
      </c>
      <c r="C3231" s="1" t="s">
        <v>25</v>
      </c>
      <c r="D3231" s="1" t="s">
        <v>21</v>
      </c>
      <c r="E3231" s="1" t="s">
        <v>18</v>
      </c>
      <c r="F3231" s="1" t="s">
        <v>237</v>
      </c>
      <c r="G3231" s="1">
        <v>198</v>
      </c>
      <c r="H3231" s="23">
        <v>45252.565752314818</v>
      </c>
      <c r="I3231" s="1" t="b">
        <v>0</v>
      </c>
      <c r="K3231" s="10">
        <f t="shared" si="252"/>
        <v>37.011388889048249</v>
      </c>
      <c r="L3231" s="1" t="str">
        <f t="shared" si="253"/>
        <v>OK</v>
      </c>
      <c r="M3231" s="1">
        <f t="shared" si="250"/>
        <v>1</v>
      </c>
      <c r="N3231" s="1">
        <f t="shared" si="251"/>
        <v>198</v>
      </c>
      <c r="O3231" s="10">
        <f t="shared" si="254"/>
        <v>37.011388889048249</v>
      </c>
    </row>
    <row r="3232" spans="1:15">
      <c r="A3232" s="1" t="s">
        <v>3337</v>
      </c>
      <c r="B3232" s="23">
        <v>45251.188194444447</v>
      </c>
      <c r="C3232" s="1" t="s">
        <v>11</v>
      </c>
      <c r="D3232" s="1" t="s">
        <v>17</v>
      </c>
      <c r="E3232" s="1" t="s">
        <v>18</v>
      </c>
      <c r="F3232" s="1" t="s">
        <v>215</v>
      </c>
      <c r="G3232" s="1">
        <v>127</v>
      </c>
      <c r="I3232" s="1" t="b">
        <v>0</v>
      </c>
      <c r="K3232" s="10" t="str">
        <f t="shared" si="252"/>
        <v/>
      </c>
      <c r="L3232" s="1" t="str">
        <f t="shared" si="253"/>
        <v>Cannot check</v>
      </c>
      <c r="M3232" s="1">
        <f t="shared" si="250"/>
        <v>1</v>
      </c>
      <c r="N3232" s="1">
        <f t="shared" si="251"/>
        <v>127</v>
      </c>
      <c r="O3232" s="10" t="str">
        <f t="shared" si="254"/>
        <v/>
      </c>
    </row>
    <row r="3233" spans="1:15">
      <c r="A3233" s="1" t="s">
        <v>3338</v>
      </c>
      <c r="B3233" s="23">
        <v>45251.21597222222</v>
      </c>
      <c r="C3233" s="1" t="s">
        <v>25</v>
      </c>
      <c r="D3233" s="1" t="s">
        <v>59</v>
      </c>
      <c r="E3233" s="1" t="s">
        <v>13</v>
      </c>
      <c r="F3233" s="1" t="s">
        <v>367</v>
      </c>
      <c r="G3233" s="1">
        <v>40</v>
      </c>
      <c r="H3233" s="23">
        <v>45251.444166666668</v>
      </c>
      <c r="I3233" s="1" t="b">
        <v>0</v>
      </c>
      <c r="K3233" s="10">
        <f t="shared" si="252"/>
        <v>5.4766666667419486</v>
      </c>
      <c r="L3233" s="1" t="str">
        <f t="shared" si="253"/>
        <v>OK</v>
      </c>
      <c r="M3233" s="1">
        <f t="shared" si="250"/>
        <v>1</v>
      </c>
      <c r="N3233" s="1">
        <f t="shared" si="251"/>
        <v>40</v>
      </c>
      <c r="O3233" s="10">
        <f t="shared" si="254"/>
        <v>5.4766666667419486</v>
      </c>
    </row>
    <row r="3234" spans="1:15">
      <c r="A3234" s="1" t="s">
        <v>3339</v>
      </c>
      <c r="B3234" s="23">
        <v>45251.263888888891</v>
      </c>
      <c r="C3234" s="1" t="s">
        <v>25</v>
      </c>
      <c r="D3234" s="1" t="s">
        <v>21</v>
      </c>
      <c r="E3234" s="1" t="s">
        <v>13</v>
      </c>
      <c r="F3234" s="1" t="s">
        <v>44</v>
      </c>
      <c r="G3234" s="1">
        <v>277</v>
      </c>
      <c r="H3234" s="23">
        <v>45251.473749999997</v>
      </c>
      <c r="I3234" s="1" t="b">
        <v>0</v>
      </c>
      <c r="K3234" s="10">
        <f t="shared" si="252"/>
        <v>5.0366666665649973</v>
      </c>
      <c r="L3234" s="1" t="str">
        <f t="shared" si="253"/>
        <v>OK</v>
      </c>
      <c r="M3234" s="1">
        <f t="shared" si="250"/>
        <v>1</v>
      </c>
      <c r="N3234" s="1">
        <f t="shared" si="251"/>
        <v>277</v>
      </c>
      <c r="O3234" s="10">
        <f t="shared" si="254"/>
        <v>5.0366666665649973</v>
      </c>
    </row>
    <row r="3235" spans="1:15">
      <c r="A3235" s="1" t="s">
        <v>3340</v>
      </c>
      <c r="B3235" s="23">
        <v>45251.357638888891</v>
      </c>
      <c r="C3235" s="1" t="s">
        <v>25</v>
      </c>
      <c r="D3235" s="1" t="s">
        <v>12</v>
      </c>
      <c r="E3235" s="1" t="s">
        <v>22</v>
      </c>
      <c r="F3235" s="1" t="s">
        <v>68</v>
      </c>
      <c r="G3235" s="1">
        <v>38</v>
      </c>
      <c r="H3235" s="23">
        <v>45251.629027777781</v>
      </c>
      <c r="I3235" s="1" t="b">
        <v>0</v>
      </c>
      <c r="J3235" s="1">
        <v>5</v>
      </c>
      <c r="K3235" s="10">
        <f t="shared" si="252"/>
        <v>6.5133333333651535</v>
      </c>
      <c r="L3235" s="1" t="str">
        <f t="shared" si="253"/>
        <v>OK</v>
      </c>
      <c r="M3235" s="1">
        <f t="shared" si="250"/>
        <v>1</v>
      </c>
      <c r="N3235" s="1">
        <f t="shared" si="251"/>
        <v>38</v>
      </c>
      <c r="O3235" s="10">
        <f t="shared" si="254"/>
        <v>6.5133333333651535</v>
      </c>
    </row>
    <row r="3236" spans="1:15">
      <c r="A3236" s="1" t="s">
        <v>3341</v>
      </c>
      <c r="B3236" s="23">
        <v>45251.451388888891</v>
      </c>
      <c r="C3236" s="1" t="s">
        <v>16</v>
      </c>
      <c r="D3236" s="1" t="s">
        <v>26</v>
      </c>
      <c r="E3236" s="1" t="s">
        <v>13</v>
      </c>
      <c r="F3236" s="1" t="s">
        <v>52</v>
      </c>
      <c r="G3236" s="1">
        <v>32</v>
      </c>
      <c r="H3236" s="23">
        <v>45254.010034722225</v>
      </c>
      <c r="I3236" s="1" t="b">
        <v>0</v>
      </c>
      <c r="J3236" s="1">
        <v>5</v>
      </c>
      <c r="K3236" s="10">
        <f t="shared" si="252"/>
        <v>61.407500000030268</v>
      </c>
      <c r="L3236" s="1" t="str">
        <f t="shared" si="253"/>
        <v>OK</v>
      </c>
      <c r="M3236" s="1">
        <f t="shared" si="250"/>
        <v>1</v>
      </c>
      <c r="N3236" s="1">
        <f t="shared" si="251"/>
        <v>32</v>
      </c>
      <c r="O3236" s="10">
        <f t="shared" si="254"/>
        <v>61.407500000030268</v>
      </c>
    </row>
    <row r="3237" spans="1:15">
      <c r="A3237" s="1" t="s">
        <v>3342</v>
      </c>
      <c r="B3237" s="23">
        <v>45251.452777777777</v>
      </c>
      <c r="C3237" s="1" t="s">
        <v>11</v>
      </c>
      <c r="D3237" s="1" t="s">
        <v>21</v>
      </c>
      <c r="E3237" s="1" t="s">
        <v>18</v>
      </c>
      <c r="F3237" s="1" t="s">
        <v>128</v>
      </c>
      <c r="G3237" s="1">
        <v>70</v>
      </c>
      <c r="H3237" s="23">
        <v>45251.793449074074</v>
      </c>
      <c r="I3237" s="1" t="b">
        <v>0</v>
      </c>
      <c r="J3237" s="1">
        <v>3</v>
      </c>
      <c r="K3237" s="10">
        <f t="shared" si="252"/>
        <v>8.1761111111263745</v>
      </c>
      <c r="L3237" s="1" t="str">
        <f t="shared" si="253"/>
        <v>OK</v>
      </c>
      <c r="M3237" s="1">
        <f t="shared" si="250"/>
        <v>1</v>
      </c>
      <c r="N3237" s="1">
        <f t="shared" si="251"/>
        <v>70</v>
      </c>
      <c r="O3237" s="10">
        <f t="shared" si="254"/>
        <v>8.1761111111263745</v>
      </c>
    </row>
    <row r="3238" spans="1:15">
      <c r="A3238" s="1" t="s">
        <v>3343</v>
      </c>
      <c r="B3238" s="23">
        <v>45251.614583333336</v>
      </c>
      <c r="C3238" s="1" t="s">
        <v>16</v>
      </c>
      <c r="D3238" s="1" t="s">
        <v>17</v>
      </c>
      <c r="E3238" s="1" t="s">
        <v>18</v>
      </c>
      <c r="F3238" s="1" t="s">
        <v>60</v>
      </c>
      <c r="G3238" s="1">
        <v>189</v>
      </c>
      <c r="H3238" s="23">
        <v>45251.673368055555</v>
      </c>
      <c r="I3238" s="1" t="b">
        <v>0</v>
      </c>
      <c r="J3238" s="1">
        <v>3</v>
      </c>
      <c r="K3238" s="10">
        <f t="shared" si="252"/>
        <v>1.410833333269693</v>
      </c>
      <c r="L3238" s="1" t="str">
        <f t="shared" si="253"/>
        <v>Review</v>
      </c>
      <c r="M3238" s="1">
        <f t="shared" si="250"/>
        <v>1</v>
      </c>
      <c r="N3238" s="1" t="str">
        <f t="shared" si="251"/>
        <v/>
      </c>
      <c r="O3238" s="10" t="str">
        <f t="shared" si="254"/>
        <v/>
      </c>
    </row>
    <row r="3239" spans="1:15">
      <c r="A3239" s="1" t="s">
        <v>3344</v>
      </c>
      <c r="B3239" s="23">
        <v>45251.65625</v>
      </c>
      <c r="C3239" s="1" t="s">
        <v>16</v>
      </c>
      <c r="D3239" s="1" t="s">
        <v>26</v>
      </c>
      <c r="E3239" s="1" t="s">
        <v>33</v>
      </c>
      <c r="F3239" s="1" t="s">
        <v>245</v>
      </c>
      <c r="G3239" s="1">
        <v>110</v>
      </c>
      <c r="H3239" s="23">
        <v>45255.566874999997</v>
      </c>
      <c r="I3239" s="1" t="b">
        <v>1</v>
      </c>
      <c r="K3239" s="10">
        <f t="shared" si="252"/>
        <v>93.854999999923166</v>
      </c>
      <c r="L3239" s="1" t="str">
        <f t="shared" si="253"/>
        <v>OK</v>
      </c>
      <c r="M3239" s="1">
        <f t="shared" si="250"/>
        <v>1</v>
      </c>
      <c r="N3239" s="1">
        <f t="shared" si="251"/>
        <v>110</v>
      </c>
      <c r="O3239" s="10">
        <f t="shared" si="254"/>
        <v>93.854999999923166</v>
      </c>
    </row>
    <row r="3240" spans="1:15">
      <c r="A3240" s="1" t="s">
        <v>3345</v>
      </c>
      <c r="B3240" s="23">
        <v>45251.725694444445</v>
      </c>
      <c r="C3240" s="1" t="s">
        <v>16</v>
      </c>
      <c r="D3240" s="1" t="s">
        <v>17</v>
      </c>
      <c r="E3240" s="1" t="s">
        <v>18</v>
      </c>
      <c r="F3240" s="1" t="s">
        <v>29</v>
      </c>
      <c r="G3240" s="1">
        <v>29</v>
      </c>
      <c r="I3240" s="1" t="b">
        <v>0</v>
      </c>
      <c r="K3240" s="10" t="str">
        <f t="shared" si="252"/>
        <v/>
      </c>
      <c r="L3240" s="1" t="str">
        <f t="shared" si="253"/>
        <v>Cannot check</v>
      </c>
      <c r="M3240" s="1">
        <f t="shared" si="250"/>
        <v>1</v>
      </c>
      <c r="N3240" s="1">
        <f t="shared" si="251"/>
        <v>29</v>
      </c>
      <c r="O3240" s="10" t="str">
        <f t="shared" si="254"/>
        <v/>
      </c>
    </row>
    <row r="3241" spans="1:15">
      <c r="A3241" s="1" t="s">
        <v>3346</v>
      </c>
      <c r="B3241" s="23">
        <v>45251.75277777778</v>
      </c>
      <c r="C3241" s="1" t="s">
        <v>16</v>
      </c>
      <c r="D3241" s="1" t="s">
        <v>21</v>
      </c>
      <c r="E3241" s="1" t="s">
        <v>33</v>
      </c>
      <c r="F3241" s="1" t="s">
        <v>234</v>
      </c>
      <c r="H3241" s="23">
        <v>45251.790856481479</v>
      </c>
      <c r="I3241" s="1" t="b">
        <v>0</v>
      </c>
      <c r="K3241" s="10">
        <f t="shared" si="252"/>
        <v>0.9138888887828216</v>
      </c>
      <c r="L3241" s="1" t="str">
        <f t="shared" si="253"/>
        <v>Cannot check</v>
      </c>
      <c r="M3241" s="1">
        <f t="shared" si="250"/>
        <v>1</v>
      </c>
      <c r="N3241" s="1" t="str">
        <f t="shared" si="251"/>
        <v/>
      </c>
      <c r="O3241" s="10">
        <f t="shared" si="254"/>
        <v>0.9138888887828216</v>
      </c>
    </row>
    <row r="3242" spans="1:15">
      <c r="A3242" s="1" t="s">
        <v>3347</v>
      </c>
      <c r="B3242" s="23">
        <v>45251.759722222225</v>
      </c>
      <c r="C3242" s="1" t="s">
        <v>25</v>
      </c>
      <c r="D3242" s="1" t="s">
        <v>21</v>
      </c>
      <c r="E3242" s="1" t="s">
        <v>18</v>
      </c>
      <c r="F3242" s="1" t="s">
        <v>100</v>
      </c>
      <c r="G3242" s="1">
        <v>16</v>
      </c>
      <c r="H3242" s="23">
        <v>45252.31690972222</v>
      </c>
      <c r="I3242" s="1" t="b">
        <v>0</v>
      </c>
      <c r="J3242" s="1">
        <v>5</v>
      </c>
      <c r="K3242" s="10">
        <f t="shared" si="252"/>
        <v>13.372499999881256</v>
      </c>
      <c r="L3242" s="1" t="str">
        <f t="shared" si="253"/>
        <v>OK</v>
      </c>
      <c r="M3242" s="1">
        <f t="shared" si="250"/>
        <v>1</v>
      </c>
      <c r="N3242" s="1">
        <f t="shared" si="251"/>
        <v>16</v>
      </c>
      <c r="O3242" s="10">
        <f t="shared" si="254"/>
        <v>13.372499999881256</v>
      </c>
    </row>
    <row r="3243" spans="1:15">
      <c r="A3243" s="1" t="s">
        <v>3348</v>
      </c>
      <c r="B3243" s="23">
        <v>45251.779166666667</v>
      </c>
      <c r="C3243" s="1" t="s">
        <v>43</v>
      </c>
      <c r="D3243" s="1" t="s">
        <v>59</v>
      </c>
      <c r="E3243" s="1" t="s">
        <v>13</v>
      </c>
      <c r="F3243" s="1" t="s">
        <v>62</v>
      </c>
      <c r="G3243" s="1">
        <v>68</v>
      </c>
      <c r="H3243" s="23">
        <v>45251.842349537037</v>
      </c>
      <c r="I3243" s="1" t="b">
        <v>0</v>
      </c>
      <c r="K3243" s="10">
        <f t="shared" si="252"/>
        <v>1.5163888888782822</v>
      </c>
      <c r="L3243" s="1" t="str">
        <f t="shared" si="253"/>
        <v>OK</v>
      </c>
      <c r="M3243" s="1">
        <f t="shared" si="250"/>
        <v>1</v>
      </c>
      <c r="N3243" s="1">
        <f t="shared" si="251"/>
        <v>68</v>
      </c>
      <c r="O3243" s="10">
        <f t="shared" si="254"/>
        <v>1.5163888888782822</v>
      </c>
    </row>
    <row r="3244" spans="1:15">
      <c r="A3244" s="1" t="s">
        <v>3349</v>
      </c>
      <c r="B3244" s="23">
        <v>45251.802083333336</v>
      </c>
      <c r="C3244" s="1" t="s">
        <v>25</v>
      </c>
      <c r="D3244" s="1" t="s">
        <v>12</v>
      </c>
      <c r="E3244" s="1" t="s">
        <v>13</v>
      </c>
      <c r="F3244" s="1" t="s">
        <v>145</v>
      </c>
      <c r="G3244" s="1">
        <v>75</v>
      </c>
      <c r="H3244" s="23">
        <v>45256.415914351855</v>
      </c>
      <c r="I3244" s="1" t="b">
        <v>0</v>
      </c>
      <c r="K3244" s="10">
        <f t="shared" si="252"/>
        <v>110.7319444444729</v>
      </c>
      <c r="L3244" s="1" t="str">
        <f t="shared" si="253"/>
        <v>OK</v>
      </c>
      <c r="M3244" s="1">
        <f t="shared" si="250"/>
        <v>1</v>
      </c>
      <c r="N3244" s="1">
        <f t="shared" si="251"/>
        <v>75</v>
      </c>
      <c r="O3244" s="10">
        <f t="shared" si="254"/>
        <v>110.7319444444729</v>
      </c>
    </row>
    <row r="3245" spans="1:15">
      <c r="A3245" s="1" t="s">
        <v>3350</v>
      </c>
      <c r="B3245" s="23">
        <v>45251.990277777775</v>
      </c>
      <c r="C3245" s="1" t="s">
        <v>11</v>
      </c>
      <c r="D3245" s="1" t="s">
        <v>12</v>
      </c>
      <c r="E3245" s="1" t="s">
        <v>18</v>
      </c>
      <c r="F3245" s="1" t="s">
        <v>345</v>
      </c>
      <c r="G3245" s="1">
        <v>22</v>
      </c>
      <c r="H3245" s="23">
        <v>45253.720717592594</v>
      </c>
      <c r="I3245" s="1" t="b">
        <v>0</v>
      </c>
      <c r="J3245" s="1">
        <v>4</v>
      </c>
      <c r="K3245" s="10">
        <f t="shared" si="252"/>
        <v>41.530555555655155</v>
      </c>
      <c r="L3245" s="1" t="str">
        <f t="shared" si="253"/>
        <v>OK</v>
      </c>
      <c r="M3245" s="1">
        <f t="shared" si="250"/>
        <v>1</v>
      </c>
      <c r="N3245" s="1">
        <f t="shared" si="251"/>
        <v>22</v>
      </c>
      <c r="O3245" s="10">
        <f t="shared" si="254"/>
        <v>41.530555555655155</v>
      </c>
    </row>
    <row r="3246" spans="1:15">
      <c r="A3246" s="1" t="s">
        <v>3351</v>
      </c>
      <c r="B3246" s="23">
        <v>45252.359027777777</v>
      </c>
      <c r="C3246" s="1" t="s">
        <v>43</v>
      </c>
      <c r="D3246" s="1" t="s">
        <v>12</v>
      </c>
      <c r="E3246" s="1" t="s">
        <v>13</v>
      </c>
      <c r="F3246" s="1" t="s">
        <v>178</v>
      </c>
      <c r="G3246" s="1">
        <v>5</v>
      </c>
      <c r="H3246" s="23">
        <v>45255.363692129627</v>
      </c>
      <c r="I3246" s="1" t="b">
        <v>0</v>
      </c>
      <c r="K3246" s="10">
        <f t="shared" si="252"/>
        <v>72.11194444441935</v>
      </c>
      <c r="L3246" s="1" t="str">
        <f t="shared" si="253"/>
        <v>OK</v>
      </c>
      <c r="M3246" s="1">
        <f t="shared" si="250"/>
        <v>1</v>
      </c>
      <c r="N3246" s="1">
        <f t="shared" si="251"/>
        <v>5</v>
      </c>
      <c r="O3246" s="10">
        <f t="shared" si="254"/>
        <v>72.11194444441935</v>
      </c>
    </row>
    <row r="3247" spans="1:15">
      <c r="A3247" s="1" t="s">
        <v>3352</v>
      </c>
      <c r="B3247" s="23">
        <v>45252.447916666664</v>
      </c>
      <c r="C3247" s="1" t="s">
        <v>16</v>
      </c>
      <c r="D3247" s="1" t="s">
        <v>12</v>
      </c>
      <c r="E3247" s="1" t="s">
        <v>18</v>
      </c>
      <c r="F3247" s="1" t="s">
        <v>80</v>
      </c>
      <c r="G3247" s="1">
        <v>171</v>
      </c>
      <c r="H3247" s="23">
        <v>45254.455138888887</v>
      </c>
      <c r="I3247" s="1" t="b">
        <v>0</v>
      </c>
      <c r="J3247" s="1">
        <v>5</v>
      </c>
      <c r="K3247" s="10">
        <f t="shared" si="252"/>
        <v>48.173333333339542</v>
      </c>
      <c r="L3247" s="1" t="str">
        <f t="shared" si="253"/>
        <v>OK</v>
      </c>
      <c r="M3247" s="1">
        <f t="shared" si="250"/>
        <v>1</v>
      </c>
      <c r="N3247" s="1">
        <f t="shared" si="251"/>
        <v>171</v>
      </c>
      <c r="O3247" s="10">
        <f t="shared" si="254"/>
        <v>48.173333333339542</v>
      </c>
    </row>
    <row r="3248" spans="1:15">
      <c r="A3248" s="1" t="s">
        <v>3353</v>
      </c>
      <c r="B3248" s="23">
        <v>45252.477083333331</v>
      </c>
      <c r="C3248" s="1" t="s">
        <v>11</v>
      </c>
      <c r="D3248" s="1" t="s">
        <v>17</v>
      </c>
      <c r="E3248" s="1" t="s">
        <v>18</v>
      </c>
      <c r="F3248" s="1" t="s">
        <v>52</v>
      </c>
      <c r="H3248" s="23">
        <v>45260.474108796298</v>
      </c>
      <c r="I3248" s="1" t="b">
        <v>0</v>
      </c>
      <c r="J3248" s="1">
        <v>5</v>
      </c>
      <c r="K3248" s="10">
        <f t="shared" si="252"/>
        <v>191.92861111118691</v>
      </c>
      <c r="L3248" s="1" t="str">
        <f t="shared" si="253"/>
        <v>Cannot check</v>
      </c>
      <c r="M3248" s="1">
        <f t="shared" si="250"/>
        <v>1</v>
      </c>
      <c r="N3248" s="1" t="str">
        <f t="shared" si="251"/>
        <v/>
      </c>
      <c r="O3248" s="10">
        <f t="shared" si="254"/>
        <v>191.92861111118691</v>
      </c>
    </row>
    <row r="3249" spans="1:15">
      <c r="A3249" s="1" t="s">
        <v>3354</v>
      </c>
      <c r="B3249" s="23">
        <v>45252.578472222223</v>
      </c>
      <c r="C3249" s="1" t="s">
        <v>25</v>
      </c>
      <c r="D3249" s="1" t="s">
        <v>12</v>
      </c>
      <c r="E3249" s="1" t="s">
        <v>18</v>
      </c>
      <c r="F3249" s="1" t="s">
        <v>134</v>
      </c>
      <c r="G3249" s="1">
        <v>33</v>
      </c>
      <c r="H3249" s="23">
        <v>45252.869849537034</v>
      </c>
      <c r="I3249" s="1" t="b">
        <v>0</v>
      </c>
      <c r="K3249" s="10">
        <f t="shared" si="252"/>
        <v>6.9930555554456078</v>
      </c>
      <c r="L3249" s="1" t="str">
        <f t="shared" si="253"/>
        <v>OK</v>
      </c>
      <c r="M3249" s="1">
        <f t="shared" si="250"/>
        <v>1</v>
      </c>
      <c r="N3249" s="1">
        <f t="shared" si="251"/>
        <v>33</v>
      </c>
      <c r="O3249" s="10">
        <f t="shared" si="254"/>
        <v>6.9930555554456078</v>
      </c>
    </row>
    <row r="3250" spans="1:15">
      <c r="A3250" s="1" t="s">
        <v>3355</v>
      </c>
      <c r="B3250" s="23">
        <v>45252.72152777778</v>
      </c>
      <c r="C3250" s="1" t="s">
        <v>43</v>
      </c>
      <c r="D3250" s="1" t="s">
        <v>17</v>
      </c>
      <c r="E3250" s="1" t="s">
        <v>18</v>
      </c>
      <c r="F3250" s="1" t="s">
        <v>392</v>
      </c>
      <c r="G3250" s="1">
        <v>1113</v>
      </c>
      <c r="H3250" s="23">
        <v>45252.856157407405</v>
      </c>
      <c r="I3250" s="1" t="b">
        <v>0</v>
      </c>
      <c r="J3250" s="1">
        <v>5</v>
      </c>
      <c r="K3250" s="10">
        <f t="shared" si="252"/>
        <v>3.2311111110029742</v>
      </c>
      <c r="L3250" s="1" t="str">
        <f t="shared" si="253"/>
        <v>Review</v>
      </c>
      <c r="M3250" s="1">
        <f t="shared" si="250"/>
        <v>1</v>
      </c>
      <c r="N3250" s="1" t="str">
        <f t="shared" si="251"/>
        <v/>
      </c>
      <c r="O3250" s="10" t="str">
        <f t="shared" si="254"/>
        <v/>
      </c>
    </row>
    <row r="3251" spans="1:15">
      <c r="A3251" s="1" t="s">
        <v>3356</v>
      </c>
      <c r="B3251" s="23">
        <v>45253.095833333333</v>
      </c>
      <c r="C3251" s="1" t="s">
        <v>25</v>
      </c>
      <c r="D3251" s="1" t="s">
        <v>17</v>
      </c>
      <c r="E3251" s="1" t="s">
        <v>33</v>
      </c>
      <c r="F3251" s="1" t="s">
        <v>46</v>
      </c>
      <c r="G3251" s="1">
        <v>169</v>
      </c>
      <c r="I3251" s="1" t="b">
        <v>0</v>
      </c>
      <c r="K3251" s="10" t="str">
        <f t="shared" si="252"/>
        <v/>
      </c>
      <c r="L3251" s="1" t="str">
        <f t="shared" si="253"/>
        <v>Cannot check</v>
      </c>
      <c r="M3251" s="1">
        <f t="shared" si="250"/>
        <v>1</v>
      </c>
      <c r="N3251" s="1">
        <f t="shared" si="251"/>
        <v>169</v>
      </c>
      <c r="O3251" s="10" t="str">
        <f t="shared" si="254"/>
        <v/>
      </c>
    </row>
    <row r="3252" spans="1:15">
      <c r="A3252" s="1" t="s">
        <v>3357</v>
      </c>
      <c r="B3252" s="23">
        <v>45253.3</v>
      </c>
      <c r="C3252" s="1" t="s">
        <v>16</v>
      </c>
      <c r="D3252" s="1" t="s">
        <v>26</v>
      </c>
      <c r="E3252" s="1" t="s">
        <v>33</v>
      </c>
      <c r="F3252" s="1" t="s">
        <v>74</v>
      </c>
      <c r="G3252" s="1">
        <v>112</v>
      </c>
      <c r="H3252" s="23">
        <v>45258.233703703707</v>
      </c>
      <c r="I3252" s="1" t="b">
        <v>0</v>
      </c>
      <c r="J3252" s="1">
        <v>5</v>
      </c>
      <c r="K3252" s="10">
        <f t="shared" si="252"/>
        <v>118.40888888889458</v>
      </c>
      <c r="L3252" s="1" t="str">
        <f t="shared" si="253"/>
        <v>OK</v>
      </c>
      <c r="M3252" s="1">
        <f t="shared" si="250"/>
        <v>1</v>
      </c>
      <c r="N3252" s="1">
        <f t="shared" si="251"/>
        <v>112</v>
      </c>
      <c r="O3252" s="10">
        <f t="shared" si="254"/>
        <v>118.40888888889458</v>
      </c>
    </row>
    <row r="3253" spans="1:15">
      <c r="A3253" s="1" t="s">
        <v>3358</v>
      </c>
      <c r="B3253" s="23">
        <v>45253.521527777775</v>
      </c>
      <c r="C3253" s="1" t="s">
        <v>16</v>
      </c>
      <c r="D3253" s="1" t="s">
        <v>17</v>
      </c>
      <c r="E3253" s="1" t="s">
        <v>13</v>
      </c>
      <c r="F3253" s="1" t="s">
        <v>106</v>
      </c>
      <c r="H3253" s="23">
        <v>45254.03701388889</v>
      </c>
      <c r="I3253" s="1" t="b">
        <v>0</v>
      </c>
      <c r="K3253" s="10">
        <f t="shared" si="252"/>
        <v>12.371666666760575</v>
      </c>
      <c r="L3253" s="1" t="str">
        <f t="shared" si="253"/>
        <v>Cannot check</v>
      </c>
      <c r="M3253" s="1">
        <f t="shared" si="250"/>
        <v>1</v>
      </c>
      <c r="N3253" s="1" t="str">
        <f t="shared" si="251"/>
        <v/>
      </c>
      <c r="O3253" s="10">
        <f t="shared" si="254"/>
        <v>12.371666666760575</v>
      </c>
    </row>
    <row r="3254" spans="1:15">
      <c r="A3254" s="1" t="s">
        <v>3359</v>
      </c>
      <c r="B3254" s="23">
        <v>45253.82916666667</v>
      </c>
      <c r="C3254" s="1" t="s">
        <v>25</v>
      </c>
      <c r="D3254" s="1" t="s">
        <v>59</v>
      </c>
      <c r="E3254" s="1" t="s">
        <v>33</v>
      </c>
      <c r="F3254" s="1" t="s">
        <v>153</v>
      </c>
      <c r="G3254" s="1">
        <v>279</v>
      </c>
      <c r="H3254" s="23">
        <v>45257.885763888888</v>
      </c>
      <c r="I3254" s="1" t="b">
        <v>0</v>
      </c>
      <c r="J3254" s="1">
        <v>4</v>
      </c>
      <c r="K3254" s="10">
        <f t="shared" si="252"/>
        <v>97.358333333220799</v>
      </c>
      <c r="L3254" s="1" t="str">
        <f t="shared" si="253"/>
        <v>OK</v>
      </c>
      <c r="M3254" s="1">
        <f t="shared" si="250"/>
        <v>1</v>
      </c>
      <c r="N3254" s="1">
        <f t="shared" si="251"/>
        <v>279</v>
      </c>
      <c r="O3254" s="10">
        <f t="shared" si="254"/>
        <v>97.358333333220799</v>
      </c>
    </row>
    <row r="3255" spans="1:15">
      <c r="A3255" s="1" t="s">
        <v>3360</v>
      </c>
      <c r="B3255" s="23">
        <v>45253.990277777775</v>
      </c>
      <c r="C3255" s="1" t="s">
        <v>16</v>
      </c>
      <c r="D3255" s="1" t="s">
        <v>17</v>
      </c>
      <c r="E3255" s="1" t="s">
        <v>33</v>
      </c>
      <c r="F3255" s="1" t="s">
        <v>27</v>
      </c>
      <c r="G3255" s="1">
        <v>206</v>
      </c>
      <c r="H3255" s="23">
        <v>45259.438321759262</v>
      </c>
      <c r="I3255" s="1" t="b">
        <v>0</v>
      </c>
      <c r="K3255" s="10">
        <f t="shared" si="252"/>
        <v>130.75305555568775</v>
      </c>
      <c r="L3255" s="1" t="str">
        <f t="shared" si="253"/>
        <v>OK</v>
      </c>
      <c r="M3255" s="1">
        <f t="shared" si="250"/>
        <v>1</v>
      </c>
      <c r="N3255" s="1">
        <f t="shared" si="251"/>
        <v>206</v>
      </c>
      <c r="O3255" s="10">
        <f t="shared" si="254"/>
        <v>130.75305555568775</v>
      </c>
    </row>
    <row r="3256" spans="1:15">
      <c r="A3256" s="1" t="s">
        <v>3361</v>
      </c>
      <c r="B3256" s="23">
        <v>45254.013194444444</v>
      </c>
      <c r="C3256" s="1" t="s">
        <v>25</v>
      </c>
      <c r="D3256" s="1" t="s">
        <v>17</v>
      </c>
      <c r="E3256" s="1" t="s">
        <v>33</v>
      </c>
      <c r="F3256" s="1" t="s">
        <v>256</v>
      </c>
      <c r="G3256" s="1">
        <v>134</v>
      </c>
      <c r="H3256" s="23">
        <v>45257.703252314815</v>
      </c>
      <c r="I3256" s="1" t="b">
        <v>0</v>
      </c>
      <c r="K3256" s="10">
        <f t="shared" si="252"/>
        <v>88.561388888920192</v>
      </c>
      <c r="L3256" s="1" t="str">
        <f t="shared" si="253"/>
        <v>OK</v>
      </c>
      <c r="M3256" s="1">
        <f t="shared" si="250"/>
        <v>1</v>
      </c>
      <c r="N3256" s="1">
        <f t="shared" si="251"/>
        <v>134</v>
      </c>
      <c r="O3256" s="10">
        <f t="shared" si="254"/>
        <v>88.561388888920192</v>
      </c>
    </row>
    <row r="3257" spans="1:15">
      <c r="A3257" s="1" t="s">
        <v>3362</v>
      </c>
      <c r="B3257" s="23">
        <v>45254.103472222225</v>
      </c>
      <c r="C3257" s="1" t="s">
        <v>11</v>
      </c>
      <c r="D3257" s="1" t="s">
        <v>21</v>
      </c>
      <c r="E3257" s="1" t="s">
        <v>13</v>
      </c>
      <c r="F3257" s="1" t="s">
        <v>37</v>
      </c>
      <c r="G3257" s="1">
        <v>13</v>
      </c>
      <c r="H3257" s="23">
        <v>45254.569305555553</v>
      </c>
      <c r="I3257" s="1" t="b">
        <v>0</v>
      </c>
      <c r="J3257" s="1">
        <v>5</v>
      </c>
      <c r="K3257" s="10">
        <f t="shared" si="252"/>
        <v>11.1799999998766</v>
      </c>
      <c r="L3257" s="1" t="str">
        <f t="shared" si="253"/>
        <v>OK</v>
      </c>
      <c r="M3257" s="1">
        <f t="shared" si="250"/>
        <v>1</v>
      </c>
      <c r="N3257" s="1">
        <f t="shared" si="251"/>
        <v>13</v>
      </c>
      <c r="O3257" s="10">
        <f t="shared" si="254"/>
        <v>11.1799999998766</v>
      </c>
    </row>
    <row r="3258" spans="1:15">
      <c r="A3258" s="1" t="s">
        <v>3363</v>
      </c>
      <c r="B3258" s="23">
        <v>45254.336805555555</v>
      </c>
      <c r="C3258" s="1" t="s">
        <v>16</v>
      </c>
      <c r="D3258" s="1" t="s">
        <v>26</v>
      </c>
      <c r="E3258" s="1" t="s">
        <v>13</v>
      </c>
      <c r="F3258" s="1" t="s">
        <v>116</v>
      </c>
      <c r="G3258" s="1">
        <v>39</v>
      </c>
      <c r="H3258" s="23">
        <v>45254.44494212963</v>
      </c>
      <c r="I3258" s="1" t="b">
        <v>0</v>
      </c>
      <c r="J3258" s="1">
        <v>5</v>
      </c>
      <c r="K3258" s="10">
        <f t="shared" si="252"/>
        <v>2.595277777814772</v>
      </c>
      <c r="L3258" s="1" t="str">
        <f t="shared" si="253"/>
        <v>OK</v>
      </c>
      <c r="M3258" s="1">
        <f t="shared" si="250"/>
        <v>1</v>
      </c>
      <c r="N3258" s="1">
        <f t="shared" si="251"/>
        <v>39</v>
      </c>
      <c r="O3258" s="10">
        <f t="shared" si="254"/>
        <v>2.595277777814772</v>
      </c>
    </row>
    <row r="3259" spans="1:15">
      <c r="A3259" s="1" t="s">
        <v>3364</v>
      </c>
      <c r="B3259" s="23">
        <v>45254.347222222219</v>
      </c>
      <c r="C3259" s="1" t="s">
        <v>25</v>
      </c>
      <c r="D3259" s="1" t="s">
        <v>21</v>
      </c>
      <c r="E3259" s="1" t="s">
        <v>22</v>
      </c>
      <c r="F3259" s="1" t="s">
        <v>80</v>
      </c>
      <c r="G3259" s="1">
        <v>19</v>
      </c>
      <c r="H3259" s="23">
        <v>45254.499363425923</v>
      </c>
      <c r="I3259" s="1" t="b">
        <v>0</v>
      </c>
      <c r="K3259" s="10">
        <f t="shared" si="252"/>
        <v>3.6513888888875954</v>
      </c>
      <c r="L3259" s="1" t="str">
        <f t="shared" si="253"/>
        <v>OK</v>
      </c>
      <c r="M3259" s="1">
        <f t="shared" si="250"/>
        <v>1</v>
      </c>
      <c r="N3259" s="1">
        <f t="shared" si="251"/>
        <v>19</v>
      </c>
      <c r="O3259" s="10">
        <f t="shared" si="254"/>
        <v>3.6513888888875954</v>
      </c>
    </row>
    <row r="3260" spans="1:15">
      <c r="A3260" s="1" t="s">
        <v>3365</v>
      </c>
      <c r="B3260" s="23">
        <v>45254.365972222222</v>
      </c>
      <c r="C3260" s="1" t="s">
        <v>25</v>
      </c>
      <c r="D3260" s="1" t="s">
        <v>12</v>
      </c>
      <c r="E3260" s="1" t="s">
        <v>22</v>
      </c>
      <c r="F3260" s="1" t="s">
        <v>226</v>
      </c>
      <c r="G3260" s="1">
        <v>7</v>
      </c>
      <c r="H3260" s="23">
        <v>45254.437592592592</v>
      </c>
      <c r="I3260" s="1" t="b">
        <v>0</v>
      </c>
      <c r="J3260" s="1">
        <v>1</v>
      </c>
      <c r="K3260" s="10">
        <f t="shared" si="252"/>
        <v>1.718888888892252</v>
      </c>
      <c r="L3260" s="1" t="str">
        <f t="shared" si="253"/>
        <v>OK</v>
      </c>
      <c r="M3260" s="1">
        <f t="shared" si="250"/>
        <v>1</v>
      </c>
      <c r="N3260" s="1">
        <f t="shared" si="251"/>
        <v>7</v>
      </c>
      <c r="O3260" s="10">
        <f t="shared" si="254"/>
        <v>1.718888888892252</v>
      </c>
    </row>
    <row r="3261" spans="1:15">
      <c r="A3261" s="1" t="s">
        <v>3366</v>
      </c>
      <c r="B3261" s="23">
        <v>45254.411805555559</v>
      </c>
      <c r="C3261" s="1" t="s">
        <v>16</v>
      </c>
      <c r="D3261" s="1" t="s">
        <v>12</v>
      </c>
      <c r="E3261" s="1" t="s">
        <v>18</v>
      </c>
      <c r="F3261" s="1" t="s">
        <v>239</v>
      </c>
      <c r="G3261" s="1">
        <v>45</v>
      </c>
      <c r="I3261" s="1" t="b">
        <v>0</v>
      </c>
      <c r="K3261" s="10" t="str">
        <f t="shared" si="252"/>
        <v/>
      </c>
      <c r="L3261" s="1" t="str">
        <f t="shared" si="253"/>
        <v>Cannot check</v>
      </c>
      <c r="M3261" s="1">
        <f t="shared" si="250"/>
        <v>1</v>
      </c>
      <c r="N3261" s="1">
        <f t="shared" si="251"/>
        <v>45</v>
      </c>
      <c r="O3261" s="10" t="str">
        <f t="shared" si="254"/>
        <v/>
      </c>
    </row>
    <row r="3262" spans="1:15">
      <c r="A3262" s="1" t="s">
        <v>3367</v>
      </c>
      <c r="B3262" s="23">
        <v>45254.425000000003</v>
      </c>
      <c r="C3262" s="1" t="s">
        <v>25</v>
      </c>
      <c r="D3262" s="1" t="s">
        <v>21</v>
      </c>
      <c r="E3262" s="1" t="s">
        <v>33</v>
      </c>
      <c r="F3262" s="1" t="s">
        <v>198</v>
      </c>
      <c r="G3262" s="1">
        <v>49</v>
      </c>
      <c r="H3262" s="23">
        <v>45255.068182870367</v>
      </c>
      <c r="I3262" s="1" t="b">
        <v>1</v>
      </c>
      <c r="J3262" s="1">
        <v>4</v>
      </c>
      <c r="K3262" s="10">
        <f t="shared" si="252"/>
        <v>15.436388888745569</v>
      </c>
      <c r="L3262" s="1" t="str">
        <f t="shared" si="253"/>
        <v>OK</v>
      </c>
      <c r="M3262" s="1">
        <f t="shared" si="250"/>
        <v>1</v>
      </c>
      <c r="N3262" s="1">
        <f t="shared" si="251"/>
        <v>49</v>
      </c>
      <c r="O3262" s="10">
        <f t="shared" si="254"/>
        <v>15.436388888745569</v>
      </c>
    </row>
    <row r="3263" spans="1:15">
      <c r="A3263" s="1" t="s">
        <v>3368</v>
      </c>
      <c r="B3263" s="23">
        <v>45254.436111111114</v>
      </c>
      <c r="C3263" s="1" t="s">
        <v>16</v>
      </c>
      <c r="D3263" s="1" t="s">
        <v>59</v>
      </c>
      <c r="E3263" s="1" t="s">
        <v>18</v>
      </c>
      <c r="F3263" s="1" t="s">
        <v>19</v>
      </c>
      <c r="G3263" s="1">
        <v>73</v>
      </c>
      <c r="H3263" s="23">
        <v>45255.127962962964</v>
      </c>
      <c r="I3263" s="1" t="b">
        <v>0</v>
      </c>
      <c r="K3263" s="10">
        <f t="shared" si="252"/>
        <v>16.604444444412366</v>
      </c>
      <c r="L3263" s="1" t="str">
        <f t="shared" si="253"/>
        <v>OK</v>
      </c>
      <c r="M3263" s="1">
        <f t="shared" si="250"/>
        <v>1</v>
      </c>
      <c r="N3263" s="1">
        <f t="shared" si="251"/>
        <v>73</v>
      </c>
      <c r="O3263" s="10">
        <f t="shared" si="254"/>
        <v>16.604444444412366</v>
      </c>
    </row>
    <row r="3264" spans="1:15">
      <c r="A3264" s="1" t="s">
        <v>3369</v>
      </c>
      <c r="B3264" s="23">
        <v>45254.53402777778</v>
      </c>
      <c r="C3264" s="1" t="s">
        <v>11</v>
      </c>
      <c r="D3264" s="1" t="s">
        <v>21</v>
      </c>
      <c r="E3264" s="1" t="s">
        <v>13</v>
      </c>
      <c r="F3264" s="1" t="s">
        <v>108</v>
      </c>
      <c r="G3264" s="1">
        <v>168</v>
      </c>
      <c r="H3264" s="23">
        <v>45254.719629629632</v>
      </c>
      <c r="I3264" s="1" t="b">
        <v>0</v>
      </c>
      <c r="K3264" s="10">
        <f t="shared" si="252"/>
        <v>4.4544444444472902</v>
      </c>
      <c r="L3264" s="1" t="str">
        <f t="shared" si="253"/>
        <v>OK</v>
      </c>
      <c r="M3264" s="1">
        <f t="shared" si="250"/>
        <v>1</v>
      </c>
      <c r="N3264" s="1">
        <f t="shared" si="251"/>
        <v>168</v>
      </c>
      <c r="O3264" s="10">
        <f t="shared" si="254"/>
        <v>4.4544444444472902</v>
      </c>
    </row>
    <row r="3265" spans="1:15">
      <c r="A3265" s="1" t="s">
        <v>3370</v>
      </c>
      <c r="B3265" s="23">
        <v>45254.585416666669</v>
      </c>
      <c r="C3265" s="1" t="s">
        <v>25</v>
      </c>
      <c r="D3265" s="1" t="s">
        <v>21</v>
      </c>
      <c r="E3265" s="1" t="s">
        <v>33</v>
      </c>
      <c r="F3265" s="1" t="s">
        <v>104</v>
      </c>
      <c r="G3265" s="1">
        <v>173</v>
      </c>
      <c r="H3265" s="23">
        <v>45255.276331018518</v>
      </c>
      <c r="I3265" s="1" t="b">
        <v>0</v>
      </c>
      <c r="K3265" s="10">
        <f t="shared" si="252"/>
        <v>16.581944444391411</v>
      </c>
      <c r="L3265" s="1" t="str">
        <f t="shared" si="253"/>
        <v>OK</v>
      </c>
      <c r="M3265" s="1">
        <f t="shared" si="250"/>
        <v>1</v>
      </c>
      <c r="N3265" s="1">
        <f t="shared" si="251"/>
        <v>173</v>
      </c>
      <c r="O3265" s="10">
        <f t="shared" si="254"/>
        <v>16.581944444391411</v>
      </c>
    </row>
    <row r="3266" spans="1:15">
      <c r="A3266" s="1" t="s">
        <v>3371</v>
      </c>
      <c r="B3266" s="23">
        <v>45254.640277777777</v>
      </c>
      <c r="C3266" s="1" t="s">
        <v>11</v>
      </c>
      <c r="D3266" s="1" t="s">
        <v>17</v>
      </c>
      <c r="E3266" s="1" t="s">
        <v>33</v>
      </c>
      <c r="F3266" s="1" t="s">
        <v>96</v>
      </c>
      <c r="G3266" s="1">
        <v>92</v>
      </c>
      <c r="H3266" s="23">
        <v>45258.708437499998</v>
      </c>
      <c r="I3266" s="1" t="b">
        <v>0</v>
      </c>
      <c r="J3266" s="1">
        <v>5</v>
      </c>
      <c r="K3266" s="10">
        <f t="shared" si="252"/>
        <v>97.635833333304618</v>
      </c>
      <c r="L3266" s="1" t="str">
        <f t="shared" si="253"/>
        <v>OK</v>
      </c>
      <c r="M3266" s="1">
        <f t="shared" ref="M3266:M3329" si="255">COUNTIF($A$2:$A$4001,A3266)</f>
        <v>1</v>
      </c>
      <c r="N3266" s="1">
        <f t="shared" ref="N3266:N3329" si="256">IF(OR(L3266="Review",G3266=""),"",G3266)</f>
        <v>92</v>
      </c>
      <c r="O3266" s="10">
        <f t="shared" si="254"/>
        <v>97.635833333304618</v>
      </c>
    </row>
    <row r="3267" spans="1:15">
      <c r="A3267" s="1" t="s">
        <v>3372</v>
      </c>
      <c r="B3267" s="23">
        <v>45254.868055555555</v>
      </c>
      <c r="C3267" s="1" t="s">
        <v>11</v>
      </c>
      <c r="D3267" s="1" t="s">
        <v>17</v>
      </c>
      <c r="E3267" s="1" t="s">
        <v>18</v>
      </c>
      <c r="F3267" s="1" t="s">
        <v>486</v>
      </c>
      <c r="G3267" s="1">
        <v>44</v>
      </c>
      <c r="H3267" s="23">
        <v>45256.981412037036</v>
      </c>
      <c r="I3267" s="1" t="b">
        <v>0</v>
      </c>
      <c r="J3267" s="1">
        <v>5</v>
      </c>
      <c r="K3267" s="10">
        <f t="shared" ref="K3267:K3330" si="257">IF(H3267="","",(H3267-B3267)*24)</f>
        <v>50.720555555541068</v>
      </c>
      <c r="L3267" s="1" t="str">
        <f t="shared" ref="L3267:L3330" si="258">IF(OR(G3267="",K3267=""),"Cannot check",IF(G3267&gt;K3267*60,"Review","OK"))</f>
        <v>OK</v>
      </c>
      <c r="M3267" s="1">
        <f t="shared" si="255"/>
        <v>1</v>
      </c>
      <c r="N3267" s="1">
        <f t="shared" si="256"/>
        <v>44</v>
      </c>
      <c r="O3267" s="10">
        <f t="shared" ref="O3267:O3330" si="259">IF(OR(L3267="Review",K3267=""),"",K3267)</f>
        <v>50.720555555541068</v>
      </c>
    </row>
    <row r="3268" spans="1:15">
      <c r="A3268" s="1" t="s">
        <v>3373</v>
      </c>
      <c r="B3268" s="23">
        <v>45255.13958333333</v>
      </c>
      <c r="C3268" s="1" t="s">
        <v>11</v>
      </c>
      <c r="D3268" s="1" t="s">
        <v>12</v>
      </c>
      <c r="E3268" s="1" t="s">
        <v>13</v>
      </c>
      <c r="F3268" s="1" t="s">
        <v>14</v>
      </c>
      <c r="G3268" s="1">
        <v>62</v>
      </c>
      <c r="I3268" s="1" t="b">
        <v>0</v>
      </c>
      <c r="K3268" s="10" t="str">
        <f t="shared" si="257"/>
        <v/>
      </c>
      <c r="L3268" s="1" t="str">
        <f t="shared" si="258"/>
        <v>Cannot check</v>
      </c>
      <c r="M3268" s="1">
        <f t="shared" si="255"/>
        <v>1</v>
      </c>
      <c r="N3268" s="1">
        <f t="shared" si="256"/>
        <v>62</v>
      </c>
      <c r="O3268" s="10" t="str">
        <f t="shared" si="259"/>
        <v/>
      </c>
    </row>
    <row r="3269" spans="1:15">
      <c r="A3269" s="1" t="s">
        <v>3374</v>
      </c>
      <c r="B3269" s="23">
        <v>45255.220138888886</v>
      </c>
      <c r="C3269" s="1" t="s">
        <v>25</v>
      </c>
      <c r="D3269" s="1" t="s">
        <v>26</v>
      </c>
      <c r="E3269" s="1" t="s">
        <v>18</v>
      </c>
      <c r="F3269" s="1" t="s">
        <v>415</v>
      </c>
      <c r="G3269" s="1">
        <v>107</v>
      </c>
      <c r="H3269" s="23">
        <v>45259.766458333332</v>
      </c>
      <c r="I3269" s="1" t="b">
        <v>0</v>
      </c>
      <c r="J3269" s="1">
        <v>5</v>
      </c>
      <c r="K3269" s="10">
        <f t="shared" si="257"/>
        <v>109.11166666669305</v>
      </c>
      <c r="L3269" s="1" t="str">
        <f t="shared" si="258"/>
        <v>OK</v>
      </c>
      <c r="M3269" s="1">
        <f t="shared" si="255"/>
        <v>1</v>
      </c>
      <c r="N3269" s="1">
        <f t="shared" si="256"/>
        <v>107</v>
      </c>
      <c r="O3269" s="10">
        <f t="shared" si="259"/>
        <v>109.11166666669305</v>
      </c>
    </row>
    <row r="3270" spans="1:15">
      <c r="A3270" s="1" t="s">
        <v>3375</v>
      </c>
      <c r="B3270" s="23">
        <v>45255.359027777777</v>
      </c>
      <c r="C3270" s="1" t="s">
        <v>25</v>
      </c>
      <c r="D3270" s="1" t="s">
        <v>59</v>
      </c>
      <c r="E3270" s="1" t="s">
        <v>13</v>
      </c>
      <c r="F3270" s="1" t="s">
        <v>201</v>
      </c>
      <c r="G3270" s="1">
        <v>28</v>
      </c>
      <c r="H3270" s="23">
        <v>45255.768379629626</v>
      </c>
      <c r="I3270" s="1" t="b">
        <v>0</v>
      </c>
      <c r="K3270" s="10">
        <f t="shared" si="257"/>
        <v>9.8244444443844259</v>
      </c>
      <c r="L3270" s="1" t="str">
        <f t="shared" si="258"/>
        <v>OK</v>
      </c>
      <c r="M3270" s="1">
        <f t="shared" si="255"/>
        <v>1</v>
      </c>
      <c r="N3270" s="1">
        <f t="shared" si="256"/>
        <v>28</v>
      </c>
      <c r="O3270" s="10">
        <f t="shared" si="259"/>
        <v>9.8244444443844259</v>
      </c>
    </row>
    <row r="3271" spans="1:15">
      <c r="A3271" s="1" t="s">
        <v>3376</v>
      </c>
      <c r="B3271" s="23">
        <v>45255.418055555558</v>
      </c>
      <c r="C3271" s="1" t="s">
        <v>25</v>
      </c>
      <c r="D3271" s="1" t="s">
        <v>26</v>
      </c>
      <c r="E3271" s="1" t="s">
        <v>18</v>
      </c>
      <c r="F3271" s="1" t="s">
        <v>709</v>
      </c>
      <c r="G3271" s="1">
        <v>165</v>
      </c>
      <c r="H3271" s="23">
        <v>45255.633090277777</v>
      </c>
      <c r="I3271" s="1" t="b">
        <v>0</v>
      </c>
      <c r="K3271" s="10">
        <f t="shared" si="257"/>
        <v>5.160833333269693</v>
      </c>
      <c r="L3271" s="1" t="str">
        <f t="shared" si="258"/>
        <v>OK</v>
      </c>
      <c r="M3271" s="1">
        <f t="shared" si="255"/>
        <v>1</v>
      </c>
      <c r="N3271" s="1">
        <f t="shared" si="256"/>
        <v>165</v>
      </c>
      <c r="O3271" s="10">
        <f t="shared" si="259"/>
        <v>5.160833333269693</v>
      </c>
    </row>
    <row r="3272" spans="1:15">
      <c r="A3272" s="1" t="s">
        <v>3377</v>
      </c>
      <c r="B3272" s="23">
        <v>45255.447916666664</v>
      </c>
      <c r="C3272" s="1" t="s">
        <v>25</v>
      </c>
      <c r="D3272" s="1" t="s">
        <v>17</v>
      </c>
      <c r="E3272" s="1" t="s">
        <v>13</v>
      </c>
      <c r="F3272" s="1" t="s">
        <v>46</v>
      </c>
      <c r="G3272" s="1">
        <v>18</v>
      </c>
      <c r="H3272" s="23">
        <v>45255.498391203706</v>
      </c>
      <c r="I3272" s="1" t="b">
        <v>0</v>
      </c>
      <c r="K3272" s="10">
        <f t="shared" si="257"/>
        <v>1.2113888890016824</v>
      </c>
      <c r="L3272" s="1" t="str">
        <f t="shared" si="258"/>
        <v>OK</v>
      </c>
      <c r="M3272" s="1">
        <f t="shared" si="255"/>
        <v>1</v>
      </c>
      <c r="N3272" s="1">
        <f t="shared" si="256"/>
        <v>18</v>
      </c>
      <c r="O3272" s="10">
        <f t="shared" si="259"/>
        <v>1.2113888890016824</v>
      </c>
    </row>
    <row r="3273" spans="1:15">
      <c r="A3273" s="1" t="s">
        <v>3378</v>
      </c>
      <c r="B3273" s="23">
        <v>45255.524305555555</v>
      </c>
      <c r="C3273" s="1" t="s">
        <v>25</v>
      </c>
      <c r="D3273" s="1" t="s">
        <v>26</v>
      </c>
      <c r="E3273" s="1" t="s">
        <v>33</v>
      </c>
      <c r="F3273" s="1" t="s">
        <v>88</v>
      </c>
      <c r="G3273" s="1">
        <v>301</v>
      </c>
      <c r="H3273" s="23">
        <v>45262.616539351853</v>
      </c>
      <c r="I3273" s="1" t="b">
        <v>0</v>
      </c>
      <c r="K3273" s="10">
        <f t="shared" si="257"/>
        <v>170.2136111111613</v>
      </c>
      <c r="L3273" s="1" t="str">
        <f t="shared" si="258"/>
        <v>OK</v>
      </c>
      <c r="M3273" s="1">
        <f t="shared" si="255"/>
        <v>1</v>
      </c>
      <c r="N3273" s="1">
        <f t="shared" si="256"/>
        <v>301</v>
      </c>
      <c r="O3273" s="10">
        <f t="shared" si="259"/>
        <v>170.2136111111613</v>
      </c>
    </row>
    <row r="3274" spans="1:15">
      <c r="A3274" s="1" t="s">
        <v>3379</v>
      </c>
      <c r="B3274" s="23">
        <v>45255.713888888888</v>
      </c>
      <c r="C3274" s="1" t="s">
        <v>16</v>
      </c>
      <c r="D3274" s="1" t="s">
        <v>17</v>
      </c>
      <c r="E3274" s="1" t="s">
        <v>13</v>
      </c>
      <c r="F3274" s="1" t="s">
        <v>153</v>
      </c>
      <c r="G3274" s="1">
        <v>70</v>
      </c>
      <c r="H3274" s="23">
        <v>45257.098310185182</v>
      </c>
      <c r="I3274" s="1" t="b">
        <v>0</v>
      </c>
      <c r="K3274" s="10">
        <f t="shared" si="257"/>
        <v>33.226111111056525</v>
      </c>
      <c r="L3274" s="1" t="str">
        <f t="shared" si="258"/>
        <v>OK</v>
      </c>
      <c r="M3274" s="1">
        <f t="shared" si="255"/>
        <v>1</v>
      </c>
      <c r="N3274" s="1">
        <f t="shared" si="256"/>
        <v>70</v>
      </c>
      <c r="O3274" s="10">
        <f t="shared" si="259"/>
        <v>33.226111111056525</v>
      </c>
    </row>
    <row r="3275" spans="1:15">
      <c r="A3275" s="1" t="s">
        <v>3380</v>
      </c>
      <c r="B3275" s="23">
        <v>45255.975694444445</v>
      </c>
      <c r="C3275" s="1" t="s">
        <v>16</v>
      </c>
      <c r="D3275" s="1" t="s">
        <v>12</v>
      </c>
      <c r="E3275" s="1" t="s">
        <v>18</v>
      </c>
      <c r="F3275" s="1" t="s">
        <v>259</v>
      </c>
      <c r="G3275" s="1">
        <v>241</v>
      </c>
      <c r="H3275" s="23">
        <v>45256.543067129627</v>
      </c>
      <c r="I3275" s="1" t="b">
        <v>0</v>
      </c>
      <c r="J3275" s="1">
        <v>5</v>
      </c>
      <c r="K3275" s="10">
        <f t="shared" si="257"/>
        <v>13.616944444365799</v>
      </c>
      <c r="L3275" s="1" t="str">
        <f t="shared" si="258"/>
        <v>OK</v>
      </c>
      <c r="M3275" s="1">
        <f t="shared" si="255"/>
        <v>1</v>
      </c>
      <c r="N3275" s="1">
        <f t="shared" si="256"/>
        <v>241</v>
      </c>
      <c r="O3275" s="10">
        <f t="shared" si="259"/>
        <v>13.616944444365799</v>
      </c>
    </row>
    <row r="3276" spans="1:15">
      <c r="A3276" s="1" t="s">
        <v>3381</v>
      </c>
      <c r="B3276" s="23">
        <v>45256.297222222223</v>
      </c>
      <c r="C3276" s="1" t="s">
        <v>25</v>
      </c>
      <c r="D3276" s="1" t="s">
        <v>12</v>
      </c>
      <c r="E3276" s="1" t="s">
        <v>18</v>
      </c>
      <c r="F3276" s="1" t="s">
        <v>41</v>
      </c>
      <c r="G3276" s="1">
        <v>47</v>
      </c>
      <c r="H3276" s="23">
        <v>45256.860023148147</v>
      </c>
      <c r="I3276" s="1" t="b">
        <v>1</v>
      </c>
      <c r="J3276" s="1">
        <v>5</v>
      </c>
      <c r="K3276" s="10">
        <f t="shared" si="257"/>
        <v>13.507222222164273</v>
      </c>
      <c r="L3276" s="1" t="str">
        <f t="shared" si="258"/>
        <v>OK</v>
      </c>
      <c r="M3276" s="1">
        <f t="shared" si="255"/>
        <v>1</v>
      </c>
      <c r="N3276" s="1">
        <f t="shared" si="256"/>
        <v>47</v>
      </c>
      <c r="O3276" s="10">
        <f t="shared" si="259"/>
        <v>13.507222222164273</v>
      </c>
    </row>
    <row r="3277" spans="1:15">
      <c r="A3277" s="1" t="s">
        <v>3382</v>
      </c>
      <c r="B3277" s="23">
        <v>45256.39166666667</v>
      </c>
      <c r="C3277" s="1" t="s">
        <v>25</v>
      </c>
      <c r="D3277" s="1" t="s">
        <v>17</v>
      </c>
      <c r="E3277" s="1" t="s">
        <v>18</v>
      </c>
      <c r="F3277" s="1" t="s">
        <v>134</v>
      </c>
      <c r="G3277" s="1">
        <v>238</v>
      </c>
      <c r="H3277" s="23">
        <v>45256.512835648151</v>
      </c>
      <c r="I3277" s="1" t="b">
        <v>0</v>
      </c>
      <c r="K3277" s="10">
        <f t="shared" si="257"/>
        <v>2.9080555555410683</v>
      </c>
      <c r="L3277" s="1" t="str">
        <f t="shared" si="258"/>
        <v>Review</v>
      </c>
      <c r="M3277" s="1">
        <f t="shared" si="255"/>
        <v>1</v>
      </c>
      <c r="N3277" s="1" t="str">
        <f t="shared" si="256"/>
        <v/>
      </c>
      <c r="O3277" s="10" t="str">
        <f t="shared" si="259"/>
        <v/>
      </c>
    </row>
    <row r="3278" spans="1:15">
      <c r="A3278" s="1" t="s">
        <v>3383</v>
      </c>
      <c r="B3278" s="23">
        <v>45256.472222222219</v>
      </c>
      <c r="C3278" s="1" t="s">
        <v>16</v>
      </c>
      <c r="D3278" s="1" t="s">
        <v>17</v>
      </c>
      <c r="E3278" s="1" t="s">
        <v>13</v>
      </c>
      <c r="F3278" s="1" t="s">
        <v>106</v>
      </c>
      <c r="G3278" s="1">
        <v>18</v>
      </c>
      <c r="H3278" s="23">
        <v>45256.521516203706</v>
      </c>
      <c r="I3278" s="1" t="b">
        <v>0</v>
      </c>
      <c r="K3278" s="10">
        <f t="shared" si="257"/>
        <v>1.1830555556807667</v>
      </c>
      <c r="L3278" s="1" t="str">
        <f t="shared" si="258"/>
        <v>OK</v>
      </c>
      <c r="M3278" s="1">
        <f t="shared" si="255"/>
        <v>1</v>
      </c>
      <c r="N3278" s="1">
        <f t="shared" si="256"/>
        <v>18</v>
      </c>
      <c r="O3278" s="10">
        <f t="shared" si="259"/>
        <v>1.1830555556807667</v>
      </c>
    </row>
    <row r="3279" spans="1:15">
      <c r="A3279" s="1" t="s">
        <v>3384</v>
      </c>
      <c r="B3279" s="23">
        <v>45256.547222222223</v>
      </c>
      <c r="C3279" s="1" t="s">
        <v>25</v>
      </c>
      <c r="D3279" s="1" t="s">
        <v>17</v>
      </c>
      <c r="E3279" s="1" t="s">
        <v>18</v>
      </c>
      <c r="F3279" s="1" t="s">
        <v>52</v>
      </c>
      <c r="G3279" s="1">
        <v>632</v>
      </c>
      <c r="I3279" s="1" t="b">
        <v>0</v>
      </c>
      <c r="K3279" s="10" t="str">
        <f t="shared" si="257"/>
        <v/>
      </c>
      <c r="L3279" s="1" t="str">
        <f t="shared" si="258"/>
        <v>Cannot check</v>
      </c>
      <c r="M3279" s="1">
        <f t="shared" si="255"/>
        <v>1</v>
      </c>
      <c r="N3279" s="1">
        <f t="shared" si="256"/>
        <v>632</v>
      </c>
      <c r="O3279" s="10" t="str">
        <f t="shared" si="259"/>
        <v/>
      </c>
    </row>
    <row r="3280" spans="1:15">
      <c r="A3280" s="1" t="s">
        <v>3385</v>
      </c>
      <c r="B3280" s="23">
        <v>45256.661111111112</v>
      </c>
      <c r="C3280" s="1" t="s">
        <v>43</v>
      </c>
      <c r="D3280" s="1" t="s">
        <v>17</v>
      </c>
      <c r="E3280" s="1" t="s">
        <v>18</v>
      </c>
      <c r="F3280" s="1" t="s">
        <v>57</v>
      </c>
      <c r="G3280" s="1">
        <v>83</v>
      </c>
      <c r="I3280" s="1" t="b">
        <v>0</v>
      </c>
      <c r="K3280" s="10" t="str">
        <f t="shared" si="257"/>
        <v/>
      </c>
      <c r="L3280" s="1" t="str">
        <f t="shared" si="258"/>
        <v>Cannot check</v>
      </c>
      <c r="M3280" s="1">
        <f t="shared" si="255"/>
        <v>1</v>
      </c>
      <c r="N3280" s="1">
        <f t="shared" si="256"/>
        <v>83</v>
      </c>
      <c r="O3280" s="10" t="str">
        <f t="shared" si="259"/>
        <v/>
      </c>
    </row>
    <row r="3281" spans="1:15">
      <c r="A3281" s="1" t="s">
        <v>3386</v>
      </c>
      <c r="B3281" s="23">
        <v>45256.722916666666</v>
      </c>
      <c r="C3281" s="1" t="s">
        <v>16</v>
      </c>
      <c r="D3281" s="1" t="s">
        <v>21</v>
      </c>
      <c r="E3281" s="1" t="s">
        <v>13</v>
      </c>
      <c r="F3281" s="1" t="s">
        <v>134</v>
      </c>
      <c r="G3281" s="1">
        <v>31</v>
      </c>
      <c r="H3281" s="23">
        <v>45256.835034722222</v>
      </c>
      <c r="I3281" s="1" t="b">
        <v>0</v>
      </c>
      <c r="K3281" s="10">
        <f t="shared" si="257"/>
        <v>2.6908333333558403</v>
      </c>
      <c r="L3281" s="1" t="str">
        <f t="shared" si="258"/>
        <v>OK</v>
      </c>
      <c r="M3281" s="1">
        <f t="shared" si="255"/>
        <v>1</v>
      </c>
      <c r="N3281" s="1">
        <f t="shared" si="256"/>
        <v>31</v>
      </c>
      <c r="O3281" s="10">
        <f t="shared" si="259"/>
        <v>2.6908333333558403</v>
      </c>
    </row>
    <row r="3282" spans="1:15">
      <c r="A3282" s="1" t="s">
        <v>3387</v>
      </c>
      <c r="B3282" s="23">
        <v>45256.726388888892</v>
      </c>
      <c r="C3282" s="1" t="s">
        <v>25</v>
      </c>
      <c r="D3282" s="1" t="s">
        <v>59</v>
      </c>
      <c r="E3282" s="1" t="s">
        <v>22</v>
      </c>
      <c r="F3282" s="1" t="s">
        <v>302</v>
      </c>
      <c r="G3282" s="1">
        <v>8</v>
      </c>
      <c r="H3282" s="23">
        <v>45257.007916666669</v>
      </c>
      <c r="I3282" s="1" t="b">
        <v>0</v>
      </c>
      <c r="J3282" s="1">
        <v>4</v>
      </c>
      <c r="K3282" s="10">
        <f t="shared" si="257"/>
        <v>6.7566666666534729</v>
      </c>
      <c r="L3282" s="1" t="str">
        <f t="shared" si="258"/>
        <v>OK</v>
      </c>
      <c r="M3282" s="1">
        <f t="shared" si="255"/>
        <v>1</v>
      </c>
      <c r="N3282" s="1">
        <f t="shared" si="256"/>
        <v>8</v>
      </c>
      <c r="O3282" s="10">
        <f t="shared" si="259"/>
        <v>6.7566666666534729</v>
      </c>
    </row>
    <row r="3283" spans="1:15">
      <c r="A3283" s="1" t="s">
        <v>3388</v>
      </c>
      <c r="B3283" s="23">
        <v>45256.844444444447</v>
      </c>
      <c r="C3283" s="1" t="s">
        <v>16</v>
      </c>
      <c r="D3283" s="1" t="s">
        <v>26</v>
      </c>
      <c r="E3283" s="1" t="s">
        <v>18</v>
      </c>
      <c r="F3283" s="1" t="s">
        <v>54</v>
      </c>
      <c r="G3283" s="1">
        <v>138</v>
      </c>
      <c r="I3283" s="1" t="b">
        <v>0</v>
      </c>
      <c r="K3283" s="10" t="str">
        <f t="shared" si="257"/>
        <v/>
      </c>
      <c r="L3283" s="1" t="str">
        <f t="shared" si="258"/>
        <v>Cannot check</v>
      </c>
      <c r="M3283" s="1">
        <f t="shared" si="255"/>
        <v>1</v>
      </c>
      <c r="N3283" s="1">
        <f t="shared" si="256"/>
        <v>138</v>
      </c>
      <c r="O3283" s="10" t="str">
        <f t="shared" si="259"/>
        <v/>
      </c>
    </row>
    <row r="3284" spans="1:15">
      <c r="A3284" s="1" t="s">
        <v>3389</v>
      </c>
      <c r="B3284" s="23">
        <v>45256.865277777775</v>
      </c>
      <c r="C3284" s="1" t="s">
        <v>16</v>
      </c>
      <c r="D3284" s="1" t="s">
        <v>12</v>
      </c>
      <c r="E3284" s="1" t="s">
        <v>18</v>
      </c>
      <c r="F3284" s="1" t="s">
        <v>72</v>
      </c>
      <c r="G3284" s="1">
        <v>35</v>
      </c>
      <c r="H3284" s="23">
        <v>45259.441574074073</v>
      </c>
      <c r="I3284" s="1" t="b">
        <v>0</v>
      </c>
      <c r="K3284" s="10">
        <f t="shared" si="257"/>
        <v>61.831111111154314</v>
      </c>
      <c r="L3284" s="1" t="str">
        <f t="shared" si="258"/>
        <v>OK</v>
      </c>
      <c r="M3284" s="1">
        <f t="shared" si="255"/>
        <v>1</v>
      </c>
      <c r="N3284" s="1">
        <f t="shared" si="256"/>
        <v>35</v>
      </c>
      <c r="O3284" s="10">
        <f t="shared" si="259"/>
        <v>61.831111111154314</v>
      </c>
    </row>
    <row r="3285" spans="1:15">
      <c r="A3285" s="1" t="s">
        <v>3390</v>
      </c>
      <c r="B3285" s="23">
        <v>45256.93472222222</v>
      </c>
      <c r="C3285" s="1" t="s">
        <v>43</v>
      </c>
      <c r="D3285" s="1" t="s">
        <v>12</v>
      </c>
      <c r="E3285" s="1" t="s">
        <v>18</v>
      </c>
      <c r="F3285" s="1" t="s">
        <v>114</v>
      </c>
      <c r="G3285" s="1">
        <v>142</v>
      </c>
      <c r="H3285" s="23">
        <v>45257.603298611109</v>
      </c>
      <c r="I3285" s="1" t="b">
        <v>0</v>
      </c>
      <c r="K3285" s="10">
        <f t="shared" si="257"/>
        <v>16.045833333337214</v>
      </c>
      <c r="L3285" s="1" t="str">
        <f t="shared" si="258"/>
        <v>OK</v>
      </c>
      <c r="M3285" s="1">
        <f t="shared" si="255"/>
        <v>1</v>
      </c>
      <c r="N3285" s="1">
        <f t="shared" si="256"/>
        <v>142</v>
      </c>
      <c r="O3285" s="10">
        <f t="shared" si="259"/>
        <v>16.045833333337214</v>
      </c>
    </row>
    <row r="3286" spans="1:15">
      <c r="A3286" s="1" t="s">
        <v>3391</v>
      </c>
      <c r="B3286" s="23">
        <v>45257.092361111114</v>
      </c>
      <c r="C3286" s="1" t="s">
        <v>11</v>
      </c>
      <c r="D3286" s="1" t="s">
        <v>17</v>
      </c>
      <c r="E3286" s="1" t="s">
        <v>22</v>
      </c>
      <c r="F3286" s="1" t="s">
        <v>104</v>
      </c>
      <c r="G3286" s="1">
        <v>9</v>
      </c>
      <c r="H3286" s="23">
        <v>45257.820740740739</v>
      </c>
      <c r="I3286" s="1" t="b">
        <v>0</v>
      </c>
      <c r="J3286" s="1">
        <v>5</v>
      </c>
      <c r="K3286" s="10">
        <f t="shared" si="257"/>
        <v>17.481111111002974</v>
      </c>
      <c r="L3286" s="1" t="str">
        <f t="shared" si="258"/>
        <v>OK</v>
      </c>
      <c r="M3286" s="1">
        <f t="shared" si="255"/>
        <v>1</v>
      </c>
      <c r="N3286" s="1">
        <f t="shared" si="256"/>
        <v>9</v>
      </c>
      <c r="O3286" s="10">
        <f t="shared" si="259"/>
        <v>17.481111111002974</v>
      </c>
    </row>
    <row r="3287" spans="1:15">
      <c r="A3287" s="1" t="s">
        <v>3392</v>
      </c>
      <c r="B3287" s="23">
        <v>45257.174305555556</v>
      </c>
      <c r="C3287" s="1" t="s">
        <v>25</v>
      </c>
      <c r="D3287" s="1" t="s">
        <v>59</v>
      </c>
      <c r="E3287" s="1" t="s">
        <v>18</v>
      </c>
      <c r="F3287" s="1" t="s">
        <v>245</v>
      </c>
      <c r="H3287" s="23">
        <v>45258.711145833331</v>
      </c>
      <c r="I3287" s="1" t="b">
        <v>0</v>
      </c>
      <c r="K3287" s="10">
        <f t="shared" si="257"/>
        <v>36.884166666597594</v>
      </c>
      <c r="L3287" s="1" t="str">
        <f t="shared" si="258"/>
        <v>Cannot check</v>
      </c>
      <c r="M3287" s="1">
        <f t="shared" si="255"/>
        <v>1</v>
      </c>
      <c r="N3287" s="1" t="str">
        <f t="shared" si="256"/>
        <v/>
      </c>
      <c r="O3287" s="10">
        <f t="shared" si="259"/>
        <v>36.884166666597594</v>
      </c>
    </row>
    <row r="3288" spans="1:15">
      <c r="A3288" s="1" t="s">
        <v>3393</v>
      </c>
      <c r="B3288" s="23">
        <v>45257.267361111109</v>
      </c>
      <c r="C3288" s="1" t="s">
        <v>25</v>
      </c>
      <c r="D3288" s="1" t="s">
        <v>59</v>
      </c>
      <c r="E3288" s="1" t="s">
        <v>18</v>
      </c>
      <c r="F3288" s="1" t="s">
        <v>116</v>
      </c>
      <c r="G3288" s="1">
        <v>129</v>
      </c>
      <c r="H3288" s="23">
        <v>45259.691354166665</v>
      </c>
      <c r="I3288" s="1" t="b">
        <v>0</v>
      </c>
      <c r="J3288" s="1">
        <v>4</v>
      </c>
      <c r="K3288" s="10">
        <f t="shared" si="257"/>
        <v>58.17583333334187</v>
      </c>
      <c r="L3288" s="1" t="str">
        <f t="shared" si="258"/>
        <v>OK</v>
      </c>
      <c r="M3288" s="1">
        <f t="shared" si="255"/>
        <v>1</v>
      </c>
      <c r="N3288" s="1">
        <f t="shared" si="256"/>
        <v>129</v>
      </c>
      <c r="O3288" s="10">
        <f t="shared" si="259"/>
        <v>58.17583333334187</v>
      </c>
    </row>
    <row r="3289" spans="1:15">
      <c r="A3289" s="1" t="s">
        <v>3394</v>
      </c>
      <c r="B3289" s="23">
        <v>45257.313888888886</v>
      </c>
      <c r="C3289" s="1" t="s">
        <v>16</v>
      </c>
      <c r="D3289" s="1" t="s">
        <v>12</v>
      </c>
      <c r="E3289" s="1" t="s">
        <v>22</v>
      </c>
      <c r="F3289" s="1" t="s">
        <v>37</v>
      </c>
      <c r="G3289" s="1">
        <v>4</v>
      </c>
      <c r="H3289" s="23">
        <v>45257.349085648151</v>
      </c>
      <c r="I3289" s="1" t="b">
        <v>0</v>
      </c>
      <c r="K3289" s="10">
        <f t="shared" si="257"/>
        <v>0.84472222236217931</v>
      </c>
      <c r="L3289" s="1" t="str">
        <f t="shared" si="258"/>
        <v>OK</v>
      </c>
      <c r="M3289" s="1">
        <f t="shared" si="255"/>
        <v>1</v>
      </c>
      <c r="N3289" s="1">
        <f t="shared" si="256"/>
        <v>4</v>
      </c>
      <c r="O3289" s="10">
        <f t="shared" si="259"/>
        <v>0.84472222236217931</v>
      </c>
    </row>
    <row r="3290" spans="1:15">
      <c r="A3290" s="1" t="s">
        <v>3395</v>
      </c>
      <c r="B3290" s="23">
        <v>45257.464583333334</v>
      </c>
      <c r="C3290" s="1" t="s">
        <v>16</v>
      </c>
      <c r="D3290" s="1" t="s">
        <v>17</v>
      </c>
      <c r="E3290" s="1" t="s">
        <v>13</v>
      </c>
      <c r="F3290" s="1" t="s">
        <v>57</v>
      </c>
      <c r="G3290" s="1">
        <v>24</v>
      </c>
      <c r="H3290" s="23">
        <v>45259.001712962963</v>
      </c>
      <c r="I3290" s="1" t="b">
        <v>0</v>
      </c>
      <c r="K3290" s="10">
        <f t="shared" si="257"/>
        <v>36.891111111093778</v>
      </c>
      <c r="L3290" s="1" t="str">
        <f t="shared" si="258"/>
        <v>OK</v>
      </c>
      <c r="M3290" s="1">
        <f t="shared" si="255"/>
        <v>1</v>
      </c>
      <c r="N3290" s="1">
        <f t="shared" si="256"/>
        <v>24</v>
      </c>
      <c r="O3290" s="10">
        <f t="shared" si="259"/>
        <v>36.891111111093778</v>
      </c>
    </row>
    <row r="3291" spans="1:15">
      <c r="A3291" s="1" t="s">
        <v>3396</v>
      </c>
      <c r="B3291" s="23">
        <v>45257.489583333336</v>
      </c>
      <c r="C3291" s="1" t="s">
        <v>11</v>
      </c>
      <c r="D3291" s="1" t="s">
        <v>21</v>
      </c>
      <c r="E3291" s="1" t="s">
        <v>18</v>
      </c>
      <c r="F3291" s="1" t="s">
        <v>88</v>
      </c>
      <c r="H3291" s="23">
        <v>45263.786053240743</v>
      </c>
      <c r="I3291" s="1" t="b">
        <v>0</v>
      </c>
      <c r="K3291" s="10">
        <f t="shared" si="257"/>
        <v>151.11527777777519</v>
      </c>
      <c r="L3291" s="1" t="str">
        <f t="shared" si="258"/>
        <v>Cannot check</v>
      </c>
      <c r="M3291" s="1">
        <f t="shared" si="255"/>
        <v>1</v>
      </c>
      <c r="N3291" s="1" t="str">
        <f t="shared" si="256"/>
        <v/>
      </c>
      <c r="O3291" s="10">
        <f t="shared" si="259"/>
        <v>151.11527777777519</v>
      </c>
    </row>
    <row r="3292" spans="1:15">
      <c r="A3292" s="1" t="s">
        <v>3397</v>
      </c>
      <c r="B3292" s="23">
        <v>45257.510416666664</v>
      </c>
      <c r="C3292" s="1" t="s">
        <v>16</v>
      </c>
      <c r="D3292" s="1" t="s">
        <v>26</v>
      </c>
      <c r="E3292" s="1" t="s">
        <v>18</v>
      </c>
      <c r="F3292" s="1" t="s">
        <v>96</v>
      </c>
      <c r="G3292" s="1">
        <v>123</v>
      </c>
      <c r="H3292" s="23">
        <v>45281.763877314814</v>
      </c>
      <c r="I3292" s="1" t="b">
        <v>0</v>
      </c>
      <c r="K3292" s="10">
        <f t="shared" si="257"/>
        <v>582.08305555558763</v>
      </c>
      <c r="L3292" s="1" t="str">
        <f t="shared" si="258"/>
        <v>OK</v>
      </c>
      <c r="M3292" s="1">
        <f t="shared" si="255"/>
        <v>1</v>
      </c>
      <c r="N3292" s="1">
        <f t="shared" si="256"/>
        <v>123</v>
      </c>
      <c r="O3292" s="10">
        <f t="shared" si="259"/>
        <v>582.08305555558763</v>
      </c>
    </row>
    <row r="3293" spans="1:15">
      <c r="A3293" s="1" t="s">
        <v>3398</v>
      </c>
      <c r="B3293" s="23">
        <v>45257.511111111111</v>
      </c>
      <c r="C3293" s="1" t="s">
        <v>11</v>
      </c>
      <c r="D3293" s="1" t="s">
        <v>21</v>
      </c>
      <c r="E3293" s="1" t="s">
        <v>18</v>
      </c>
      <c r="F3293" s="1" t="s">
        <v>215</v>
      </c>
      <c r="G3293" s="1">
        <v>33</v>
      </c>
      <c r="H3293" s="23">
        <v>45258.020509259259</v>
      </c>
      <c r="I3293" s="1" t="b">
        <v>0</v>
      </c>
      <c r="J3293" s="1">
        <v>1</v>
      </c>
      <c r="K3293" s="10">
        <f t="shared" si="257"/>
        <v>12.225555555545725</v>
      </c>
      <c r="L3293" s="1" t="str">
        <f t="shared" si="258"/>
        <v>OK</v>
      </c>
      <c r="M3293" s="1">
        <f t="shared" si="255"/>
        <v>1</v>
      </c>
      <c r="N3293" s="1">
        <f t="shared" si="256"/>
        <v>33</v>
      </c>
      <c r="O3293" s="10">
        <f t="shared" si="259"/>
        <v>12.225555555545725</v>
      </c>
    </row>
    <row r="3294" spans="1:15">
      <c r="A3294" s="1" t="s">
        <v>3399</v>
      </c>
      <c r="B3294" s="23">
        <v>45257.629166666666</v>
      </c>
      <c r="C3294" s="1" t="s">
        <v>25</v>
      </c>
      <c r="D3294" s="1" t="s">
        <v>21</v>
      </c>
      <c r="E3294" s="1" t="s">
        <v>18</v>
      </c>
      <c r="F3294" s="1" t="s">
        <v>62</v>
      </c>
      <c r="G3294" s="1">
        <v>46</v>
      </c>
      <c r="H3294" s="23">
        <v>45257.884097222224</v>
      </c>
      <c r="I3294" s="1" t="b">
        <v>0</v>
      </c>
      <c r="K3294" s="10">
        <f t="shared" si="257"/>
        <v>6.1183333334047347</v>
      </c>
      <c r="L3294" s="1" t="str">
        <f t="shared" si="258"/>
        <v>OK</v>
      </c>
      <c r="M3294" s="1">
        <f t="shared" si="255"/>
        <v>1</v>
      </c>
      <c r="N3294" s="1">
        <f t="shared" si="256"/>
        <v>46</v>
      </c>
      <c r="O3294" s="10">
        <f t="shared" si="259"/>
        <v>6.1183333334047347</v>
      </c>
    </row>
    <row r="3295" spans="1:15">
      <c r="A3295" s="1" t="s">
        <v>3400</v>
      </c>
      <c r="B3295" s="23">
        <v>45258.020138888889</v>
      </c>
      <c r="C3295" s="1" t="s">
        <v>43</v>
      </c>
      <c r="D3295" s="1" t="s">
        <v>59</v>
      </c>
      <c r="E3295" s="1" t="s">
        <v>13</v>
      </c>
      <c r="F3295" s="1" t="s">
        <v>54</v>
      </c>
      <c r="G3295" s="1">
        <v>48</v>
      </c>
      <c r="H3295" s="23">
        <v>45258.204976851855</v>
      </c>
      <c r="I3295" s="1" t="b">
        <v>0</v>
      </c>
      <c r="K3295" s="10">
        <f t="shared" si="257"/>
        <v>4.4361111111938953</v>
      </c>
      <c r="L3295" s="1" t="str">
        <f t="shared" si="258"/>
        <v>OK</v>
      </c>
      <c r="M3295" s="1">
        <f t="shared" si="255"/>
        <v>1</v>
      </c>
      <c r="N3295" s="1">
        <f t="shared" si="256"/>
        <v>48</v>
      </c>
      <c r="O3295" s="10">
        <f t="shared" si="259"/>
        <v>4.4361111111938953</v>
      </c>
    </row>
    <row r="3296" spans="1:15">
      <c r="A3296" s="1" t="s">
        <v>3401</v>
      </c>
      <c r="B3296" s="23">
        <v>45258.030555555553</v>
      </c>
      <c r="C3296" s="1" t="s">
        <v>25</v>
      </c>
      <c r="D3296" s="1" t="s">
        <v>17</v>
      </c>
      <c r="E3296" s="1" t="s">
        <v>13</v>
      </c>
      <c r="F3296" s="1" t="s">
        <v>326</v>
      </c>
      <c r="G3296" s="1">
        <v>12</v>
      </c>
      <c r="H3296" s="23">
        <v>45260.241678240738</v>
      </c>
      <c r="I3296" s="1" t="b">
        <v>0</v>
      </c>
      <c r="K3296" s="10">
        <f t="shared" si="257"/>
        <v>53.066944444435649</v>
      </c>
      <c r="L3296" s="1" t="str">
        <f t="shared" si="258"/>
        <v>OK</v>
      </c>
      <c r="M3296" s="1">
        <f t="shared" si="255"/>
        <v>1</v>
      </c>
      <c r="N3296" s="1">
        <f t="shared" si="256"/>
        <v>12</v>
      </c>
      <c r="O3296" s="10">
        <f t="shared" si="259"/>
        <v>53.066944444435649</v>
      </c>
    </row>
    <row r="3297" spans="1:15">
      <c r="A3297" s="1" t="s">
        <v>3402</v>
      </c>
      <c r="B3297" s="23">
        <v>45258.540277777778</v>
      </c>
      <c r="C3297" s="1" t="s">
        <v>25</v>
      </c>
      <c r="D3297" s="1" t="s">
        <v>17</v>
      </c>
      <c r="E3297" s="1" t="s">
        <v>22</v>
      </c>
      <c r="F3297" s="1" t="s">
        <v>162</v>
      </c>
      <c r="G3297" s="1">
        <v>22</v>
      </c>
      <c r="H3297" s="23">
        <v>45258.958032407405</v>
      </c>
      <c r="I3297" s="1" t="b">
        <v>0</v>
      </c>
      <c r="J3297" s="1">
        <v>5</v>
      </c>
      <c r="K3297" s="10">
        <f t="shared" si="257"/>
        <v>10.026111111044884</v>
      </c>
      <c r="L3297" s="1" t="str">
        <f t="shared" si="258"/>
        <v>OK</v>
      </c>
      <c r="M3297" s="1">
        <f t="shared" si="255"/>
        <v>1</v>
      </c>
      <c r="N3297" s="1">
        <f t="shared" si="256"/>
        <v>22</v>
      </c>
      <c r="O3297" s="10">
        <f t="shared" si="259"/>
        <v>10.026111111044884</v>
      </c>
    </row>
    <row r="3298" spans="1:15">
      <c r="A3298" s="1" t="s">
        <v>3403</v>
      </c>
      <c r="B3298" s="23">
        <v>45258.631944444445</v>
      </c>
      <c r="C3298" s="1" t="s">
        <v>16</v>
      </c>
      <c r="D3298" s="1" t="s">
        <v>12</v>
      </c>
      <c r="E3298" s="1" t="s">
        <v>13</v>
      </c>
      <c r="F3298" s="1" t="s">
        <v>54</v>
      </c>
      <c r="H3298" s="23">
        <v>45259.071481481478</v>
      </c>
      <c r="I3298" s="1" t="b">
        <v>0</v>
      </c>
      <c r="J3298" s="1">
        <v>4</v>
      </c>
      <c r="K3298" s="10">
        <f t="shared" si="257"/>
        <v>10.548888888792135</v>
      </c>
      <c r="L3298" s="1" t="str">
        <f t="shared" si="258"/>
        <v>Cannot check</v>
      </c>
      <c r="M3298" s="1">
        <f t="shared" si="255"/>
        <v>1</v>
      </c>
      <c r="N3298" s="1" t="str">
        <f t="shared" si="256"/>
        <v/>
      </c>
      <c r="O3298" s="10">
        <f t="shared" si="259"/>
        <v>10.548888888792135</v>
      </c>
    </row>
    <row r="3299" spans="1:15">
      <c r="A3299" s="1" t="s">
        <v>3404</v>
      </c>
      <c r="B3299" s="23">
        <v>45258.655555555553</v>
      </c>
      <c r="C3299" s="1" t="s">
        <v>11</v>
      </c>
      <c r="D3299" s="1" t="s">
        <v>12</v>
      </c>
      <c r="E3299" s="1" t="s">
        <v>18</v>
      </c>
      <c r="F3299" s="1" t="s">
        <v>162</v>
      </c>
      <c r="G3299" s="1">
        <v>61</v>
      </c>
      <c r="H3299" s="23">
        <v>45259.82439814815</v>
      </c>
      <c r="I3299" s="1" t="b">
        <v>0</v>
      </c>
      <c r="K3299" s="10">
        <f t="shared" si="257"/>
        <v>28.052222222322598</v>
      </c>
      <c r="L3299" s="1" t="str">
        <f t="shared" si="258"/>
        <v>OK</v>
      </c>
      <c r="M3299" s="1">
        <f t="shared" si="255"/>
        <v>1</v>
      </c>
      <c r="N3299" s="1">
        <f t="shared" si="256"/>
        <v>61</v>
      </c>
      <c r="O3299" s="10">
        <f t="shared" si="259"/>
        <v>28.052222222322598</v>
      </c>
    </row>
    <row r="3300" spans="1:15">
      <c r="A3300" s="1" t="s">
        <v>3405</v>
      </c>
      <c r="B3300" s="23">
        <v>45258.710416666669</v>
      </c>
      <c r="C3300" s="1" t="s">
        <v>16</v>
      </c>
      <c r="D3300" s="1" t="s">
        <v>59</v>
      </c>
      <c r="E3300" s="1" t="s">
        <v>18</v>
      </c>
      <c r="F3300" s="1" t="s">
        <v>54</v>
      </c>
      <c r="G3300" s="1">
        <v>170</v>
      </c>
      <c r="H3300" s="23">
        <v>45260.420590277776</v>
      </c>
      <c r="I3300" s="1" t="b">
        <v>0</v>
      </c>
      <c r="K3300" s="10">
        <f t="shared" si="257"/>
        <v>41.044166666571982</v>
      </c>
      <c r="L3300" s="1" t="str">
        <f t="shared" si="258"/>
        <v>OK</v>
      </c>
      <c r="M3300" s="1">
        <f t="shared" si="255"/>
        <v>1</v>
      </c>
      <c r="N3300" s="1">
        <f t="shared" si="256"/>
        <v>170</v>
      </c>
      <c r="O3300" s="10">
        <f t="shared" si="259"/>
        <v>41.044166666571982</v>
      </c>
    </row>
    <row r="3301" spans="1:15">
      <c r="A3301" s="1" t="s">
        <v>3406</v>
      </c>
      <c r="B3301" s="23">
        <v>45258.747916666667</v>
      </c>
      <c r="C3301" s="1" t="s">
        <v>25</v>
      </c>
      <c r="D3301" s="1" t="s">
        <v>17</v>
      </c>
      <c r="E3301" s="1" t="s">
        <v>18</v>
      </c>
      <c r="F3301" s="1" t="s">
        <v>198</v>
      </c>
      <c r="G3301" s="1">
        <v>88</v>
      </c>
      <c r="H3301" s="23">
        <v>45260.756377314814</v>
      </c>
      <c r="I3301" s="1" t="b">
        <v>0</v>
      </c>
      <c r="J3301" s="1">
        <v>2</v>
      </c>
      <c r="K3301" s="10">
        <f t="shared" si="257"/>
        <v>48.20305555552477</v>
      </c>
      <c r="L3301" s="1" t="str">
        <f t="shared" si="258"/>
        <v>OK</v>
      </c>
      <c r="M3301" s="1">
        <f t="shared" si="255"/>
        <v>1</v>
      </c>
      <c r="N3301" s="1">
        <f t="shared" si="256"/>
        <v>88</v>
      </c>
      <c r="O3301" s="10">
        <f t="shared" si="259"/>
        <v>48.20305555552477</v>
      </c>
    </row>
    <row r="3302" spans="1:15">
      <c r="A3302" s="1" t="s">
        <v>3407</v>
      </c>
      <c r="B3302" s="23">
        <v>45258.828472222223</v>
      </c>
      <c r="C3302" s="1" t="s">
        <v>16</v>
      </c>
      <c r="D3302" s="1" t="s">
        <v>21</v>
      </c>
      <c r="E3302" s="1" t="s">
        <v>18</v>
      </c>
      <c r="F3302" s="1" t="s">
        <v>215</v>
      </c>
      <c r="G3302" s="1">
        <v>145</v>
      </c>
      <c r="H3302" s="23">
        <v>45259.134085648147</v>
      </c>
      <c r="I3302" s="1" t="b">
        <v>0</v>
      </c>
      <c r="K3302" s="10">
        <f t="shared" si="257"/>
        <v>7.3347222221782431</v>
      </c>
      <c r="L3302" s="1" t="str">
        <f t="shared" si="258"/>
        <v>OK</v>
      </c>
      <c r="M3302" s="1">
        <f t="shared" si="255"/>
        <v>1</v>
      </c>
      <c r="N3302" s="1">
        <f t="shared" si="256"/>
        <v>145</v>
      </c>
      <c r="O3302" s="10">
        <f t="shared" si="259"/>
        <v>7.3347222221782431</v>
      </c>
    </row>
    <row r="3303" spans="1:15">
      <c r="A3303" s="1" t="s">
        <v>3408</v>
      </c>
      <c r="B3303" s="23">
        <v>45258.929166666669</v>
      </c>
      <c r="C3303" s="1" t="s">
        <v>11</v>
      </c>
      <c r="D3303" s="1" t="s">
        <v>17</v>
      </c>
      <c r="E3303" s="1" t="s">
        <v>18</v>
      </c>
      <c r="F3303" s="1" t="s">
        <v>104</v>
      </c>
      <c r="G3303" s="1">
        <v>785</v>
      </c>
      <c r="H3303" s="23">
        <v>45263.552025462966</v>
      </c>
      <c r="I3303" s="1" t="b">
        <v>0</v>
      </c>
      <c r="K3303" s="10">
        <f t="shared" si="257"/>
        <v>110.94861111114733</v>
      </c>
      <c r="L3303" s="1" t="str">
        <f t="shared" si="258"/>
        <v>OK</v>
      </c>
      <c r="M3303" s="1">
        <f t="shared" si="255"/>
        <v>1</v>
      </c>
      <c r="N3303" s="1">
        <f t="shared" si="256"/>
        <v>785</v>
      </c>
      <c r="O3303" s="10">
        <f t="shared" si="259"/>
        <v>110.94861111114733</v>
      </c>
    </row>
    <row r="3304" spans="1:15">
      <c r="A3304" s="1" t="s">
        <v>3409</v>
      </c>
      <c r="B3304" s="23">
        <v>45258.936111111114</v>
      </c>
      <c r="C3304" s="1" t="s">
        <v>16</v>
      </c>
      <c r="D3304" s="1" t="s">
        <v>59</v>
      </c>
      <c r="E3304" s="1" t="s">
        <v>13</v>
      </c>
      <c r="F3304" s="1" t="s">
        <v>178</v>
      </c>
      <c r="G3304" s="1">
        <v>84</v>
      </c>
      <c r="H3304" s="23">
        <v>45259.271041666667</v>
      </c>
      <c r="I3304" s="1" t="b">
        <v>0</v>
      </c>
      <c r="K3304" s="10">
        <f t="shared" si="257"/>
        <v>8.0383333332720213</v>
      </c>
      <c r="L3304" s="1" t="str">
        <f t="shared" si="258"/>
        <v>OK</v>
      </c>
      <c r="M3304" s="1">
        <f t="shared" si="255"/>
        <v>1</v>
      </c>
      <c r="N3304" s="1">
        <f t="shared" si="256"/>
        <v>84</v>
      </c>
      <c r="O3304" s="10">
        <f t="shared" si="259"/>
        <v>8.0383333332720213</v>
      </c>
    </row>
    <row r="3305" spans="1:15">
      <c r="A3305" s="1" t="s">
        <v>3410</v>
      </c>
      <c r="B3305" s="23">
        <v>45258.962500000001</v>
      </c>
      <c r="C3305" s="1" t="s">
        <v>11</v>
      </c>
      <c r="D3305" s="1" t="s">
        <v>21</v>
      </c>
      <c r="E3305" s="1" t="s">
        <v>13</v>
      </c>
      <c r="F3305" s="1" t="s">
        <v>148</v>
      </c>
      <c r="G3305" s="1">
        <v>145</v>
      </c>
      <c r="H3305" s="23">
        <v>45259.044398148151</v>
      </c>
      <c r="I3305" s="1" t="b">
        <v>0</v>
      </c>
      <c r="K3305" s="10">
        <f t="shared" si="257"/>
        <v>1.9655555555946194</v>
      </c>
      <c r="L3305" s="1" t="str">
        <f t="shared" si="258"/>
        <v>Review</v>
      </c>
      <c r="M3305" s="1">
        <f t="shared" si="255"/>
        <v>1</v>
      </c>
      <c r="N3305" s="1" t="str">
        <f t="shared" si="256"/>
        <v/>
      </c>
      <c r="O3305" s="10" t="str">
        <f t="shared" si="259"/>
        <v/>
      </c>
    </row>
    <row r="3306" spans="1:15">
      <c r="A3306" s="1" t="s">
        <v>3411</v>
      </c>
      <c r="B3306" s="23">
        <v>45259.036111111112</v>
      </c>
      <c r="C3306" s="1" t="s">
        <v>25</v>
      </c>
      <c r="D3306" s="1" t="s">
        <v>12</v>
      </c>
      <c r="E3306" s="1" t="s">
        <v>13</v>
      </c>
      <c r="F3306" s="1" t="s">
        <v>102</v>
      </c>
      <c r="G3306" s="1">
        <v>28</v>
      </c>
      <c r="H3306" s="23">
        <v>45259.442280092589</v>
      </c>
      <c r="I3306" s="1" t="b">
        <v>0</v>
      </c>
      <c r="J3306" s="1">
        <v>3</v>
      </c>
      <c r="K3306" s="10">
        <f t="shared" si="257"/>
        <v>9.7480555554502644</v>
      </c>
      <c r="L3306" s="1" t="str">
        <f t="shared" si="258"/>
        <v>OK</v>
      </c>
      <c r="M3306" s="1">
        <f t="shared" si="255"/>
        <v>1</v>
      </c>
      <c r="N3306" s="1">
        <f t="shared" si="256"/>
        <v>28</v>
      </c>
      <c r="O3306" s="10">
        <f t="shared" si="259"/>
        <v>9.7480555554502644</v>
      </c>
    </row>
    <row r="3307" spans="1:15">
      <c r="A3307" s="1" t="s">
        <v>3412</v>
      </c>
      <c r="B3307" s="23">
        <v>45259.060416666667</v>
      </c>
      <c r="C3307" s="1" t="s">
        <v>11</v>
      </c>
      <c r="D3307" s="1" t="s">
        <v>21</v>
      </c>
      <c r="E3307" s="1" t="s">
        <v>18</v>
      </c>
      <c r="F3307" s="1" t="s">
        <v>239</v>
      </c>
      <c r="G3307" s="1">
        <v>577</v>
      </c>
      <c r="H3307" s="23">
        <v>45259.513194444444</v>
      </c>
      <c r="I3307" s="1" t="b">
        <v>0</v>
      </c>
      <c r="K3307" s="10">
        <f t="shared" si="257"/>
        <v>10.866666666639503</v>
      </c>
      <c r="L3307" s="1" t="str">
        <f t="shared" si="258"/>
        <v>OK</v>
      </c>
      <c r="M3307" s="1">
        <f t="shared" si="255"/>
        <v>1</v>
      </c>
      <c r="N3307" s="1">
        <f t="shared" si="256"/>
        <v>577</v>
      </c>
      <c r="O3307" s="10">
        <f t="shared" si="259"/>
        <v>10.866666666639503</v>
      </c>
    </row>
    <row r="3308" spans="1:15">
      <c r="A3308" s="1" t="s">
        <v>3413</v>
      </c>
      <c r="B3308" s="23">
        <v>45259.185416666667</v>
      </c>
      <c r="C3308" s="1" t="s">
        <v>16</v>
      </c>
      <c r="D3308" s="1" t="s">
        <v>59</v>
      </c>
      <c r="E3308" s="1" t="s">
        <v>18</v>
      </c>
      <c r="F3308" s="1" t="s">
        <v>159</v>
      </c>
      <c r="G3308" s="1">
        <v>231</v>
      </c>
      <c r="H3308" s="23">
        <v>45262.20113425926</v>
      </c>
      <c r="I3308" s="1" t="b">
        <v>0</v>
      </c>
      <c r="K3308" s="10">
        <f t="shared" si="257"/>
        <v>72.377222222217824</v>
      </c>
      <c r="L3308" s="1" t="str">
        <f t="shared" si="258"/>
        <v>OK</v>
      </c>
      <c r="M3308" s="1">
        <f t="shared" si="255"/>
        <v>1</v>
      </c>
      <c r="N3308" s="1">
        <f t="shared" si="256"/>
        <v>231</v>
      </c>
      <c r="O3308" s="10">
        <f t="shared" si="259"/>
        <v>72.377222222217824</v>
      </c>
    </row>
    <row r="3309" spans="1:15">
      <c r="A3309" s="1" t="s">
        <v>3414</v>
      </c>
      <c r="B3309" s="23">
        <v>45259.234027777777</v>
      </c>
      <c r="C3309" s="1" t="s">
        <v>16</v>
      </c>
      <c r="D3309" s="1" t="s">
        <v>21</v>
      </c>
      <c r="E3309" s="1" t="s">
        <v>18</v>
      </c>
      <c r="F3309" s="1" t="s">
        <v>98</v>
      </c>
      <c r="G3309" s="1">
        <v>54</v>
      </c>
      <c r="H3309" s="23">
        <v>45261.370405092595</v>
      </c>
      <c r="I3309" s="1" t="b">
        <v>0</v>
      </c>
      <c r="K3309" s="10">
        <f t="shared" si="257"/>
        <v>51.27305555564817</v>
      </c>
      <c r="L3309" s="1" t="str">
        <f t="shared" si="258"/>
        <v>OK</v>
      </c>
      <c r="M3309" s="1">
        <f t="shared" si="255"/>
        <v>1</v>
      </c>
      <c r="N3309" s="1">
        <f t="shared" si="256"/>
        <v>54</v>
      </c>
      <c r="O3309" s="10">
        <f t="shared" si="259"/>
        <v>51.27305555564817</v>
      </c>
    </row>
    <row r="3310" spans="1:15">
      <c r="A3310" s="1" t="s">
        <v>3415</v>
      </c>
      <c r="B3310" s="23">
        <v>45259.318749999999</v>
      </c>
      <c r="C3310" s="1" t="s">
        <v>43</v>
      </c>
      <c r="D3310" s="1" t="s">
        <v>59</v>
      </c>
      <c r="E3310" s="1" t="s">
        <v>13</v>
      </c>
      <c r="F3310" s="1" t="s">
        <v>27</v>
      </c>
      <c r="G3310" s="1">
        <v>42</v>
      </c>
      <c r="H3310" s="23">
        <v>45259.40116898148</v>
      </c>
      <c r="I3310" s="1" t="b">
        <v>1</v>
      </c>
      <c r="K3310" s="10">
        <f t="shared" si="257"/>
        <v>1.9780555555480532</v>
      </c>
      <c r="L3310" s="1" t="str">
        <f t="shared" si="258"/>
        <v>OK</v>
      </c>
      <c r="M3310" s="1">
        <f t="shared" si="255"/>
        <v>1</v>
      </c>
      <c r="N3310" s="1">
        <f t="shared" si="256"/>
        <v>42</v>
      </c>
      <c r="O3310" s="10">
        <f t="shared" si="259"/>
        <v>1.9780555555480532</v>
      </c>
    </row>
    <row r="3311" spans="1:15">
      <c r="A3311" s="1" t="s">
        <v>3416</v>
      </c>
      <c r="B3311" s="23">
        <v>45259.433333333334</v>
      </c>
      <c r="C3311" s="1" t="s">
        <v>25</v>
      </c>
      <c r="D3311" s="1" t="s">
        <v>59</v>
      </c>
      <c r="E3311" s="1" t="s">
        <v>18</v>
      </c>
      <c r="F3311" s="1" t="s">
        <v>62</v>
      </c>
      <c r="G3311" s="1">
        <v>204</v>
      </c>
      <c r="H3311" s="23">
        <v>45259.517141203702</v>
      </c>
      <c r="I3311" s="1" t="b">
        <v>0</v>
      </c>
      <c r="K3311" s="10">
        <f t="shared" si="257"/>
        <v>2.0113888888154179</v>
      </c>
      <c r="L3311" s="1" t="str">
        <f t="shared" si="258"/>
        <v>Review</v>
      </c>
      <c r="M3311" s="1">
        <f t="shared" si="255"/>
        <v>1</v>
      </c>
      <c r="N3311" s="1" t="str">
        <f t="shared" si="256"/>
        <v/>
      </c>
      <c r="O3311" s="10" t="str">
        <f t="shared" si="259"/>
        <v/>
      </c>
    </row>
    <row r="3312" spans="1:15">
      <c r="A3312" s="1" t="s">
        <v>3417</v>
      </c>
      <c r="B3312" s="23">
        <v>45259.463194444441</v>
      </c>
      <c r="C3312" s="1" t="s">
        <v>43</v>
      </c>
      <c r="D3312" s="1" t="s">
        <v>21</v>
      </c>
      <c r="E3312" s="1" t="s">
        <v>33</v>
      </c>
      <c r="F3312" s="1" t="s">
        <v>84</v>
      </c>
      <c r="G3312" s="1">
        <v>53</v>
      </c>
      <c r="H3312" s="23">
        <v>45261.076296296298</v>
      </c>
      <c r="I3312" s="1" t="b">
        <v>0</v>
      </c>
      <c r="K3312" s="10">
        <f t="shared" si="257"/>
        <v>38.714444444573019</v>
      </c>
      <c r="L3312" s="1" t="str">
        <f t="shared" si="258"/>
        <v>OK</v>
      </c>
      <c r="M3312" s="1">
        <f t="shared" si="255"/>
        <v>1</v>
      </c>
      <c r="N3312" s="1">
        <f t="shared" si="256"/>
        <v>53</v>
      </c>
      <c r="O3312" s="10">
        <f t="shared" si="259"/>
        <v>38.714444444573019</v>
      </c>
    </row>
    <row r="3313" spans="1:15">
      <c r="A3313" s="1" t="s">
        <v>3418</v>
      </c>
      <c r="B3313" s="23">
        <v>45259.625</v>
      </c>
      <c r="C3313" s="1" t="s">
        <v>25</v>
      </c>
      <c r="D3313" s="1" t="s">
        <v>17</v>
      </c>
      <c r="E3313" s="1" t="s">
        <v>18</v>
      </c>
      <c r="F3313" s="1" t="s">
        <v>145</v>
      </c>
      <c r="G3313" s="1">
        <v>4</v>
      </c>
      <c r="H3313" s="23">
        <v>45277.985300925924</v>
      </c>
      <c r="I3313" s="1" t="b">
        <v>0</v>
      </c>
      <c r="K3313" s="10">
        <f t="shared" si="257"/>
        <v>440.64722222217824</v>
      </c>
      <c r="L3313" s="1" t="str">
        <f t="shared" si="258"/>
        <v>OK</v>
      </c>
      <c r="M3313" s="1">
        <f t="shared" si="255"/>
        <v>1</v>
      </c>
      <c r="N3313" s="1">
        <f t="shared" si="256"/>
        <v>4</v>
      </c>
      <c r="O3313" s="10">
        <f t="shared" si="259"/>
        <v>440.64722222217824</v>
      </c>
    </row>
    <row r="3314" spans="1:15">
      <c r="A3314" s="1" t="s">
        <v>3419</v>
      </c>
      <c r="B3314" s="23">
        <v>45259.652777777781</v>
      </c>
      <c r="C3314" s="1" t="s">
        <v>11</v>
      </c>
      <c r="D3314" s="1" t="s">
        <v>21</v>
      </c>
      <c r="E3314" s="1" t="s">
        <v>13</v>
      </c>
      <c r="F3314" s="1" t="s">
        <v>239</v>
      </c>
      <c r="G3314" s="1">
        <v>29</v>
      </c>
      <c r="H3314" s="23">
        <v>45260.558576388888</v>
      </c>
      <c r="I3314" s="1" t="b">
        <v>0</v>
      </c>
      <c r="J3314" s="1">
        <v>4</v>
      </c>
      <c r="K3314" s="10">
        <f t="shared" si="257"/>
        <v>21.739166666578967</v>
      </c>
      <c r="L3314" s="1" t="str">
        <f t="shared" si="258"/>
        <v>OK</v>
      </c>
      <c r="M3314" s="1">
        <f t="shared" si="255"/>
        <v>1</v>
      </c>
      <c r="N3314" s="1">
        <f t="shared" si="256"/>
        <v>29</v>
      </c>
      <c r="O3314" s="10">
        <f t="shared" si="259"/>
        <v>21.739166666578967</v>
      </c>
    </row>
    <row r="3315" spans="1:15">
      <c r="A3315" s="1" t="s">
        <v>3420</v>
      </c>
      <c r="B3315" s="23">
        <v>45259.761805555558</v>
      </c>
      <c r="C3315" s="1" t="s">
        <v>16</v>
      </c>
      <c r="D3315" s="1" t="s">
        <v>12</v>
      </c>
      <c r="E3315" s="1" t="s">
        <v>33</v>
      </c>
      <c r="F3315" s="1" t="s">
        <v>41</v>
      </c>
      <c r="G3315" s="1">
        <v>155</v>
      </c>
      <c r="H3315" s="23">
        <v>45259.855023148149</v>
      </c>
      <c r="I3315" s="1" t="b">
        <v>0</v>
      </c>
      <c r="J3315" s="1">
        <v>5</v>
      </c>
      <c r="K3315" s="10">
        <f t="shared" si="257"/>
        <v>2.2372222222038545</v>
      </c>
      <c r="L3315" s="1" t="str">
        <f t="shared" si="258"/>
        <v>Review</v>
      </c>
      <c r="M3315" s="1">
        <f t="shared" si="255"/>
        <v>1</v>
      </c>
      <c r="N3315" s="1" t="str">
        <f t="shared" si="256"/>
        <v/>
      </c>
      <c r="O3315" s="10" t="str">
        <f t="shared" si="259"/>
        <v/>
      </c>
    </row>
    <row r="3316" spans="1:15">
      <c r="A3316" s="1" t="s">
        <v>3421</v>
      </c>
      <c r="B3316" s="23">
        <v>45259.864583333336</v>
      </c>
      <c r="C3316" s="1" t="s">
        <v>25</v>
      </c>
      <c r="D3316" s="1" t="s">
        <v>17</v>
      </c>
      <c r="E3316" s="1" t="s">
        <v>18</v>
      </c>
      <c r="F3316" s="1" t="s">
        <v>153</v>
      </c>
      <c r="G3316" s="1">
        <v>45</v>
      </c>
      <c r="H3316" s="23">
        <v>45261.131064814814</v>
      </c>
      <c r="I3316" s="1" t="b">
        <v>0</v>
      </c>
      <c r="K3316" s="10">
        <f t="shared" si="257"/>
        <v>30.395555555471219</v>
      </c>
      <c r="L3316" s="1" t="str">
        <f t="shared" si="258"/>
        <v>OK</v>
      </c>
      <c r="M3316" s="1">
        <f t="shared" si="255"/>
        <v>1</v>
      </c>
      <c r="N3316" s="1">
        <f t="shared" si="256"/>
        <v>45</v>
      </c>
      <c r="O3316" s="10">
        <f t="shared" si="259"/>
        <v>30.395555555471219</v>
      </c>
    </row>
    <row r="3317" spans="1:15">
      <c r="A3317" s="1" t="s">
        <v>3422</v>
      </c>
      <c r="B3317" s="23">
        <v>45259.966666666667</v>
      </c>
      <c r="C3317" s="1" t="s">
        <v>16</v>
      </c>
      <c r="D3317" s="1" t="s">
        <v>59</v>
      </c>
      <c r="E3317" s="1" t="s">
        <v>22</v>
      </c>
      <c r="F3317" s="1" t="s">
        <v>159</v>
      </c>
      <c r="G3317" s="1">
        <v>38</v>
      </c>
      <c r="H3317" s="23">
        <v>45260.117349537039</v>
      </c>
      <c r="I3317" s="1" t="b">
        <v>0</v>
      </c>
      <c r="J3317" s="1">
        <v>5</v>
      </c>
      <c r="K3317" s="10">
        <f t="shared" si="257"/>
        <v>3.6163888889132068</v>
      </c>
      <c r="L3317" s="1" t="str">
        <f t="shared" si="258"/>
        <v>OK</v>
      </c>
      <c r="M3317" s="1">
        <f t="shared" si="255"/>
        <v>1</v>
      </c>
      <c r="N3317" s="1">
        <f t="shared" si="256"/>
        <v>38</v>
      </c>
      <c r="O3317" s="10">
        <f t="shared" si="259"/>
        <v>3.6163888889132068</v>
      </c>
    </row>
    <row r="3318" spans="1:15">
      <c r="A3318" s="1" t="s">
        <v>3423</v>
      </c>
      <c r="B3318" s="23">
        <v>45260.089583333334</v>
      </c>
      <c r="C3318" s="1" t="s">
        <v>25</v>
      </c>
      <c r="D3318" s="1" t="s">
        <v>12</v>
      </c>
      <c r="E3318" s="1" t="s">
        <v>13</v>
      </c>
      <c r="F3318" s="1" t="s">
        <v>215</v>
      </c>
      <c r="G3318" s="1">
        <v>64</v>
      </c>
      <c r="H3318" s="23">
        <v>45260.38585648148</v>
      </c>
      <c r="I3318" s="1" t="b">
        <v>1</v>
      </c>
      <c r="J3318" s="1">
        <v>4</v>
      </c>
      <c r="K3318" s="10">
        <f t="shared" si="257"/>
        <v>7.1105555554968305</v>
      </c>
      <c r="L3318" s="1" t="str">
        <f t="shared" si="258"/>
        <v>OK</v>
      </c>
      <c r="M3318" s="1">
        <f t="shared" si="255"/>
        <v>1</v>
      </c>
      <c r="N3318" s="1">
        <f t="shared" si="256"/>
        <v>64</v>
      </c>
      <c r="O3318" s="10">
        <f t="shared" si="259"/>
        <v>7.1105555554968305</v>
      </c>
    </row>
    <row r="3319" spans="1:15">
      <c r="A3319" s="1" t="s">
        <v>3424</v>
      </c>
      <c r="B3319" s="23">
        <v>45260.213194444441</v>
      </c>
      <c r="C3319" s="1" t="s">
        <v>11</v>
      </c>
      <c r="D3319" s="1" t="s">
        <v>21</v>
      </c>
      <c r="E3319" s="1" t="s">
        <v>18</v>
      </c>
      <c r="F3319" s="1" t="s">
        <v>19</v>
      </c>
      <c r="G3319" s="1">
        <v>13</v>
      </c>
      <c r="H3319" s="23">
        <v>45260.595590277779</v>
      </c>
      <c r="I3319" s="1" t="b">
        <v>0</v>
      </c>
      <c r="K3319" s="10">
        <f t="shared" si="257"/>
        <v>9.1775000001071021</v>
      </c>
      <c r="L3319" s="1" t="str">
        <f t="shared" si="258"/>
        <v>OK</v>
      </c>
      <c r="M3319" s="1">
        <f t="shared" si="255"/>
        <v>1</v>
      </c>
      <c r="N3319" s="1">
        <f t="shared" si="256"/>
        <v>13</v>
      </c>
      <c r="O3319" s="10">
        <f t="shared" si="259"/>
        <v>9.1775000001071021</v>
      </c>
    </row>
    <row r="3320" spans="1:15">
      <c r="A3320" s="1" t="s">
        <v>3425</v>
      </c>
      <c r="B3320" s="23">
        <v>45260.228472222225</v>
      </c>
      <c r="C3320" s="1" t="s">
        <v>11</v>
      </c>
      <c r="D3320" s="1" t="s">
        <v>26</v>
      </c>
      <c r="E3320" s="1" t="s">
        <v>18</v>
      </c>
      <c r="F3320" s="1" t="s">
        <v>206</v>
      </c>
      <c r="G3320" s="1">
        <v>16</v>
      </c>
      <c r="H3320" s="23">
        <v>45260.875949074078</v>
      </c>
      <c r="I3320" s="1" t="b">
        <v>0</v>
      </c>
      <c r="K3320" s="10">
        <f t="shared" si="257"/>
        <v>15.539444444468245</v>
      </c>
      <c r="L3320" s="1" t="str">
        <f t="shared" si="258"/>
        <v>OK</v>
      </c>
      <c r="M3320" s="1">
        <f t="shared" si="255"/>
        <v>1</v>
      </c>
      <c r="N3320" s="1">
        <f t="shared" si="256"/>
        <v>16</v>
      </c>
      <c r="O3320" s="10">
        <f t="shared" si="259"/>
        <v>15.539444444468245</v>
      </c>
    </row>
    <row r="3321" spans="1:15">
      <c r="A3321" s="1" t="s">
        <v>3426</v>
      </c>
      <c r="B3321" s="23">
        <v>45260.237500000003</v>
      </c>
      <c r="C3321" s="1" t="s">
        <v>25</v>
      </c>
      <c r="D3321" s="1" t="s">
        <v>17</v>
      </c>
      <c r="E3321" s="1" t="s">
        <v>18</v>
      </c>
      <c r="F3321" s="1" t="s">
        <v>153</v>
      </c>
      <c r="G3321" s="1">
        <v>82</v>
      </c>
      <c r="H3321" s="23">
        <v>45263.980995370373</v>
      </c>
      <c r="I3321" s="1" t="b">
        <v>0</v>
      </c>
      <c r="K3321" s="10">
        <f t="shared" si="257"/>
        <v>89.843888888892252</v>
      </c>
      <c r="L3321" s="1" t="str">
        <f t="shared" si="258"/>
        <v>OK</v>
      </c>
      <c r="M3321" s="1">
        <f t="shared" si="255"/>
        <v>1</v>
      </c>
      <c r="N3321" s="1">
        <f t="shared" si="256"/>
        <v>82</v>
      </c>
      <c r="O3321" s="10">
        <f t="shared" si="259"/>
        <v>89.843888888892252</v>
      </c>
    </row>
    <row r="3322" spans="1:15">
      <c r="A3322" s="1" t="s">
        <v>3427</v>
      </c>
      <c r="B3322" s="23">
        <v>45260.268750000003</v>
      </c>
      <c r="C3322" s="1" t="s">
        <v>11</v>
      </c>
      <c r="D3322" s="1" t="s">
        <v>17</v>
      </c>
      <c r="E3322" s="1" t="s">
        <v>13</v>
      </c>
      <c r="F3322" s="1" t="s">
        <v>175</v>
      </c>
      <c r="G3322" s="1">
        <v>41</v>
      </c>
      <c r="H3322" s="23">
        <v>45260.905289351853</v>
      </c>
      <c r="I3322" s="1" t="b">
        <v>0</v>
      </c>
      <c r="K3322" s="10">
        <f t="shared" si="257"/>
        <v>15.276944444398396</v>
      </c>
      <c r="L3322" s="1" t="str">
        <f t="shared" si="258"/>
        <v>OK</v>
      </c>
      <c r="M3322" s="1">
        <f t="shared" si="255"/>
        <v>1</v>
      </c>
      <c r="N3322" s="1">
        <f t="shared" si="256"/>
        <v>41</v>
      </c>
      <c r="O3322" s="10">
        <f t="shared" si="259"/>
        <v>15.276944444398396</v>
      </c>
    </row>
    <row r="3323" spans="1:15">
      <c r="A3323" s="1" t="s">
        <v>3428</v>
      </c>
      <c r="B3323" s="23">
        <v>45260.345138888886</v>
      </c>
      <c r="C3323" s="1" t="s">
        <v>16</v>
      </c>
      <c r="D3323" s="1" t="s">
        <v>12</v>
      </c>
      <c r="E3323" s="1" t="s">
        <v>33</v>
      </c>
      <c r="F3323" s="1" t="s">
        <v>31</v>
      </c>
      <c r="G3323" s="1">
        <v>77</v>
      </c>
      <c r="H3323" s="23">
        <v>45260.534525462965</v>
      </c>
      <c r="I3323" s="1" t="b">
        <v>0</v>
      </c>
      <c r="J3323" s="1">
        <v>4</v>
      </c>
      <c r="K3323" s="10">
        <f t="shared" si="257"/>
        <v>4.5452777778846212</v>
      </c>
      <c r="L3323" s="1" t="str">
        <f t="shared" si="258"/>
        <v>OK</v>
      </c>
      <c r="M3323" s="1">
        <f t="shared" si="255"/>
        <v>1</v>
      </c>
      <c r="N3323" s="1">
        <f t="shared" si="256"/>
        <v>77</v>
      </c>
      <c r="O3323" s="10">
        <f t="shared" si="259"/>
        <v>4.5452777778846212</v>
      </c>
    </row>
    <row r="3324" spans="1:15">
      <c r="A3324" s="1" t="s">
        <v>3429</v>
      </c>
      <c r="B3324" s="23">
        <v>45260.532638888886</v>
      </c>
      <c r="C3324" s="1" t="s">
        <v>11</v>
      </c>
      <c r="D3324" s="1" t="s">
        <v>12</v>
      </c>
      <c r="E3324" s="1" t="s">
        <v>33</v>
      </c>
      <c r="F3324" s="1" t="s">
        <v>88</v>
      </c>
      <c r="G3324" s="1">
        <v>175</v>
      </c>
      <c r="H3324" s="23">
        <v>45260.926157407404</v>
      </c>
      <c r="I3324" s="1" t="b">
        <v>0</v>
      </c>
      <c r="K3324" s="10">
        <f t="shared" si="257"/>
        <v>9.4444444444379769</v>
      </c>
      <c r="L3324" s="1" t="str">
        <f t="shared" si="258"/>
        <v>OK</v>
      </c>
      <c r="M3324" s="1">
        <f t="shared" si="255"/>
        <v>1</v>
      </c>
      <c r="N3324" s="1">
        <f t="shared" si="256"/>
        <v>175</v>
      </c>
      <c r="O3324" s="10">
        <f t="shared" si="259"/>
        <v>9.4444444444379769</v>
      </c>
    </row>
    <row r="3325" spans="1:15">
      <c r="A3325" s="1" t="s">
        <v>3430</v>
      </c>
      <c r="B3325" s="23">
        <v>45260.696527777778</v>
      </c>
      <c r="C3325" s="1" t="s">
        <v>25</v>
      </c>
      <c r="D3325" s="1" t="s">
        <v>21</v>
      </c>
      <c r="E3325" s="1" t="s">
        <v>33</v>
      </c>
      <c r="F3325" s="1" t="s">
        <v>104</v>
      </c>
      <c r="G3325" s="1">
        <v>57</v>
      </c>
      <c r="H3325" s="23">
        <v>45270.108252314814</v>
      </c>
      <c r="I3325" s="1" t="b">
        <v>0</v>
      </c>
      <c r="K3325" s="10">
        <f t="shared" si="257"/>
        <v>225.88138888886897</v>
      </c>
      <c r="L3325" s="1" t="str">
        <f t="shared" si="258"/>
        <v>OK</v>
      </c>
      <c r="M3325" s="1">
        <f t="shared" si="255"/>
        <v>1</v>
      </c>
      <c r="N3325" s="1">
        <f t="shared" si="256"/>
        <v>57</v>
      </c>
      <c r="O3325" s="10">
        <f t="shared" si="259"/>
        <v>225.88138888886897</v>
      </c>
    </row>
    <row r="3326" spans="1:15">
      <c r="A3326" s="1" t="s">
        <v>3431</v>
      </c>
      <c r="B3326" s="23">
        <v>45260.724999999999</v>
      </c>
      <c r="C3326" s="1" t="s">
        <v>16</v>
      </c>
      <c r="D3326" s="1" t="s">
        <v>17</v>
      </c>
      <c r="E3326" s="1" t="s">
        <v>13</v>
      </c>
      <c r="F3326" s="1" t="s">
        <v>31</v>
      </c>
      <c r="G3326" s="1">
        <v>29</v>
      </c>
      <c r="H3326" s="23">
        <v>45261.336817129632</v>
      </c>
      <c r="I3326" s="1" t="b">
        <v>0</v>
      </c>
      <c r="K3326" s="10">
        <f t="shared" si="257"/>
        <v>14.683611111191567</v>
      </c>
      <c r="L3326" s="1" t="str">
        <f t="shared" si="258"/>
        <v>OK</v>
      </c>
      <c r="M3326" s="1">
        <f t="shared" si="255"/>
        <v>1</v>
      </c>
      <c r="N3326" s="1">
        <f t="shared" si="256"/>
        <v>29</v>
      </c>
      <c r="O3326" s="10">
        <f t="shared" si="259"/>
        <v>14.683611111191567</v>
      </c>
    </row>
    <row r="3327" spans="1:15">
      <c r="A3327" s="1" t="s">
        <v>3432</v>
      </c>
      <c r="B3327" s="23">
        <v>45260.838888888888</v>
      </c>
      <c r="C3327" s="1" t="s">
        <v>25</v>
      </c>
      <c r="D3327" s="1" t="s">
        <v>59</v>
      </c>
      <c r="E3327" s="1" t="s">
        <v>33</v>
      </c>
      <c r="F3327" s="1" t="s">
        <v>186</v>
      </c>
      <c r="H3327" s="23">
        <v>45261.66547453704</v>
      </c>
      <c r="I3327" s="1" t="b">
        <v>0</v>
      </c>
      <c r="K3327" s="10">
        <f t="shared" si="257"/>
        <v>19.838055555650499</v>
      </c>
      <c r="L3327" s="1" t="str">
        <f t="shared" si="258"/>
        <v>Cannot check</v>
      </c>
      <c r="M3327" s="1">
        <f t="shared" si="255"/>
        <v>1</v>
      </c>
      <c r="N3327" s="1" t="str">
        <f t="shared" si="256"/>
        <v/>
      </c>
      <c r="O3327" s="10">
        <f t="shared" si="259"/>
        <v>19.838055555650499</v>
      </c>
    </row>
    <row r="3328" spans="1:15">
      <c r="A3328" s="1" t="s">
        <v>3433</v>
      </c>
      <c r="B3328" s="23">
        <v>45260.950694444444</v>
      </c>
      <c r="C3328" s="1" t="s">
        <v>16</v>
      </c>
      <c r="D3328" s="1" t="s">
        <v>26</v>
      </c>
      <c r="E3328" s="1" t="s">
        <v>33</v>
      </c>
      <c r="F3328" s="1" t="s">
        <v>228</v>
      </c>
      <c r="G3328" s="1">
        <v>933</v>
      </c>
      <c r="H3328" s="23">
        <v>45266.213206018518</v>
      </c>
      <c r="I3328" s="1" t="b">
        <v>0</v>
      </c>
      <c r="J3328" s="1">
        <v>5</v>
      </c>
      <c r="K3328" s="10">
        <f t="shared" si="257"/>
        <v>126.30027777777286</v>
      </c>
      <c r="L3328" s="1" t="str">
        <f t="shared" si="258"/>
        <v>OK</v>
      </c>
      <c r="M3328" s="1">
        <f t="shared" si="255"/>
        <v>1</v>
      </c>
      <c r="N3328" s="1">
        <f t="shared" si="256"/>
        <v>933</v>
      </c>
      <c r="O3328" s="10">
        <f t="shared" si="259"/>
        <v>126.30027777777286</v>
      </c>
    </row>
    <row r="3329" spans="1:15">
      <c r="A3329" s="1" t="s">
        <v>3434</v>
      </c>
      <c r="B3329" s="23">
        <v>45261.232638888891</v>
      </c>
      <c r="C3329" s="1" t="s">
        <v>25</v>
      </c>
      <c r="D3329" s="1" t="s">
        <v>21</v>
      </c>
      <c r="E3329" s="1" t="s">
        <v>18</v>
      </c>
      <c r="F3329" s="1" t="s">
        <v>57</v>
      </c>
      <c r="G3329" s="1">
        <v>119</v>
      </c>
      <c r="H3329" s="23">
        <v>45262.938761574071</v>
      </c>
      <c r="I3329" s="1" t="b">
        <v>0</v>
      </c>
      <c r="J3329" s="1">
        <v>5</v>
      </c>
      <c r="K3329" s="10">
        <f t="shared" si="257"/>
        <v>40.94694444432389</v>
      </c>
      <c r="L3329" s="1" t="str">
        <f t="shared" si="258"/>
        <v>OK</v>
      </c>
      <c r="M3329" s="1">
        <f t="shared" si="255"/>
        <v>1</v>
      </c>
      <c r="N3329" s="1">
        <f t="shared" si="256"/>
        <v>119</v>
      </c>
      <c r="O3329" s="10">
        <f t="shared" si="259"/>
        <v>40.94694444432389</v>
      </c>
    </row>
    <row r="3330" spans="1:15">
      <c r="A3330" s="1" t="s">
        <v>3435</v>
      </c>
      <c r="B3330" s="23">
        <v>45261.500694444447</v>
      </c>
      <c r="C3330" s="1" t="s">
        <v>16</v>
      </c>
      <c r="D3330" s="1" t="s">
        <v>17</v>
      </c>
      <c r="E3330" s="1" t="s">
        <v>33</v>
      </c>
      <c r="F3330" s="1" t="s">
        <v>367</v>
      </c>
      <c r="G3330" s="1">
        <v>251</v>
      </c>
      <c r="H3330" s="23">
        <v>45263.99015046296</v>
      </c>
      <c r="I3330" s="1" t="b">
        <v>1</v>
      </c>
      <c r="K3330" s="10">
        <f t="shared" si="257"/>
        <v>59.746944444312248</v>
      </c>
      <c r="L3330" s="1" t="str">
        <f t="shared" si="258"/>
        <v>OK</v>
      </c>
      <c r="M3330" s="1">
        <f t="shared" ref="M3330:M3393" si="260">COUNTIF($A$2:$A$4001,A3330)</f>
        <v>1</v>
      </c>
      <c r="N3330" s="1">
        <f t="shared" ref="N3330:N3393" si="261">IF(OR(L3330="Review",G3330=""),"",G3330)</f>
        <v>251</v>
      </c>
      <c r="O3330" s="10">
        <f t="shared" si="259"/>
        <v>59.746944444312248</v>
      </c>
    </row>
    <row r="3331" spans="1:15">
      <c r="A3331" s="1" t="s">
        <v>3436</v>
      </c>
      <c r="B3331" s="23">
        <v>45261.527777777781</v>
      </c>
      <c r="C3331" s="1" t="s">
        <v>11</v>
      </c>
      <c r="D3331" s="1" t="s">
        <v>17</v>
      </c>
      <c r="E3331" s="1" t="s">
        <v>13</v>
      </c>
      <c r="F3331" s="1" t="s">
        <v>224</v>
      </c>
      <c r="G3331" s="1">
        <v>41</v>
      </c>
      <c r="H3331" s="23">
        <v>45261.915370370371</v>
      </c>
      <c r="I3331" s="1" t="b">
        <v>0</v>
      </c>
      <c r="K3331" s="10">
        <f t="shared" ref="K3331:K3394" si="262">IF(H3331="","",(H3331-B3331)*24)</f>
        <v>9.3022222221479751</v>
      </c>
      <c r="L3331" s="1" t="str">
        <f t="shared" ref="L3331:L3394" si="263">IF(OR(G3331="",K3331=""),"Cannot check",IF(G3331&gt;K3331*60,"Review","OK"))</f>
        <v>OK</v>
      </c>
      <c r="M3331" s="1">
        <f t="shared" si="260"/>
        <v>1</v>
      </c>
      <c r="N3331" s="1">
        <f t="shared" si="261"/>
        <v>41</v>
      </c>
      <c r="O3331" s="10">
        <f t="shared" ref="O3331:O3394" si="264">IF(OR(L3331="Review",K3331=""),"",K3331)</f>
        <v>9.3022222221479751</v>
      </c>
    </row>
    <row r="3332" spans="1:15">
      <c r="A3332" s="1" t="s">
        <v>3437</v>
      </c>
      <c r="B3332" s="23">
        <v>45261.561111111114</v>
      </c>
      <c r="C3332" s="1" t="s">
        <v>16</v>
      </c>
      <c r="D3332" s="1" t="s">
        <v>26</v>
      </c>
      <c r="E3332" s="1" t="s">
        <v>33</v>
      </c>
      <c r="F3332" s="1" t="s">
        <v>274</v>
      </c>
      <c r="G3332" s="1">
        <v>1187</v>
      </c>
      <c r="H3332" s="23">
        <v>45262.993043981478</v>
      </c>
      <c r="I3332" s="1" t="b">
        <v>0</v>
      </c>
      <c r="K3332" s="10">
        <f t="shared" si="262"/>
        <v>34.366388888738584</v>
      </c>
      <c r="L3332" s="1" t="str">
        <f t="shared" si="263"/>
        <v>OK</v>
      </c>
      <c r="M3332" s="1">
        <f t="shared" si="260"/>
        <v>1</v>
      </c>
      <c r="N3332" s="1">
        <f t="shared" si="261"/>
        <v>1187</v>
      </c>
      <c r="O3332" s="10">
        <f t="shared" si="264"/>
        <v>34.366388888738584</v>
      </c>
    </row>
    <row r="3333" spans="1:15">
      <c r="A3333" s="1" t="s">
        <v>3438</v>
      </c>
      <c r="B3333" s="23">
        <v>45261.582638888889</v>
      </c>
      <c r="C3333" s="1" t="s">
        <v>25</v>
      </c>
      <c r="D3333" s="1" t="s">
        <v>17</v>
      </c>
      <c r="E3333" s="1" t="s">
        <v>33</v>
      </c>
      <c r="F3333" s="1" t="s">
        <v>72</v>
      </c>
      <c r="G3333" s="1">
        <v>46</v>
      </c>
      <c r="H3333" s="23">
        <v>45262.441689814812</v>
      </c>
      <c r="I3333" s="1" t="b">
        <v>0</v>
      </c>
      <c r="K3333" s="10">
        <f t="shared" si="262"/>
        <v>20.617222222150303</v>
      </c>
      <c r="L3333" s="1" t="str">
        <f t="shared" si="263"/>
        <v>OK</v>
      </c>
      <c r="M3333" s="1">
        <f t="shared" si="260"/>
        <v>1</v>
      </c>
      <c r="N3333" s="1">
        <f t="shared" si="261"/>
        <v>46</v>
      </c>
      <c r="O3333" s="10">
        <f t="shared" si="264"/>
        <v>20.617222222150303</v>
      </c>
    </row>
    <row r="3334" spans="1:15">
      <c r="A3334" s="1" t="s">
        <v>3439</v>
      </c>
      <c r="B3334" s="23">
        <v>45261.662499999999</v>
      </c>
      <c r="C3334" s="1" t="s">
        <v>11</v>
      </c>
      <c r="D3334" s="1" t="s">
        <v>17</v>
      </c>
      <c r="E3334" s="1" t="s">
        <v>13</v>
      </c>
      <c r="F3334" s="1" t="s">
        <v>228</v>
      </c>
      <c r="G3334" s="1">
        <v>53</v>
      </c>
      <c r="H3334" s="23">
        <v>45261.911145833335</v>
      </c>
      <c r="I3334" s="1" t="b">
        <v>0</v>
      </c>
      <c r="J3334" s="1">
        <v>1</v>
      </c>
      <c r="K3334" s="10">
        <f t="shared" si="262"/>
        <v>5.9675000000861473</v>
      </c>
      <c r="L3334" s="1" t="str">
        <f t="shared" si="263"/>
        <v>OK</v>
      </c>
      <c r="M3334" s="1">
        <f t="shared" si="260"/>
        <v>1</v>
      </c>
      <c r="N3334" s="1">
        <f t="shared" si="261"/>
        <v>53</v>
      </c>
      <c r="O3334" s="10">
        <f t="shared" si="264"/>
        <v>5.9675000000861473</v>
      </c>
    </row>
    <row r="3335" spans="1:15">
      <c r="A3335" s="1" t="s">
        <v>3440</v>
      </c>
      <c r="B3335" s="23">
        <v>45261.693749999999</v>
      </c>
      <c r="C3335" s="1" t="s">
        <v>16</v>
      </c>
      <c r="D3335" s="1" t="s">
        <v>17</v>
      </c>
      <c r="E3335" s="1" t="s">
        <v>18</v>
      </c>
      <c r="F3335" s="1" t="s">
        <v>345</v>
      </c>
      <c r="G3335" s="1">
        <v>174</v>
      </c>
      <c r="H3335" s="23">
        <v>45265.801516203705</v>
      </c>
      <c r="I3335" s="1" t="b">
        <v>0</v>
      </c>
      <c r="K3335" s="10">
        <f t="shared" si="262"/>
        <v>98.586388888943475</v>
      </c>
      <c r="L3335" s="1" t="str">
        <f t="shared" si="263"/>
        <v>OK</v>
      </c>
      <c r="M3335" s="1">
        <f t="shared" si="260"/>
        <v>1</v>
      </c>
      <c r="N3335" s="1">
        <f t="shared" si="261"/>
        <v>174</v>
      </c>
      <c r="O3335" s="10">
        <f t="shared" si="264"/>
        <v>98.586388888943475</v>
      </c>
    </row>
    <row r="3336" spans="1:15">
      <c r="A3336" s="1" t="s">
        <v>3441</v>
      </c>
      <c r="B3336" s="23">
        <v>45261.754861111112</v>
      </c>
      <c r="C3336" s="1" t="s">
        <v>16</v>
      </c>
      <c r="D3336" s="1" t="s">
        <v>21</v>
      </c>
      <c r="E3336" s="1" t="s">
        <v>18</v>
      </c>
      <c r="F3336" s="1" t="s">
        <v>104</v>
      </c>
      <c r="G3336" s="1">
        <v>115</v>
      </c>
      <c r="H3336" s="23">
        <v>45263.578935185185</v>
      </c>
      <c r="I3336" s="1" t="b">
        <v>0</v>
      </c>
      <c r="K3336" s="10">
        <f t="shared" si="262"/>
        <v>43.777777777751908</v>
      </c>
      <c r="L3336" s="1" t="str">
        <f t="shared" si="263"/>
        <v>OK</v>
      </c>
      <c r="M3336" s="1">
        <f t="shared" si="260"/>
        <v>1</v>
      </c>
      <c r="N3336" s="1">
        <f t="shared" si="261"/>
        <v>115</v>
      </c>
      <c r="O3336" s="10">
        <f t="shared" si="264"/>
        <v>43.777777777751908</v>
      </c>
    </row>
    <row r="3337" spans="1:15">
      <c r="A3337" s="1" t="s">
        <v>3442</v>
      </c>
      <c r="B3337" s="23">
        <v>45261.788194444445</v>
      </c>
      <c r="C3337" s="1" t="s">
        <v>11</v>
      </c>
      <c r="D3337" s="1" t="s">
        <v>17</v>
      </c>
      <c r="E3337" s="1" t="s">
        <v>18</v>
      </c>
      <c r="F3337" s="1" t="s">
        <v>120</v>
      </c>
      <c r="G3337" s="1">
        <v>126</v>
      </c>
      <c r="H3337" s="23">
        <v>45263.538495370369</v>
      </c>
      <c r="I3337" s="1" t="b">
        <v>0</v>
      </c>
      <c r="K3337" s="10">
        <f t="shared" si="262"/>
        <v>42.007222222164273</v>
      </c>
      <c r="L3337" s="1" t="str">
        <f t="shared" si="263"/>
        <v>OK</v>
      </c>
      <c r="M3337" s="1">
        <f t="shared" si="260"/>
        <v>1</v>
      </c>
      <c r="N3337" s="1">
        <f t="shared" si="261"/>
        <v>126</v>
      </c>
      <c r="O3337" s="10">
        <f t="shared" si="264"/>
        <v>42.007222222164273</v>
      </c>
    </row>
    <row r="3338" spans="1:15">
      <c r="A3338" s="1" t="s">
        <v>3443</v>
      </c>
      <c r="B3338" s="23">
        <v>45261.85</v>
      </c>
      <c r="C3338" s="1" t="s">
        <v>16</v>
      </c>
      <c r="D3338" s="1" t="s">
        <v>12</v>
      </c>
      <c r="E3338" s="1" t="s">
        <v>18</v>
      </c>
      <c r="F3338" s="1" t="s">
        <v>29</v>
      </c>
      <c r="G3338" s="1">
        <v>45</v>
      </c>
      <c r="H3338" s="23">
        <v>45262.369652777779</v>
      </c>
      <c r="I3338" s="1" t="b">
        <v>0</v>
      </c>
      <c r="J3338" s="1">
        <v>5</v>
      </c>
      <c r="K3338" s="10">
        <f t="shared" si="262"/>
        <v>12.471666666737292</v>
      </c>
      <c r="L3338" s="1" t="str">
        <f t="shared" si="263"/>
        <v>OK</v>
      </c>
      <c r="M3338" s="1">
        <f t="shared" si="260"/>
        <v>1</v>
      </c>
      <c r="N3338" s="1">
        <f t="shared" si="261"/>
        <v>45</v>
      </c>
      <c r="O3338" s="10">
        <f t="shared" si="264"/>
        <v>12.471666666737292</v>
      </c>
    </row>
    <row r="3339" spans="1:15">
      <c r="A3339" s="1" t="s">
        <v>3444</v>
      </c>
      <c r="B3339" s="23">
        <v>45261.85</v>
      </c>
      <c r="C3339" s="1" t="s">
        <v>11</v>
      </c>
      <c r="D3339" s="1" t="s">
        <v>17</v>
      </c>
      <c r="E3339" s="1" t="s">
        <v>18</v>
      </c>
      <c r="F3339" s="1" t="s">
        <v>145</v>
      </c>
      <c r="G3339" s="1">
        <v>43</v>
      </c>
      <c r="H3339" s="23">
        <v>45262.127557870372</v>
      </c>
      <c r="I3339" s="1" t="b">
        <v>0</v>
      </c>
      <c r="K3339" s="10">
        <f t="shared" si="262"/>
        <v>6.6613888889551163</v>
      </c>
      <c r="L3339" s="1" t="str">
        <f t="shared" si="263"/>
        <v>OK</v>
      </c>
      <c r="M3339" s="1">
        <f t="shared" si="260"/>
        <v>1</v>
      </c>
      <c r="N3339" s="1">
        <f t="shared" si="261"/>
        <v>43</v>
      </c>
      <c r="O3339" s="10">
        <f t="shared" si="264"/>
        <v>6.6613888889551163</v>
      </c>
    </row>
    <row r="3340" spans="1:15">
      <c r="A3340" s="1" t="s">
        <v>3445</v>
      </c>
      <c r="B3340" s="23">
        <v>45261.861111111109</v>
      </c>
      <c r="C3340" s="1" t="s">
        <v>16</v>
      </c>
      <c r="D3340" s="1" t="s">
        <v>21</v>
      </c>
      <c r="E3340" s="1" t="s">
        <v>33</v>
      </c>
      <c r="F3340" s="1" t="s">
        <v>112</v>
      </c>
      <c r="G3340" s="1">
        <v>185</v>
      </c>
      <c r="H3340" s="23">
        <v>45262.749976851854</v>
      </c>
      <c r="I3340" s="1" t="b">
        <v>0</v>
      </c>
      <c r="K3340" s="10">
        <f t="shared" si="262"/>
        <v>21.332777777861338</v>
      </c>
      <c r="L3340" s="1" t="str">
        <f t="shared" si="263"/>
        <v>OK</v>
      </c>
      <c r="M3340" s="1">
        <f t="shared" si="260"/>
        <v>1</v>
      </c>
      <c r="N3340" s="1">
        <f t="shared" si="261"/>
        <v>185</v>
      </c>
      <c r="O3340" s="10">
        <f t="shared" si="264"/>
        <v>21.332777777861338</v>
      </c>
    </row>
    <row r="3341" spans="1:15">
      <c r="A3341" s="1" t="s">
        <v>3446</v>
      </c>
      <c r="B3341" s="23">
        <v>45261.89166666667</v>
      </c>
      <c r="C3341" s="1" t="s">
        <v>16</v>
      </c>
      <c r="D3341" s="1" t="s">
        <v>17</v>
      </c>
      <c r="E3341" s="1" t="s">
        <v>13</v>
      </c>
      <c r="F3341" s="1" t="s">
        <v>62</v>
      </c>
      <c r="G3341" s="1">
        <v>208</v>
      </c>
      <c r="H3341" s="23">
        <v>45262.386423611111</v>
      </c>
      <c r="I3341" s="1" t="b">
        <v>0</v>
      </c>
      <c r="K3341" s="10">
        <f t="shared" si="262"/>
        <v>11.87416666658828</v>
      </c>
      <c r="L3341" s="1" t="str">
        <f t="shared" si="263"/>
        <v>OK</v>
      </c>
      <c r="M3341" s="1">
        <f t="shared" si="260"/>
        <v>1</v>
      </c>
      <c r="N3341" s="1">
        <f t="shared" si="261"/>
        <v>208</v>
      </c>
      <c r="O3341" s="10">
        <f t="shared" si="264"/>
        <v>11.87416666658828</v>
      </c>
    </row>
    <row r="3342" spans="1:15">
      <c r="A3342" s="1" t="s">
        <v>3447</v>
      </c>
      <c r="B3342" s="23">
        <v>45261.915277777778</v>
      </c>
      <c r="C3342" s="1" t="s">
        <v>16</v>
      </c>
      <c r="D3342" s="1" t="s">
        <v>17</v>
      </c>
      <c r="E3342" s="1" t="s">
        <v>13</v>
      </c>
      <c r="F3342" s="1" t="s">
        <v>486</v>
      </c>
      <c r="G3342" s="1">
        <v>44</v>
      </c>
      <c r="H3342" s="23">
        <v>45264.699930555558</v>
      </c>
      <c r="I3342" s="1" t="b">
        <v>0</v>
      </c>
      <c r="J3342" s="1">
        <v>5</v>
      </c>
      <c r="K3342" s="10">
        <f t="shared" si="262"/>
        <v>66.831666666723322</v>
      </c>
      <c r="L3342" s="1" t="str">
        <f t="shared" si="263"/>
        <v>OK</v>
      </c>
      <c r="M3342" s="1">
        <f t="shared" si="260"/>
        <v>1</v>
      </c>
      <c r="N3342" s="1">
        <f t="shared" si="261"/>
        <v>44</v>
      </c>
      <c r="O3342" s="10">
        <f t="shared" si="264"/>
        <v>66.831666666723322</v>
      </c>
    </row>
    <row r="3343" spans="1:15">
      <c r="A3343" s="1" t="s">
        <v>3448</v>
      </c>
      <c r="B3343" s="23">
        <v>45261.972916666666</v>
      </c>
      <c r="C3343" s="1" t="s">
        <v>16</v>
      </c>
      <c r="D3343" s="1" t="s">
        <v>21</v>
      </c>
      <c r="E3343" s="1" t="s">
        <v>13</v>
      </c>
      <c r="F3343" s="1" t="s">
        <v>100</v>
      </c>
      <c r="G3343" s="1">
        <v>62</v>
      </c>
      <c r="H3343" s="23">
        <v>45262.24181712963</v>
      </c>
      <c r="I3343" s="1" t="b">
        <v>0</v>
      </c>
      <c r="K3343" s="10">
        <f t="shared" si="262"/>
        <v>6.4536111111519858</v>
      </c>
      <c r="L3343" s="1" t="str">
        <f t="shared" si="263"/>
        <v>OK</v>
      </c>
      <c r="M3343" s="1">
        <f t="shared" si="260"/>
        <v>1</v>
      </c>
      <c r="N3343" s="1">
        <f t="shared" si="261"/>
        <v>62</v>
      </c>
      <c r="O3343" s="10">
        <f t="shared" si="264"/>
        <v>6.4536111111519858</v>
      </c>
    </row>
    <row r="3344" spans="1:15">
      <c r="A3344" s="1" t="s">
        <v>3449</v>
      </c>
      <c r="B3344" s="23">
        <v>45262.034722222219</v>
      </c>
      <c r="C3344" s="1" t="s">
        <v>16</v>
      </c>
      <c r="D3344" s="1" t="s">
        <v>26</v>
      </c>
      <c r="E3344" s="1" t="s">
        <v>13</v>
      </c>
      <c r="F3344" s="1" t="s">
        <v>84</v>
      </c>
      <c r="G3344" s="1">
        <v>33</v>
      </c>
      <c r="H3344" s="23">
        <v>45263.571238425924</v>
      </c>
      <c r="I3344" s="1" t="b">
        <v>0</v>
      </c>
      <c r="K3344" s="10">
        <f t="shared" si="262"/>
        <v>36.87638888892252</v>
      </c>
      <c r="L3344" s="1" t="str">
        <f t="shared" si="263"/>
        <v>OK</v>
      </c>
      <c r="M3344" s="1">
        <f t="shared" si="260"/>
        <v>1</v>
      </c>
      <c r="N3344" s="1">
        <f t="shared" si="261"/>
        <v>33</v>
      </c>
      <c r="O3344" s="10">
        <f t="shared" si="264"/>
        <v>36.87638888892252</v>
      </c>
    </row>
    <row r="3345" spans="1:15">
      <c r="A3345" s="1" t="s">
        <v>3450</v>
      </c>
      <c r="B3345" s="23">
        <v>45262.188194444447</v>
      </c>
      <c r="C3345" s="1" t="s">
        <v>16</v>
      </c>
      <c r="D3345" s="1" t="s">
        <v>59</v>
      </c>
      <c r="E3345" s="1" t="s">
        <v>18</v>
      </c>
      <c r="F3345" s="1" t="s">
        <v>57</v>
      </c>
      <c r="G3345" s="1">
        <v>450</v>
      </c>
      <c r="H3345" s="23">
        <v>45262.519097222219</v>
      </c>
      <c r="I3345" s="1" t="b">
        <v>0</v>
      </c>
      <c r="K3345" s="10">
        <f t="shared" si="262"/>
        <v>7.9416666665347293</v>
      </c>
      <c r="L3345" s="1" t="str">
        <f t="shared" si="263"/>
        <v>OK</v>
      </c>
      <c r="M3345" s="1">
        <f t="shared" si="260"/>
        <v>1</v>
      </c>
      <c r="N3345" s="1">
        <f t="shared" si="261"/>
        <v>450</v>
      </c>
      <c r="O3345" s="10">
        <f t="shared" si="264"/>
        <v>7.9416666665347293</v>
      </c>
    </row>
    <row r="3346" spans="1:15">
      <c r="A3346" s="1" t="s">
        <v>3451</v>
      </c>
      <c r="B3346" s="23">
        <v>45262.345138888886</v>
      </c>
      <c r="C3346" s="1" t="s">
        <v>11</v>
      </c>
      <c r="D3346" s="1" t="s">
        <v>17</v>
      </c>
      <c r="E3346" s="1" t="s">
        <v>18</v>
      </c>
      <c r="F3346" s="1" t="s">
        <v>486</v>
      </c>
      <c r="G3346" s="1">
        <v>141</v>
      </c>
      <c r="H3346" s="23">
        <v>45262.908912037034</v>
      </c>
      <c r="I3346" s="1" t="b">
        <v>0</v>
      </c>
      <c r="K3346" s="10">
        <f t="shared" si="262"/>
        <v>13.53055555553874</v>
      </c>
      <c r="L3346" s="1" t="str">
        <f t="shared" si="263"/>
        <v>OK</v>
      </c>
      <c r="M3346" s="1">
        <f t="shared" si="260"/>
        <v>1</v>
      </c>
      <c r="N3346" s="1">
        <f t="shared" si="261"/>
        <v>141</v>
      </c>
      <c r="O3346" s="10">
        <f t="shared" si="264"/>
        <v>13.53055555553874</v>
      </c>
    </row>
    <row r="3347" spans="1:15">
      <c r="A3347" s="1" t="s">
        <v>3452</v>
      </c>
      <c r="B3347" s="23">
        <v>45262.356944444444</v>
      </c>
      <c r="C3347" s="1" t="s">
        <v>43</v>
      </c>
      <c r="D3347" s="1" t="s">
        <v>17</v>
      </c>
      <c r="E3347" s="1" t="s">
        <v>33</v>
      </c>
      <c r="F3347" s="1" t="s">
        <v>39</v>
      </c>
      <c r="G3347" s="1">
        <v>27</v>
      </c>
      <c r="H3347" s="23">
        <v>45262.607824074075</v>
      </c>
      <c r="I3347" s="1" t="b">
        <v>0</v>
      </c>
      <c r="J3347" s="1">
        <v>4</v>
      </c>
      <c r="K3347" s="10">
        <f t="shared" si="262"/>
        <v>6.0211111111566424</v>
      </c>
      <c r="L3347" s="1" t="str">
        <f t="shared" si="263"/>
        <v>OK</v>
      </c>
      <c r="M3347" s="1">
        <f t="shared" si="260"/>
        <v>1</v>
      </c>
      <c r="N3347" s="1">
        <f t="shared" si="261"/>
        <v>27</v>
      </c>
      <c r="O3347" s="10">
        <f t="shared" si="264"/>
        <v>6.0211111111566424</v>
      </c>
    </row>
    <row r="3348" spans="1:15">
      <c r="A3348" s="1" t="s">
        <v>3453</v>
      </c>
      <c r="B3348" s="23">
        <v>45262.370833333334</v>
      </c>
      <c r="C3348" s="1" t="s">
        <v>11</v>
      </c>
      <c r="D3348" s="1" t="s">
        <v>17</v>
      </c>
      <c r="E3348" s="1" t="s">
        <v>18</v>
      </c>
      <c r="F3348" s="1" t="s">
        <v>27</v>
      </c>
      <c r="G3348" s="1">
        <v>65</v>
      </c>
      <c r="H3348" s="23">
        <v>45264.293703703705</v>
      </c>
      <c r="I3348" s="1" t="b">
        <v>0</v>
      </c>
      <c r="J3348" s="1">
        <v>1</v>
      </c>
      <c r="K3348" s="10">
        <f t="shared" si="262"/>
        <v>46.148888888885267</v>
      </c>
      <c r="L3348" s="1" t="str">
        <f t="shared" si="263"/>
        <v>OK</v>
      </c>
      <c r="M3348" s="1">
        <f t="shared" si="260"/>
        <v>1</v>
      </c>
      <c r="N3348" s="1">
        <f t="shared" si="261"/>
        <v>65</v>
      </c>
      <c r="O3348" s="10">
        <f t="shared" si="264"/>
        <v>46.148888888885267</v>
      </c>
    </row>
    <row r="3349" spans="1:15">
      <c r="A3349" s="1" t="s">
        <v>3454</v>
      </c>
      <c r="B3349" s="23">
        <v>45262.502083333333</v>
      </c>
      <c r="C3349" s="1" t="s">
        <v>43</v>
      </c>
      <c r="D3349" s="1" t="s">
        <v>21</v>
      </c>
      <c r="E3349" s="1" t="s">
        <v>18</v>
      </c>
      <c r="F3349" s="1" t="s">
        <v>94</v>
      </c>
      <c r="G3349" s="1">
        <v>138</v>
      </c>
      <c r="H3349" s="23">
        <v>45263.126111111109</v>
      </c>
      <c r="I3349" s="1" t="b">
        <v>0</v>
      </c>
      <c r="J3349" s="1">
        <v>5</v>
      </c>
      <c r="K3349" s="10">
        <f t="shared" si="262"/>
        <v>14.976666666625533</v>
      </c>
      <c r="L3349" s="1" t="str">
        <f t="shared" si="263"/>
        <v>OK</v>
      </c>
      <c r="M3349" s="1">
        <f t="shared" si="260"/>
        <v>1</v>
      </c>
      <c r="N3349" s="1">
        <f t="shared" si="261"/>
        <v>138</v>
      </c>
      <c r="O3349" s="10">
        <f t="shared" si="264"/>
        <v>14.976666666625533</v>
      </c>
    </row>
    <row r="3350" spans="1:15">
      <c r="A3350" s="1" t="s">
        <v>3455</v>
      </c>
      <c r="B3350" s="23">
        <v>45262.621527777781</v>
      </c>
      <c r="C3350" s="1" t="s">
        <v>11</v>
      </c>
      <c r="D3350" s="1" t="s">
        <v>21</v>
      </c>
      <c r="E3350" s="1" t="s">
        <v>18</v>
      </c>
      <c r="F3350" s="1" t="s">
        <v>159</v>
      </c>
      <c r="H3350" s="23">
        <v>45264.156655092593</v>
      </c>
      <c r="I3350" s="1" t="b">
        <v>0</v>
      </c>
      <c r="K3350" s="10">
        <f t="shared" si="262"/>
        <v>36.843055555480532</v>
      </c>
      <c r="L3350" s="1" t="str">
        <f t="shared" si="263"/>
        <v>Cannot check</v>
      </c>
      <c r="M3350" s="1">
        <f t="shared" si="260"/>
        <v>1</v>
      </c>
      <c r="N3350" s="1" t="str">
        <f t="shared" si="261"/>
        <v/>
      </c>
      <c r="O3350" s="10">
        <f t="shared" si="264"/>
        <v>36.843055555480532</v>
      </c>
    </row>
    <row r="3351" spans="1:15">
      <c r="A3351" s="1" t="s">
        <v>3456</v>
      </c>
      <c r="B3351" s="23">
        <v>45262.686805555553</v>
      </c>
      <c r="C3351" s="1" t="s">
        <v>25</v>
      </c>
      <c r="D3351" s="1" t="s">
        <v>17</v>
      </c>
      <c r="E3351" s="1" t="s">
        <v>18</v>
      </c>
      <c r="F3351" s="1" t="s">
        <v>100</v>
      </c>
      <c r="G3351" s="1">
        <v>114</v>
      </c>
      <c r="H3351" s="23">
        <v>45263.922118055554</v>
      </c>
      <c r="I3351" s="1" t="b">
        <v>0</v>
      </c>
      <c r="K3351" s="10">
        <f t="shared" si="262"/>
        <v>29.647500000020955</v>
      </c>
      <c r="L3351" s="1" t="str">
        <f t="shared" si="263"/>
        <v>OK</v>
      </c>
      <c r="M3351" s="1">
        <f t="shared" si="260"/>
        <v>1</v>
      </c>
      <c r="N3351" s="1">
        <f t="shared" si="261"/>
        <v>114</v>
      </c>
      <c r="O3351" s="10">
        <f t="shared" si="264"/>
        <v>29.647500000020955</v>
      </c>
    </row>
    <row r="3352" spans="1:15">
      <c r="A3352" s="1" t="s">
        <v>3457</v>
      </c>
      <c r="B3352" s="23">
        <v>45262.944444444445</v>
      </c>
      <c r="C3352" s="1" t="s">
        <v>25</v>
      </c>
      <c r="D3352" s="1" t="s">
        <v>12</v>
      </c>
      <c r="E3352" s="1" t="s">
        <v>22</v>
      </c>
      <c r="F3352" s="1" t="s">
        <v>76</v>
      </c>
      <c r="G3352" s="1">
        <v>9</v>
      </c>
      <c r="H3352" s="23">
        <v>45263.290300925924</v>
      </c>
      <c r="I3352" s="1" t="b">
        <v>0</v>
      </c>
      <c r="K3352" s="10">
        <f t="shared" si="262"/>
        <v>8.3005555554991588</v>
      </c>
      <c r="L3352" s="1" t="str">
        <f t="shared" si="263"/>
        <v>OK</v>
      </c>
      <c r="M3352" s="1">
        <f t="shared" si="260"/>
        <v>1</v>
      </c>
      <c r="N3352" s="1">
        <f t="shared" si="261"/>
        <v>9</v>
      </c>
      <c r="O3352" s="10">
        <f t="shared" si="264"/>
        <v>8.3005555554991588</v>
      </c>
    </row>
    <row r="3353" spans="1:15">
      <c r="A3353" s="1" t="s">
        <v>3458</v>
      </c>
      <c r="B3353" s="23">
        <v>45263.080555555556</v>
      </c>
      <c r="C3353" s="1" t="s">
        <v>11</v>
      </c>
      <c r="D3353" s="1" t="s">
        <v>26</v>
      </c>
      <c r="E3353" s="1" t="s">
        <v>33</v>
      </c>
      <c r="F3353" s="1" t="s">
        <v>86</v>
      </c>
      <c r="G3353" s="1">
        <v>140</v>
      </c>
      <c r="H3353" s="23">
        <v>45264.630196759259</v>
      </c>
      <c r="I3353" s="1" t="b">
        <v>0</v>
      </c>
      <c r="J3353" s="1">
        <v>5</v>
      </c>
      <c r="K3353" s="10">
        <f t="shared" si="262"/>
        <v>37.191388888866641</v>
      </c>
      <c r="L3353" s="1" t="str">
        <f t="shared" si="263"/>
        <v>OK</v>
      </c>
      <c r="M3353" s="1">
        <f t="shared" si="260"/>
        <v>1</v>
      </c>
      <c r="N3353" s="1">
        <f t="shared" si="261"/>
        <v>140</v>
      </c>
      <c r="O3353" s="10">
        <f t="shared" si="264"/>
        <v>37.191388888866641</v>
      </c>
    </row>
    <row r="3354" spans="1:15">
      <c r="A3354" s="1" t="s">
        <v>3459</v>
      </c>
      <c r="B3354" s="23">
        <v>45263.48333333333</v>
      </c>
      <c r="C3354" s="1" t="s">
        <v>25</v>
      </c>
      <c r="D3354" s="1" t="s">
        <v>17</v>
      </c>
      <c r="E3354" s="1" t="s">
        <v>22</v>
      </c>
      <c r="F3354" s="1" t="s">
        <v>245</v>
      </c>
      <c r="G3354" s="1">
        <v>34</v>
      </c>
      <c r="H3354" s="23">
        <v>45264.513738425929</v>
      </c>
      <c r="I3354" s="1" t="b">
        <v>0</v>
      </c>
      <c r="J3354" s="1">
        <v>2</v>
      </c>
      <c r="K3354" s="10">
        <f t="shared" si="262"/>
        <v>24.729722222371493</v>
      </c>
      <c r="L3354" s="1" t="str">
        <f t="shared" si="263"/>
        <v>OK</v>
      </c>
      <c r="M3354" s="1">
        <f t="shared" si="260"/>
        <v>1</v>
      </c>
      <c r="N3354" s="1">
        <f t="shared" si="261"/>
        <v>34</v>
      </c>
      <c r="O3354" s="10">
        <f t="shared" si="264"/>
        <v>24.729722222371493</v>
      </c>
    </row>
    <row r="3355" spans="1:15">
      <c r="A3355" s="1" t="s">
        <v>3460</v>
      </c>
      <c r="B3355" s="23">
        <v>45263.711805555555</v>
      </c>
      <c r="C3355" s="1" t="s">
        <v>16</v>
      </c>
      <c r="D3355" s="1" t="s">
        <v>12</v>
      </c>
      <c r="E3355" s="1" t="s">
        <v>33</v>
      </c>
      <c r="F3355" s="1" t="s">
        <v>68</v>
      </c>
      <c r="G3355" s="1">
        <v>197</v>
      </c>
      <c r="H3355" s="23">
        <v>45265.746979166666</v>
      </c>
      <c r="I3355" s="1" t="b">
        <v>0</v>
      </c>
      <c r="J3355" s="1">
        <v>5</v>
      </c>
      <c r="K3355" s="10">
        <f t="shared" si="262"/>
        <v>48.844166666676756</v>
      </c>
      <c r="L3355" s="1" t="str">
        <f t="shared" si="263"/>
        <v>OK</v>
      </c>
      <c r="M3355" s="1">
        <f t="shared" si="260"/>
        <v>1</v>
      </c>
      <c r="N3355" s="1">
        <f t="shared" si="261"/>
        <v>197</v>
      </c>
      <c r="O3355" s="10">
        <f t="shared" si="264"/>
        <v>48.844166666676756</v>
      </c>
    </row>
    <row r="3356" spans="1:15">
      <c r="A3356" s="1" t="s">
        <v>3461</v>
      </c>
      <c r="B3356" s="23">
        <v>45263.713888888888</v>
      </c>
      <c r="C3356" s="1" t="s">
        <v>43</v>
      </c>
      <c r="D3356" s="1" t="s">
        <v>12</v>
      </c>
      <c r="E3356" s="1" t="s">
        <v>33</v>
      </c>
      <c r="F3356" s="1" t="s">
        <v>112</v>
      </c>
      <c r="G3356" s="1">
        <v>164</v>
      </c>
      <c r="H3356" s="23">
        <v>45264.723425925928</v>
      </c>
      <c r="I3356" s="1" t="b">
        <v>0</v>
      </c>
      <c r="J3356" s="1">
        <v>4</v>
      </c>
      <c r="K3356" s="10">
        <f t="shared" si="262"/>
        <v>24.228888888959773</v>
      </c>
      <c r="L3356" s="1" t="str">
        <f t="shared" si="263"/>
        <v>OK</v>
      </c>
      <c r="M3356" s="1">
        <f t="shared" si="260"/>
        <v>1</v>
      </c>
      <c r="N3356" s="1">
        <f t="shared" si="261"/>
        <v>164</v>
      </c>
      <c r="O3356" s="10">
        <f t="shared" si="264"/>
        <v>24.228888888959773</v>
      </c>
    </row>
    <row r="3357" spans="1:15">
      <c r="A3357" s="1" t="s">
        <v>3462</v>
      </c>
      <c r="B3357" s="23">
        <v>45263.863194444442</v>
      </c>
      <c r="C3357" s="1" t="s">
        <v>43</v>
      </c>
      <c r="D3357" s="1" t="s">
        <v>26</v>
      </c>
      <c r="E3357" s="1" t="s">
        <v>22</v>
      </c>
      <c r="F3357" s="1" t="s">
        <v>104</v>
      </c>
      <c r="G3357" s="1">
        <v>20</v>
      </c>
      <c r="H3357" s="23">
        <v>45264.332372685189</v>
      </c>
      <c r="I3357" s="1" t="b">
        <v>0</v>
      </c>
      <c r="K3357" s="10">
        <f t="shared" si="262"/>
        <v>11.260277777910233</v>
      </c>
      <c r="L3357" s="1" t="str">
        <f t="shared" si="263"/>
        <v>OK</v>
      </c>
      <c r="M3357" s="1">
        <f t="shared" si="260"/>
        <v>1</v>
      </c>
      <c r="N3357" s="1">
        <f t="shared" si="261"/>
        <v>20</v>
      </c>
      <c r="O3357" s="10">
        <f t="shared" si="264"/>
        <v>11.260277777910233</v>
      </c>
    </row>
    <row r="3358" spans="1:15">
      <c r="A3358" s="1" t="s">
        <v>3463</v>
      </c>
      <c r="B3358" s="23">
        <v>45263.915277777778</v>
      </c>
      <c r="C3358" s="1" t="s">
        <v>16</v>
      </c>
      <c r="D3358" s="1" t="s">
        <v>26</v>
      </c>
      <c r="E3358" s="1" t="s">
        <v>18</v>
      </c>
      <c r="F3358" s="1" t="s">
        <v>132</v>
      </c>
      <c r="G3358" s="1">
        <v>490</v>
      </c>
      <c r="H3358" s="23">
        <v>45264.533391203702</v>
      </c>
      <c r="I3358" s="1" t="b">
        <v>0</v>
      </c>
      <c r="K3358" s="10">
        <f t="shared" si="262"/>
        <v>14.834722222178243</v>
      </c>
      <c r="L3358" s="1" t="str">
        <f t="shared" si="263"/>
        <v>OK</v>
      </c>
      <c r="M3358" s="1">
        <f t="shared" si="260"/>
        <v>1</v>
      </c>
      <c r="N3358" s="1">
        <f t="shared" si="261"/>
        <v>490</v>
      </c>
      <c r="O3358" s="10">
        <f t="shared" si="264"/>
        <v>14.834722222178243</v>
      </c>
    </row>
    <row r="3359" spans="1:15">
      <c r="A3359" s="1" t="s">
        <v>3464</v>
      </c>
      <c r="B3359" s="23">
        <v>45264.029861111114</v>
      </c>
      <c r="C3359" s="1" t="s">
        <v>25</v>
      </c>
      <c r="D3359" s="1" t="s">
        <v>21</v>
      </c>
      <c r="E3359" s="1" t="s">
        <v>22</v>
      </c>
      <c r="F3359" s="1" t="s">
        <v>52</v>
      </c>
      <c r="G3359" s="1">
        <v>4</v>
      </c>
      <c r="H3359" s="23">
        <v>45264.375486111108</v>
      </c>
      <c r="I3359" s="1" t="b">
        <v>0</v>
      </c>
      <c r="K3359" s="10">
        <f t="shared" si="262"/>
        <v>8.2949999998672865</v>
      </c>
      <c r="L3359" s="1" t="str">
        <f t="shared" si="263"/>
        <v>OK</v>
      </c>
      <c r="M3359" s="1">
        <f t="shared" si="260"/>
        <v>1</v>
      </c>
      <c r="N3359" s="1">
        <f t="shared" si="261"/>
        <v>4</v>
      </c>
      <c r="O3359" s="10">
        <f t="shared" si="264"/>
        <v>8.2949999998672865</v>
      </c>
    </row>
    <row r="3360" spans="1:15">
      <c r="A3360" s="1" t="s">
        <v>3465</v>
      </c>
      <c r="B3360" s="23">
        <v>45264.208333333336</v>
      </c>
      <c r="C3360" s="1" t="s">
        <v>25</v>
      </c>
      <c r="D3360" s="1" t="s">
        <v>21</v>
      </c>
      <c r="E3360" s="1" t="s">
        <v>18</v>
      </c>
      <c r="F3360" s="1" t="s">
        <v>57</v>
      </c>
      <c r="G3360" s="1">
        <v>39</v>
      </c>
      <c r="H3360" s="23">
        <v>45267.174050925925</v>
      </c>
      <c r="I3360" s="1" t="b">
        <v>1</v>
      </c>
      <c r="K3360" s="10">
        <f t="shared" si="262"/>
        <v>71.177222222147975</v>
      </c>
      <c r="L3360" s="1" t="str">
        <f t="shared" si="263"/>
        <v>OK</v>
      </c>
      <c r="M3360" s="1">
        <f t="shared" si="260"/>
        <v>1</v>
      </c>
      <c r="N3360" s="1">
        <f t="shared" si="261"/>
        <v>39</v>
      </c>
      <c r="O3360" s="10">
        <f t="shared" si="264"/>
        <v>71.177222222147975</v>
      </c>
    </row>
    <row r="3361" spans="1:15">
      <c r="A3361" s="1" t="s">
        <v>3466</v>
      </c>
      <c r="B3361" s="23">
        <v>45264.239583333336</v>
      </c>
      <c r="C3361" s="1" t="s">
        <v>43</v>
      </c>
      <c r="D3361" s="1" t="s">
        <v>17</v>
      </c>
      <c r="E3361" s="1" t="s">
        <v>18</v>
      </c>
      <c r="F3361" s="1" t="s">
        <v>159</v>
      </c>
      <c r="G3361" s="1">
        <v>54</v>
      </c>
      <c r="H3361" s="23">
        <v>45275.661412037036</v>
      </c>
      <c r="I3361" s="1" t="b">
        <v>0</v>
      </c>
      <c r="K3361" s="10">
        <f t="shared" si="262"/>
        <v>274.12388888880378</v>
      </c>
      <c r="L3361" s="1" t="str">
        <f t="shared" si="263"/>
        <v>OK</v>
      </c>
      <c r="M3361" s="1">
        <f t="shared" si="260"/>
        <v>1</v>
      </c>
      <c r="N3361" s="1">
        <f t="shared" si="261"/>
        <v>54</v>
      </c>
      <c r="O3361" s="10">
        <f t="shared" si="264"/>
        <v>274.12388888880378</v>
      </c>
    </row>
    <row r="3362" spans="1:15">
      <c r="A3362" s="1" t="s">
        <v>3467</v>
      </c>
      <c r="B3362" s="23">
        <v>45264.329861111109</v>
      </c>
      <c r="C3362" s="1" t="s">
        <v>43</v>
      </c>
      <c r="D3362" s="1" t="s">
        <v>12</v>
      </c>
      <c r="E3362" s="1" t="s">
        <v>13</v>
      </c>
      <c r="F3362" s="1" t="s">
        <v>326</v>
      </c>
      <c r="G3362" s="1">
        <v>22</v>
      </c>
      <c r="H3362" s="23">
        <v>45264.438101851854</v>
      </c>
      <c r="I3362" s="1" t="b">
        <v>0</v>
      </c>
      <c r="K3362" s="10">
        <f t="shared" si="262"/>
        <v>2.5977777778753079</v>
      </c>
      <c r="L3362" s="1" t="str">
        <f t="shared" si="263"/>
        <v>OK</v>
      </c>
      <c r="M3362" s="1">
        <f t="shared" si="260"/>
        <v>1</v>
      </c>
      <c r="N3362" s="1">
        <f t="shared" si="261"/>
        <v>22</v>
      </c>
      <c r="O3362" s="10">
        <f t="shared" si="264"/>
        <v>2.5977777778753079</v>
      </c>
    </row>
    <row r="3363" spans="1:15">
      <c r="A3363" s="1" t="s">
        <v>3468</v>
      </c>
      <c r="B3363" s="23">
        <v>45264.578472222223</v>
      </c>
      <c r="C3363" s="1" t="s">
        <v>16</v>
      </c>
      <c r="D3363" s="1" t="s">
        <v>17</v>
      </c>
      <c r="E3363" s="1" t="s">
        <v>18</v>
      </c>
      <c r="F3363" s="1" t="s">
        <v>254</v>
      </c>
      <c r="G3363" s="1">
        <v>97</v>
      </c>
      <c r="H3363" s="23">
        <v>45271.34103009259</v>
      </c>
      <c r="I3363" s="1" t="b">
        <v>0</v>
      </c>
      <c r="K3363" s="10">
        <f t="shared" si="262"/>
        <v>162.30138888879446</v>
      </c>
      <c r="L3363" s="1" t="str">
        <f t="shared" si="263"/>
        <v>OK</v>
      </c>
      <c r="M3363" s="1">
        <f t="shared" si="260"/>
        <v>1</v>
      </c>
      <c r="N3363" s="1">
        <f t="shared" si="261"/>
        <v>97</v>
      </c>
      <c r="O3363" s="10">
        <f t="shared" si="264"/>
        <v>162.30138888879446</v>
      </c>
    </row>
    <row r="3364" spans="1:15">
      <c r="A3364" s="1" t="s">
        <v>3469</v>
      </c>
      <c r="B3364" s="23">
        <v>45264.635416666664</v>
      </c>
      <c r="C3364" s="1" t="s">
        <v>11</v>
      </c>
      <c r="D3364" s="1" t="s">
        <v>17</v>
      </c>
      <c r="E3364" s="1" t="s">
        <v>18</v>
      </c>
      <c r="F3364" s="1" t="s">
        <v>145</v>
      </c>
      <c r="G3364" s="1">
        <v>41</v>
      </c>
      <c r="H3364" s="23">
        <v>45265.541203703702</v>
      </c>
      <c r="I3364" s="1" t="b">
        <v>0</v>
      </c>
      <c r="J3364" s="1">
        <v>4</v>
      </c>
      <c r="K3364" s="10">
        <f t="shared" si="262"/>
        <v>21.738888888910878</v>
      </c>
      <c r="L3364" s="1" t="str">
        <f t="shared" si="263"/>
        <v>OK</v>
      </c>
      <c r="M3364" s="1">
        <f t="shared" si="260"/>
        <v>1</v>
      </c>
      <c r="N3364" s="1">
        <f t="shared" si="261"/>
        <v>41</v>
      </c>
      <c r="O3364" s="10">
        <f t="shared" si="264"/>
        <v>21.738888888910878</v>
      </c>
    </row>
    <row r="3365" spans="1:15">
      <c r="A3365" s="1" t="s">
        <v>3470</v>
      </c>
      <c r="B3365" s="23">
        <v>45264.697916666664</v>
      </c>
      <c r="C3365" s="1" t="s">
        <v>16</v>
      </c>
      <c r="D3365" s="1" t="s">
        <v>21</v>
      </c>
      <c r="E3365" s="1" t="s">
        <v>22</v>
      </c>
      <c r="F3365" s="1" t="s">
        <v>90</v>
      </c>
      <c r="G3365" s="1">
        <v>86</v>
      </c>
      <c r="H3365" s="23">
        <v>45264.798113425924</v>
      </c>
      <c r="I3365" s="1" t="b">
        <v>0</v>
      </c>
      <c r="K3365" s="10">
        <f t="shared" si="262"/>
        <v>2.4047222222434357</v>
      </c>
      <c r="L3365" s="1" t="str">
        <f t="shared" si="263"/>
        <v>OK</v>
      </c>
      <c r="M3365" s="1">
        <f t="shared" si="260"/>
        <v>1</v>
      </c>
      <c r="N3365" s="1">
        <f t="shared" si="261"/>
        <v>86</v>
      </c>
      <c r="O3365" s="10">
        <f t="shared" si="264"/>
        <v>2.4047222222434357</v>
      </c>
    </row>
    <row r="3366" spans="1:15">
      <c r="A3366" s="1" t="s">
        <v>3471</v>
      </c>
      <c r="B3366" s="23">
        <v>45264.856249999997</v>
      </c>
      <c r="C3366" s="1" t="s">
        <v>11</v>
      </c>
      <c r="D3366" s="1" t="s">
        <v>17</v>
      </c>
      <c r="E3366" s="1" t="s">
        <v>18</v>
      </c>
      <c r="F3366" s="1" t="s">
        <v>167</v>
      </c>
      <c r="G3366" s="1">
        <v>156</v>
      </c>
      <c r="H3366" s="23">
        <v>45265.893101851849</v>
      </c>
      <c r="I3366" s="1" t="b">
        <v>0</v>
      </c>
      <c r="K3366" s="10">
        <f t="shared" si="262"/>
        <v>24.884444444440305</v>
      </c>
      <c r="L3366" s="1" t="str">
        <f t="shared" si="263"/>
        <v>OK</v>
      </c>
      <c r="M3366" s="1">
        <f t="shared" si="260"/>
        <v>1</v>
      </c>
      <c r="N3366" s="1">
        <f t="shared" si="261"/>
        <v>156</v>
      </c>
      <c r="O3366" s="10">
        <f t="shared" si="264"/>
        <v>24.884444444440305</v>
      </c>
    </row>
    <row r="3367" spans="1:15">
      <c r="A3367" s="1" t="s">
        <v>3472</v>
      </c>
      <c r="B3367" s="23">
        <v>45264.899305555555</v>
      </c>
      <c r="C3367" s="1" t="s">
        <v>25</v>
      </c>
      <c r="D3367" s="1" t="s">
        <v>21</v>
      </c>
      <c r="E3367" s="1" t="s">
        <v>13</v>
      </c>
      <c r="F3367" s="1" t="s">
        <v>239</v>
      </c>
      <c r="G3367" s="1">
        <v>240</v>
      </c>
      <c r="H3367" s="23">
        <v>45264.975162037037</v>
      </c>
      <c r="I3367" s="1" t="b">
        <v>0</v>
      </c>
      <c r="K3367" s="10">
        <f t="shared" si="262"/>
        <v>1.8205555555759929</v>
      </c>
      <c r="L3367" s="1" t="str">
        <f t="shared" si="263"/>
        <v>Review</v>
      </c>
      <c r="M3367" s="1">
        <f t="shared" si="260"/>
        <v>1</v>
      </c>
      <c r="N3367" s="1" t="str">
        <f t="shared" si="261"/>
        <v/>
      </c>
      <c r="O3367" s="10" t="str">
        <f t="shared" si="264"/>
        <v/>
      </c>
    </row>
    <row r="3368" spans="1:15">
      <c r="A3368" s="1" t="s">
        <v>3473</v>
      </c>
      <c r="B3368" s="23">
        <v>45265.00277777778</v>
      </c>
      <c r="C3368" s="1" t="s">
        <v>25</v>
      </c>
      <c r="D3368" s="1" t="s">
        <v>17</v>
      </c>
      <c r="E3368" s="1" t="s">
        <v>18</v>
      </c>
      <c r="F3368" s="1" t="s">
        <v>148</v>
      </c>
      <c r="G3368" s="1">
        <v>375</v>
      </c>
      <c r="H3368" s="23">
        <v>45270.146817129629</v>
      </c>
      <c r="I3368" s="1" t="b">
        <v>0</v>
      </c>
      <c r="J3368" s="1">
        <v>3</v>
      </c>
      <c r="K3368" s="10">
        <f t="shared" si="262"/>
        <v>123.45694444439141</v>
      </c>
      <c r="L3368" s="1" t="str">
        <f t="shared" si="263"/>
        <v>OK</v>
      </c>
      <c r="M3368" s="1">
        <f t="shared" si="260"/>
        <v>1</v>
      </c>
      <c r="N3368" s="1">
        <f t="shared" si="261"/>
        <v>375</v>
      </c>
      <c r="O3368" s="10">
        <f t="shared" si="264"/>
        <v>123.45694444439141</v>
      </c>
    </row>
    <row r="3369" spans="1:15">
      <c r="A3369" s="1" t="s">
        <v>3474</v>
      </c>
      <c r="B3369" s="23">
        <v>45265.038194444445</v>
      </c>
      <c r="C3369" s="1" t="s">
        <v>16</v>
      </c>
      <c r="D3369" s="1" t="s">
        <v>17</v>
      </c>
      <c r="E3369" s="1" t="s">
        <v>18</v>
      </c>
      <c r="F3369" s="1" t="s">
        <v>27</v>
      </c>
      <c r="G3369" s="1">
        <v>113</v>
      </c>
      <c r="H3369" s="23">
        <v>45266.101712962962</v>
      </c>
      <c r="I3369" s="1" t="b">
        <v>0</v>
      </c>
      <c r="K3369" s="10">
        <f t="shared" si="262"/>
        <v>25.524444444396067</v>
      </c>
      <c r="L3369" s="1" t="str">
        <f t="shared" si="263"/>
        <v>OK</v>
      </c>
      <c r="M3369" s="1">
        <f t="shared" si="260"/>
        <v>1</v>
      </c>
      <c r="N3369" s="1">
        <f t="shared" si="261"/>
        <v>113</v>
      </c>
      <c r="O3369" s="10">
        <f t="shared" si="264"/>
        <v>25.524444444396067</v>
      </c>
    </row>
    <row r="3370" spans="1:15">
      <c r="A3370" s="1" t="s">
        <v>3475</v>
      </c>
      <c r="B3370" s="23">
        <v>45265.084722222222</v>
      </c>
      <c r="C3370" s="1" t="s">
        <v>25</v>
      </c>
      <c r="D3370" s="1" t="s">
        <v>17</v>
      </c>
      <c r="E3370" s="1" t="s">
        <v>22</v>
      </c>
      <c r="F3370" s="1" t="s">
        <v>317</v>
      </c>
      <c r="G3370" s="1">
        <v>22</v>
      </c>
      <c r="H3370" s="23">
        <v>45265.50708333333</v>
      </c>
      <c r="I3370" s="1" t="b">
        <v>1</v>
      </c>
      <c r="J3370" s="1">
        <v>3</v>
      </c>
      <c r="K3370" s="10">
        <f t="shared" si="262"/>
        <v>10.136666666599922</v>
      </c>
      <c r="L3370" s="1" t="str">
        <f t="shared" si="263"/>
        <v>OK</v>
      </c>
      <c r="M3370" s="1">
        <f t="shared" si="260"/>
        <v>1</v>
      </c>
      <c r="N3370" s="1">
        <f t="shared" si="261"/>
        <v>22</v>
      </c>
      <c r="O3370" s="10">
        <f t="shared" si="264"/>
        <v>10.136666666599922</v>
      </c>
    </row>
    <row r="3371" spans="1:15">
      <c r="A3371" s="1" t="s">
        <v>3476</v>
      </c>
      <c r="B3371" s="23">
        <v>45265.087500000001</v>
      </c>
      <c r="C3371" s="1" t="s">
        <v>43</v>
      </c>
      <c r="D3371" s="1" t="s">
        <v>12</v>
      </c>
      <c r="E3371" s="1" t="s">
        <v>18</v>
      </c>
      <c r="F3371" s="1" t="s">
        <v>44</v>
      </c>
      <c r="G3371" s="1">
        <v>193</v>
      </c>
      <c r="H3371" s="23">
        <v>45269.850671296299</v>
      </c>
      <c r="I3371" s="1" t="b">
        <v>1</v>
      </c>
      <c r="K3371" s="10">
        <f t="shared" si="262"/>
        <v>114.31611111114034</v>
      </c>
      <c r="L3371" s="1" t="str">
        <f t="shared" si="263"/>
        <v>OK</v>
      </c>
      <c r="M3371" s="1">
        <f t="shared" si="260"/>
        <v>1</v>
      </c>
      <c r="N3371" s="1">
        <f t="shared" si="261"/>
        <v>193</v>
      </c>
      <c r="O3371" s="10">
        <f t="shared" si="264"/>
        <v>114.31611111114034</v>
      </c>
    </row>
    <row r="3372" spans="1:15">
      <c r="A3372" s="1" t="s">
        <v>3477</v>
      </c>
      <c r="B3372" s="23">
        <v>45265.304861111108</v>
      </c>
      <c r="C3372" s="1" t="s">
        <v>25</v>
      </c>
      <c r="D3372" s="1" t="s">
        <v>59</v>
      </c>
      <c r="E3372" s="1" t="s">
        <v>13</v>
      </c>
      <c r="F3372" s="1" t="s">
        <v>116</v>
      </c>
      <c r="G3372" s="1">
        <v>29</v>
      </c>
      <c r="H3372" s="23">
        <v>45265.404664351852</v>
      </c>
      <c r="I3372" s="1" t="b">
        <v>0</v>
      </c>
      <c r="K3372" s="10">
        <f t="shared" si="262"/>
        <v>2.3952777778613381</v>
      </c>
      <c r="L3372" s="1" t="str">
        <f t="shared" si="263"/>
        <v>OK</v>
      </c>
      <c r="M3372" s="1">
        <f t="shared" si="260"/>
        <v>1</v>
      </c>
      <c r="N3372" s="1">
        <f t="shared" si="261"/>
        <v>29</v>
      </c>
      <c r="O3372" s="10">
        <f t="shared" si="264"/>
        <v>2.3952777778613381</v>
      </c>
    </row>
    <row r="3373" spans="1:15">
      <c r="A3373" s="1" t="s">
        <v>3478</v>
      </c>
      <c r="B3373" s="23">
        <v>45265.551388888889</v>
      </c>
      <c r="C3373" s="1" t="s">
        <v>25</v>
      </c>
      <c r="D3373" s="1" t="s">
        <v>21</v>
      </c>
      <c r="E3373" s="1" t="s">
        <v>33</v>
      </c>
      <c r="F3373" s="1" t="s">
        <v>175</v>
      </c>
      <c r="G3373" s="1">
        <v>574</v>
      </c>
      <c r="H3373" s="23">
        <v>45283.356921296298</v>
      </c>
      <c r="I3373" s="1" t="b">
        <v>0</v>
      </c>
      <c r="K3373" s="10">
        <f t="shared" si="262"/>
        <v>427.33277777780313</v>
      </c>
      <c r="L3373" s="1" t="str">
        <f t="shared" si="263"/>
        <v>OK</v>
      </c>
      <c r="M3373" s="1">
        <f t="shared" si="260"/>
        <v>1</v>
      </c>
      <c r="N3373" s="1">
        <f t="shared" si="261"/>
        <v>574</v>
      </c>
      <c r="O3373" s="10">
        <f t="shared" si="264"/>
        <v>427.33277777780313</v>
      </c>
    </row>
    <row r="3374" spans="1:15">
      <c r="A3374" s="1" t="s">
        <v>3479</v>
      </c>
      <c r="B3374" s="23">
        <v>45265.73333333333</v>
      </c>
      <c r="C3374" s="1" t="s">
        <v>25</v>
      </c>
      <c r="D3374" s="1" t="s">
        <v>21</v>
      </c>
      <c r="E3374" s="1" t="s">
        <v>13</v>
      </c>
      <c r="F3374" s="1" t="s">
        <v>345</v>
      </c>
      <c r="G3374" s="1">
        <v>25</v>
      </c>
      <c r="H3374" s="23">
        <v>45266.094826388886</v>
      </c>
      <c r="I3374" s="1" t="b">
        <v>0</v>
      </c>
      <c r="J3374" s="1">
        <v>4</v>
      </c>
      <c r="K3374" s="10">
        <f t="shared" si="262"/>
        <v>8.6758333333418705</v>
      </c>
      <c r="L3374" s="1" t="str">
        <f t="shared" si="263"/>
        <v>OK</v>
      </c>
      <c r="M3374" s="1">
        <f t="shared" si="260"/>
        <v>1</v>
      </c>
      <c r="N3374" s="1">
        <f t="shared" si="261"/>
        <v>25</v>
      </c>
      <c r="O3374" s="10">
        <f t="shared" si="264"/>
        <v>8.6758333333418705</v>
      </c>
    </row>
    <row r="3375" spans="1:15">
      <c r="A3375" s="1" t="s">
        <v>3480</v>
      </c>
      <c r="B3375" s="23">
        <v>45265.792361111111</v>
      </c>
      <c r="C3375" s="1" t="s">
        <v>16</v>
      </c>
      <c r="D3375" s="1" t="s">
        <v>17</v>
      </c>
      <c r="E3375" s="1" t="s">
        <v>18</v>
      </c>
      <c r="F3375" s="1" t="s">
        <v>345</v>
      </c>
      <c r="H3375" s="23">
        <v>45267.194479166668</v>
      </c>
      <c r="I3375" s="1" t="b">
        <v>0</v>
      </c>
      <c r="K3375" s="10">
        <f t="shared" si="262"/>
        <v>33.650833333376795</v>
      </c>
      <c r="L3375" s="1" t="str">
        <f t="shared" si="263"/>
        <v>Cannot check</v>
      </c>
      <c r="M3375" s="1">
        <f t="shared" si="260"/>
        <v>1</v>
      </c>
      <c r="N3375" s="1" t="str">
        <f t="shared" si="261"/>
        <v/>
      </c>
      <c r="O3375" s="10">
        <f t="shared" si="264"/>
        <v>33.650833333376795</v>
      </c>
    </row>
    <row r="3376" spans="1:15">
      <c r="A3376" s="1" t="s">
        <v>3481</v>
      </c>
      <c r="B3376" s="23">
        <v>45265.803472222222</v>
      </c>
      <c r="C3376" s="1" t="s">
        <v>11</v>
      </c>
      <c r="D3376" s="1" t="s">
        <v>59</v>
      </c>
      <c r="E3376" s="1" t="s">
        <v>22</v>
      </c>
      <c r="F3376" s="1" t="s">
        <v>102</v>
      </c>
      <c r="G3376" s="1">
        <v>10</v>
      </c>
      <c r="H3376" s="23">
        <v>45265.930208333331</v>
      </c>
      <c r="I3376" s="1" t="b">
        <v>0</v>
      </c>
      <c r="K3376" s="10">
        <f t="shared" si="262"/>
        <v>3.0416666666278616</v>
      </c>
      <c r="L3376" s="1" t="str">
        <f t="shared" si="263"/>
        <v>OK</v>
      </c>
      <c r="M3376" s="1">
        <f t="shared" si="260"/>
        <v>1</v>
      </c>
      <c r="N3376" s="1">
        <f t="shared" si="261"/>
        <v>10</v>
      </c>
      <c r="O3376" s="10">
        <f t="shared" si="264"/>
        <v>3.0416666666278616</v>
      </c>
    </row>
    <row r="3377" spans="1:15">
      <c r="A3377" s="1" t="s">
        <v>3482</v>
      </c>
      <c r="B3377" s="23">
        <v>45265.907638888886</v>
      </c>
      <c r="C3377" s="1" t="s">
        <v>11</v>
      </c>
      <c r="D3377" s="1" t="s">
        <v>17</v>
      </c>
      <c r="E3377" s="1" t="s">
        <v>18</v>
      </c>
      <c r="F3377" s="1" t="s">
        <v>50</v>
      </c>
      <c r="G3377" s="1">
        <v>81</v>
      </c>
      <c r="I3377" s="1" t="b">
        <v>0</v>
      </c>
      <c r="K3377" s="10" t="str">
        <f t="shared" si="262"/>
        <v/>
      </c>
      <c r="L3377" s="1" t="str">
        <f t="shared" si="263"/>
        <v>Cannot check</v>
      </c>
      <c r="M3377" s="1">
        <f t="shared" si="260"/>
        <v>1</v>
      </c>
      <c r="N3377" s="1">
        <f t="shared" si="261"/>
        <v>81</v>
      </c>
      <c r="O3377" s="10" t="str">
        <f t="shared" si="264"/>
        <v/>
      </c>
    </row>
    <row r="3378" spans="1:15">
      <c r="A3378" s="1" t="s">
        <v>3483</v>
      </c>
      <c r="B3378" s="23">
        <v>45266.143055555556</v>
      </c>
      <c r="C3378" s="1" t="s">
        <v>25</v>
      </c>
      <c r="D3378" s="1" t="s">
        <v>21</v>
      </c>
      <c r="E3378" s="1" t="s">
        <v>22</v>
      </c>
      <c r="F3378" s="1" t="s">
        <v>104</v>
      </c>
      <c r="G3378" s="1">
        <v>43</v>
      </c>
      <c r="H3378" s="23">
        <v>45266.223576388889</v>
      </c>
      <c r="I3378" s="1" t="b">
        <v>0</v>
      </c>
      <c r="K3378" s="10">
        <f t="shared" si="262"/>
        <v>1.9324999999953434</v>
      </c>
      <c r="L3378" s="1" t="str">
        <f t="shared" si="263"/>
        <v>OK</v>
      </c>
      <c r="M3378" s="1">
        <f t="shared" si="260"/>
        <v>1</v>
      </c>
      <c r="N3378" s="1">
        <f t="shared" si="261"/>
        <v>43</v>
      </c>
      <c r="O3378" s="10">
        <f t="shared" si="264"/>
        <v>1.9324999999953434</v>
      </c>
    </row>
    <row r="3379" spans="1:15">
      <c r="A3379" s="1" t="s">
        <v>3484</v>
      </c>
      <c r="B3379" s="23">
        <v>45266.254861111112</v>
      </c>
      <c r="C3379" s="1" t="s">
        <v>25</v>
      </c>
      <c r="D3379" s="1" t="s">
        <v>26</v>
      </c>
      <c r="E3379" s="1" t="s">
        <v>33</v>
      </c>
      <c r="F3379" s="1" t="s">
        <v>132</v>
      </c>
      <c r="G3379" s="1">
        <v>109</v>
      </c>
      <c r="H3379" s="23">
        <v>45267.33053240741</v>
      </c>
      <c r="I3379" s="1" t="b">
        <v>0</v>
      </c>
      <c r="K3379" s="10">
        <f t="shared" si="262"/>
        <v>25.816111111140344</v>
      </c>
      <c r="L3379" s="1" t="str">
        <f t="shared" si="263"/>
        <v>OK</v>
      </c>
      <c r="M3379" s="1">
        <f t="shared" si="260"/>
        <v>1</v>
      </c>
      <c r="N3379" s="1">
        <f t="shared" si="261"/>
        <v>109</v>
      </c>
      <c r="O3379" s="10">
        <f t="shared" si="264"/>
        <v>25.816111111140344</v>
      </c>
    </row>
    <row r="3380" spans="1:15">
      <c r="A3380" s="1" t="s">
        <v>3485</v>
      </c>
      <c r="B3380" s="23">
        <v>45266.350694444445</v>
      </c>
      <c r="C3380" s="1" t="s">
        <v>25</v>
      </c>
      <c r="D3380" s="1" t="s">
        <v>21</v>
      </c>
      <c r="E3380" s="1" t="s">
        <v>18</v>
      </c>
      <c r="F3380" s="1" t="s">
        <v>37</v>
      </c>
      <c r="G3380" s="1">
        <v>360</v>
      </c>
      <c r="H3380" s="23">
        <v>45275.575740740744</v>
      </c>
      <c r="I3380" s="1" t="b">
        <v>0</v>
      </c>
      <c r="K3380" s="10">
        <f t="shared" si="262"/>
        <v>221.4011111111613</v>
      </c>
      <c r="L3380" s="1" t="str">
        <f t="shared" si="263"/>
        <v>OK</v>
      </c>
      <c r="M3380" s="1">
        <f t="shared" si="260"/>
        <v>1</v>
      </c>
      <c r="N3380" s="1">
        <f t="shared" si="261"/>
        <v>360</v>
      </c>
      <c r="O3380" s="10">
        <f t="shared" si="264"/>
        <v>221.4011111111613</v>
      </c>
    </row>
    <row r="3381" spans="1:15">
      <c r="A3381" s="1" t="s">
        <v>3486</v>
      </c>
      <c r="B3381" s="23">
        <v>45266.375</v>
      </c>
      <c r="C3381" s="1" t="s">
        <v>11</v>
      </c>
      <c r="D3381" s="1" t="s">
        <v>21</v>
      </c>
      <c r="E3381" s="1" t="s">
        <v>18</v>
      </c>
      <c r="F3381" s="1" t="s">
        <v>94</v>
      </c>
      <c r="G3381" s="1">
        <v>1099</v>
      </c>
      <c r="H3381" s="23">
        <v>45266.660810185182</v>
      </c>
      <c r="I3381" s="1" t="b">
        <v>0</v>
      </c>
      <c r="K3381" s="10">
        <f t="shared" si="262"/>
        <v>6.8594444443588145</v>
      </c>
      <c r="L3381" s="1" t="str">
        <f t="shared" si="263"/>
        <v>Review</v>
      </c>
      <c r="M3381" s="1">
        <f t="shared" si="260"/>
        <v>1</v>
      </c>
      <c r="N3381" s="1" t="str">
        <f t="shared" si="261"/>
        <v/>
      </c>
      <c r="O3381" s="10" t="str">
        <f t="shared" si="264"/>
        <v/>
      </c>
    </row>
    <row r="3382" spans="1:15">
      <c r="A3382" s="1" t="s">
        <v>3487</v>
      </c>
      <c r="B3382" s="23">
        <v>45266.44027777778</v>
      </c>
      <c r="C3382" s="1" t="s">
        <v>11</v>
      </c>
      <c r="D3382" s="1" t="s">
        <v>17</v>
      </c>
      <c r="E3382" s="1" t="s">
        <v>33</v>
      </c>
      <c r="F3382" s="1" t="s">
        <v>48</v>
      </c>
      <c r="G3382" s="1">
        <v>203</v>
      </c>
      <c r="H3382" s="23">
        <v>45268.641956018517</v>
      </c>
      <c r="I3382" s="1" t="b">
        <v>0</v>
      </c>
      <c r="J3382" s="1">
        <v>3</v>
      </c>
      <c r="K3382" s="10">
        <f t="shared" si="262"/>
        <v>52.8402777776937</v>
      </c>
      <c r="L3382" s="1" t="str">
        <f t="shared" si="263"/>
        <v>OK</v>
      </c>
      <c r="M3382" s="1">
        <f t="shared" si="260"/>
        <v>1</v>
      </c>
      <c r="N3382" s="1">
        <f t="shared" si="261"/>
        <v>203</v>
      </c>
      <c r="O3382" s="10">
        <f t="shared" si="264"/>
        <v>52.8402777776937</v>
      </c>
    </row>
    <row r="3383" spans="1:15">
      <c r="A3383" s="1" t="s">
        <v>3488</v>
      </c>
      <c r="B3383" s="23">
        <v>45266.486805555556</v>
      </c>
      <c r="C3383" s="1" t="s">
        <v>25</v>
      </c>
      <c r="D3383" s="1" t="s">
        <v>12</v>
      </c>
      <c r="E3383" s="1" t="s">
        <v>33</v>
      </c>
      <c r="F3383" s="1" t="s">
        <v>94</v>
      </c>
      <c r="G3383" s="1">
        <v>48</v>
      </c>
      <c r="H3383" s="23">
        <v>45282.68167824074</v>
      </c>
      <c r="I3383" s="1" t="b">
        <v>0</v>
      </c>
      <c r="J3383" s="1">
        <v>4</v>
      </c>
      <c r="K3383" s="10">
        <f t="shared" si="262"/>
        <v>388.67694444442168</v>
      </c>
      <c r="L3383" s="1" t="str">
        <f t="shared" si="263"/>
        <v>OK</v>
      </c>
      <c r="M3383" s="1">
        <f t="shared" si="260"/>
        <v>1</v>
      </c>
      <c r="N3383" s="1">
        <f t="shared" si="261"/>
        <v>48</v>
      </c>
      <c r="O3383" s="10">
        <f t="shared" si="264"/>
        <v>388.67694444442168</v>
      </c>
    </row>
    <row r="3384" spans="1:15">
      <c r="A3384" s="1" t="s">
        <v>3489</v>
      </c>
      <c r="B3384" s="23">
        <v>45266.50277777778</v>
      </c>
      <c r="C3384" s="1" t="s">
        <v>43</v>
      </c>
      <c r="D3384" s="1" t="s">
        <v>17</v>
      </c>
      <c r="E3384" s="1" t="s">
        <v>13</v>
      </c>
      <c r="F3384" s="1" t="s">
        <v>486</v>
      </c>
      <c r="G3384" s="1">
        <v>19</v>
      </c>
      <c r="H3384" s="23">
        <v>45266.861388888887</v>
      </c>
      <c r="I3384" s="1" t="b">
        <v>0</v>
      </c>
      <c r="K3384" s="10">
        <f t="shared" si="262"/>
        <v>8.6066666665719822</v>
      </c>
      <c r="L3384" s="1" t="str">
        <f t="shared" si="263"/>
        <v>OK</v>
      </c>
      <c r="M3384" s="1">
        <f t="shared" si="260"/>
        <v>1</v>
      </c>
      <c r="N3384" s="1">
        <f t="shared" si="261"/>
        <v>19</v>
      </c>
      <c r="O3384" s="10">
        <f t="shared" si="264"/>
        <v>8.6066666665719822</v>
      </c>
    </row>
    <row r="3385" spans="1:15">
      <c r="A3385" s="1" t="s">
        <v>3490</v>
      </c>
      <c r="B3385" s="23">
        <v>45266.686111111114</v>
      </c>
      <c r="C3385" s="1" t="s">
        <v>25</v>
      </c>
      <c r="D3385" s="1" t="s">
        <v>21</v>
      </c>
      <c r="E3385" s="1" t="s">
        <v>18</v>
      </c>
      <c r="F3385" s="1" t="s">
        <v>317</v>
      </c>
      <c r="G3385" s="1">
        <v>196</v>
      </c>
      <c r="H3385" s="23">
        <v>45267.120023148149</v>
      </c>
      <c r="I3385" s="1" t="b">
        <v>0</v>
      </c>
      <c r="K3385" s="10">
        <f t="shared" si="262"/>
        <v>10.413888888841029</v>
      </c>
      <c r="L3385" s="1" t="str">
        <f t="shared" si="263"/>
        <v>OK</v>
      </c>
      <c r="M3385" s="1">
        <f t="shared" si="260"/>
        <v>1</v>
      </c>
      <c r="N3385" s="1">
        <f t="shared" si="261"/>
        <v>196</v>
      </c>
      <c r="O3385" s="10">
        <f t="shared" si="264"/>
        <v>10.413888888841029</v>
      </c>
    </row>
    <row r="3386" spans="1:15">
      <c r="A3386" s="1" t="s">
        <v>3491</v>
      </c>
      <c r="B3386" s="23">
        <v>45266.716666666667</v>
      </c>
      <c r="C3386" s="1" t="s">
        <v>25</v>
      </c>
      <c r="D3386" s="1" t="s">
        <v>12</v>
      </c>
      <c r="E3386" s="1" t="s">
        <v>18</v>
      </c>
      <c r="F3386" s="1" t="s">
        <v>104</v>
      </c>
      <c r="G3386" s="1">
        <v>25</v>
      </c>
      <c r="H3386" s="23">
        <v>45267.143958333334</v>
      </c>
      <c r="I3386" s="1" t="b">
        <v>0</v>
      </c>
      <c r="J3386" s="1">
        <v>1</v>
      </c>
      <c r="K3386" s="10">
        <f t="shared" si="262"/>
        <v>10.255000000004657</v>
      </c>
      <c r="L3386" s="1" t="str">
        <f t="shared" si="263"/>
        <v>OK</v>
      </c>
      <c r="M3386" s="1">
        <f t="shared" si="260"/>
        <v>1</v>
      </c>
      <c r="N3386" s="1">
        <f t="shared" si="261"/>
        <v>25</v>
      </c>
      <c r="O3386" s="10">
        <f t="shared" si="264"/>
        <v>10.255000000004657</v>
      </c>
    </row>
    <row r="3387" spans="1:15">
      <c r="A3387" s="1" t="s">
        <v>3492</v>
      </c>
      <c r="B3387" s="23">
        <v>45266.862500000003</v>
      </c>
      <c r="C3387" s="1" t="s">
        <v>16</v>
      </c>
      <c r="D3387" s="1" t="s">
        <v>59</v>
      </c>
      <c r="E3387" s="1" t="s">
        <v>18</v>
      </c>
      <c r="F3387" s="1" t="s">
        <v>198</v>
      </c>
      <c r="G3387" s="1">
        <v>58</v>
      </c>
      <c r="H3387" s="23">
        <v>45267.76766203704</v>
      </c>
      <c r="I3387" s="1" t="b">
        <v>0</v>
      </c>
      <c r="J3387" s="1">
        <v>5</v>
      </c>
      <c r="K3387" s="10">
        <f t="shared" si="262"/>
        <v>21.723888888896909</v>
      </c>
      <c r="L3387" s="1" t="str">
        <f t="shared" si="263"/>
        <v>OK</v>
      </c>
      <c r="M3387" s="1">
        <f t="shared" si="260"/>
        <v>1</v>
      </c>
      <c r="N3387" s="1">
        <f t="shared" si="261"/>
        <v>58</v>
      </c>
      <c r="O3387" s="10">
        <f t="shared" si="264"/>
        <v>21.723888888896909</v>
      </c>
    </row>
    <row r="3388" spans="1:15">
      <c r="A3388" s="1" t="s">
        <v>3493</v>
      </c>
      <c r="B3388" s="23">
        <v>45267.444444444445</v>
      </c>
      <c r="C3388" s="1" t="s">
        <v>11</v>
      </c>
      <c r="D3388" s="1" t="s">
        <v>26</v>
      </c>
      <c r="E3388" s="1" t="s">
        <v>33</v>
      </c>
      <c r="F3388" s="1" t="s">
        <v>68</v>
      </c>
      <c r="G3388" s="1">
        <v>237</v>
      </c>
      <c r="H3388" s="23">
        <v>45269.161273148151</v>
      </c>
      <c r="I3388" s="1" t="b">
        <v>0</v>
      </c>
      <c r="K3388" s="10">
        <f t="shared" si="262"/>
        <v>41.20388888893649</v>
      </c>
      <c r="L3388" s="1" t="str">
        <f t="shared" si="263"/>
        <v>OK</v>
      </c>
      <c r="M3388" s="1">
        <f t="shared" si="260"/>
        <v>1</v>
      </c>
      <c r="N3388" s="1">
        <f t="shared" si="261"/>
        <v>237</v>
      </c>
      <c r="O3388" s="10">
        <f t="shared" si="264"/>
        <v>41.20388888893649</v>
      </c>
    </row>
    <row r="3389" spans="1:15">
      <c r="A3389" s="1" t="s">
        <v>3494</v>
      </c>
      <c r="B3389" s="23">
        <v>45267.588194444441</v>
      </c>
      <c r="C3389" s="1" t="s">
        <v>25</v>
      </c>
      <c r="D3389" s="1" t="s">
        <v>59</v>
      </c>
      <c r="E3389" s="1" t="s">
        <v>13</v>
      </c>
      <c r="F3389" s="1" t="s">
        <v>14</v>
      </c>
      <c r="G3389" s="1">
        <v>64</v>
      </c>
      <c r="H3389" s="23">
        <v>45267.691574074073</v>
      </c>
      <c r="I3389" s="1" t="b">
        <v>0</v>
      </c>
      <c r="K3389" s="10">
        <f t="shared" si="262"/>
        <v>2.4811111111775972</v>
      </c>
      <c r="L3389" s="1" t="str">
        <f t="shared" si="263"/>
        <v>OK</v>
      </c>
      <c r="M3389" s="1">
        <f t="shared" si="260"/>
        <v>1</v>
      </c>
      <c r="N3389" s="1">
        <f t="shared" si="261"/>
        <v>64</v>
      </c>
      <c r="O3389" s="10">
        <f t="shared" si="264"/>
        <v>2.4811111111775972</v>
      </c>
    </row>
    <row r="3390" spans="1:15">
      <c r="A3390" s="1" t="s">
        <v>3495</v>
      </c>
      <c r="B3390" s="23">
        <v>45267.627083333333</v>
      </c>
      <c r="C3390" s="1" t="s">
        <v>16</v>
      </c>
      <c r="D3390" s="1" t="s">
        <v>17</v>
      </c>
      <c r="E3390" s="1" t="s">
        <v>18</v>
      </c>
      <c r="F3390" s="1" t="s">
        <v>37</v>
      </c>
      <c r="G3390" s="1">
        <v>56</v>
      </c>
      <c r="H3390" s="23">
        <v>45268.25340277778</v>
      </c>
      <c r="I3390" s="1" t="b">
        <v>0</v>
      </c>
      <c r="K3390" s="10">
        <f t="shared" si="262"/>
        <v>15.031666666734964</v>
      </c>
      <c r="L3390" s="1" t="str">
        <f t="shared" si="263"/>
        <v>OK</v>
      </c>
      <c r="M3390" s="1">
        <f t="shared" si="260"/>
        <v>1</v>
      </c>
      <c r="N3390" s="1">
        <f t="shared" si="261"/>
        <v>56</v>
      </c>
      <c r="O3390" s="10">
        <f t="shared" si="264"/>
        <v>15.031666666734964</v>
      </c>
    </row>
    <row r="3391" spans="1:15">
      <c r="A3391" s="1" t="s">
        <v>3496</v>
      </c>
      <c r="B3391" s="23">
        <v>45267.847916666666</v>
      </c>
      <c r="C3391" s="1" t="s">
        <v>25</v>
      </c>
      <c r="D3391" s="1" t="s">
        <v>21</v>
      </c>
      <c r="E3391" s="1" t="s">
        <v>18</v>
      </c>
      <c r="F3391" s="1" t="s">
        <v>128</v>
      </c>
      <c r="G3391" s="1">
        <v>160</v>
      </c>
      <c r="H3391" s="23">
        <v>45268.475011574075</v>
      </c>
      <c r="I3391" s="1" t="b">
        <v>0</v>
      </c>
      <c r="J3391" s="1">
        <v>4</v>
      </c>
      <c r="K3391" s="10">
        <f t="shared" si="262"/>
        <v>15.05027777783107</v>
      </c>
      <c r="L3391" s="1" t="str">
        <f t="shared" si="263"/>
        <v>OK</v>
      </c>
      <c r="M3391" s="1">
        <f t="shared" si="260"/>
        <v>1</v>
      </c>
      <c r="N3391" s="1">
        <f t="shared" si="261"/>
        <v>160</v>
      </c>
      <c r="O3391" s="10">
        <f t="shared" si="264"/>
        <v>15.05027777783107</v>
      </c>
    </row>
    <row r="3392" spans="1:15">
      <c r="A3392" s="1" t="s">
        <v>3497</v>
      </c>
      <c r="B3392" s="23">
        <v>45267.894444444442</v>
      </c>
      <c r="C3392" s="1" t="s">
        <v>11</v>
      </c>
      <c r="D3392" s="1" t="s">
        <v>59</v>
      </c>
      <c r="E3392" s="1" t="s">
        <v>18</v>
      </c>
      <c r="F3392" s="1" t="s">
        <v>145</v>
      </c>
      <c r="G3392" s="1">
        <v>20</v>
      </c>
      <c r="H3392" s="23">
        <v>45269.112245370372</v>
      </c>
      <c r="I3392" s="1" t="b">
        <v>0</v>
      </c>
      <c r="K3392" s="10">
        <f t="shared" si="262"/>
        <v>29.227222222310957</v>
      </c>
      <c r="L3392" s="1" t="str">
        <f t="shared" si="263"/>
        <v>OK</v>
      </c>
      <c r="M3392" s="1">
        <f t="shared" si="260"/>
        <v>1</v>
      </c>
      <c r="N3392" s="1">
        <f t="shared" si="261"/>
        <v>20</v>
      </c>
      <c r="O3392" s="10">
        <f t="shared" si="264"/>
        <v>29.227222222310957</v>
      </c>
    </row>
    <row r="3393" spans="1:15">
      <c r="A3393" s="1" t="s">
        <v>3498</v>
      </c>
      <c r="B3393" s="23">
        <v>45268.01666666667</v>
      </c>
      <c r="C3393" s="1" t="s">
        <v>16</v>
      </c>
      <c r="D3393" s="1" t="s">
        <v>17</v>
      </c>
      <c r="E3393" s="1" t="s">
        <v>33</v>
      </c>
      <c r="F3393" s="1" t="s">
        <v>98</v>
      </c>
      <c r="G3393" s="1">
        <v>51</v>
      </c>
      <c r="H3393" s="23">
        <v>45282.92328703704</v>
      </c>
      <c r="I3393" s="1" t="b">
        <v>0</v>
      </c>
      <c r="K3393" s="10">
        <f t="shared" si="262"/>
        <v>357.7588888888713</v>
      </c>
      <c r="L3393" s="1" t="str">
        <f t="shared" si="263"/>
        <v>OK</v>
      </c>
      <c r="M3393" s="1">
        <f t="shared" si="260"/>
        <v>1</v>
      </c>
      <c r="N3393" s="1">
        <f t="shared" si="261"/>
        <v>51</v>
      </c>
      <c r="O3393" s="10">
        <f t="shared" si="264"/>
        <v>357.7588888888713</v>
      </c>
    </row>
    <row r="3394" spans="1:15">
      <c r="A3394" s="1" t="s">
        <v>3499</v>
      </c>
      <c r="B3394" s="23">
        <v>45268.147222222222</v>
      </c>
      <c r="C3394" s="1" t="s">
        <v>11</v>
      </c>
      <c r="D3394" s="1" t="s">
        <v>17</v>
      </c>
      <c r="E3394" s="1" t="s">
        <v>33</v>
      </c>
      <c r="F3394" s="1" t="s">
        <v>259</v>
      </c>
      <c r="G3394" s="1">
        <v>207</v>
      </c>
      <c r="H3394" s="23">
        <v>45281.589571759258</v>
      </c>
      <c r="I3394" s="1" t="b">
        <v>0</v>
      </c>
      <c r="K3394" s="10">
        <f t="shared" si="262"/>
        <v>322.616388888855</v>
      </c>
      <c r="L3394" s="1" t="str">
        <f t="shared" si="263"/>
        <v>OK</v>
      </c>
      <c r="M3394" s="1">
        <f t="shared" ref="M3394:M3457" si="265">COUNTIF($A$2:$A$4001,A3394)</f>
        <v>1</v>
      </c>
      <c r="N3394" s="1">
        <f t="shared" ref="N3394:N3457" si="266">IF(OR(L3394="Review",G3394=""),"",G3394)</f>
        <v>207</v>
      </c>
      <c r="O3394" s="10">
        <f t="shared" si="264"/>
        <v>322.616388888855</v>
      </c>
    </row>
    <row r="3395" spans="1:15">
      <c r="A3395" s="1" t="s">
        <v>3500</v>
      </c>
      <c r="B3395" s="23">
        <v>45268.151388888888</v>
      </c>
      <c r="C3395" s="1" t="s">
        <v>11</v>
      </c>
      <c r="D3395" s="1" t="s">
        <v>12</v>
      </c>
      <c r="E3395" s="1" t="s">
        <v>33</v>
      </c>
      <c r="F3395" s="1" t="s">
        <v>86</v>
      </c>
      <c r="G3395" s="1">
        <v>177</v>
      </c>
      <c r="H3395" s="23">
        <v>45269.033136574071</v>
      </c>
      <c r="I3395" s="1" t="b">
        <v>0</v>
      </c>
      <c r="J3395" s="1">
        <v>5</v>
      </c>
      <c r="K3395" s="10">
        <f t="shared" ref="K3395:K3458" si="267">IF(H3395="","",(H3395-B3395)*24)</f>
        <v>21.161944444407709</v>
      </c>
      <c r="L3395" s="1" t="str">
        <f t="shared" ref="L3395:L3458" si="268">IF(OR(G3395="",K3395=""),"Cannot check",IF(G3395&gt;K3395*60,"Review","OK"))</f>
        <v>OK</v>
      </c>
      <c r="M3395" s="1">
        <f t="shared" si="265"/>
        <v>1</v>
      </c>
      <c r="N3395" s="1">
        <f t="shared" si="266"/>
        <v>177</v>
      </c>
      <c r="O3395" s="10">
        <f t="shared" ref="O3395:O3458" si="269">IF(OR(L3395="Review",K3395=""),"",K3395)</f>
        <v>21.161944444407709</v>
      </c>
    </row>
    <row r="3396" spans="1:15">
      <c r="A3396" s="1" t="s">
        <v>3501</v>
      </c>
      <c r="B3396" s="23">
        <v>45268.285416666666</v>
      </c>
      <c r="C3396" s="1" t="s">
        <v>16</v>
      </c>
      <c r="D3396" s="1" t="s">
        <v>17</v>
      </c>
      <c r="E3396" s="1" t="s">
        <v>18</v>
      </c>
      <c r="F3396" s="1" t="s">
        <v>234</v>
      </c>
      <c r="G3396" s="1">
        <v>37</v>
      </c>
      <c r="H3396" s="23">
        <v>45272.631736111114</v>
      </c>
      <c r="I3396" s="1" t="b">
        <v>1</v>
      </c>
      <c r="J3396" s="1">
        <v>2</v>
      </c>
      <c r="K3396" s="10">
        <f t="shared" si="267"/>
        <v>104.3116666667629</v>
      </c>
      <c r="L3396" s="1" t="str">
        <f t="shared" si="268"/>
        <v>OK</v>
      </c>
      <c r="M3396" s="1">
        <f t="shared" si="265"/>
        <v>1</v>
      </c>
      <c r="N3396" s="1">
        <f t="shared" si="266"/>
        <v>37</v>
      </c>
      <c r="O3396" s="10">
        <f t="shared" si="269"/>
        <v>104.3116666667629</v>
      </c>
    </row>
    <row r="3397" spans="1:15">
      <c r="A3397" s="1" t="s">
        <v>3502</v>
      </c>
      <c r="B3397" s="23">
        <v>45268.556250000001</v>
      </c>
      <c r="C3397" s="1" t="s">
        <v>11</v>
      </c>
      <c r="D3397" s="1" t="s">
        <v>12</v>
      </c>
      <c r="E3397" s="1" t="s">
        <v>22</v>
      </c>
      <c r="F3397" s="1" t="s">
        <v>106</v>
      </c>
      <c r="G3397" s="1">
        <v>4</v>
      </c>
      <c r="H3397" s="23">
        <v>45268.76290509259</v>
      </c>
      <c r="I3397" s="1" t="b">
        <v>0</v>
      </c>
      <c r="K3397" s="10">
        <f t="shared" si="267"/>
        <v>4.9597222221200354</v>
      </c>
      <c r="L3397" s="1" t="str">
        <f t="shared" si="268"/>
        <v>OK</v>
      </c>
      <c r="M3397" s="1">
        <f t="shared" si="265"/>
        <v>1</v>
      </c>
      <c r="N3397" s="1">
        <f t="shared" si="266"/>
        <v>4</v>
      </c>
      <c r="O3397" s="10">
        <f t="shared" si="269"/>
        <v>4.9597222221200354</v>
      </c>
    </row>
    <row r="3398" spans="1:15">
      <c r="A3398" s="1" t="s">
        <v>3503</v>
      </c>
      <c r="B3398" s="23">
        <v>45268.604166666664</v>
      </c>
      <c r="C3398" s="1" t="s">
        <v>11</v>
      </c>
      <c r="D3398" s="1" t="s">
        <v>21</v>
      </c>
      <c r="E3398" s="1" t="s">
        <v>13</v>
      </c>
      <c r="F3398" s="1" t="s">
        <v>345</v>
      </c>
      <c r="G3398" s="1">
        <v>163</v>
      </c>
      <c r="H3398" s="23">
        <v>45268.899953703702</v>
      </c>
      <c r="I3398" s="1" t="b">
        <v>0</v>
      </c>
      <c r="J3398" s="1">
        <v>2</v>
      </c>
      <c r="K3398" s="10">
        <f t="shared" si="267"/>
        <v>7.0988888888969086</v>
      </c>
      <c r="L3398" s="1" t="str">
        <f t="shared" si="268"/>
        <v>OK</v>
      </c>
      <c r="M3398" s="1">
        <f t="shared" si="265"/>
        <v>1</v>
      </c>
      <c r="N3398" s="1">
        <f t="shared" si="266"/>
        <v>163</v>
      </c>
      <c r="O3398" s="10">
        <f t="shared" si="269"/>
        <v>7.0988888888969086</v>
      </c>
    </row>
    <row r="3399" spans="1:15">
      <c r="A3399" s="1" t="s">
        <v>3504</v>
      </c>
      <c r="B3399" s="23">
        <v>45268.810416666667</v>
      </c>
      <c r="C3399" s="1" t="s">
        <v>16</v>
      </c>
      <c r="D3399" s="1" t="s">
        <v>59</v>
      </c>
      <c r="E3399" s="1" t="s">
        <v>18</v>
      </c>
      <c r="F3399" s="1" t="s">
        <v>46</v>
      </c>
      <c r="G3399" s="1">
        <v>32</v>
      </c>
      <c r="H3399" s="23">
        <v>45274.289502314816</v>
      </c>
      <c r="I3399" s="1" t="b">
        <v>0</v>
      </c>
      <c r="K3399" s="10">
        <f t="shared" si="267"/>
        <v>131.49805555556668</v>
      </c>
      <c r="L3399" s="1" t="str">
        <f t="shared" si="268"/>
        <v>OK</v>
      </c>
      <c r="M3399" s="1">
        <f t="shared" si="265"/>
        <v>1</v>
      </c>
      <c r="N3399" s="1">
        <f t="shared" si="266"/>
        <v>32</v>
      </c>
      <c r="O3399" s="10">
        <f t="shared" si="269"/>
        <v>131.49805555556668</v>
      </c>
    </row>
    <row r="3400" spans="1:15">
      <c r="A3400" s="1" t="s">
        <v>3505</v>
      </c>
      <c r="B3400" s="23">
        <v>45269.319444444445</v>
      </c>
      <c r="C3400" s="1" t="s">
        <v>16</v>
      </c>
      <c r="D3400" s="1" t="s">
        <v>59</v>
      </c>
      <c r="E3400" s="1" t="s">
        <v>18</v>
      </c>
      <c r="F3400" s="1" t="s">
        <v>134</v>
      </c>
      <c r="G3400" s="1">
        <v>452</v>
      </c>
      <c r="H3400" s="23">
        <v>45272.106851851851</v>
      </c>
      <c r="I3400" s="1" t="b">
        <v>0</v>
      </c>
      <c r="K3400" s="10">
        <f t="shared" si="267"/>
        <v>66.897777777747251</v>
      </c>
      <c r="L3400" s="1" t="str">
        <f t="shared" si="268"/>
        <v>OK</v>
      </c>
      <c r="M3400" s="1">
        <f t="shared" si="265"/>
        <v>1</v>
      </c>
      <c r="N3400" s="1">
        <f t="shared" si="266"/>
        <v>452</v>
      </c>
      <c r="O3400" s="10">
        <f t="shared" si="269"/>
        <v>66.897777777747251</v>
      </c>
    </row>
    <row r="3401" spans="1:15">
      <c r="A3401" s="1" t="s">
        <v>3506</v>
      </c>
      <c r="B3401" s="23">
        <v>45269.362500000003</v>
      </c>
      <c r="C3401" s="1" t="s">
        <v>11</v>
      </c>
      <c r="D3401" s="1" t="s">
        <v>17</v>
      </c>
      <c r="E3401" s="1" t="s">
        <v>18</v>
      </c>
      <c r="F3401" s="1" t="s">
        <v>392</v>
      </c>
      <c r="G3401" s="1">
        <v>73</v>
      </c>
      <c r="H3401" s="23">
        <v>45271.521747685183</v>
      </c>
      <c r="I3401" s="1" t="b">
        <v>0</v>
      </c>
      <c r="J3401" s="1">
        <v>3</v>
      </c>
      <c r="K3401" s="10">
        <f t="shared" si="267"/>
        <v>51.82194444432389</v>
      </c>
      <c r="L3401" s="1" t="str">
        <f t="shared" si="268"/>
        <v>OK</v>
      </c>
      <c r="M3401" s="1">
        <f t="shared" si="265"/>
        <v>1</v>
      </c>
      <c r="N3401" s="1">
        <f t="shared" si="266"/>
        <v>73</v>
      </c>
      <c r="O3401" s="10">
        <f t="shared" si="269"/>
        <v>51.82194444432389</v>
      </c>
    </row>
    <row r="3402" spans="1:15">
      <c r="A3402" s="1" t="s">
        <v>3507</v>
      </c>
      <c r="B3402" s="23">
        <v>45269.445138888892</v>
      </c>
      <c r="C3402" s="1" t="s">
        <v>25</v>
      </c>
      <c r="D3402" s="1" t="s">
        <v>17</v>
      </c>
      <c r="E3402" s="1" t="s">
        <v>18</v>
      </c>
      <c r="F3402" s="1" t="s">
        <v>68</v>
      </c>
      <c r="G3402" s="1">
        <v>296</v>
      </c>
      <c r="H3402" s="23">
        <v>45272.349537037036</v>
      </c>
      <c r="I3402" s="1" t="b">
        <v>0</v>
      </c>
      <c r="J3402" s="1">
        <v>4</v>
      </c>
      <c r="K3402" s="10">
        <f t="shared" si="267"/>
        <v>69.705555555468891</v>
      </c>
      <c r="L3402" s="1" t="str">
        <f t="shared" si="268"/>
        <v>OK</v>
      </c>
      <c r="M3402" s="1">
        <f t="shared" si="265"/>
        <v>1</v>
      </c>
      <c r="N3402" s="1">
        <f t="shared" si="266"/>
        <v>296</v>
      </c>
      <c r="O3402" s="10">
        <f t="shared" si="269"/>
        <v>69.705555555468891</v>
      </c>
    </row>
    <row r="3403" spans="1:15">
      <c r="A3403" s="1" t="s">
        <v>3508</v>
      </c>
      <c r="B3403" s="23">
        <v>45269.515972222223</v>
      </c>
      <c r="C3403" s="1" t="s">
        <v>16</v>
      </c>
      <c r="D3403" s="1" t="s">
        <v>21</v>
      </c>
      <c r="E3403" s="1" t="s">
        <v>22</v>
      </c>
      <c r="F3403" s="1" t="s">
        <v>14</v>
      </c>
      <c r="H3403" s="23">
        <v>45269.623090277775</v>
      </c>
      <c r="I3403" s="1" t="b">
        <v>0</v>
      </c>
      <c r="J3403" s="1">
        <v>5</v>
      </c>
      <c r="K3403" s="10">
        <f t="shared" si="267"/>
        <v>2.5708333332440816</v>
      </c>
      <c r="L3403" s="1" t="str">
        <f t="shared" si="268"/>
        <v>Cannot check</v>
      </c>
      <c r="M3403" s="1">
        <f t="shared" si="265"/>
        <v>1</v>
      </c>
      <c r="N3403" s="1" t="str">
        <f t="shared" si="266"/>
        <v/>
      </c>
      <c r="O3403" s="10">
        <f t="shared" si="269"/>
        <v>2.5708333332440816</v>
      </c>
    </row>
    <row r="3404" spans="1:15">
      <c r="A3404" s="1" t="s">
        <v>3509</v>
      </c>
      <c r="B3404" s="23">
        <v>45269.521527777775</v>
      </c>
      <c r="C3404" s="1" t="s">
        <v>16</v>
      </c>
      <c r="D3404" s="1" t="s">
        <v>12</v>
      </c>
      <c r="E3404" s="1" t="s">
        <v>13</v>
      </c>
      <c r="F3404" s="1" t="s">
        <v>345</v>
      </c>
      <c r="G3404" s="1">
        <v>56</v>
      </c>
      <c r="H3404" s="23">
        <v>45269.859363425923</v>
      </c>
      <c r="I3404" s="1" t="b">
        <v>0</v>
      </c>
      <c r="J3404" s="1">
        <v>1</v>
      </c>
      <c r="K3404" s="10">
        <f t="shared" si="267"/>
        <v>8.1080555555527098</v>
      </c>
      <c r="L3404" s="1" t="str">
        <f t="shared" si="268"/>
        <v>OK</v>
      </c>
      <c r="M3404" s="1">
        <f t="shared" si="265"/>
        <v>1</v>
      </c>
      <c r="N3404" s="1">
        <f t="shared" si="266"/>
        <v>56</v>
      </c>
      <c r="O3404" s="10">
        <f t="shared" si="269"/>
        <v>8.1080555555527098</v>
      </c>
    </row>
    <row r="3405" spans="1:15">
      <c r="A3405" s="1" t="s">
        <v>3510</v>
      </c>
      <c r="B3405" s="23">
        <v>45269.531944444447</v>
      </c>
      <c r="C3405" s="1" t="s">
        <v>25</v>
      </c>
      <c r="D3405" s="1" t="s">
        <v>26</v>
      </c>
      <c r="E3405" s="1" t="s">
        <v>33</v>
      </c>
      <c r="F3405" s="1" t="s">
        <v>14</v>
      </c>
      <c r="G3405" s="1">
        <v>765</v>
      </c>
      <c r="I3405" s="1" t="b">
        <v>0</v>
      </c>
      <c r="K3405" s="10" t="str">
        <f t="shared" si="267"/>
        <v/>
      </c>
      <c r="L3405" s="1" t="str">
        <f t="shared" si="268"/>
        <v>Cannot check</v>
      </c>
      <c r="M3405" s="1">
        <f t="shared" si="265"/>
        <v>1</v>
      </c>
      <c r="N3405" s="1">
        <f t="shared" si="266"/>
        <v>765</v>
      </c>
      <c r="O3405" s="10" t="str">
        <f t="shared" si="269"/>
        <v/>
      </c>
    </row>
    <row r="3406" spans="1:15">
      <c r="A3406" s="1" t="s">
        <v>3511</v>
      </c>
      <c r="B3406" s="23">
        <v>45269.576388888891</v>
      </c>
      <c r="C3406" s="1" t="s">
        <v>25</v>
      </c>
      <c r="D3406" s="1" t="s">
        <v>17</v>
      </c>
      <c r="E3406" s="1" t="s">
        <v>22</v>
      </c>
      <c r="F3406" s="1" t="s">
        <v>80</v>
      </c>
      <c r="G3406" s="1">
        <v>30</v>
      </c>
      <c r="H3406" s="23">
        <v>45270.141770833332</v>
      </c>
      <c r="I3406" s="1" t="b">
        <v>0</v>
      </c>
      <c r="K3406" s="10">
        <f t="shared" si="267"/>
        <v>13.569166666595265</v>
      </c>
      <c r="L3406" s="1" t="str">
        <f t="shared" si="268"/>
        <v>OK</v>
      </c>
      <c r="M3406" s="1">
        <f t="shared" si="265"/>
        <v>1</v>
      </c>
      <c r="N3406" s="1">
        <f t="shared" si="266"/>
        <v>30</v>
      </c>
      <c r="O3406" s="10">
        <f t="shared" si="269"/>
        <v>13.569166666595265</v>
      </c>
    </row>
    <row r="3407" spans="1:15">
      <c r="A3407" s="1" t="s">
        <v>3512</v>
      </c>
      <c r="B3407" s="23">
        <v>45269.580555555556</v>
      </c>
      <c r="C3407" s="1" t="s">
        <v>16</v>
      </c>
      <c r="D3407" s="1" t="s">
        <v>17</v>
      </c>
      <c r="E3407" s="1" t="s">
        <v>13</v>
      </c>
      <c r="F3407" s="1" t="s">
        <v>62</v>
      </c>
      <c r="G3407" s="1">
        <v>173</v>
      </c>
      <c r="H3407" s="23">
        <v>45277.643333333333</v>
      </c>
      <c r="I3407" s="1" t="b">
        <v>0</v>
      </c>
      <c r="K3407" s="10">
        <f t="shared" si="267"/>
        <v>193.50666666665347</v>
      </c>
      <c r="L3407" s="1" t="str">
        <f t="shared" si="268"/>
        <v>OK</v>
      </c>
      <c r="M3407" s="1">
        <f t="shared" si="265"/>
        <v>1</v>
      </c>
      <c r="N3407" s="1">
        <f t="shared" si="266"/>
        <v>173</v>
      </c>
      <c r="O3407" s="10">
        <f t="shared" si="269"/>
        <v>193.50666666665347</v>
      </c>
    </row>
    <row r="3408" spans="1:15">
      <c r="A3408" s="1" t="s">
        <v>3513</v>
      </c>
      <c r="B3408" s="23">
        <v>45269.670138888891</v>
      </c>
      <c r="C3408" s="1" t="s">
        <v>11</v>
      </c>
      <c r="D3408" s="1" t="s">
        <v>21</v>
      </c>
      <c r="E3408" s="1" t="s">
        <v>33</v>
      </c>
      <c r="F3408" s="1" t="s">
        <v>116</v>
      </c>
      <c r="H3408" s="23">
        <v>45272.989872685182</v>
      </c>
      <c r="I3408" s="1" t="b">
        <v>0</v>
      </c>
      <c r="K3408" s="10">
        <f t="shared" si="267"/>
        <v>79.673611111007631</v>
      </c>
      <c r="L3408" s="1" t="str">
        <f t="shared" si="268"/>
        <v>Cannot check</v>
      </c>
      <c r="M3408" s="1">
        <f t="shared" si="265"/>
        <v>1</v>
      </c>
      <c r="N3408" s="1" t="str">
        <f t="shared" si="266"/>
        <v/>
      </c>
      <c r="O3408" s="10">
        <f t="shared" si="269"/>
        <v>79.673611111007631</v>
      </c>
    </row>
    <row r="3409" spans="1:15">
      <c r="A3409" s="1" t="s">
        <v>3514</v>
      </c>
      <c r="B3409" s="23">
        <v>45269.713194444441</v>
      </c>
      <c r="C3409" s="1" t="s">
        <v>16</v>
      </c>
      <c r="D3409" s="1" t="s">
        <v>12</v>
      </c>
      <c r="E3409" s="1" t="s">
        <v>18</v>
      </c>
      <c r="F3409" s="1" t="s">
        <v>102</v>
      </c>
      <c r="G3409" s="1">
        <v>48</v>
      </c>
      <c r="H3409" s="23">
        <v>45277.407060185185</v>
      </c>
      <c r="I3409" s="1" t="b">
        <v>0</v>
      </c>
      <c r="K3409" s="10">
        <f t="shared" si="267"/>
        <v>184.65277777786832</v>
      </c>
      <c r="L3409" s="1" t="str">
        <f t="shared" si="268"/>
        <v>OK</v>
      </c>
      <c r="M3409" s="1">
        <f t="shared" si="265"/>
        <v>1</v>
      </c>
      <c r="N3409" s="1">
        <f t="shared" si="266"/>
        <v>48</v>
      </c>
      <c r="O3409" s="10">
        <f t="shared" si="269"/>
        <v>184.65277777786832</v>
      </c>
    </row>
    <row r="3410" spans="1:15">
      <c r="A3410" s="1" t="s">
        <v>3515</v>
      </c>
      <c r="B3410" s="23">
        <v>45269.724305555559</v>
      </c>
      <c r="C3410" s="1" t="s">
        <v>11</v>
      </c>
      <c r="D3410" s="1" t="s">
        <v>21</v>
      </c>
      <c r="E3410" s="1" t="s">
        <v>18</v>
      </c>
      <c r="F3410" s="1" t="s">
        <v>39</v>
      </c>
      <c r="G3410" s="1">
        <v>582</v>
      </c>
      <c r="H3410" s="23">
        <v>45273.618576388886</v>
      </c>
      <c r="I3410" s="1" t="b">
        <v>0</v>
      </c>
      <c r="K3410" s="10">
        <f t="shared" si="267"/>
        <v>93.46249999984866</v>
      </c>
      <c r="L3410" s="1" t="str">
        <f t="shared" si="268"/>
        <v>OK</v>
      </c>
      <c r="M3410" s="1">
        <f t="shared" si="265"/>
        <v>1</v>
      </c>
      <c r="N3410" s="1">
        <f t="shared" si="266"/>
        <v>582</v>
      </c>
      <c r="O3410" s="10">
        <f t="shared" si="269"/>
        <v>93.46249999984866</v>
      </c>
    </row>
    <row r="3411" spans="1:15">
      <c r="A3411" s="1" t="s">
        <v>3516</v>
      </c>
      <c r="B3411" s="23">
        <v>45269.818749999999</v>
      </c>
      <c r="C3411" s="1" t="s">
        <v>11</v>
      </c>
      <c r="D3411" s="1" t="s">
        <v>21</v>
      </c>
      <c r="E3411" s="1" t="s">
        <v>33</v>
      </c>
      <c r="F3411" s="1" t="s">
        <v>367</v>
      </c>
      <c r="G3411" s="1">
        <v>78</v>
      </c>
      <c r="H3411" s="23">
        <v>45270.02888888889</v>
      </c>
      <c r="I3411" s="1" t="b">
        <v>0</v>
      </c>
      <c r="K3411" s="10">
        <f t="shared" si="267"/>
        <v>5.0433333333930932</v>
      </c>
      <c r="L3411" s="1" t="str">
        <f t="shared" si="268"/>
        <v>OK</v>
      </c>
      <c r="M3411" s="1">
        <f t="shared" si="265"/>
        <v>1</v>
      </c>
      <c r="N3411" s="1">
        <f t="shared" si="266"/>
        <v>78</v>
      </c>
      <c r="O3411" s="10">
        <f t="shared" si="269"/>
        <v>5.0433333333930932</v>
      </c>
    </row>
    <row r="3412" spans="1:15">
      <c r="A3412" s="1" t="s">
        <v>3517</v>
      </c>
      <c r="B3412" s="23">
        <v>45269.884027777778</v>
      </c>
      <c r="C3412" s="1" t="s">
        <v>43</v>
      </c>
      <c r="D3412" s="1" t="s">
        <v>59</v>
      </c>
      <c r="E3412" s="1" t="s">
        <v>18</v>
      </c>
      <c r="F3412" s="1" t="s">
        <v>27</v>
      </c>
      <c r="G3412" s="1">
        <v>129</v>
      </c>
      <c r="H3412" s="23">
        <v>45272.976886574077</v>
      </c>
      <c r="I3412" s="1" t="b">
        <v>0</v>
      </c>
      <c r="J3412" s="1">
        <v>4</v>
      </c>
      <c r="K3412" s="10">
        <f t="shared" si="267"/>
        <v>74.228611111175269</v>
      </c>
      <c r="L3412" s="1" t="str">
        <f t="shared" si="268"/>
        <v>OK</v>
      </c>
      <c r="M3412" s="1">
        <f t="shared" si="265"/>
        <v>1</v>
      </c>
      <c r="N3412" s="1">
        <f t="shared" si="266"/>
        <v>129</v>
      </c>
      <c r="O3412" s="10">
        <f t="shared" si="269"/>
        <v>74.228611111175269</v>
      </c>
    </row>
    <row r="3413" spans="1:15">
      <c r="A3413" s="1" t="s">
        <v>3518</v>
      </c>
      <c r="B3413" s="23">
        <v>45269.923611111109</v>
      </c>
      <c r="C3413" s="1" t="s">
        <v>11</v>
      </c>
      <c r="D3413" s="1" t="s">
        <v>21</v>
      </c>
      <c r="E3413" s="1" t="s">
        <v>18</v>
      </c>
      <c r="F3413" s="1" t="s">
        <v>317</v>
      </c>
      <c r="G3413" s="1">
        <v>64</v>
      </c>
      <c r="H3413" s="23">
        <v>45270.804988425924</v>
      </c>
      <c r="I3413" s="1" t="b">
        <v>0</v>
      </c>
      <c r="K3413" s="10">
        <f t="shared" si="267"/>
        <v>21.153055555536412</v>
      </c>
      <c r="L3413" s="1" t="str">
        <f t="shared" si="268"/>
        <v>OK</v>
      </c>
      <c r="M3413" s="1">
        <f t="shared" si="265"/>
        <v>1</v>
      </c>
      <c r="N3413" s="1">
        <f t="shared" si="266"/>
        <v>64</v>
      </c>
      <c r="O3413" s="10">
        <f t="shared" si="269"/>
        <v>21.153055555536412</v>
      </c>
    </row>
    <row r="3414" spans="1:15">
      <c r="A3414" s="1" t="s">
        <v>3519</v>
      </c>
      <c r="B3414" s="23">
        <v>45270.085416666669</v>
      </c>
      <c r="C3414" s="1" t="s">
        <v>16</v>
      </c>
      <c r="D3414" s="1" t="s">
        <v>26</v>
      </c>
      <c r="E3414" s="1" t="s">
        <v>13</v>
      </c>
      <c r="F3414" s="1" t="s">
        <v>112</v>
      </c>
      <c r="G3414" s="1">
        <v>52</v>
      </c>
      <c r="H3414" s="23">
        <v>45271.375011574077</v>
      </c>
      <c r="I3414" s="1" t="b">
        <v>0</v>
      </c>
      <c r="K3414" s="10">
        <f t="shared" si="267"/>
        <v>30.950277777796146</v>
      </c>
      <c r="L3414" s="1" t="str">
        <f t="shared" si="268"/>
        <v>OK</v>
      </c>
      <c r="M3414" s="1">
        <f t="shared" si="265"/>
        <v>1</v>
      </c>
      <c r="N3414" s="1">
        <f t="shared" si="266"/>
        <v>52</v>
      </c>
      <c r="O3414" s="10">
        <f t="shared" si="269"/>
        <v>30.950277777796146</v>
      </c>
    </row>
    <row r="3415" spans="1:15">
      <c r="A3415" s="1" t="s">
        <v>3520</v>
      </c>
      <c r="B3415" s="23">
        <v>45270.095138888886</v>
      </c>
      <c r="C3415" s="1" t="s">
        <v>16</v>
      </c>
      <c r="D3415" s="1" t="s">
        <v>17</v>
      </c>
      <c r="E3415" s="1" t="s">
        <v>13</v>
      </c>
      <c r="F3415" s="1" t="s">
        <v>274</v>
      </c>
      <c r="G3415" s="1">
        <v>53</v>
      </c>
      <c r="H3415" s="23">
        <v>45270.407939814817</v>
      </c>
      <c r="I3415" s="1" t="b">
        <v>0</v>
      </c>
      <c r="J3415" s="1">
        <v>4</v>
      </c>
      <c r="K3415" s="10">
        <f t="shared" si="267"/>
        <v>7.5072222223388962</v>
      </c>
      <c r="L3415" s="1" t="str">
        <f t="shared" si="268"/>
        <v>OK</v>
      </c>
      <c r="M3415" s="1">
        <f t="shared" si="265"/>
        <v>1</v>
      </c>
      <c r="N3415" s="1">
        <f t="shared" si="266"/>
        <v>53</v>
      </c>
      <c r="O3415" s="10">
        <f t="shared" si="269"/>
        <v>7.5072222223388962</v>
      </c>
    </row>
    <row r="3416" spans="1:15">
      <c r="A3416" s="1" t="s">
        <v>3521</v>
      </c>
      <c r="B3416" s="23">
        <v>45270.104166666664</v>
      </c>
      <c r="C3416" s="1" t="s">
        <v>25</v>
      </c>
      <c r="D3416" s="1" t="s">
        <v>21</v>
      </c>
      <c r="E3416" s="1" t="s">
        <v>18</v>
      </c>
      <c r="F3416" s="1" t="s">
        <v>114</v>
      </c>
      <c r="G3416" s="1">
        <v>120</v>
      </c>
      <c r="H3416" s="23">
        <v>45272.087118055555</v>
      </c>
      <c r="I3416" s="1" t="b">
        <v>0</v>
      </c>
      <c r="J3416" s="1">
        <v>5</v>
      </c>
      <c r="K3416" s="10">
        <f t="shared" si="267"/>
        <v>47.590833333379123</v>
      </c>
      <c r="L3416" s="1" t="str">
        <f t="shared" si="268"/>
        <v>OK</v>
      </c>
      <c r="M3416" s="1">
        <f t="shared" si="265"/>
        <v>1</v>
      </c>
      <c r="N3416" s="1">
        <f t="shared" si="266"/>
        <v>120</v>
      </c>
      <c r="O3416" s="10">
        <f t="shared" si="269"/>
        <v>47.590833333379123</v>
      </c>
    </row>
    <row r="3417" spans="1:15">
      <c r="A3417" s="1" t="s">
        <v>3522</v>
      </c>
      <c r="B3417" s="23">
        <v>45270.131249999999</v>
      </c>
      <c r="C3417" s="1" t="s">
        <v>16</v>
      </c>
      <c r="D3417" s="1" t="s">
        <v>59</v>
      </c>
      <c r="E3417" s="1" t="s">
        <v>18</v>
      </c>
      <c r="F3417" s="1" t="s">
        <v>114</v>
      </c>
      <c r="G3417" s="1">
        <v>168</v>
      </c>
      <c r="H3417" s="23">
        <v>45270.721064814818</v>
      </c>
      <c r="I3417" s="1" t="b">
        <v>0</v>
      </c>
      <c r="K3417" s="10">
        <f t="shared" si="267"/>
        <v>14.155555555655155</v>
      </c>
      <c r="L3417" s="1" t="str">
        <f t="shared" si="268"/>
        <v>OK</v>
      </c>
      <c r="M3417" s="1">
        <f t="shared" si="265"/>
        <v>1</v>
      </c>
      <c r="N3417" s="1">
        <f t="shared" si="266"/>
        <v>168</v>
      </c>
      <c r="O3417" s="10">
        <f t="shared" si="269"/>
        <v>14.155555555655155</v>
      </c>
    </row>
    <row r="3418" spans="1:15">
      <c r="A3418" s="1" t="s">
        <v>3523</v>
      </c>
      <c r="B3418" s="23">
        <v>45270.174305555556</v>
      </c>
      <c r="C3418" s="1" t="s">
        <v>11</v>
      </c>
      <c r="D3418" s="1" t="s">
        <v>21</v>
      </c>
      <c r="E3418" s="1" t="s">
        <v>13</v>
      </c>
      <c r="F3418" s="1" t="s">
        <v>254</v>
      </c>
      <c r="G3418" s="1">
        <v>30</v>
      </c>
      <c r="H3418" s="23">
        <v>45270.664918981478</v>
      </c>
      <c r="I3418" s="1" t="b">
        <v>0</v>
      </c>
      <c r="K3418" s="10">
        <f t="shared" si="267"/>
        <v>11.774722222122364</v>
      </c>
      <c r="L3418" s="1" t="str">
        <f t="shared" si="268"/>
        <v>OK</v>
      </c>
      <c r="M3418" s="1">
        <f t="shared" si="265"/>
        <v>1</v>
      </c>
      <c r="N3418" s="1">
        <f t="shared" si="266"/>
        <v>30</v>
      </c>
      <c r="O3418" s="10">
        <f t="shared" si="269"/>
        <v>11.774722222122364</v>
      </c>
    </row>
    <row r="3419" spans="1:15">
      <c r="A3419" s="1" t="s">
        <v>3524</v>
      </c>
      <c r="B3419" s="23">
        <v>45270.324999999997</v>
      </c>
      <c r="C3419" s="1" t="s">
        <v>43</v>
      </c>
      <c r="D3419" s="1" t="s">
        <v>21</v>
      </c>
      <c r="E3419" s="1" t="s">
        <v>18</v>
      </c>
      <c r="F3419" s="1" t="s">
        <v>48</v>
      </c>
      <c r="G3419" s="1">
        <v>68</v>
      </c>
      <c r="H3419" s="23">
        <v>45270.591180555559</v>
      </c>
      <c r="I3419" s="1" t="b">
        <v>1</v>
      </c>
      <c r="K3419" s="10">
        <f t="shared" si="267"/>
        <v>6.3883333334815688</v>
      </c>
      <c r="L3419" s="1" t="str">
        <f t="shared" si="268"/>
        <v>OK</v>
      </c>
      <c r="M3419" s="1">
        <f t="shared" si="265"/>
        <v>1</v>
      </c>
      <c r="N3419" s="1">
        <f t="shared" si="266"/>
        <v>68</v>
      </c>
      <c r="O3419" s="10">
        <f t="shared" si="269"/>
        <v>6.3883333334815688</v>
      </c>
    </row>
    <row r="3420" spans="1:15">
      <c r="A3420" s="1" t="s">
        <v>3525</v>
      </c>
      <c r="B3420" s="23">
        <v>45270.402777777781</v>
      </c>
      <c r="C3420" s="1" t="s">
        <v>25</v>
      </c>
      <c r="D3420" s="1" t="s">
        <v>17</v>
      </c>
      <c r="E3420" s="1" t="s">
        <v>18</v>
      </c>
      <c r="F3420" s="1" t="s">
        <v>201</v>
      </c>
      <c r="G3420" s="1">
        <v>33</v>
      </c>
      <c r="H3420" s="23">
        <v>45272.967800925922</v>
      </c>
      <c r="I3420" s="1" t="b">
        <v>0</v>
      </c>
      <c r="J3420" s="1">
        <v>2</v>
      </c>
      <c r="K3420" s="10">
        <f t="shared" si="267"/>
        <v>61.560555555392057</v>
      </c>
      <c r="L3420" s="1" t="str">
        <f t="shared" si="268"/>
        <v>OK</v>
      </c>
      <c r="M3420" s="1">
        <f t="shared" si="265"/>
        <v>1</v>
      </c>
      <c r="N3420" s="1">
        <f t="shared" si="266"/>
        <v>33</v>
      </c>
      <c r="O3420" s="10">
        <f t="shared" si="269"/>
        <v>61.560555555392057</v>
      </c>
    </row>
    <row r="3421" spans="1:15">
      <c r="A3421" s="1" t="s">
        <v>3526</v>
      </c>
      <c r="B3421" s="23">
        <v>45270.463888888888</v>
      </c>
      <c r="C3421" s="1" t="s">
        <v>16</v>
      </c>
      <c r="D3421" s="1" t="s">
        <v>21</v>
      </c>
      <c r="E3421" s="1" t="s">
        <v>13</v>
      </c>
      <c r="F3421" s="1" t="s">
        <v>228</v>
      </c>
      <c r="G3421" s="1">
        <v>77</v>
      </c>
      <c r="H3421" s="23">
        <v>45271.723703703705</v>
      </c>
      <c r="I3421" s="1" t="b">
        <v>0</v>
      </c>
      <c r="J3421" s="1">
        <v>3</v>
      </c>
      <c r="K3421" s="10">
        <f t="shared" si="267"/>
        <v>30.235555555613246</v>
      </c>
      <c r="L3421" s="1" t="str">
        <f t="shared" si="268"/>
        <v>OK</v>
      </c>
      <c r="M3421" s="1">
        <f t="shared" si="265"/>
        <v>1</v>
      </c>
      <c r="N3421" s="1">
        <f t="shared" si="266"/>
        <v>77</v>
      </c>
      <c r="O3421" s="10">
        <f t="shared" si="269"/>
        <v>30.235555555613246</v>
      </c>
    </row>
    <row r="3422" spans="1:15">
      <c r="A3422" s="1" t="s">
        <v>3527</v>
      </c>
      <c r="B3422" s="23">
        <v>45270.470138888886</v>
      </c>
      <c r="C3422" s="1" t="s">
        <v>11</v>
      </c>
      <c r="D3422" s="1" t="s">
        <v>21</v>
      </c>
      <c r="E3422" s="1" t="s">
        <v>18</v>
      </c>
      <c r="F3422" s="1" t="s">
        <v>54</v>
      </c>
      <c r="H3422" s="23">
        <v>45270.858749999999</v>
      </c>
      <c r="I3422" s="1" t="b">
        <v>0</v>
      </c>
      <c r="J3422" s="1">
        <v>4</v>
      </c>
      <c r="K3422" s="10">
        <f t="shared" si="267"/>
        <v>9.3266666667186655</v>
      </c>
      <c r="L3422" s="1" t="str">
        <f t="shared" si="268"/>
        <v>Cannot check</v>
      </c>
      <c r="M3422" s="1">
        <f t="shared" si="265"/>
        <v>1</v>
      </c>
      <c r="N3422" s="1" t="str">
        <f t="shared" si="266"/>
        <v/>
      </c>
      <c r="O3422" s="10">
        <f t="shared" si="269"/>
        <v>9.3266666667186655</v>
      </c>
    </row>
    <row r="3423" spans="1:15">
      <c r="A3423" s="1" t="s">
        <v>3528</v>
      </c>
      <c r="B3423" s="23">
        <v>45270.530555555553</v>
      </c>
      <c r="C3423" s="1" t="s">
        <v>43</v>
      </c>
      <c r="D3423" s="1" t="s">
        <v>17</v>
      </c>
      <c r="E3423" s="1" t="s">
        <v>18</v>
      </c>
      <c r="F3423" s="1" t="s">
        <v>74</v>
      </c>
      <c r="G3423" s="1">
        <v>56</v>
      </c>
      <c r="H3423" s="23">
        <v>45271.270104166666</v>
      </c>
      <c r="I3423" s="1" t="b">
        <v>0</v>
      </c>
      <c r="K3423" s="10">
        <f t="shared" si="267"/>
        <v>17.749166666704696</v>
      </c>
      <c r="L3423" s="1" t="str">
        <f t="shared" si="268"/>
        <v>OK</v>
      </c>
      <c r="M3423" s="1">
        <f t="shared" si="265"/>
        <v>1</v>
      </c>
      <c r="N3423" s="1">
        <f t="shared" si="266"/>
        <v>56</v>
      </c>
      <c r="O3423" s="10">
        <f t="shared" si="269"/>
        <v>17.749166666704696</v>
      </c>
    </row>
    <row r="3424" spans="1:15">
      <c r="A3424" s="1" t="s">
        <v>3529</v>
      </c>
      <c r="B3424" s="23">
        <v>45270.621527777781</v>
      </c>
      <c r="C3424" s="1" t="s">
        <v>16</v>
      </c>
      <c r="D3424" s="1" t="s">
        <v>17</v>
      </c>
      <c r="E3424" s="1" t="s">
        <v>18</v>
      </c>
      <c r="F3424" s="1" t="s">
        <v>302</v>
      </c>
      <c r="G3424" s="1">
        <v>67</v>
      </c>
      <c r="H3424" s="23">
        <v>45271.114895833336</v>
      </c>
      <c r="I3424" s="1" t="b">
        <v>0</v>
      </c>
      <c r="J3424" s="1">
        <v>3</v>
      </c>
      <c r="K3424" s="10">
        <f t="shared" si="267"/>
        <v>11.840833333320916</v>
      </c>
      <c r="L3424" s="1" t="str">
        <f t="shared" si="268"/>
        <v>OK</v>
      </c>
      <c r="M3424" s="1">
        <f t="shared" si="265"/>
        <v>1</v>
      </c>
      <c r="N3424" s="1">
        <f t="shared" si="266"/>
        <v>67</v>
      </c>
      <c r="O3424" s="10">
        <f t="shared" si="269"/>
        <v>11.840833333320916</v>
      </c>
    </row>
    <row r="3425" spans="1:15">
      <c r="A3425" s="1" t="s">
        <v>3530</v>
      </c>
      <c r="B3425" s="23">
        <v>45270.691666666666</v>
      </c>
      <c r="C3425" s="1" t="s">
        <v>16</v>
      </c>
      <c r="D3425" s="1" t="s">
        <v>17</v>
      </c>
      <c r="E3425" s="1" t="s">
        <v>18</v>
      </c>
      <c r="F3425" s="1" t="s">
        <v>70</v>
      </c>
      <c r="G3425" s="1">
        <v>497</v>
      </c>
      <c r="H3425" s="23">
        <v>45276.416435185187</v>
      </c>
      <c r="I3425" s="1" t="b">
        <v>0</v>
      </c>
      <c r="J3425" s="1">
        <v>5</v>
      </c>
      <c r="K3425" s="10">
        <f t="shared" si="267"/>
        <v>137.39444444450783</v>
      </c>
      <c r="L3425" s="1" t="str">
        <f t="shared" si="268"/>
        <v>OK</v>
      </c>
      <c r="M3425" s="1">
        <f t="shared" si="265"/>
        <v>1</v>
      </c>
      <c r="N3425" s="1">
        <f t="shared" si="266"/>
        <v>497</v>
      </c>
      <c r="O3425" s="10">
        <f t="shared" si="269"/>
        <v>137.39444444450783</v>
      </c>
    </row>
    <row r="3426" spans="1:15">
      <c r="A3426" s="1" t="s">
        <v>3531</v>
      </c>
      <c r="B3426" s="23">
        <v>45270.731249999997</v>
      </c>
      <c r="C3426" s="1" t="s">
        <v>16</v>
      </c>
      <c r="D3426" s="1" t="s">
        <v>59</v>
      </c>
      <c r="E3426" s="1" t="s">
        <v>18</v>
      </c>
      <c r="F3426" s="1" t="s">
        <v>62</v>
      </c>
      <c r="H3426" s="23">
        <v>45271.706250000003</v>
      </c>
      <c r="I3426" s="1" t="b">
        <v>0</v>
      </c>
      <c r="K3426" s="10">
        <f t="shared" si="267"/>
        <v>23.400000000139698</v>
      </c>
      <c r="L3426" s="1" t="str">
        <f t="shared" si="268"/>
        <v>Cannot check</v>
      </c>
      <c r="M3426" s="1">
        <f t="shared" si="265"/>
        <v>1</v>
      </c>
      <c r="N3426" s="1" t="str">
        <f t="shared" si="266"/>
        <v/>
      </c>
      <c r="O3426" s="10">
        <f t="shared" si="269"/>
        <v>23.400000000139698</v>
      </c>
    </row>
    <row r="3427" spans="1:15">
      <c r="A3427" s="1" t="s">
        <v>3532</v>
      </c>
      <c r="B3427" s="23">
        <v>45270.830555555556</v>
      </c>
      <c r="C3427" s="1" t="s">
        <v>25</v>
      </c>
      <c r="D3427" s="1" t="s">
        <v>12</v>
      </c>
      <c r="E3427" s="1" t="s">
        <v>18</v>
      </c>
      <c r="F3427" s="1" t="s">
        <v>415</v>
      </c>
      <c r="G3427" s="1">
        <v>139</v>
      </c>
      <c r="H3427" s="23">
        <v>45272.23</v>
      </c>
      <c r="I3427" s="1" t="b">
        <v>0</v>
      </c>
      <c r="K3427" s="10">
        <f t="shared" si="267"/>
        <v>33.586666666727979</v>
      </c>
      <c r="L3427" s="1" t="str">
        <f t="shared" si="268"/>
        <v>OK</v>
      </c>
      <c r="M3427" s="1">
        <f t="shared" si="265"/>
        <v>1</v>
      </c>
      <c r="N3427" s="1">
        <f t="shared" si="266"/>
        <v>139</v>
      </c>
      <c r="O3427" s="10">
        <f t="shared" si="269"/>
        <v>33.586666666727979</v>
      </c>
    </row>
    <row r="3428" spans="1:15">
      <c r="A3428" s="1" t="s">
        <v>3533</v>
      </c>
      <c r="B3428" s="23">
        <v>45270.852083333331</v>
      </c>
      <c r="C3428" s="1" t="s">
        <v>43</v>
      </c>
      <c r="D3428" s="1" t="s">
        <v>21</v>
      </c>
      <c r="E3428" s="1" t="s">
        <v>18</v>
      </c>
      <c r="F3428" s="1" t="s">
        <v>114</v>
      </c>
      <c r="G3428" s="1">
        <v>182</v>
      </c>
      <c r="H3428" s="23">
        <v>45273.203310185185</v>
      </c>
      <c r="I3428" s="1" t="b">
        <v>0</v>
      </c>
      <c r="K3428" s="10">
        <f t="shared" si="267"/>
        <v>56.429444444482215</v>
      </c>
      <c r="L3428" s="1" t="str">
        <f t="shared" si="268"/>
        <v>OK</v>
      </c>
      <c r="M3428" s="1">
        <f t="shared" si="265"/>
        <v>1</v>
      </c>
      <c r="N3428" s="1">
        <f t="shared" si="266"/>
        <v>182</v>
      </c>
      <c r="O3428" s="10">
        <f t="shared" si="269"/>
        <v>56.429444444482215</v>
      </c>
    </row>
    <row r="3429" spans="1:15">
      <c r="A3429" s="1" t="s">
        <v>3534</v>
      </c>
      <c r="B3429" s="23">
        <v>45270.861805555556</v>
      </c>
      <c r="C3429" s="1" t="s">
        <v>16</v>
      </c>
      <c r="D3429" s="1" t="s">
        <v>12</v>
      </c>
      <c r="E3429" s="1" t="s">
        <v>13</v>
      </c>
      <c r="F3429" s="1" t="s">
        <v>256</v>
      </c>
      <c r="G3429" s="1">
        <v>17</v>
      </c>
      <c r="H3429" s="23">
        <v>45271.007256944446</v>
      </c>
      <c r="I3429" s="1" t="b">
        <v>0</v>
      </c>
      <c r="J3429" s="1">
        <v>4</v>
      </c>
      <c r="K3429" s="10">
        <f t="shared" si="267"/>
        <v>3.4908333333441988</v>
      </c>
      <c r="L3429" s="1" t="str">
        <f t="shared" si="268"/>
        <v>OK</v>
      </c>
      <c r="M3429" s="1">
        <f t="shared" si="265"/>
        <v>1</v>
      </c>
      <c r="N3429" s="1">
        <f t="shared" si="266"/>
        <v>17</v>
      </c>
      <c r="O3429" s="10">
        <f t="shared" si="269"/>
        <v>3.4908333333441988</v>
      </c>
    </row>
    <row r="3430" spans="1:15">
      <c r="A3430" s="1" t="s">
        <v>3535</v>
      </c>
      <c r="B3430" s="23">
        <v>45270.881944444445</v>
      </c>
      <c r="C3430" s="1" t="s">
        <v>25</v>
      </c>
      <c r="D3430" s="1" t="s">
        <v>21</v>
      </c>
      <c r="E3430" s="1" t="s">
        <v>18</v>
      </c>
      <c r="F3430" s="1" t="s">
        <v>148</v>
      </c>
      <c r="G3430" s="1">
        <v>304</v>
      </c>
      <c r="H3430" s="23">
        <v>45271.347743055558</v>
      </c>
      <c r="I3430" s="1" t="b">
        <v>0</v>
      </c>
      <c r="K3430" s="10">
        <f t="shared" si="267"/>
        <v>11.179166666697711</v>
      </c>
      <c r="L3430" s="1" t="str">
        <f t="shared" si="268"/>
        <v>OK</v>
      </c>
      <c r="M3430" s="1">
        <f t="shared" si="265"/>
        <v>1</v>
      </c>
      <c r="N3430" s="1">
        <f t="shared" si="266"/>
        <v>304</v>
      </c>
      <c r="O3430" s="10">
        <f t="shared" si="269"/>
        <v>11.179166666697711</v>
      </c>
    </row>
    <row r="3431" spans="1:15">
      <c r="A3431" s="1" t="s">
        <v>3536</v>
      </c>
      <c r="B3431" s="23">
        <v>45271.159722222219</v>
      </c>
      <c r="C3431" s="1" t="s">
        <v>25</v>
      </c>
      <c r="D3431" s="1" t="s">
        <v>17</v>
      </c>
      <c r="E3431" s="1" t="s">
        <v>18</v>
      </c>
      <c r="F3431" s="1" t="s">
        <v>68</v>
      </c>
      <c r="G3431" s="1">
        <v>202</v>
      </c>
      <c r="H3431" s="23">
        <v>45275.081087962964</v>
      </c>
      <c r="I3431" s="1" t="b">
        <v>0</v>
      </c>
      <c r="J3431" s="1">
        <v>4</v>
      </c>
      <c r="K3431" s="10">
        <f t="shared" si="267"/>
        <v>94.112777777889278</v>
      </c>
      <c r="L3431" s="1" t="str">
        <f t="shared" si="268"/>
        <v>OK</v>
      </c>
      <c r="M3431" s="1">
        <f t="shared" si="265"/>
        <v>1</v>
      </c>
      <c r="N3431" s="1">
        <f t="shared" si="266"/>
        <v>202</v>
      </c>
      <c r="O3431" s="10">
        <f t="shared" si="269"/>
        <v>94.112777777889278</v>
      </c>
    </row>
    <row r="3432" spans="1:15">
      <c r="A3432" s="1" t="s">
        <v>3537</v>
      </c>
      <c r="B3432" s="23">
        <v>45271.26458333333</v>
      </c>
      <c r="C3432" s="1" t="s">
        <v>16</v>
      </c>
      <c r="D3432" s="1" t="s">
        <v>21</v>
      </c>
      <c r="E3432" s="1" t="s">
        <v>13</v>
      </c>
      <c r="F3432" s="1" t="s">
        <v>54</v>
      </c>
      <c r="G3432" s="1">
        <v>12</v>
      </c>
      <c r="H3432" s="23">
        <v>45271.38449074074</v>
      </c>
      <c r="I3432" s="1" t="b">
        <v>0</v>
      </c>
      <c r="J3432" s="1">
        <v>5</v>
      </c>
      <c r="K3432" s="10">
        <f t="shared" si="267"/>
        <v>2.87777777784504</v>
      </c>
      <c r="L3432" s="1" t="str">
        <f t="shared" si="268"/>
        <v>OK</v>
      </c>
      <c r="M3432" s="1">
        <f t="shared" si="265"/>
        <v>1</v>
      </c>
      <c r="N3432" s="1">
        <f t="shared" si="266"/>
        <v>12</v>
      </c>
      <c r="O3432" s="10">
        <f t="shared" si="269"/>
        <v>2.87777777784504</v>
      </c>
    </row>
    <row r="3433" spans="1:15">
      <c r="A3433" s="1" t="s">
        <v>3538</v>
      </c>
      <c r="B3433" s="23">
        <v>45271.289583333331</v>
      </c>
      <c r="C3433" s="1" t="s">
        <v>25</v>
      </c>
      <c r="D3433" s="1" t="s">
        <v>59</v>
      </c>
      <c r="E3433" s="1" t="s">
        <v>33</v>
      </c>
      <c r="F3433" s="1" t="s">
        <v>37</v>
      </c>
      <c r="G3433" s="1">
        <v>19</v>
      </c>
      <c r="H3433" s="23">
        <v>45272.957997685182</v>
      </c>
      <c r="I3433" s="1" t="b">
        <v>0</v>
      </c>
      <c r="J3433" s="1">
        <v>5</v>
      </c>
      <c r="K3433" s="10">
        <f t="shared" si="267"/>
        <v>40.041944444412366</v>
      </c>
      <c r="L3433" s="1" t="str">
        <f t="shared" si="268"/>
        <v>OK</v>
      </c>
      <c r="M3433" s="1">
        <f t="shared" si="265"/>
        <v>1</v>
      </c>
      <c r="N3433" s="1">
        <f t="shared" si="266"/>
        <v>19</v>
      </c>
      <c r="O3433" s="10">
        <f t="shared" si="269"/>
        <v>40.041944444412366</v>
      </c>
    </row>
    <row r="3434" spans="1:15">
      <c r="A3434" s="1" t="s">
        <v>3539</v>
      </c>
      <c r="B3434" s="23">
        <v>45271.348611111112</v>
      </c>
      <c r="C3434" s="1" t="s">
        <v>16</v>
      </c>
      <c r="D3434" s="1" t="s">
        <v>17</v>
      </c>
      <c r="E3434" s="1" t="s">
        <v>22</v>
      </c>
      <c r="F3434" s="1" t="s">
        <v>228</v>
      </c>
      <c r="G3434" s="1">
        <v>21</v>
      </c>
      <c r="H3434" s="23">
        <v>45273.193576388891</v>
      </c>
      <c r="I3434" s="1" t="b">
        <v>0</v>
      </c>
      <c r="K3434" s="10">
        <f t="shared" si="267"/>
        <v>44.279166666674428</v>
      </c>
      <c r="L3434" s="1" t="str">
        <f t="shared" si="268"/>
        <v>OK</v>
      </c>
      <c r="M3434" s="1">
        <f t="shared" si="265"/>
        <v>1</v>
      </c>
      <c r="N3434" s="1">
        <f t="shared" si="266"/>
        <v>21</v>
      </c>
      <c r="O3434" s="10">
        <f t="shared" si="269"/>
        <v>44.279166666674428</v>
      </c>
    </row>
    <row r="3435" spans="1:15">
      <c r="A3435" s="1" t="s">
        <v>3540</v>
      </c>
      <c r="B3435" s="23">
        <v>45271.463194444441</v>
      </c>
      <c r="C3435" s="1" t="s">
        <v>16</v>
      </c>
      <c r="D3435" s="1" t="s">
        <v>12</v>
      </c>
      <c r="E3435" s="1" t="s">
        <v>33</v>
      </c>
      <c r="F3435" s="1" t="s">
        <v>104</v>
      </c>
      <c r="G3435" s="1">
        <v>671</v>
      </c>
      <c r="H3435" s="23">
        <v>45272.392916666664</v>
      </c>
      <c r="I3435" s="1" t="b">
        <v>0</v>
      </c>
      <c r="J3435" s="1">
        <v>5</v>
      </c>
      <c r="K3435" s="10">
        <f t="shared" si="267"/>
        <v>22.313333333353512</v>
      </c>
      <c r="L3435" s="1" t="str">
        <f t="shared" si="268"/>
        <v>OK</v>
      </c>
      <c r="M3435" s="1">
        <f t="shared" si="265"/>
        <v>1</v>
      </c>
      <c r="N3435" s="1">
        <f t="shared" si="266"/>
        <v>671</v>
      </c>
      <c r="O3435" s="10">
        <f t="shared" si="269"/>
        <v>22.313333333353512</v>
      </c>
    </row>
    <row r="3436" spans="1:15">
      <c r="A3436" s="1" t="s">
        <v>3541</v>
      </c>
      <c r="B3436" s="23">
        <v>45271.618055555555</v>
      </c>
      <c r="C3436" s="1" t="s">
        <v>11</v>
      </c>
      <c r="D3436" s="1" t="s">
        <v>21</v>
      </c>
      <c r="E3436" s="1" t="s">
        <v>13</v>
      </c>
      <c r="F3436" s="1" t="s">
        <v>76</v>
      </c>
      <c r="G3436" s="1">
        <v>29</v>
      </c>
      <c r="H3436" s="23">
        <v>45271.964201388888</v>
      </c>
      <c r="I3436" s="1" t="b">
        <v>0</v>
      </c>
      <c r="K3436" s="10">
        <f t="shared" si="267"/>
        <v>8.3074999999953434</v>
      </c>
      <c r="L3436" s="1" t="str">
        <f t="shared" si="268"/>
        <v>OK</v>
      </c>
      <c r="M3436" s="1">
        <f t="shared" si="265"/>
        <v>1</v>
      </c>
      <c r="N3436" s="1">
        <f t="shared" si="266"/>
        <v>29</v>
      </c>
      <c r="O3436" s="10">
        <f t="shared" si="269"/>
        <v>8.3074999999953434</v>
      </c>
    </row>
    <row r="3437" spans="1:15">
      <c r="A3437" s="1" t="s">
        <v>3542</v>
      </c>
      <c r="B3437" s="23">
        <v>45271.65</v>
      </c>
      <c r="C3437" s="1" t="s">
        <v>16</v>
      </c>
      <c r="D3437" s="1" t="s">
        <v>17</v>
      </c>
      <c r="E3437" s="1" t="s">
        <v>13</v>
      </c>
      <c r="F3437" s="1" t="s">
        <v>98</v>
      </c>
      <c r="G3437" s="1">
        <v>44</v>
      </c>
      <c r="H3437" s="23">
        <v>45272.369502314818</v>
      </c>
      <c r="I3437" s="1" t="b">
        <v>0</v>
      </c>
      <c r="K3437" s="10">
        <f t="shared" si="267"/>
        <v>17.268055555585306</v>
      </c>
      <c r="L3437" s="1" t="str">
        <f t="shared" si="268"/>
        <v>OK</v>
      </c>
      <c r="M3437" s="1">
        <f t="shared" si="265"/>
        <v>1</v>
      </c>
      <c r="N3437" s="1">
        <f t="shared" si="266"/>
        <v>44</v>
      </c>
      <c r="O3437" s="10">
        <f t="shared" si="269"/>
        <v>17.268055555585306</v>
      </c>
    </row>
    <row r="3438" spans="1:15">
      <c r="A3438" s="1" t="s">
        <v>3543</v>
      </c>
      <c r="B3438" s="23">
        <v>45271.688888888886</v>
      </c>
      <c r="C3438" s="1" t="s">
        <v>16</v>
      </c>
      <c r="D3438" s="1" t="s">
        <v>12</v>
      </c>
      <c r="E3438" s="1" t="s">
        <v>22</v>
      </c>
      <c r="F3438" s="1" t="s">
        <v>86</v>
      </c>
      <c r="G3438" s="1">
        <v>14</v>
      </c>
      <c r="H3438" s="23">
        <v>45271.87290509259</v>
      </c>
      <c r="I3438" s="1" t="b">
        <v>0</v>
      </c>
      <c r="K3438" s="10">
        <f t="shared" si="267"/>
        <v>4.4163888889015652</v>
      </c>
      <c r="L3438" s="1" t="str">
        <f t="shared" si="268"/>
        <v>OK</v>
      </c>
      <c r="M3438" s="1">
        <f t="shared" si="265"/>
        <v>1</v>
      </c>
      <c r="N3438" s="1">
        <f t="shared" si="266"/>
        <v>14</v>
      </c>
      <c r="O3438" s="10">
        <f t="shared" si="269"/>
        <v>4.4163888889015652</v>
      </c>
    </row>
    <row r="3439" spans="1:15">
      <c r="A3439" s="1" t="s">
        <v>3544</v>
      </c>
      <c r="B3439" s="23">
        <v>45271.796527777777</v>
      </c>
      <c r="C3439" s="1" t="s">
        <v>43</v>
      </c>
      <c r="D3439" s="1" t="s">
        <v>59</v>
      </c>
      <c r="E3439" s="1" t="s">
        <v>18</v>
      </c>
      <c r="F3439" s="1" t="s">
        <v>145</v>
      </c>
      <c r="G3439" s="1">
        <v>36</v>
      </c>
      <c r="H3439" s="23">
        <v>45272.326840277776</v>
      </c>
      <c r="I3439" s="1" t="b">
        <v>0</v>
      </c>
      <c r="J3439" s="1">
        <v>4</v>
      </c>
      <c r="K3439" s="10">
        <f t="shared" si="267"/>
        <v>12.727499999979045</v>
      </c>
      <c r="L3439" s="1" t="str">
        <f t="shared" si="268"/>
        <v>OK</v>
      </c>
      <c r="M3439" s="1">
        <f t="shared" si="265"/>
        <v>1</v>
      </c>
      <c r="N3439" s="1">
        <f t="shared" si="266"/>
        <v>36</v>
      </c>
      <c r="O3439" s="10">
        <f t="shared" si="269"/>
        <v>12.727499999979045</v>
      </c>
    </row>
    <row r="3440" spans="1:15">
      <c r="A3440" s="1" t="s">
        <v>3545</v>
      </c>
      <c r="B3440" s="23">
        <v>45271.832638888889</v>
      </c>
      <c r="C3440" s="1" t="s">
        <v>25</v>
      </c>
      <c r="D3440" s="1" t="s">
        <v>21</v>
      </c>
      <c r="E3440" s="1" t="s">
        <v>33</v>
      </c>
      <c r="F3440" s="1" t="s">
        <v>96</v>
      </c>
      <c r="G3440" s="1">
        <v>113</v>
      </c>
      <c r="H3440" s="23">
        <v>45272.050937499997</v>
      </c>
      <c r="I3440" s="1" t="b">
        <v>0</v>
      </c>
      <c r="K3440" s="10">
        <f t="shared" si="267"/>
        <v>5.2391666665789671</v>
      </c>
      <c r="L3440" s="1" t="str">
        <f t="shared" si="268"/>
        <v>OK</v>
      </c>
      <c r="M3440" s="1">
        <f t="shared" si="265"/>
        <v>1</v>
      </c>
      <c r="N3440" s="1">
        <f t="shared" si="266"/>
        <v>113</v>
      </c>
      <c r="O3440" s="10">
        <f t="shared" si="269"/>
        <v>5.2391666665789671</v>
      </c>
    </row>
    <row r="3441" spans="1:15">
      <c r="A3441" s="1" t="s">
        <v>3546</v>
      </c>
      <c r="B3441" s="23">
        <v>45272.036805555559</v>
      </c>
      <c r="C3441" s="1" t="s">
        <v>16</v>
      </c>
      <c r="D3441" s="1" t="s">
        <v>21</v>
      </c>
      <c r="E3441" s="1" t="s">
        <v>33</v>
      </c>
      <c r="F3441" s="1" t="s">
        <v>128</v>
      </c>
      <c r="G3441" s="1">
        <v>188</v>
      </c>
      <c r="H3441" s="23">
        <v>45273.873506944445</v>
      </c>
      <c r="I3441" s="1" t="b">
        <v>1</v>
      </c>
      <c r="K3441" s="10">
        <f t="shared" si="267"/>
        <v>44.080833333253395</v>
      </c>
      <c r="L3441" s="1" t="str">
        <f t="shared" si="268"/>
        <v>OK</v>
      </c>
      <c r="M3441" s="1">
        <f t="shared" si="265"/>
        <v>1</v>
      </c>
      <c r="N3441" s="1">
        <f t="shared" si="266"/>
        <v>188</v>
      </c>
      <c r="O3441" s="10">
        <f t="shared" si="269"/>
        <v>44.080833333253395</v>
      </c>
    </row>
    <row r="3442" spans="1:15">
      <c r="A3442" s="1" t="s">
        <v>3547</v>
      </c>
      <c r="B3442" s="23">
        <v>45272.05972222222</v>
      </c>
      <c r="C3442" s="1" t="s">
        <v>25</v>
      </c>
      <c r="D3442" s="1" t="s">
        <v>21</v>
      </c>
      <c r="E3442" s="1" t="s">
        <v>13</v>
      </c>
      <c r="F3442" s="1" t="s">
        <v>167</v>
      </c>
      <c r="G3442" s="1">
        <v>34</v>
      </c>
      <c r="H3442" s="23">
        <v>45272.260162037041</v>
      </c>
      <c r="I3442" s="1" t="b">
        <v>0</v>
      </c>
      <c r="J3442" s="1">
        <v>5</v>
      </c>
      <c r="K3442" s="10">
        <f t="shared" si="267"/>
        <v>4.810555555683095</v>
      </c>
      <c r="L3442" s="1" t="str">
        <f t="shared" si="268"/>
        <v>OK</v>
      </c>
      <c r="M3442" s="1">
        <f t="shared" si="265"/>
        <v>1</v>
      </c>
      <c r="N3442" s="1">
        <f t="shared" si="266"/>
        <v>34</v>
      </c>
      <c r="O3442" s="10">
        <f t="shared" si="269"/>
        <v>4.810555555683095</v>
      </c>
    </row>
    <row r="3443" spans="1:15">
      <c r="A3443" s="1" t="s">
        <v>3548</v>
      </c>
      <c r="B3443" s="23">
        <v>45272.261111111111</v>
      </c>
      <c r="C3443" s="1" t="s">
        <v>16</v>
      </c>
      <c r="D3443" s="1" t="s">
        <v>12</v>
      </c>
      <c r="E3443" s="1" t="s">
        <v>18</v>
      </c>
      <c r="F3443" s="1" t="s">
        <v>226</v>
      </c>
      <c r="G3443" s="1">
        <v>12</v>
      </c>
      <c r="H3443" s="23">
        <v>45273.706620370373</v>
      </c>
      <c r="I3443" s="1" t="b">
        <v>1</v>
      </c>
      <c r="K3443" s="10">
        <f t="shared" si="267"/>
        <v>34.69222222227836</v>
      </c>
      <c r="L3443" s="1" t="str">
        <f t="shared" si="268"/>
        <v>OK</v>
      </c>
      <c r="M3443" s="1">
        <f t="shared" si="265"/>
        <v>1</v>
      </c>
      <c r="N3443" s="1">
        <f t="shared" si="266"/>
        <v>12</v>
      </c>
      <c r="O3443" s="10">
        <f t="shared" si="269"/>
        <v>34.69222222227836</v>
      </c>
    </row>
    <row r="3444" spans="1:15">
      <c r="A3444" s="1" t="s">
        <v>3549</v>
      </c>
      <c r="B3444" s="23">
        <v>45272.440972222219</v>
      </c>
      <c r="C3444" s="1" t="s">
        <v>25</v>
      </c>
      <c r="D3444" s="1" t="s">
        <v>17</v>
      </c>
      <c r="E3444" s="1" t="s">
        <v>18</v>
      </c>
      <c r="F3444" s="1" t="s">
        <v>228</v>
      </c>
      <c r="G3444" s="1">
        <v>619</v>
      </c>
      <c r="H3444" s="23">
        <v>45275.984953703701</v>
      </c>
      <c r="I3444" s="1" t="b">
        <v>0</v>
      </c>
      <c r="K3444" s="10">
        <f t="shared" si="267"/>
        <v>85.055555555562023</v>
      </c>
      <c r="L3444" s="1" t="str">
        <f t="shared" si="268"/>
        <v>OK</v>
      </c>
      <c r="M3444" s="1">
        <f t="shared" si="265"/>
        <v>1</v>
      </c>
      <c r="N3444" s="1">
        <f t="shared" si="266"/>
        <v>619</v>
      </c>
      <c r="O3444" s="10">
        <f t="shared" si="269"/>
        <v>85.055555555562023</v>
      </c>
    </row>
    <row r="3445" spans="1:15">
      <c r="A3445" s="1" t="s">
        <v>3550</v>
      </c>
      <c r="B3445" s="23">
        <v>45272.518055555556</v>
      </c>
      <c r="C3445" s="1" t="s">
        <v>11</v>
      </c>
      <c r="D3445" s="1" t="s">
        <v>17</v>
      </c>
      <c r="E3445" s="1" t="s">
        <v>22</v>
      </c>
      <c r="F3445" s="1" t="s">
        <v>167</v>
      </c>
      <c r="G3445" s="1">
        <v>6</v>
      </c>
      <c r="H3445" s="23">
        <v>45272.720578703702</v>
      </c>
      <c r="I3445" s="1" t="b">
        <v>0</v>
      </c>
      <c r="K3445" s="10">
        <f t="shared" si="267"/>
        <v>4.8605555554968305</v>
      </c>
      <c r="L3445" s="1" t="str">
        <f t="shared" si="268"/>
        <v>OK</v>
      </c>
      <c r="M3445" s="1">
        <f t="shared" si="265"/>
        <v>1</v>
      </c>
      <c r="N3445" s="1">
        <f t="shared" si="266"/>
        <v>6</v>
      </c>
      <c r="O3445" s="10">
        <f t="shared" si="269"/>
        <v>4.8605555554968305</v>
      </c>
    </row>
    <row r="3446" spans="1:15">
      <c r="A3446" s="1" t="s">
        <v>3551</v>
      </c>
      <c r="B3446" s="23">
        <v>45272.565972222219</v>
      </c>
      <c r="C3446" s="1" t="s">
        <v>43</v>
      </c>
      <c r="D3446" s="1" t="s">
        <v>17</v>
      </c>
      <c r="E3446" s="1" t="s">
        <v>13</v>
      </c>
      <c r="F3446" s="1" t="s">
        <v>302</v>
      </c>
      <c r="G3446" s="1">
        <v>20</v>
      </c>
      <c r="H3446" s="23">
        <v>45274.833553240744</v>
      </c>
      <c r="I3446" s="1" t="b">
        <v>0</v>
      </c>
      <c r="J3446" s="1">
        <v>5</v>
      </c>
      <c r="K3446" s="10">
        <f t="shared" si="267"/>
        <v>54.421944444591645</v>
      </c>
      <c r="L3446" s="1" t="str">
        <f t="shared" si="268"/>
        <v>OK</v>
      </c>
      <c r="M3446" s="1">
        <f t="shared" si="265"/>
        <v>1</v>
      </c>
      <c r="N3446" s="1">
        <f t="shared" si="266"/>
        <v>20</v>
      </c>
      <c r="O3446" s="10">
        <f t="shared" si="269"/>
        <v>54.421944444591645</v>
      </c>
    </row>
    <row r="3447" spans="1:15">
      <c r="A3447" s="1" t="s">
        <v>3552</v>
      </c>
      <c r="B3447" s="23">
        <v>45272.587500000001</v>
      </c>
      <c r="C3447" s="1" t="s">
        <v>16</v>
      </c>
      <c r="D3447" s="1" t="s">
        <v>17</v>
      </c>
      <c r="E3447" s="1" t="s">
        <v>33</v>
      </c>
      <c r="F3447" s="1" t="s">
        <v>48</v>
      </c>
      <c r="G3447" s="1">
        <v>78</v>
      </c>
      <c r="H3447" s="23">
        <v>45273.560555555552</v>
      </c>
      <c r="I3447" s="1" t="b">
        <v>0</v>
      </c>
      <c r="J3447" s="1">
        <v>4</v>
      </c>
      <c r="K3447" s="10">
        <f t="shared" si="267"/>
        <v>23.353333333216142</v>
      </c>
      <c r="L3447" s="1" t="str">
        <f t="shared" si="268"/>
        <v>OK</v>
      </c>
      <c r="M3447" s="1">
        <f t="shared" si="265"/>
        <v>1</v>
      </c>
      <c r="N3447" s="1">
        <f t="shared" si="266"/>
        <v>78</v>
      </c>
      <c r="O3447" s="10">
        <f t="shared" si="269"/>
        <v>23.353333333216142</v>
      </c>
    </row>
    <row r="3448" spans="1:15">
      <c r="A3448" s="1" t="s">
        <v>3553</v>
      </c>
      <c r="B3448" s="23">
        <v>45272.640972222223</v>
      </c>
      <c r="C3448" s="1" t="s">
        <v>25</v>
      </c>
      <c r="D3448" s="1" t="s">
        <v>17</v>
      </c>
      <c r="E3448" s="1" t="s">
        <v>33</v>
      </c>
      <c r="F3448" s="1" t="s">
        <v>44</v>
      </c>
      <c r="G3448" s="1">
        <v>64</v>
      </c>
      <c r="H3448" s="23">
        <v>45275.550324074073</v>
      </c>
      <c r="I3448" s="1" t="b">
        <v>0</v>
      </c>
      <c r="K3448" s="10">
        <f t="shared" si="267"/>
        <v>69.824444444384426</v>
      </c>
      <c r="L3448" s="1" t="str">
        <f t="shared" si="268"/>
        <v>OK</v>
      </c>
      <c r="M3448" s="1">
        <f t="shared" si="265"/>
        <v>1</v>
      </c>
      <c r="N3448" s="1">
        <f t="shared" si="266"/>
        <v>64</v>
      </c>
      <c r="O3448" s="10">
        <f t="shared" si="269"/>
        <v>69.824444444384426</v>
      </c>
    </row>
    <row r="3449" spans="1:15">
      <c r="A3449" s="1" t="s">
        <v>3554</v>
      </c>
      <c r="B3449" s="23">
        <v>45272.856944444444</v>
      </c>
      <c r="C3449" s="1" t="s">
        <v>16</v>
      </c>
      <c r="D3449" s="1" t="s">
        <v>59</v>
      </c>
      <c r="E3449" s="1" t="s">
        <v>18</v>
      </c>
      <c r="F3449" s="1" t="s">
        <v>132</v>
      </c>
      <c r="G3449" s="1">
        <v>20</v>
      </c>
      <c r="H3449" s="23">
        <v>45273.271921296298</v>
      </c>
      <c r="I3449" s="1" t="b">
        <v>0</v>
      </c>
      <c r="J3449" s="1">
        <v>5</v>
      </c>
      <c r="K3449" s="10">
        <f t="shared" si="267"/>
        <v>9.9594444445101544</v>
      </c>
      <c r="L3449" s="1" t="str">
        <f t="shared" si="268"/>
        <v>OK</v>
      </c>
      <c r="M3449" s="1">
        <f t="shared" si="265"/>
        <v>1</v>
      </c>
      <c r="N3449" s="1">
        <f t="shared" si="266"/>
        <v>20</v>
      </c>
      <c r="O3449" s="10">
        <f t="shared" si="269"/>
        <v>9.9594444445101544</v>
      </c>
    </row>
    <row r="3450" spans="1:15">
      <c r="A3450" s="1" t="s">
        <v>3555</v>
      </c>
      <c r="B3450" s="23">
        <v>45272.87777777778</v>
      </c>
      <c r="C3450" s="1" t="s">
        <v>43</v>
      </c>
      <c r="D3450" s="1" t="s">
        <v>12</v>
      </c>
      <c r="E3450" s="1" t="s">
        <v>18</v>
      </c>
      <c r="F3450" s="1" t="s">
        <v>76</v>
      </c>
      <c r="G3450" s="1">
        <v>569</v>
      </c>
      <c r="H3450" s="23">
        <v>45273.090671296297</v>
      </c>
      <c r="I3450" s="1" t="b">
        <v>0</v>
      </c>
      <c r="K3450" s="10">
        <f t="shared" si="267"/>
        <v>5.1094444444170222</v>
      </c>
      <c r="L3450" s="1" t="str">
        <f t="shared" si="268"/>
        <v>Review</v>
      </c>
      <c r="M3450" s="1">
        <f t="shared" si="265"/>
        <v>1</v>
      </c>
      <c r="N3450" s="1" t="str">
        <f t="shared" si="266"/>
        <v/>
      </c>
      <c r="O3450" s="10" t="str">
        <f t="shared" si="269"/>
        <v/>
      </c>
    </row>
    <row r="3451" spans="1:15">
      <c r="A3451" s="1" t="s">
        <v>3556</v>
      </c>
      <c r="B3451" s="23">
        <v>45272.982638888891</v>
      </c>
      <c r="C3451" s="1" t="s">
        <v>11</v>
      </c>
      <c r="D3451" s="1" t="s">
        <v>26</v>
      </c>
      <c r="E3451" s="1" t="s">
        <v>22</v>
      </c>
      <c r="F3451" s="1" t="s">
        <v>62</v>
      </c>
      <c r="H3451" s="23">
        <v>45273.370706018519</v>
      </c>
      <c r="I3451" s="1" t="b">
        <v>0</v>
      </c>
      <c r="K3451" s="10">
        <f t="shared" si="267"/>
        <v>9.3136111110798083</v>
      </c>
      <c r="L3451" s="1" t="str">
        <f t="shared" si="268"/>
        <v>Cannot check</v>
      </c>
      <c r="M3451" s="1">
        <f t="shared" si="265"/>
        <v>1</v>
      </c>
      <c r="N3451" s="1" t="str">
        <f t="shared" si="266"/>
        <v/>
      </c>
      <c r="O3451" s="10">
        <f t="shared" si="269"/>
        <v>9.3136111110798083</v>
      </c>
    </row>
    <row r="3452" spans="1:15">
      <c r="A3452" s="1" t="s">
        <v>3557</v>
      </c>
      <c r="B3452" s="23">
        <v>45273.243055555555</v>
      </c>
      <c r="C3452" s="1" t="s">
        <v>11</v>
      </c>
      <c r="D3452" s="1" t="s">
        <v>59</v>
      </c>
      <c r="E3452" s="1" t="s">
        <v>33</v>
      </c>
      <c r="F3452" s="1" t="s">
        <v>234</v>
      </c>
      <c r="G3452" s="1">
        <v>30</v>
      </c>
      <c r="H3452" s="23">
        <v>45274.017858796295</v>
      </c>
      <c r="I3452" s="1" t="b">
        <v>0</v>
      </c>
      <c r="K3452" s="10">
        <f t="shared" si="267"/>
        <v>18.595277777756564</v>
      </c>
      <c r="L3452" s="1" t="str">
        <f t="shared" si="268"/>
        <v>OK</v>
      </c>
      <c r="M3452" s="1">
        <f t="shared" si="265"/>
        <v>1</v>
      </c>
      <c r="N3452" s="1">
        <f t="shared" si="266"/>
        <v>30</v>
      </c>
      <c r="O3452" s="10">
        <f t="shared" si="269"/>
        <v>18.595277777756564</v>
      </c>
    </row>
    <row r="3453" spans="1:15">
      <c r="A3453" s="1" t="s">
        <v>3558</v>
      </c>
      <c r="B3453" s="23">
        <v>45273.357638888891</v>
      </c>
      <c r="C3453" s="1" t="s">
        <v>16</v>
      </c>
      <c r="D3453" s="1" t="s">
        <v>59</v>
      </c>
      <c r="E3453" s="1" t="s">
        <v>13</v>
      </c>
      <c r="F3453" s="1" t="s">
        <v>31</v>
      </c>
      <c r="G3453" s="1">
        <v>18</v>
      </c>
      <c r="H3453" s="23">
        <v>45273.46534722222</v>
      </c>
      <c r="I3453" s="1" t="b">
        <v>1</v>
      </c>
      <c r="K3453" s="10">
        <f t="shared" si="267"/>
        <v>2.5849999999045394</v>
      </c>
      <c r="L3453" s="1" t="str">
        <f t="shared" si="268"/>
        <v>OK</v>
      </c>
      <c r="M3453" s="1">
        <f t="shared" si="265"/>
        <v>1</v>
      </c>
      <c r="N3453" s="1">
        <f t="shared" si="266"/>
        <v>18</v>
      </c>
      <c r="O3453" s="10">
        <f t="shared" si="269"/>
        <v>2.5849999999045394</v>
      </c>
    </row>
    <row r="3454" spans="1:15">
      <c r="A3454" s="1" t="s">
        <v>3559</v>
      </c>
      <c r="B3454" s="23">
        <v>45273.425694444442</v>
      </c>
      <c r="C3454" s="1" t="s">
        <v>11</v>
      </c>
      <c r="D3454" s="1" t="s">
        <v>17</v>
      </c>
      <c r="E3454" s="1" t="s">
        <v>13</v>
      </c>
      <c r="F3454" s="1" t="s">
        <v>709</v>
      </c>
      <c r="G3454" s="1">
        <v>27</v>
      </c>
      <c r="H3454" s="23">
        <v>45274.82167824074</v>
      </c>
      <c r="I3454" s="1" t="b">
        <v>0</v>
      </c>
      <c r="K3454" s="10">
        <f t="shared" si="267"/>
        <v>33.503611111140344</v>
      </c>
      <c r="L3454" s="1" t="str">
        <f t="shared" si="268"/>
        <v>OK</v>
      </c>
      <c r="M3454" s="1">
        <f t="shared" si="265"/>
        <v>1</v>
      </c>
      <c r="N3454" s="1">
        <f t="shared" si="266"/>
        <v>27</v>
      </c>
      <c r="O3454" s="10">
        <f t="shared" si="269"/>
        <v>33.503611111140344</v>
      </c>
    </row>
    <row r="3455" spans="1:15">
      <c r="A3455" s="1" t="s">
        <v>3560</v>
      </c>
      <c r="B3455" s="23">
        <v>45273.507638888892</v>
      </c>
      <c r="C3455" s="1" t="s">
        <v>16</v>
      </c>
      <c r="D3455" s="1" t="s">
        <v>17</v>
      </c>
      <c r="E3455" s="1" t="s">
        <v>33</v>
      </c>
      <c r="F3455" s="1" t="s">
        <v>41</v>
      </c>
      <c r="G3455" s="1">
        <v>299</v>
      </c>
      <c r="I3455" s="1" t="b">
        <v>0</v>
      </c>
      <c r="K3455" s="10" t="str">
        <f t="shared" si="267"/>
        <v/>
      </c>
      <c r="L3455" s="1" t="str">
        <f t="shared" si="268"/>
        <v>Cannot check</v>
      </c>
      <c r="M3455" s="1">
        <f t="shared" si="265"/>
        <v>1</v>
      </c>
      <c r="N3455" s="1">
        <f t="shared" si="266"/>
        <v>299</v>
      </c>
      <c r="O3455" s="10" t="str">
        <f t="shared" si="269"/>
        <v/>
      </c>
    </row>
    <row r="3456" spans="1:15">
      <c r="A3456" s="1" t="s">
        <v>3561</v>
      </c>
      <c r="B3456" s="23">
        <v>45273.511805555558</v>
      </c>
      <c r="C3456" s="1" t="s">
        <v>25</v>
      </c>
      <c r="D3456" s="1" t="s">
        <v>17</v>
      </c>
      <c r="E3456" s="1" t="s">
        <v>22</v>
      </c>
      <c r="F3456" s="1" t="s">
        <v>96</v>
      </c>
      <c r="G3456" s="1">
        <v>12</v>
      </c>
      <c r="H3456" s="23">
        <v>45274.095011574071</v>
      </c>
      <c r="I3456" s="1" t="b">
        <v>0</v>
      </c>
      <c r="K3456" s="10">
        <f t="shared" si="267"/>
        <v>13.996944444312248</v>
      </c>
      <c r="L3456" s="1" t="str">
        <f t="shared" si="268"/>
        <v>OK</v>
      </c>
      <c r="M3456" s="1">
        <f t="shared" si="265"/>
        <v>1</v>
      </c>
      <c r="N3456" s="1">
        <f t="shared" si="266"/>
        <v>12</v>
      </c>
      <c r="O3456" s="10">
        <f t="shared" si="269"/>
        <v>13.996944444312248</v>
      </c>
    </row>
    <row r="3457" spans="1:15">
      <c r="A3457" s="1" t="s">
        <v>3562</v>
      </c>
      <c r="B3457" s="23">
        <v>45273.743750000001</v>
      </c>
      <c r="C3457" s="1" t="s">
        <v>16</v>
      </c>
      <c r="D3457" s="1" t="s">
        <v>21</v>
      </c>
      <c r="E3457" s="1" t="s">
        <v>18</v>
      </c>
      <c r="F3457" s="1" t="s">
        <v>39</v>
      </c>
      <c r="G3457" s="1">
        <v>341</v>
      </c>
      <c r="H3457" s="23">
        <v>45281.003553240742</v>
      </c>
      <c r="I3457" s="1" t="b">
        <v>0</v>
      </c>
      <c r="K3457" s="10">
        <f t="shared" si="267"/>
        <v>174.23527777777053</v>
      </c>
      <c r="L3457" s="1" t="str">
        <f t="shared" si="268"/>
        <v>OK</v>
      </c>
      <c r="M3457" s="1">
        <f t="shared" si="265"/>
        <v>1</v>
      </c>
      <c r="N3457" s="1">
        <f t="shared" si="266"/>
        <v>341</v>
      </c>
      <c r="O3457" s="10">
        <f t="shared" si="269"/>
        <v>174.23527777777053</v>
      </c>
    </row>
    <row r="3458" spans="1:15">
      <c r="A3458" s="1" t="s">
        <v>3563</v>
      </c>
      <c r="B3458" s="23">
        <v>45273.90625</v>
      </c>
      <c r="C3458" s="1" t="s">
        <v>11</v>
      </c>
      <c r="D3458" s="1" t="s">
        <v>26</v>
      </c>
      <c r="E3458" s="1" t="s">
        <v>33</v>
      </c>
      <c r="F3458" s="1" t="s">
        <v>254</v>
      </c>
      <c r="G3458" s="1">
        <v>124</v>
      </c>
      <c r="H3458" s="23">
        <v>45311.449872685182</v>
      </c>
      <c r="I3458" s="1" t="b">
        <v>0</v>
      </c>
      <c r="K3458" s="10">
        <f t="shared" si="267"/>
        <v>901.04694444435881</v>
      </c>
      <c r="L3458" s="1" t="str">
        <f t="shared" si="268"/>
        <v>OK</v>
      </c>
      <c r="M3458" s="1">
        <f t="shared" ref="M3458:M3521" si="270">COUNTIF($A$2:$A$4001,A3458)</f>
        <v>1</v>
      </c>
      <c r="N3458" s="1">
        <f t="shared" ref="N3458:N3521" si="271">IF(OR(L3458="Review",G3458=""),"",G3458)</f>
        <v>124</v>
      </c>
      <c r="O3458" s="10">
        <f t="shared" si="269"/>
        <v>901.04694444435881</v>
      </c>
    </row>
    <row r="3459" spans="1:15">
      <c r="A3459" s="1" t="s">
        <v>3564</v>
      </c>
      <c r="B3459" s="23">
        <v>45273.992361111108</v>
      </c>
      <c r="C3459" s="1" t="s">
        <v>25</v>
      </c>
      <c r="D3459" s="1" t="s">
        <v>26</v>
      </c>
      <c r="E3459" s="1" t="s">
        <v>33</v>
      </c>
      <c r="F3459" s="1" t="s">
        <v>201</v>
      </c>
      <c r="G3459" s="1">
        <v>92</v>
      </c>
      <c r="H3459" s="23">
        <v>45274.128009259257</v>
      </c>
      <c r="I3459" s="1" t="b">
        <v>0</v>
      </c>
      <c r="K3459" s="10">
        <f t="shared" ref="K3459:K3522" si="272">IF(H3459="","",(H3459-B3459)*24)</f>
        <v>3.2555555555736646</v>
      </c>
      <c r="L3459" s="1" t="str">
        <f t="shared" ref="L3459:L3522" si="273">IF(OR(G3459="",K3459=""),"Cannot check",IF(G3459&gt;K3459*60,"Review","OK"))</f>
        <v>OK</v>
      </c>
      <c r="M3459" s="1">
        <f t="shared" si="270"/>
        <v>1</v>
      </c>
      <c r="N3459" s="1">
        <f t="shared" si="271"/>
        <v>92</v>
      </c>
      <c r="O3459" s="10">
        <f t="shared" ref="O3459:O3522" si="274">IF(OR(L3459="Review",K3459=""),"",K3459)</f>
        <v>3.2555555555736646</v>
      </c>
    </row>
    <row r="3460" spans="1:15">
      <c r="A3460" s="1" t="s">
        <v>3565</v>
      </c>
      <c r="B3460" s="23">
        <v>45274.161805555559</v>
      </c>
      <c r="C3460" s="1" t="s">
        <v>43</v>
      </c>
      <c r="D3460" s="1" t="s">
        <v>21</v>
      </c>
      <c r="E3460" s="1" t="s">
        <v>18</v>
      </c>
      <c r="F3460" s="1" t="s">
        <v>62</v>
      </c>
      <c r="G3460" s="1">
        <v>158</v>
      </c>
      <c r="H3460" s="23">
        <v>45275.216296296298</v>
      </c>
      <c r="I3460" s="1" t="b">
        <v>1</v>
      </c>
      <c r="J3460" s="1">
        <v>5</v>
      </c>
      <c r="K3460" s="10">
        <f t="shared" si="272"/>
        <v>25.30777777772164</v>
      </c>
      <c r="L3460" s="1" t="str">
        <f t="shared" si="273"/>
        <v>OK</v>
      </c>
      <c r="M3460" s="1">
        <f t="shared" si="270"/>
        <v>1</v>
      </c>
      <c r="N3460" s="1">
        <f t="shared" si="271"/>
        <v>158</v>
      </c>
      <c r="O3460" s="10">
        <f t="shared" si="274"/>
        <v>25.30777777772164</v>
      </c>
    </row>
    <row r="3461" spans="1:15">
      <c r="A3461" s="1" t="s">
        <v>3566</v>
      </c>
      <c r="B3461" s="23">
        <v>45274.591666666667</v>
      </c>
      <c r="C3461" s="1" t="s">
        <v>11</v>
      </c>
      <c r="D3461" s="1" t="s">
        <v>12</v>
      </c>
      <c r="E3461" s="1" t="s">
        <v>18</v>
      </c>
      <c r="F3461" s="1" t="s">
        <v>118</v>
      </c>
      <c r="G3461" s="1">
        <v>139</v>
      </c>
      <c r="H3461" s="23">
        <v>45274.733182870368</v>
      </c>
      <c r="I3461" s="1" t="b">
        <v>0</v>
      </c>
      <c r="J3461" s="1">
        <v>2</v>
      </c>
      <c r="K3461" s="10">
        <f t="shared" si="272"/>
        <v>3.3963888888247311</v>
      </c>
      <c r="L3461" s="1" t="str">
        <f t="shared" si="273"/>
        <v>OK</v>
      </c>
      <c r="M3461" s="1">
        <f t="shared" si="270"/>
        <v>1</v>
      </c>
      <c r="N3461" s="1">
        <f t="shared" si="271"/>
        <v>139</v>
      </c>
      <c r="O3461" s="10">
        <f t="shared" si="274"/>
        <v>3.3963888888247311</v>
      </c>
    </row>
    <row r="3462" spans="1:15">
      <c r="A3462" s="1" t="s">
        <v>3567</v>
      </c>
      <c r="B3462" s="23">
        <v>45274.752083333333</v>
      </c>
      <c r="C3462" s="1" t="s">
        <v>43</v>
      </c>
      <c r="D3462" s="1" t="s">
        <v>59</v>
      </c>
      <c r="E3462" s="1" t="s">
        <v>18</v>
      </c>
      <c r="F3462" s="1" t="s">
        <v>31</v>
      </c>
      <c r="G3462" s="1">
        <v>125</v>
      </c>
      <c r="H3462" s="23">
        <v>45277.25267361111</v>
      </c>
      <c r="I3462" s="1" t="b">
        <v>0</v>
      </c>
      <c r="K3462" s="10">
        <f t="shared" si="272"/>
        <v>60.014166666660458</v>
      </c>
      <c r="L3462" s="1" t="str">
        <f t="shared" si="273"/>
        <v>OK</v>
      </c>
      <c r="M3462" s="1">
        <f t="shared" si="270"/>
        <v>1</v>
      </c>
      <c r="N3462" s="1">
        <f t="shared" si="271"/>
        <v>125</v>
      </c>
      <c r="O3462" s="10">
        <f t="shared" si="274"/>
        <v>60.014166666660458</v>
      </c>
    </row>
    <row r="3463" spans="1:15">
      <c r="A3463" s="1" t="s">
        <v>3568</v>
      </c>
      <c r="B3463" s="23">
        <v>45274.786805555559</v>
      </c>
      <c r="C3463" s="1" t="s">
        <v>16</v>
      </c>
      <c r="D3463" s="1" t="s">
        <v>59</v>
      </c>
      <c r="E3463" s="1" t="s">
        <v>33</v>
      </c>
      <c r="F3463" s="1" t="s">
        <v>254</v>
      </c>
      <c r="H3463" s="23">
        <v>45276.598726851851</v>
      </c>
      <c r="I3463" s="1" t="b">
        <v>1</v>
      </c>
      <c r="K3463" s="10">
        <f t="shared" si="272"/>
        <v>43.486111111007631</v>
      </c>
      <c r="L3463" s="1" t="str">
        <f t="shared" si="273"/>
        <v>Cannot check</v>
      </c>
      <c r="M3463" s="1">
        <f t="shared" si="270"/>
        <v>1</v>
      </c>
      <c r="N3463" s="1" t="str">
        <f t="shared" si="271"/>
        <v/>
      </c>
      <c r="O3463" s="10">
        <f t="shared" si="274"/>
        <v>43.486111111007631</v>
      </c>
    </row>
    <row r="3464" spans="1:15">
      <c r="A3464" s="1" t="s">
        <v>3569</v>
      </c>
      <c r="B3464" s="23">
        <v>45275.174305555556</v>
      </c>
      <c r="C3464" s="1" t="s">
        <v>16</v>
      </c>
      <c r="D3464" s="1" t="s">
        <v>21</v>
      </c>
      <c r="E3464" s="1" t="s">
        <v>18</v>
      </c>
      <c r="F3464" s="1" t="s">
        <v>274</v>
      </c>
      <c r="H3464" s="23">
        <v>45281.640127314815</v>
      </c>
      <c r="I3464" s="1" t="b">
        <v>0</v>
      </c>
      <c r="K3464" s="10">
        <f t="shared" si="272"/>
        <v>155.17972222220851</v>
      </c>
      <c r="L3464" s="1" t="str">
        <f t="shared" si="273"/>
        <v>Cannot check</v>
      </c>
      <c r="M3464" s="1">
        <f t="shared" si="270"/>
        <v>1</v>
      </c>
      <c r="N3464" s="1" t="str">
        <f t="shared" si="271"/>
        <v/>
      </c>
      <c r="O3464" s="10">
        <f t="shared" si="274"/>
        <v>155.17972222220851</v>
      </c>
    </row>
    <row r="3465" spans="1:15">
      <c r="A3465" s="1" t="s">
        <v>3570</v>
      </c>
      <c r="B3465" s="23">
        <v>45275.265972222223</v>
      </c>
      <c r="C3465" s="1" t="s">
        <v>25</v>
      </c>
      <c r="D3465" s="1" t="s">
        <v>59</v>
      </c>
      <c r="E3465" s="1" t="s">
        <v>13</v>
      </c>
      <c r="F3465" s="1" t="s">
        <v>256</v>
      </c>
      <c r="G3465" s="1">
        <v>11</v>
      </c>
      <c r="H3465" s="23">
        <v>45276.079189814816</v>
      </c>
      <c r="I3465" s="1" t="b">
        <v>0</v>
      </c>
      <c r="K3465" s="10">
        <f t="shared" si="272"/>
        <v>19.517222222231794</v>
      </c>
      <c r="L3465" s="1" t="str">
        <f t="shared" si="273"/>
        <v>OK</v>
      </c>
      <c r="M3465" s="1">
        <f t="shared" si="270"/>
        <v>1</v>
      </c>
      <c r="N3465" s="1">
        <f t="shared" si="271"/>
        <v>11</v>
      </c>
      <c r="O3465" s="10">
        <f t="shared" si="274"/>
        <v>19.517222222231794</v>
      </c>
    </row>
    <row r="3466" spans="1:15">
      <c r="A3466" s="1" t="s">
        <v>3571</v>
      </c>
      <c r="B3466" s="23">
        <v>45275.459027777775</v>
      </c>
      <c r="C3466" s="1" t="s">
        <v>43</v>
      </c>
      <c r="D3466" s="1" t="s">
        <v>12</v>
      </c>
      <c r="E3466" s="1" t="s">
        <v>13</v>
      </c>
      <c r="F3466" s="1" t="s">
        <v>254</v>
      </c>
      <c r="G3466" s="1">
        <v>68</v>
      </c>
      <c r="H3466" s="23">
        <v>45276.742245370369</v>
      </c>
      <c r="I3466" s="1" t="b">
        <v>0</v>
      </c>
      <c r="J3466" s="1">
        <v>4</v>
      </c>
      <c r="K3466" s="10">
        <f t="shared" si="272"/>
        <v>30.797222222259734</v>
      </c>
      <c r="L3466" s="1" t="str">
        <f t="shared" si="273"/>
        <v>OK</v>
      </c>
      <c r="M3466" s="1">
        <f t="shared" si="270"/>
        <v>1</v>
      </c>
      <c r="N3466" s="1">
        <f t="shared" si="271"/>
        <v>68</v>
      </c>
      <c r="O3466" s="10">
        <f t="shared" si="274"/>
        <v>30.797222222259734</v>
      </c>
    </row>
    <row r="3467" spans="1:15">
      <c r="A3467" s="1" t="s">
        <v>3572</v>
      </c>
      <c r="B3467" s="23">
        <v>45275.567361111112</v>
      </c>
      <c r="C3467" s="1" t="s">
        <v>11</v>
      </c>
      <c r="D3467" s="1" t="s">
        <v>21</v>
      </c>
      <c r="E3467" s="1" t="s">
        <v>33</v>
      </c>
      <c r="F3467" s="1" t="s">
        <v>186</v>
      </c>
      <c r="G3467" s="1">
        <v>264</v>
      </c>
      <c r="H3467" s="23">
        <v>45277.487268518518</v>
      </c>
      <c r="I3467" s="1" t="b">
        <v>0</v>
      </c>
      <c r="K3467" s="10">
        <f t="shared" si="272"/>
        <v>46.077777777740266</v>
      </c>
      <c r="L3467" s="1" t="str">
        <f t="shared" si="273"/>
        <v>OK</v>
      </c>
      <c r="M3467" s="1">
        <f t="shared" si="270"/>
        <v>1</v>
      </c>
      <c r="N3467" s="1">
        <f t="shared" si="271"/>
        <v>264</v>
      </c>
      <c r="O3467" s="10">
        <f t="shared" si="274"/>
        <v>46.077777777740266</v>
      </c>
    </row>
    <row r="3468" spans="1:15">
      <c r="A3468" s="1" t="s">
        <v>3573</v>
      </c>
      <c r="B3468" s="23">
        <v>45275.604861111111</v>
      </c>
      <c r="C3468" s="1" t="s">
        <v>11</v>
      </c>
      <c r="D3468" s="1" t="s">
        <v>17</v>
      </c>
      <c r="E3468" s="1" t="s">
        <v>33</v>
      </c>
      <c r="F3468" s="1" t="s">
        <v>130</v>
      </c>
      <c r="G3468" s="1">
        <v>618</v>
      </c>
      <c r="H3468" s="23">
        <v>45279.468310185184</v>
      </c>
      <c r="I3468" s="1" t="b">
        <v>0</v>
      </c>
      <c r="J3468" s="1">
        <v>4</v>
      </c>
      <c r="K3468" s="10">
        <f t="shared" si="272"/>
        <v>92.722777777758893</v>
      </c>
      <c r="L3468" s="1" t="str">
        <f t="shared" si="273"/>
        <v>OK</v>
      </c>
      <c r="M3468" s="1">
        <f t="shared" si="270"/>
        <v>1</v>
      </c>
      <c r="N3468" s="1">
        <f t="shared" si="271"/>
        <v>618</v>
      </c>
      <c r="O3468" s="10">
        <f t="shared" si="274"/>
        <v>92.722777777758893</v>
      </c>
    </row>
    <row r="3469" spans="1:15">
      <c r="A3469" s="1" t="s">
        <v>3574</v>
      </c>
      <c r="B3469" s="23">
        <v>45275.725694444445</v>
      </c>
      <c r="C3469" s="1" t="s">
        <v>25</v>
      </c>
      <c r="D3469" s="1" t="s">
        <v>21</v>
      </c>
      <c r="E3469" s="1" t="s">
        <v>13</v>
      </c>
      <c r="F3469" s="1" t="s">
        <v>68</v>
      </c>
      <c r="G3469" s="1">
        <v>71</v>
      </c>
      <c r="H3469" s="23">
        <v>45275.796261574076</v>
      </c>
      <c r="I3469" s="1" t="b">
        <v>0</v>
      </c>
      <c r="K3469" s="10">
        <f t="shared" si="272"/>
        <v>1.6936111111426726</v>
      </c>
      <c r="L3469" s="1" t="str">
        <f t="shared" si="273"/>
        <v>OK</v>
      </c>
      <c r="M3469" s="1">
        <f t="shared" si="270"/>
        <v>1</v>
      </c>
      <c r="N3469" s="1">
        <f t="shared" si="271"/>
        <v>71</v>
      </c>
      <c r="O3469" s="10">
        <f t="shared" si="274"/>
        <v>1.6936111111426726</v>
      </c>
    </row>
    <row r="3470" spans="1:15">
      <c r="A3470" s="1" t="s">
        <v>3575</v>
      </c>
      <c r="B3470" s="23">
        <v>45275.84652777778</v>
      </c>
      <c r="C3470" s="1" t="s">
        <v>43</v>
      </c>
      <c r="D3470" s="1" t="s">
        <v>17</v>
      </c>
      <c r="E3470" s="1" t="s">
        <v>22</v>
      </c>
      <c r="F3470" s="1" t="s">
        <v>27</v>
      </c>
      <c r="G3470" s="1">
        <v>10</v>
      </c>
      <c r="H3470" s="23">
        <v>45276.458807870367</v>
      </c>
      <c r="I3470" s="1" t="b">
        <v>0</v>
      </c>
      <c r="J3470" s="1">
        <v>4</v>
      </c>
      <c r="K3470" s="10">
        <f t="shared" si="272"/>
        <v>14.694722222106066</v>
      </c>
      <c r="L3470" s="1" t="str">
        <f t="shared" si="273"/>
        <v>OK</v>
      </c>
      <c r="M3470" s="1">
        <f t="shared" si="270"/>
        <v>1</v>
      </c>
      <c r="N3470" s="1">
        <f t="shared" si="271"/>
        <v>10</v>
      </c>
      <c r="O3470" s="10">
        <f t="shared" si="274"/>
        <v>14.694722222106066</v>
      </c>
    </row>
    <row r="3471" spans="1:15">
      <c r="A3471" s="1" t="s">
        <v>3576</v>
      </c>
      <c r="B3471" s="23">
        <v>45275.915972222225</v>
      </c>
      <c r="C3471" s="1" t="s">
        <v>16</v>
      </c>
      <c r="D3471" s="1" t="s">
        <v>17</v>
      </c>
      <c r="E3471" s="1" t="s">
        <v>18</v>
      </c>
      <c r="F3471" s="1" t="s">
        <v>62</v>
      </c>
      <c r="G3471" s="1">
        <v>51</v>
      </c>
      <c r="H3471" s="23">
        <v>45276.285879629628</v>
      </c>
      <c r="I3471" s="1" t="b">
        <v>0</v>
      </c>
      <c r="K3471" s="10">
        <f t="shared" si="272"/>
        <v>8.877777777670417</v>
      </c>
      <c r="L3471" s="1" t="str">
        <f t="shared" si="273"/>
        <v>OK</v>
      </c>
      <c r="M3471" s="1">
        <f t="shared" si="270"/>
        <v>1</v>
      </c>
      <c r="N3471" s="1">
        <f t="shared" si="271"/>
        <v>51</v>
      </c>
      <c r="O3471" s="10">
        <f t="shared" si="274"/>
        <v>8.877777777670417</v>
      </c>
    </row>
    <row r="3472" spans="1:15">
      <c r="A3472" s="1" t="s">
        <v>3577</v>
      </c>
      <c r="B3472" s="23">
        <v>45276.115277777775</v>
      </c>
      <c r="C3472" s="1" t="s">
        <v>11</v>
      </c>
      <c r="D3472" s="1" t="s">
        <v>17</v>
      </c>
      <c r="E3472" s="1" t="s">
        <v>33</v>
      </c>
      <c r="F3472" s="1" t="s">
        <v>134</v>
      </c>
      <c r="G3472" s="1">
        <v>22</v>
      </c>
      <c r="H3472" s="23">
        <v>45281.62122685185</v>
      </c>
      <c r="I3472" s="1" t="b">
        <v>0</v>
      </c>
      <c r="K3472" s="10">
        <f t="shared" si="272"/>
        <v>132.1427777778008</v>
      </c>
      <c r="L3472" s="1" t="str">
        <f t="shared" si="273"/>
        <v>OK</v>
      </c>
      <c r="M3472" s="1">
        <f t="shared" si="270"/>
        <v>1</v>
      </c>
      <c r="N3472" s="1">
        <f t="shared" si="271"/>
        <v>22</v>
      </c>
      <c r="O3472" s="10">
        <f t="shared" si="274"/>
        <v>132.1427777778008</v>
      </c>
    </row>
    <row r="3473" spans="1:15">
      <c r="A3473" s="1" t="s">
        <v>3578</v>
      </c>
      <c r="B3473" s="23">
        <v>45276.462500000001</v>
      </c>
      <c r="C3473" s="1" t="s">
        <v>43</v>
      </c>
      <c r="D3473" s="1" t="s">
        <v>17</v>
      </c>
      <c r="E3473" s="1" t="s">
        <v>22</v>
      </c>
      <c r="F3473" s="1" t="s">
        <v>145</v>
      </c>
      <c r="G3473" s="1">
        <v>83</v>
      </c>
      <c r="H3473" s="23">
        <v>45276.623391203706</v>
      </c>
      <c r="I3473" s="1" t="b">
        <v>0</v>
      </c>
      <c r="J3473" s="1">
        <v>3</v>
      </c>
      <c r="K3473" s="10">
        <f t="shared" si="272"/>
        <v>3.8613888889085501</v>
      </c>
      <c r="L3473" s="1" t="str">
        <f t="shared" si="273"/>
        <v>OK</v>
      </c>
      <c r="M3473" s="1">
        <f t="shared" si="270"/>
        <v>1</v>
      </c>
      <c r="N3473" s="1">
        <f t="shared" si="271"/>
        <v>83</v>
      </c>
      <c r="O3473" s="10">
        <f t="shared" si="274"/>
        <v>3.8613888889085501</v>
      </c>
    </row>
    <row r="3474" spans="1:15">
      <c r="A3474" s="1" t="s">
        <v>3579</v>
      </c>
      <c r="B3474" s="23">
        <v>45276.555555555555</v>
      </c>
      <c r="C3474" s="1" t="s">
        <v>16</v>
      </c>
      <c r="D3474" s="1" t="s">
        <v>21</v>
      </c>
      <c r="E3474" s="1" t="s">
        <v>18</v>
      </c>
      <c r="F3474" s="1" t="s">
        <v>145</v>
      </c>
      <c r="G3474" s="1">
        <v>183</v>
      </c>
      <c r="H3474" s="23">
        <v>45277.179178240738</v>
      </c>
      <c r="I3474" s="1" t="b">
        <v>0</v>
      </c>
      <c r="J3474" s="1">
        <v>4</v>
      </c>
      <c r="K3474" s="10">
        <f t="shared" si="272"/>
        <v>14.966944444400724</v>
      </c>
      <c r="L3474" s="1" t="str">
        <f t="shared" si="273"/>
        <v>OK</v>
      </c>
      <c r="M3474" s="1">
        <f t="shared" si="270"/>
        <v>1</v>
      </c>
      <c r="N3474" s="1">
        <f t="shared" si="271"/>
        <v>183</v>
      </c>
      <c r="O3474" s="10">
        <f t="shared" si="274"/>
        <v>14.966944444400724</v>
      </c>
    </row>
    <row r="3475" spans="1:15">
      <c r="A3475" s="1" t="s">
        <v>3580</v>
      </c>
      <c r="B3475" s="23">
        <v>45276.598611111112</v>
      </c>
      <c r="C3475" s="1" t="s">
        <v>25</v>
      </c>
      <c r="D3475" s="1" t="s">
        <v>12</v>
      </c>
      <c r="E3475" s="1" t="s">
        <v>18</v>
      </c>
      <c r="F3475" s="1" t="s">
        <v>57</v>
      </c>
      <c r="G3475" s="1">
        <v>69</v>
      </c>
      <c r="H3475" s="23">
        <v>45278.589062500003</v>
      </c>
      <c r="I3475" s="1" t="b">
        <v>0</v>
      </c>
      <c r="K3475" s="10">
        <f t="shared" si="272"/>
        <v>47.770833333372138</v>
      </c>
      <c r="L3475" s="1" t="str">
        <f t="shared" si="273"/>
        <v>OK</v>
      </c>
      <c r="M3475" s="1">
        <f t="shared" si="270"/>
        <v>1</v>
      </c>
      <c r="N3475" s="1">
        <f t="shared" si="271"/>
        <v>69</v>
      </c>
      <c r="O3475" s="10">
        <f t="shared" si="274"/>
        <v>47.770833333372138</v>
      </c>
    </row>
    <row r="3476" spans="1:15">
      <c r="A3476" s="1" t="s">
        <v>3581</v>
      </c>
      <c r="B3476" s="23">
        <v>45276.603472222225</v>
      </c>
      <c r="C3476" s="1" t="s">
        <v>25</v>
      </c>
      <c r="D3476" s="1" t="s">
        <v>21</v>
      </c>
      <c r="E3476" s="1" t="s">
        <v>18</v>
      </c>
      <c r="F3476" s="1" t="s">
        <v>80</v>
      </c>
      <c r="G3476" s="1">
        <v>106</v>
      </c>
      <c r="H3476" s="23">
        <v>45276.850046296298</v>
      </c>
      <c r="I3476" s="1" t="b">
        <v>0</v>
      </c>
      <c r="J3476" s="1">
        <v>4</v>
      </c>
      <c r="K3476" s="10">
        <f t="shared" si="272"/>
        <v>5.9177777777658775</v>
      </c>
      <c r="L3476" s="1" t="str">
        <f t="shared" si="273"/>
        <v>OK</v>
      </c>
      <c r="M3476" s="1">
        <f t="shared" si="270"/>
        <v>1</v>
      </c>
      <c r="N3476" s="1">
        <f t="shared" si="271"/>
        <v>106</v>
      </c>
      <c r="O3476" s="10">
        <f t="shared" si="274"/>
        <v>5.9177777777658775</v>
      </c>
    </row>
    <row r="3477" spans="1:15">
      <c r="A3477" s="1" t="s">
        <v>3582</v>
      </c>
      <c r="B3477" s="23">
        <v>45276.622916666667</v>
      </c>
      <c r="C3477" s="1" t="s">
        <v>16</v>
      </c>
      <c r="D3477" s="1" t="s">
        <v>21</v>
      </c>
      <c r="E3477" s="1" t="s">
        <v>33</v>
      </c>
      <c r="F3477" s="1" t="s">
        <v>186</v>
      </c>
      <c r="G3477" s="1">
        <v>115</v>
      </c>
      <c r="H3477" s="23">
        <v>45278.895196759258</v>
      </c>
      <c r="I3477" s="1" t="b">
        <v>0</v>
      </c>
      <c r="J3477" s="1">
        <v>5</v>
      </c>
      <c r="K3477" s="10">
        <f t="shared" si="272"/>
        <v>54.534722222189885</v>
      </c>
      <c r="L3477" s="1" t="str">
        <f t="shared" si="273"/>
        <v>OK</v>
      </c>
      <c r="M3477" s="1">
        <f t="shared" si="270"/>
        <v>1</v>
      </c>
      <c r="N3477" s="1">
        <f t="shared" si="271"/>
        <v>115</v>
      </c>
      <c r="O3477" s="10">
        <f t="shared" si="274"/>
        <v>54.534722222189885</v>
      </c>
    </row>
    <row r="3478" spans="1:15">
      <c r="A3478" s="1" t="s">
        <v>3583</v>
      </c>
      <c r="B3478" s="23">
        <v>45276.623611111114</v>
      </c>
      <c r="C3478" s="1" t="s">
        <v>25</v>
      </c>
      <c r="D3478" s="1" t="s">
        <v>17</v>
      </c>
      <c r="E3478" s="1" t="s">
        <v>13</v>
      </c>
      <c r="F3478" s="1" t="s">
        <v>175</v>
      </c>
      <c r="G3478" s="1">
        <v>20</v>
      </c>
      <c r="I3478" s="1" t="b">
        <v>0</v>
      </c>
      <c r="K3478" s="10" t="str">
        <f t="shared" si="272"/>
        <v/>
      </c>
      <c r="L3478" s="1" t="str">
        <f t="shared" si="273"/>
        <v>Cannot check</v>
      </c>
      <c r="M3478" s="1">
        <f t="shared" si="270"/>
        <v>1</v>
      </c>
      <c r="N3478" s="1">
        <f t="shared" si="271"/>
        <v>20</v>
      </c>
      <c r="O3478" s="10" t="str">
        <f t="shared" si="274"/>
        <v/>
      </c>
    </row>
    <row r="3479" spans="1:15">
      <c r="A3479" s="1" t="s">
        <v>3584</v>
      </c>
      <c r="B3479" s="23">
        <v>45276.626388888886</v>
      </c>
      <c r="C3479" s="1" t="s">
        <v>11</v>
      </c>
      <c r="D3479" s="1" t="s">
        <v>21</v>
      </c>
      <c r="E3479" s="1" t="s">
        <v>18</v>
      </c>
      <c r="F3479" s="1" t="s">
        <v>134</v>
      </c>
      <c r="G3479" s="1">
        <v>94</v>
      </c>
      <c r="H3479" s="23">
        <v>45282.483229166668</v>
      </c>
      <c r="I3479" s="1" t="b">
        <v>0</v>
      </c>
      <c r="J3479" s="1">
        <v>5</v>
      </c>
      <c r="K3479" s="10">
        <f t="shared" si="272"/>
        <v>140.56416666676523</v>
      </c>
      <c r="L3479" s="1" t="str">
        <f t="shared" si="273"/>
        <v>OK</v>
      </c>
      <c r="M3479" s="1">
        <f t="shared" si="270"/>
        <v>1</v>
      </c>
      <c r="N3479" s="1">
        <f t="shared" si="271"/>
        <v>94</v>
      </c>
      <c r="O3479" s="10">
        <f t="shared" si="274"/>
        <v>140.56416666676523</v>
      </c>
    </row>
    <row r="3480" spans="1:15">
      <c r="A3480" s="1" t="s">
        <v>3585</v>
      </c>
      <c r="B3480" s="23">
        <v>45276.629861111112</v>
      </c>
      <c r="C3480" s="1" t="s">
        <v>16</v>
      </c>
      <c r="D3480" s="1" t="s">
        <v>21</v>
      </c>
      <c r="E3480" s="1" t="s">
        <v>33</v>
      </c>
      <c r="F3480" s="1" t="s">
        <v>50</v>
      </c>
      <c r="G3480" s="1">
        <v>139</v>
      </c>
      <c r="H3480" s="23">
        <v>45278.310937499999</v>
      </c>
      <c r="I3480" s="1" t="b">
        <v>0</v>
      </c>
      <c r="K3480" s="10">
        <f t="shared" si="272"/>
        <v>40.345833333267365</v>
      </c>
      <c r="L3480" s="1" t="str">
        <f t="shared" si="273"/>
        <v>OK</v>
      </c>
      <c r="M3480" s="1">
        <f t="shared" si="270"/>
        <v>1</v>
      </c>
      <c r="N3480" s="1">
        <f t="shared" si="271"/>
        <v>139</v>
      </c>
      <c r="O3480" s="10">
        <f t="shared" si="274"/>
        <v>40.345833333267365</v>
      </c>
    </row>
    <row r="3481" spans="1:15">
      <c r="A3481" s="1" t="s">
        <v>3586</v>
      </c>
      <c r="B3481" s="23">
        <v>45276.734722222223</v>
      </c>
      <c r="C3481" s="1" t="s">
        <v>25</v>
      </c>
      <c r="D3481" s="1" t="s">
        <v>21</v>
      </c>
      <c r="E3481" s="1" t="s">
        <v>18</v>
      </c>
      <c r="F3481" s="1" t="s">
        <v>120</v>
      </c>
      <c r="G3481" s="1">
        <v>18</v>
      </c>
      <c r="H3481" s="23">
        <v>45277.788923611108</v>
      </c>
      <c r="I3481" s="1" t="b">
        <v>0</v>
      </c>
      <c r="J3481" s="1">
        <v>4</v>
      </c>
      <c r="K3481" s="10">
        <f t="shared" si="272"/>
        <v>25.300833333225455</v>
      </c>
      <c r="L3481" s="1" t="str">
        <f t="shared" si="273"/>
        <v>OK</v>
      </c>
      <c r="M3481" s="1">
        <f t="shared" si="270"/>
        <v>1</v>
      </c>
      <c r="N3481" s="1">
        <f t="shared" si="271"/>
        <v>18</v>
      </c>
      <c r="O3481" s="10">
        <f t="shared" si="274"/>
        <v>25.300833333225455</v>
      </c>
    </row>
    <row r="3482" spans="1:15">
      <c r="A3482" s="1" t="s">
        <v>3587</v>
      </c>
      <c r="B3482" s="23">
        <v>45276.777777777781</v>
      </c>
      <c r="C3482" s="1" t="s">
        <v>16</v>
      </c>
      <c r="D3482" s="1" t="s">
        <v>17</v>
      </c>
      <c r="E3482" s="1" t="s">
        <v>13</v>
      </c>
      <c r="F3482" s="1" t="s">
        <v>19</v>
      </c>
      <c r="G3482" s="1">
        <v>139</v>
      </c>
      <c r="H3482" s="23">
        <v>45280.202175925922</v>
      </c>
      <c r="I3482" s="1" t="b">
        <v>0</v>
      </c>
      <c r="K3482" s="10">
        <f t="shared" si="272"/>
        <v>82.185555555392057</v>
      </c>
      <c r="L3482" s="1" t="str">
        <f t="shared" si="273"/>
        <v>OK</v>
      </c>
      <c r="M3482" s="1">
        <f t="shared" si="270"/>
        <v>1</v>
      </c>
      <c r="N3482" s="1">
        <f t="shared" si="271"/>
        <v>139</v>
      </c>
      <c r="O3482" s="10">
        <f t="shared" si="274"/>
        <v>82.185555555392057</v>
      </c>
    </row>
    <row r="3483" spans="1:15">
      <c r="A3483" s="1" t="s">
        <v>3588</v>
      </c>
      <c r="B3483" s="23">
        <v>45276.80972222222</v>
      </c>
      <c r="C3483" s="1" t="s">
        <v>16</v>
      </c>
      <c r="D3483" s="1" t="s">
        <v>17</v>
      </c>
      <c r="E3483" s="1" t="s">
        <v>18</v>
      </c>
      <c r="F3483" s="1" t="s">
        <v>224</v>
      </c>
      <c r="G3483" s="1">
        <v>193</v>
      </c>
      <c r="H3483" s="23">
        <v>45278.508657407408</v>
      </c>
      <c r="I3483" s="1" t="b">
        <v>0</v>
      </c>
      <c r="K3483" s="10">
        <f t="shared" si="272"/>
        <v>40.774444444512483</v>
      </c>
      <c r="L3483" s="1" t="str">
        <f t="shared" si="273"/>
        <v>OK</v>
      </c>
      <c r="M3483" s="1">
        <f t="shared" si="270"/>
        <v>1</v>
      </c>
      <c r="N3483" s="1">
        <f t="shared" si="271"/>
        <v>193</v>
      </c>
      <c r="O3483" s="10">
        <f t="shared" si="274"/>
        <v>40.774444444512483</v>
      </c>
    </row>
    <row r="3484" spans="1:15">
      <c r="A3484" s="1" t="s">
        <v>3589</v>
      </c>
      <c r="B3484" s="23">
        <v>45276.828472222223</v>
      </c>
      <c r="C3484" s="1" t="s">
        <v>25</v>
      </c>
      <c r="D3484" s="1" t="s">
        <v>21</v>
      </c>
      <c r="E3484" s="1" t="s">
        <v>33</v>
      </c>
      <c r="F3484" s="1" t="s">
        <v>112</v>
      </c>
      <c r="G3484" s="1">
        <v>1123</v>
      </c>
      <c r="H3484" s="23">
        <v>45277.670266203706</v>
      </c>
      <c r="I3484" s="1" t="b">
        <v>0</v>
      </c>
      <c r="J3484" s="1">
        <v>4</v>
      </c>
      <c r="K3484" s="10">
        <f t="shared" si="272"/>
        <v>20.203055555582978</v>
      </c>
      <c r="L3484" s="1" t="str">
        <f t="shared" si="273"/>
        <v>OK</v>
      </c>
      <c r="M3484" s="1">
        <f t="shared" si="270"/>
        <v>1</v>
      </c>
      <c r="N3484" s="1">
        <f t="shared" si="271"/>
        <v>1123</v>
      </c>
      <c r="O3484" s="10">
        <f t="shared" si="274"/>
        <v>20.203055555582978</v>
      </c>
    </row>
    <row r="3485" spans="1:15">
      <c r="A3485" s="1" t="s">
        <v>3590</v>
      </c>
      <c r="B3485" s="23">
        <v>45276.874305555553</v>
      </c>
      <c r="C3485" s="1" t="s">
        <v>25</v>
      </c>
      <c r="D3485" s="1" t="s">
        <v>21</v>
      </c>
      <c r="E3485" s="1" t="s">
        <v>33</v>
      </c>
      <c r="F3485" s="1" t="s">
        <v>98</v>
      </c>
      <c r="G3485" s="1">
        <v>65</v>
      </c>
      <c r="I3485" s="1" t="b">
        <v>0</v>
      </c>
      <c r="K3485" s="10" t="str">
        <f t="shared" si="272"/>
        <v/>
      </c>
      <c r="L3485" s="1" t="str">
        <f t="shared" si="273"/>
        <v>Cannot check</v>
      </c>
      <c r="M3485" s="1">
        <f t="shared" si="270"/>
        <v>1</v>
      </c>
      <c r="N3485" s="1">
        <f t="shared" si="271"/>
        <v>65</v>
      </c>
      <c r="O3485" s="10" t="str">
        <f t="shared" si="274"/>
        <v/>
      </c>
    </row>
    <row r="3486" spans="1:15">
      <c r="A3486" s="1" t="s">
        <v>3591</v>
      </c>
      <c r="B3486" s="23">
        <v>45277.448611111111</v>
      </c>
      <c r="C3486" s="1" t="s">
        <v>25</v>
      </c>
      <c r="D3486" s="1" t="s">
        <v>59</v>
      </c>
      <c r="E3486" s="1" t="s">
        <v>13</v>
      </c>
      <c r="F3486" s="1" t="s">
        <v>198</v>
      </c>
      <c r="G3486" s="1">
        <v>72</v>
      </c>
      <c r="H3486" s="23">
        <v>45279.048101851855</v>
      </c>
      <c r="I3486" s="1" t="b">
        <v>0</v>
      </c>
      <c r="K3486" s="10">
        <f t="shared" si="272"/>
        <v>38.387777777854353</v>
      </c>
      <c r="L3486" s="1" t="str">
        <f t="shared" si="273"/>
        <v>OK</v>
      </c>
      <c r="M3486" s="1">
        <f t="shared" si="270"/>
        <v>1</v>
      </c>
      <c r="N3486" s="1">
        <f t="shared" si="271"/>
        <v>72</v>
      </c>
      <c r="O3486" s="10">
        <f t="shared" si="274"/>
        <v>38.387777777854353</v>
      </c>
    </row>
    <row r="3487" spans="1:15">
      <c r="A3487" s="1" t="s">
        <v>3592</v>
      </c>
      <c r="B3487" s="23">
        <v>45277.69027777778</v>
      </c>
      <c r="C3487" s="1" t="s">
        <v>16</v>
      </c>
      <c r="D3487" s="1" t="s">
        <v>17</v>
      </c>
      <c r="E3487" s="1" t="s">
        <v>33</v>
      </c>
      <c r="F3487" s="1" t="s">
        <v>46</v>
      </c>
      <c r="G3487" s="1">
        <v>302</v>
      </c>
      <c r="H3487" s="23">
        <v>45279.044872685183</v>
      </c>
      <c r="I3487" s="1" t="b">
        <v>1</v>
      </c>
      <c r="K3487" s="10">
        <f t="shared" si="272"/>
        <v>32.510277777677402</v>
      </c>
      <c r="L3487" s="1" t="str">
        <f t="shared" si="273"/>
        <v>OK</v>
      </c>
      <c r="M3487" s="1">
        <f t="shared" si="270"/>
        <v>1</v>
      </c>
      <c r="N3487" s="1">
        <f t="shared" si="271"/>
        <v>302</v>
      </c>
      <c r="O3487" s="10">
        <f t="shared" si="274"/>
        <v>32.510277777677402</v>
      </c>
    </row>
    <row r="3488" spans="1:15">
      <c r="A3488" s="1" t="s">
        <v>3593</v>
      </c>
      <c r="B3488" s="23">
        <v>45277.705555555556</v>
      </c>
      <c r="C3488" s="1" t="s">
        <v>11</v>
      </c>
      <c r="D3488" s="1" t="s">
        <v>26</v>
      </c>
      <c r="E3488" s="1" t="s">
        <v>22</v>
      </c>
      <c r="F3488" s="1" t="s">
        <v>37</v>
      </c>
      <c r="G3488" s="1">
        <v>10</v>
      </c>
      <c r="I3488" s="1" t="b">
        <v>0</v>
      </c>
      <c r="K3488" s="10" t="str">
        <f t="shared" si="272"/>
        <v/>
      </c>
      <c r="L3488" s="1" t="str">
        <f t="shared" si="273"/>
        <v>Cannot check</v>
      </c>
      <c r="M3488" s="1">
        <f t="shared" si="270"/>
        <v>1</v>
      </c>
      <c r="N3488" s="1">
        <f t="shared" si="271"/>
        <v>10</v>
      </c>
      <c r="O3488" s="10" t="str">
        <f t="shared" si="274"/>
        <v/>
      </c>
    </row>
    <row r="3489" spans="1:15">
      <c r="A3489" s="1" t="s">
        <v>3594</v>
      </c>
      <c r="B3489" s="23">
        <v>45277.830555555556</v>
      </c>
      <c r="C3489" s="1" t="s">
        <v>25</v>
      </c>
      <c r="D3489" s="1" t="s">
        <v>12</v>
      </c>
      <c r="E3489" s="1" t="s">
        <v>18</v>
      </c>
      <c r="F3489" s="1" t="s">
        <v>110</v>
      </c>
      <c r="G3489" s="1">
        <v>457</v>
      </c>
      <c r="H3489" s="23">
        <v>45280.507962962962</v>
      </c>
      <c r="I3489" s="1" t="b">
        <v>0</v>
      </c>
      <c r="J3489" s="1">
        <v>4</v>
      </c>
      <c r="K3489" s="10">
        <f t="shared" si="272"/>
        <v>64.257777777733281</v>
      </c>
      <c r="L3489" s="1" t="str">
        <f t="shared" si="273"/>
        <v>OK</v>
      </c>
      <c r="M3489" s="1">
        <f t="shared" si="270"/>
        <v>1</v>
      </c>
      <c r="N3489" s="1">
        <f t="shared" si="271"/>
        <v>457</v>
      </c>
      <c r="O3489" s="10">
        <f t="shared" si="274"/>
        <v>64.257777777733281</v>
      </c>
    </row>
    <row r="3490" spans="1:15">
      <c r="A3490" s="1" t="s">
        <v>3595</v>
      </c>
      <c r="B3490" s="23">
        <v>45277.941666666666</v>
      </c>
      <c r="C3490" s="1" t="s">
        <v>11</v>
      </c>
      <c r="D3490" s="1" t="s">
        <v>21</v>
      </c>
      <c r="E3490" s="1" t="s">
        <v>18</v>
      </c>
      <c r="F3490" s="1" t="s">
        <v>116</v>
      </c>
      <c r="G3490" s="1">
        <v>124</v>
      </c>
      <c r="H3490" s="23">
        <v>45278.352210648147</v>
      </c>
      <c r="I3490" s="1" t="b">
        <v>0</v>
      </c>
      <c r="K3490" s="10">
        <f t="shared" si="272"/>
        <v>9.8530555555480532</v>
      </c>
      <c r="L3490" s="1" t="str">
        <f t="shared" si="273"/>
        <v>OK</v>
      </c>
      <c r="M3490" s="1">
        <f t="shared" si="270"/>
        <v>1</v>
      </c>
      <c r="N3490" s="1">
        <f t="shared" si="271"/>
        <v>124</v>
      </c>
      <c r="O3490" s="10">
        <f t="shared" si="274"/>
        <v>9.8530555555480532</v>
      </c>
    </row>
    <row r="3491" spans="1:15">
      <c r="A3491" s="1" t="s">
        <v>3596</v>
      </c>
      <c r="B3491" s="23">
        <v>45278.02847222222</v>
      </c>
      <c r="C3491" s="1" t="s">
        <v>43</v>
      </c>
      <c r="D3491" s="1" t="s">
        <v>21</v>
      </c>
      <c r="E3491" s="1" t="s">
        <v>33</v>
      </c>
      <c r="F3491" s="1" t="s">
        <v>23</v>
      </c>
      <c r="G3491" s="1">
        <v>226</v>
      </c>
      <c r="H3491" s="23">
        <v>45281.999652777777</v>
      </c>
      <c r="I3491" s="1" t="b">
        <v>0</v>
      </c>
      <c r="J3491" s="1">
        <v>5</v>
      </c>
      <c r="K3491" s="10">
        <f t="shared" si="272"/>
        <v>95.308333333348855</v>
      </c>
      <c r="L3491" s="1" t="str">
        <f t="shared" si="273"/>
        <v>OK</v>
      </c>
      <c r="M3491" s="1">
        <f t="shared" si="270"/>
        <v>1</v>
      </c>
      <c r="N3491" s="1">
        <f t="shared" si="271"/>
        <v>226</v>
      </c>
      <c r="O3491" s="10">
        <f t="shared" si="274"/>
        <v>95.308333333348855</v>
      </c>
    </row>
    <row r="3492" spans="1:15">
      <c r="A3492" s="1" t="s">
        <v>3597</v>
      </c>
      <c r="B3492" s="23">
        <v>45278.113888888889</v>
      </c>
      <c r="C3492" s="1" t="s">
        <v>25</v>
      </c>
      <c r="D3492" s="1" t="s">
        <v>17</v>
      </c>
      <c r="E3492" s="1" t="s">
        <v>18</v>
      </c>
      <c r="F3492" s="1" t="s">
        <v>226</v>
      </c>
      <c r="G3492" s="1">
        <v>125</v>
      </c>
      <c r="H3492" s="23">
        <v>45280.398969907408</v>
      </c>
      <c r="I3492" s="1" t="b">
        <v>0</v>
      </c>
      <c r="K3492" s="10">
        <f t="shared" si="272"/>
        <v>54.841944444458932</v>
      </c>
      <c r="L3492" s="1" t="str">
        <f t="shared" si="273"/>
        <v>OK</v>
      </c>
      <c r="M3492" s="1">
        <f t="shared" si="270"/>
        <v>1</v>
      </c>
      <c r="N3492" s="1">
        <f t="shared" si="271"/>
        <v>125</v>
      </c>
      <c r="O3492" s="10">
        <f t="shared" si="274"/>
        <v>54.841944444458932</v>
      </c>
    </row>
    <row r="3493" spans="1:15">
      <c r="A3493" s="1" t="s">
        <v>3598</v>
      </c>
      <c r="B3493" s="23">
        <v>45278.195833333331</v>
      </c>
      <c r="C3493" s="1" t="s">
        <v>25</v>
      </c>
      <c r="D3493" s="1" t="s">
        <v>26</v>
      </c>
      <c r="E3493" s="1" t="s">
        <v>13</v>
      </c>
      <c r="F3493" s="1" t="s">
        <v>112</v>
      </c>
      <c r="G3493" s="1">
        <v>93</v>
      </c>
      <c r="H3493" s="23">
        <v>45278.320381944446</v>
      </c>
      <c r="I3493" s="1" t="b">
        <v>1</v>
      </c>
      <c r="K3493" s="10">
        <f t="shared" si="272"/>
        <v>2.9891666667535901</v>
      </c>
      <c r="L3493" s="1" t="str">
        <f t="shared" si="273"/>
        <v>OK</v>
      </c>
      <c r="M3493" s="1">
        <f t="shared" si="270"/>
        <v>1</v>
      </c>
      <c r="N3493" s="1">
        <f t="shared" si="271"/>
        <v>93</v>
      </c>
      <c r="O3493" s="10">
        <f t="shared" si="274"/>
        <v>2.9891666667535901</v>
      </c>
    </row>
    <row r="3494" spans="1:15">
      <c r="A3494" s="1" t="s">
        <v>3599</v>
      </c>
      <c r="B3494" s="23">
        <v>45278.526388888888</v>
      </c>
      <c r="C3494" s="1" t="s">
        <v>43</v>
      </c>
      <c r="D3494" s="1" t="s">
        <v>12</v>
      </c>
      <c r="E3494" s="1" t="s">
        <v>18</v>
      </c>
      <c r="F3494" s="1" t="s">
        <v>254</v>
      </c>
      <c r="G3494" s="1">
        <v>90</v>
      </c>
      <c r="H3494" s="23">
        <v>45278.73333333333</v>
      </c>
      <c r="I3494" s="1" t="b">
        <v>0</v>
      </c>
      <c r="J3494" s="1">
        <v>4</v>
      </c>
      <c r="K3494" s="10">
        <f t="shared" si="272"/>
        <v>4.96666666661622</v>
      </c>
      <c r="L3494" s="1" t="str">
        <f t="shared" si="273"/>
        <v>OK</v>
      </c>
      <c r="M3494" s="1">
        <f t="shared" si="270"/>
        <v>1</v>
      </c>
      <c r="N3494" s="1">
        <f t="shared" si="271"/>
        <v>90</v>
      </c>
      <c r="O3494" s="10">
        <f t="shared" si="274"/>
        <v>4.96666666661622</v>
      </c>
    </row>
    <row r="3495" spans="1:15">
      <c r="A3495" s="1" t="s">
        <v>3600</v>
      </c>
      <c r="B3495" s="23">
        <v>45278.530555555553</v>
      </c>
      <c r="C3495" s="1" t="s">
        <v>25</v>
      </c>
      <c r="D3495" s="1" t="s">
        <v>12</v>
      </c>
      <c r="E3495" s="1" t="s">
        <v>18</v>
      </c>
      <c r="F3495" s="1" t="s">
        <v>145</v>
      </c>
      <c r="G3495" s="1">
        <v>97</v>
      </c>
      <c r="H3495" s="23">
        <v>45281.884525462963</v>
      </c>
      <c r="I3495" s="1" t="b">
        <v>0</v>
      </c>
      <c r="K3495" s="10">
        <f t="shared" si="272"/>
        <v>80.495277777838055</v>
      </c>
      <c r="L3495" s="1" t="str">
        <f t="shared" si="273"/>
        <v>OK</v>
      </c>
      <c r="M3495" s="1">
        <f t="shared" si="270"/>
        <v>1</v>
      </c>
      <c r="N3495" s="1">
        <f t="shared" si="271"/>
        <v>97</v>
      </c>
      <c r="O3495" s="10">
        <f t="shared" si="274"/>
        <v>80.495277777838055</v>
      </c>
    </row>
    <row r="3496" spans="1:15">
      <c r="A3496" s="1" t="s">
        <v>3601</v>
      </c>
      <c r="B3496" s="23">
        <v>45278.995138888888</v>
      </c>
      <c r="C3496" s="1" t="s">
        <v>43</v>
      </c>
      <c r="D3496" s="1" t="s">
        <v>21</v>
      </c>
      <c r="E3496" s="1" t="s">
        <v>13</v>
      </c>
      <c r="F3496" s="1" t="s">
        <v>116</v>
      </c>
      <c r="G3496" s="1">
        <v>44</v>
      </c>
      <c r="H3496" s="23">
        <v>45279.038657407407</v>
      </c>
      <c r="I3496" s="1" t="b">
        <v>0</v>
      </c>
      <c r="K3496" s="10">
        <f t="shared" si="272"/>
        <v>1.0444444444729015</v>
      </c>
      <c r="L3496" s="1" t="str">
        <f t="shared" si="273"/>
        <v>OK</v>
      </c>
      <c r="M3496" s="1">
        <f t="shared" si="270"/>
        <v>1</v>
      </c>
      <c r="N3496" s="1">
        <f t="shared" si="271"/>
        <v>44</v>
      </c>
      <c r="O3496" s="10">
        <f t="shared" si="274"/>
        <v>1.0444444444729015</v>
      </c>
    </row>
    <row r="3497" spans="1:15">
      <c r="A3497" s="1" t="s">
        <v>3602</v>
      </c>
      <c r="B3497" s="23">
        <v>45279.103472222225</v>
      </c>
      <c r="C3497" s="1" t="s">
        <v>11</v>
      </c>
      <c r="D3497" s="1" t="s">
        <v>21</v>
      </c>
      <c r="E3497" s="1" t="s">
        <v>18</v>
      </c>
      <c r="F3497" s="1" t="s">
        <v>237</v>
      </c>
      <c r="H3497" s="23">
        <v>45279.440370370372</v>
      </c>
      <c r="I3497" s="1" t="b">
        <v>0</v>
      </c>
      <c r="K3497" s="10">
        <f t="shared" si="272"/>
        <v>8.0855555555317551</v>
      </c>
      <c r="L3497" s="1" t="str">
        <f t="shared" si="273"/>
        <v>Cannot check</v>
      </c>
      <c r="M3497" s="1">
        <f t="shared" si="270"/>
        <v>1</v>
      </c>
      <c r="N3497" s="1" t="str">
        <f t="shared" si="271"/>
        <v/>
      </c>
      <c r="O3497" s="10">
        <f t="shared" si="274"/>
        <v>8.0855555555317551</v>
      </c>
    </row>
    <row r="3498" spans="1:15">
      <c r="A3498" s="1" t="s">
        <v>3603</v>
      </c>
      <c r="B3498" s="23">
        <v>45279.137499999997</v>
      </c>
      <c r="C3498" s="1" t="s">
        <v>16</v>
      </c>
      <c r="D3498" s="1" t="s">
        <v>59</v>
      </c>
      <c r="E3498" s="1" t="s">
        <v>13</v>
      </c>
      <c r="F3498" s="1" t="s">
        <v>237</v>
      </c>
      <c r="G3498" s="1">
        <v>15</v>
      </c>
      <c r="H3498" s="23">
        <v>45279.521585648145</v>
      </c>
      <c r="I3498" s="1" t="b">
        <v>0</v>
      </c>
      <c r="K3498" s="10">
        <f t="shared" si="272"/>
        <v>9.21805555553874</v>
      </c>
      <c r="L3498" s="1" t="str">
        <f t="shared" si="273"/>
        <v>OK</v>
      </c>
      <c r="M3498" s="1">
        <f t="shared" si="270"/>
        <v>1</v>
      </c>
      <c r="N3498" s="1">
        <f t="shared" si="271"/>
        <v>15</v>
      </c>
      <c r="O3498" s="10">
        <f t="shared" si="274"/>
        <v>9.21805555553874</v>
      </c>
    </row>
    <row r="3499" spans="1:15">
      <c r="A3499" s="1" t="s">
        <v>3604</v>
      </c>
      <c r="B3499" s="23">
        <v>45279.156944444447</v>
      </c>
      <c r="C3499" s="1" t="s">
        <v>16</v>
      </c>
      <c r="D3499" s="1" t="s">
        <v>12</v>
      </c>
      <c r="E3499" s="1" t="s">
        <v>18</v>
      </c>
      <c r="F3499" s="1" t="s">
        <v>78</v>
      </c>
      <c r="G3499" s="1">
        <v>173</v>
      </c>
      <c r="H3499" s="23">
        <v>45279.528993055559</v>
      </c>
      <c r="I3499" s="1" t="b">
        <v>0</v>
      </c>
      <c r="K3499" s="10">
        <f t="shared" si="272"/>
        <v>8.9291666666977108</v>
      </c>
      <c r="L3499" s="1" t="str">
        <f t="shared" si="273"/>
        <v>OK</v>
      </c>
      <c r="M3499" s="1">
        <f t="shared" si="270"/>
        <v>1</v>
      </c>
      <c r="N3499" s="1">
        <f t="shared" si="271"/>
        <v>173</v>
      </c>
      <c r="O3499" s="10">
        <f t="shared" si="274"/>
        <v>8.9291666666977108</v>
      </c>
    </row>
    <row r="3500" spans="1:15">
      <c r="A3500" s="1" t="s">
        <v>3605</v>
      </c>
      <c r="B3500" s="23">
        <v>45279.175000000003</v>
      </c>
      <c r="C3500" s="1" t="s">
        <v>16</v>
      </c>
      <c r="D3500" s="1" t="s">
        <v>17</v>
      </c>
      <c r="E3500" s="1" t="s">
        <v>33</v>
      </c>
      <c r="F3500" s="1" t="s">
        <v>178</v>
      </c>
      <c r="G3500" s="1">
        <v>78</v>
      </c>
      <c r="I3500" s="1" t="b">
        <v>0</v>
      </c>
      <c r="K3500" s="10" t="str">
        <f t="shared" si="272"/>
        <v/>
      </c>
      <c r="L3500" s="1" t="str">
        <f t="shared" si="273"/>
        <v>Cannot check</v>
      </c>
      <c r="M3500" s="1">
        <f t="shared" si="270"/>
        <v>1</v>
      </c>
      <c r="N3500" s="1">
        <f t="shared" si="271"/>
        <v>78</v>
      </c>
      <c r="O3500" s="10" t="str">
        <f t="shared" si="274"/>
        <v/>
      </c>
    </row>
    <row r="3501" spans="1:15">
      <c r="A3501" s="1" t="s">
        <v>3606</v>
      </c>
      <c r="B3501" s="23">
        <v>45279.230555555558</v>
      </c>
      <c r="C3501" s="1" t="s">
        <v>16</v>
      </c>
      <c r="D3501" s="1" t="s">
        <v>59</v>
      </c>
      <c r="E3501" s="1" t="s">
        <v>13</v>
      </c>
      <c r="F3501" s="1" t="s">
        <v>112</v>
      </c>
      <c r="G3501" s="1">
        <v>237</v>
      </c>
      <c r="H3501" s="23">
        <v>45279.285277777781</v>
      </c>
      <c r="I3501" s="1" t="b">
        <v>0</v>
      </c>
      <c r="K3501" s="10">
        <f t="shared" si="272"/>
        <v>1.313333333353512</v>
      </c>
      <c r="L3501" s="1" t="str">
        <f t="shared" si="273"/>
        <v>Review</v>
      </c>
      <c r="M3501" s="1">
        <f t="shared" si="270"/>
        <v>1</v>
      </c>
      <c r="N3501" s="1" t="str">
        <f t="shared" si="271"/>
        <v/>
      </c>
      <c r="O3501" s="10" t="str">
        <f t="shared" si="274"/>
        <v/>
      </c>
    </row>
    <row r="3502" spans="1:15">
      <c r="A3502" s="1" t="s">
        <v>3607</v>
      </c>
      <c r="B3502" s="23">
        <v>45279.240277777775</v>
      </c>
      <c r="C3502" s="1" t="s">
        <v>25</v>
      </c>
      <c r="D3502" s="1" t="s">
        <v>26</v>
      </c>
      <c r="E3502" s="1" t="s">
        <v>18</v>
      </c>
      <c r="F3502" s="1" t="s">
        <v>102</v>
      </c>
      <c r="G3502" s="1">
        <v>68</v>
      </c>
      <c r="H3502" s="23">
        <v>45280.964120370372</v>
      </c>
      <c r="I3502" s="1" t="b">
        <v>0</v>
      </c>
      <c r="K3502" s="10">
        <f t="shared" si="272"/>
        <v>41.372222222329583</v>
      </c>
      <c r="L3502" s="1" t="str">
        <f t="shared" si="273"/>
        <v>OK</v>
      </c>
      <c r="M3502" s="1">
        <f t="shared" si="270"/>
        <v>1</v>
      </c>
      <c r="N3502" s="1">
        <f t="shared" si="271"/>
        <v>68</v>
      </c>
      <c r="O3502" s="10">
        <f t="shared" si="274"/>
        <v>41.372222222329583</v>
      </c>
    </row>
    <row r="3503" spans="1:15">
      <c r="A3503" s="1" t="s">
        <v>3608</v>
      </c>
      <c r="B3503" s="23">
        <v>45279.42083333333</v>
      </c>
      <c r="C3503" s="1" t="s">
        <v>11</v>
      </c>
      <c r="D3503" s="1" t="s">
        <v>17</v>
      </c>
      <c r="E3503" s="1" t="s">
        <v>33</v>
      </c>
      <c r="F3503" s="1" t="s">
        <v>37</v>
      </c>
      <c r="G3503" s="1">
        <v>245</v>
      </c>
      <c r="H3503" s="23">
        <v>45281.388773148145</v>
      </c>
      <c r="I3503" s="1" t="b">
        <v>0</v>
      </c>
      <c r="K3503" s="10">
        <f t="shared" si="272"/>
        <v>47.230555555550382</v>
      </c>
      <c r="L3503" s="1" t="str">
        <f t="shared" si="273"/>
        <v>OK</v>
      </c>
      <c r="M3503" s="1">
        <f t="shared" si="270"/>
        <v>1</v>
      </c>
      <c r="N3503" s="1">
        <f t="shared" si="271"/>
        <v>245</v>
      </c>
      <c r="O3503" s="10">
        <f t="shared" si="274"/>
        <v>47.230555555550382</v>
      </c>
    </row>
    <row r="3504" spans="1:15">
      <c r="A3504" s="1" t="s">
        <v>3609</v>
      </c>
      <c r="B3504" s="23">
        <v>45279.493055555555</v>
      </c>
      <c r="C3504" s="1" t="s">
        <v>11</v>
      </c>
      <c r="D3504" s="1" t="s">
        <v>12</v>
      </c>
      <c r="E3504" s="1" t="s">
        <v>13</v>
      </c>
      <c r="F3504" s="1" t="s">
        <v>52</v>
      </c>
      <c r="G3504" s="1">
        <v>29</v>
      </c>
      <c r="H3504" s="23">
        <v>45279.715787037036</v>
      </c>
      <c r="I3504" s="1" t="b">
        <v>0</v>
      </c>
      <c r="K3504" s="10">
        <f t="shared" si="272"/>
        <v>5.3455555555410683</v>
      </c>
      <c r="L3504" s="1" t="str">
        <f t="shared" si="273"/>
        <v>OK</v>
      </c>
      <c r="M3504" s="1">
        <f t="shared" si="270"/>
        <v>1</v>
      </c>
      <c r="N3504" s="1">
        <f t="shared" si="271"/>
        <v>29</v>
      </c>
      <c r="O3504" s="10">
        <f t="shared" si="274"/>
        <v>5.3455555555410683</v>
      </c>
    </row>
    <row r="3505" spans="1:15">
      <c r="A3505" s="1" t="s">
        <v>3610</v>
      </c>
      <c r="B3505" s="23">
        <v>45279.585416666669</v>
      </c>
      <c r="C3505" s="1" t="s">
        <v>25</v>
      </c>
      <c r="D3505" s="1" t="s">
        <v>17</v>
      </c>
      <c r="E3505" s="1" t="s">
        <v>33</v>
      </c>
      <c r="F3505" s="1" t="s">
        <v>78</v>
      </c>
      <c r="G3505" s="1">
        <v>89</v>
      </c>
      <c r="H3505" s="23">
        <v>45282.767604166664</v>
      </c>
      <c r="I3505" s="1" t="b">
        <v>0</v>
      </c>
      <c r="K3505" s="10">
        <f t="shared" si="272"/>
        <v>76.372499999881256</v>
      </c>
      <c r="L3505" s="1" t="str">
        <f t="shared" si="273"/>
        <v>OK</v>
      </c>
      <c r="M3505" s="1">
        <f t="shared" si="270"/>
        <v>1</v>
      </c>
      <c r="N3505" s="1">
        <f t="shared" si="271"/>
        <v>89</v>
      </c>
      <c r="O3505" s="10">
        <f t="shared" si="274"/>
        <v>76.372499999881256</v>
      </c>
    </row>
    <row r="3506" spans="1:15">
      <c r="A3506" s="1" t="s">
        <v>3611</v>
      </c>
      <c r="B3506" s="23">
        <v>45279.751388888886</v>
      </c>
      <c r="C3506" s="1" t="s">
        <v>16</v>
      </c>
      <c r="D3506" s="1" t="s">
        <v>59</v>
      </c>
      <c r="E3506" s="1" t="s">
        <v>13</v>
      </c>
      <c r="F3506" s="1" t="s">
        <v>84</v>
      </c>
      <c r="G3506" s="1">
        <v>62</v>
      </c>
      <c r="H3506" s="23">
        <v>45281.367997685185</v>
      </c>
      <c r="I3506" s="1" t="b">
        <v>0</v>
      </c>
      <c r="K3506" s="10">
        <f t="shared" si="272"/>
        <v>38.798611111182254</v>
      </c>
      <c r="L3506" s="1" t="str">
        <f t="shared" si="273"/>
        <v>OK</v>
      </c>
      <c r="M3506" s="1">
        <f t="shared" si="270"/>
        <v>1</v>
      </c>
      <c r="N3506" s="1">
        <f t="shared" si="271"/>
        <v>62</v>
      </c>
      <c r="O3506" s="10">
        <f t="shared" si="274"/>
        <v>38.798611111182254</v>
      </c>
    </row>
    <row r="3507" spans="1:15">
      <c r="A3507" s="1" t="s">
        <v>3612</v>
      </c>
      <c r="B3507" s="23">
        <v>45279.886111111111</v>
      </c>
      <c r="C3507" s="1" t="s">
        <v>25</v>
      </c>
      <c r="D3507" s="1" t="s">
        <v>21</v>
      </c>
      <c r="E3507" s="1" t="s">
        <v>18</v>
      </c>
      <c r="F3507" s="1" t="s">
        <v>367</v>
      </c>
      <c r="G3507" s="1">
        <v>84</v>
      </c>
      <c r="H3507" s="23">
        <v>45280.468402777777</v>
      </c>
      <c r="I3507" s="1" t="b">
        <v>0</v>
      </c>
      <c r="K3507" s="10">
        <f t="shared" si="272"/>
        <v>13.974999999976717</v>
      </c>
      <c r="L3507" s="1" t="str">
        <f t="shared" si="273"/>
        <v>OK</v>
      </c>
      <c r="M3507" s="1">
        <f t="shared" si="270"/>
        <v>1</v>
      </c>
      <c r="N3507" s="1">
        <f t="shared" si="271"/>
        <v>84</v>
      </c>
      <c r="O3507" s="10">
        <f t="shared" si="274"/>
        <v>13.974999999976717</v>
      </c>
    </row>
    <row r="3508" spans="1:15">
      <c r="A3508" s="1" t="s">
        <v>3613</v>
      </c>
      <c r="B3508" s="23">
        <v>45280.025000000001</v>
      </c>
      <c r="C3508" s="1" t="s">
        <v>16</v>
      </c>
      <c r="D3508" s="1" t="s">
        <v>26</v>
      </c>
      <c r="E3508" s="1" t="s">
        <v>18</v>
      </c>
      <c r="F3508" s="1" t="s">
        <v>84</v>
      </c>
      <c r="G3508" s="1">
        <v>94</v>
      </c>
      <c r="H3508" s="23">
        <v>45287.974409722221</v>
      </c>
      <c r="I3508" s="1" t="b">
        <v>0</v>
      </c>
      <c r="K3508" s="10">
        <f t="shared" si="272"/>
        <v>190.78583333326969</v>
      </c>
      <c r="L3508" s="1" t="str">
        <f t="shared" si="273"/>
        <v>OK</v>
      </c>
      <c r="M3508" s="1">
        <f t="shared" si="270"/>
        <v>1</v>
      </c>
      <c r="N3508" s="1">
        <f t="shared" si="271"/>
        <v>94</v>
      </c>
      <c r="O3508" s="10">
        <f t="shared" si="274"/>
        <v>190.78583333326969</v>
      </c>
    </row>
    <row r="3509" spans="1:15">
      <c r="A3509" s="1" t="s">
        <v>3614</v>
      </c>
      <c r="B3509" s="23">
        <v>45280.070833333331</v>
      </c>
      <c r="C3509" s="1" t="s">
        <v>16</v>
      </c>
      <c r="D3509" s="1" t="s">
        <v>26</v>
      </c>
      <c r="E3509" s="1" t="s">
        <v>18</v>
      </c>
      <c r="F3509" s="1" t="s">
        <v>132</v>
      </c>
      <c r="G3509" s="1">
        <v>125</v>
      </c>
      <c r="H3509" s="23">
        <v>45297.809594907405</v>
      </c>
      <c r="I3509" s="1" t="b">
        <v>0</v>
      </c>
      <c r="K3509" s="10">
        <f t="shared" si="272"/>
        <v>425.73027777776588</v>
      </c>
      <c r="L3509" s="1" t="str">
        <f t="shared" si="273"/>
        <v>OK</v>
      </c>
      <c r="M3509" s="1">
        <f t="shared" si="270"/>
        <v>1</v>
      </c>
      <c r="N3509" s="1">
        <f t="shared" si="271"/>
        <v>125</v>
      </c>
      <c r="O3509" s="10">
        <f t="shared" si="274"/>
        <v>425.73027777776588</v>
      </c>
    </row>
    <row r="3510" spans="1:15">
      <c r="A3510" s="1" t="s">
        <v>3615</v>
      </c>
      <c r="B3510" s="23">
        <v>45280.080555555556</v>
      </c>
      <c r="C3510" s="1" t="s">
        <v>43</v>
      </c>
      <c r="D3510" s="1" t="s">
        <v>21</v>
      </c>
      <c r="E3510" s="1" t="s">
        <v>18</v>
      </c>
      <c r="F3510" s="1" t="s">
        <v>27</v>
      </c>
      <c r="G3510" s="1">
        <v>55</v>
      </c>
      <c r="I3510" s="1" t="b">
        <v>0</v>
      </c>
      <c r="K3510" s="10" t="str">
        <f t="shared" si="272"/>
        <v/>
      </c>
      <c r="L3510" s="1" t="str">
        <f t="shared" si="273"/>
        <v>Cannot check</v>
      </c>
      <c r="M3510" s="1">
        <f t="shared" si="270"/>
        <v>1</v>
      </c>
      <c r="N3510" s="1">
        <f t="shared" si="271"/>
        <v>55</v>
      </c>
      <c r="O3510" s="10" t="str">
        <f t="shared" si="274"/>
        <v/>
      </c>
    </row>
    <row r="3511" spans="1:15">
      <c r="A3511" s="1" t="s">
        <v>3616</v>
      </c>
      <c r="B3511" s="23">
        <v>45280.161111111112</v>
      </c>
      <c r="C3511" s="1" t="s">
        <v>16</v>
      </c>
      <c r="D3511" s="1" t="s">
        <v>26</v>
      </c>
      <c r="E3511" s="1" t="s">
        <v>18</v>
      </c>
      <c r="F3511" s="1" t="s">
        <v>226</v>
      </c>
      <c r="I3511" s="1" t="b">
        <v>0</v>
      </c>
      <c r="K3511" s="10" t="str">
        <f t="shared" si="272"/>
        <v/>
      </c>
      <c r="L3511" s="1" t="str">
        <f t="shared" si="273"/>
        <v>Cannot check</v>
      </c>
      <c r="M3511" s="1">
        <f t="shared" si="270"/>
        <v>1</v>
      </c>
      <c r="N3511" s="1" t="str">
        <f t="shared" si="271"/>
        <v/>
      </c>
      <c r="O3511" s="10" t="str">
        <f t="shared" si="274"/>
        <v/>
      </c>
    </row>
    <row r="3512" spans="1:15">
      <c r="A3512" s="1" t="s">
        <v>3617</v>
      </c>
      <c r="B3512" s="23">
        <v>45280.509027777778</v>
      </c>
      <c r="C3512" s="1" t="s">
        <v>11</v>
      </c>
      <c r="D3512" s="1" t="s">
        <v>59</v>
      </c>
      <c r="E3512" s="1" t="s">
        <v>13</v>
      </c>
      <c r="F3512" s="1" t="s">
        <v>134</v>
      </c>
      <c r="G3512" s="1">
        <v>52</v>
      </c>
      <c r="H3512" s="23">
        <v>45280.624699074076</v>
      </c>
      <c r="I3512" s="1" t="b">
        <v>0</v>
      </c>
      <c r="K3512" s="10">
        <f t="shared" si="272"/>
        <v>2.776111111161299</v>
      </c>
      <c r="L3512" s="1" t="str">
        <f t="shared" si="273"/>
        <v>OK</v>
      </c>
      <c r="M3512" s="1">
        <f t="shared" si="270"/>
        <v>1</v>
      </c>
      <c r="N3512" s="1">
        <f t="shared" si="271"/>
        <v>52</v>
      </c>
      <c r="O3512" s="10">
        <f t="shared" si="274"/>
        <v>2.776111111161299</v>
      </c>
    </row>
    <row r="3513" spans="1:15">
      <c r="A3513" s="1" t="s">
        <v>3618</v>
      </c>
      <c r="B3513" s="23">
        <v>45280.538888888892</v>
      </c>
      <c r="C3513" s="1" t="s">
        <v>25</v>
      </c>
      <c r="D3513" s="1" t="s">
        <v>59</v>
      </c>
      <c r="E3513" s="1" t="s">
        <v>33</v>
      </c>
      <c r="F3513" s="1" t="s">
        <v>175</v>
      </c>
      <c r="G3513" s="1">
        <v>175</v>
      </c>
      <c r="H3513" s="23">
        <v>45282.331562500003</v>
      </c>
      <c r="I3513" s="1" t="b">
        <v>0</v>
      </c>
      <c r="J3513" s="1">
        <v>4</v>
      </c>
      <c r="K3513" s="10">
        <f t="shared" si="272"/>
        <v>43.024166666669771</v>
      </c>
      <c r="L3513" s="1" t="str">
        <f t="shared" si="273"/>
        <v>OK</v>
      </c>
      <c r="M3513" s="1">
        <f t="shared" si="270"/>
        <v>1</v>
      </c>
      <c r="N3513" s="1">
        <f t="shared" si="271"/>
        <v>175</v>
      </c>
      <c r="O3513" s="10">
        <f t="shared" si="274"/>
        <v>43.024166666669771</v>
      </c>
    </row>
    <row r="3514" spans="1:15">
      <c r="A3514" s="1" t="s">
        <v>3619</v>
      </c>
      <c r="B3514" s="23">
        <v>45280.723611111112</v>
      </c>
      <c r="C3514" s="1" t="s">
        <v>16</v>
      </c>
      <c r="D3514" s="1" t="s">
        <v>17</v>
      </c>
      <c r="E3514" s="1" t="s">
        <v>18</v>
      </c>
      <c r="F3514" s="1" t="s">
        <v>64</v>
      </c>
      <c r="G3514" s="1">
        <v>79</v>
      </c>
      <c r="H3514" s="23">
        <v>45281.781597222223</v>
      </c>
      <c r="I3514" s="1" t="b">
        <v>1</v>
      </c>
      <c r="J3514" s="1">
        <v>5</v>
      </c>
      <c r="K3514" s="10">
        <f t="shared" si="272"/>
        <v>25.391666666662786</v>
      </c>
      <c r="L3514" s="1" t="str">
        <f t="shared" si="273"/>
        <v>OK</v>
      </c>
      <c r="M3514" s="1">
        <f t="shared" si="270"/>
        <v>1</v>
      </c>
      <c r="N3514" s="1">
        <f t="shared" si="271"/>
        <v>79</v>
      </c>
      <c r="O3514" s="10">
        <f t="shared" si="274"/>
        <v>25.391666666662786</v>
      </c>
    </row>
    <row r="3515" spans="1:15">
      <c r="A3515" s="1" t="s">
        <v>3620</v>
      </c>
      <c r="B3515" s="23">
        <v>45280.731944444444</v>
      </c>
      <c r="C3515" s="1" t="s">
        <v>11</v>
      </c>
      <c r="D3515" s="1" t="s">
        <v>12</v>
      </c>
      <c r="E3515" s="1" t="s">
        <v>18</v>
      </c>
      <c r="F3515" s="1" t="s">
        <v>234</v>
      </c>
      <c r="G3515" s="1">
        <v>153</v>
      </c>
      <c r="H3515" s="23">
        <v>45280.898368055554</v>
      </c>
      <c r="I3515" s="1" t="b">
        <v>0</v>
      </c>
      <c r="K3515" s="10">
        <f t="shared" si="272"/>
        <v>3.9941666666418314</v>
      </c>
      <c r="L3515" s="1" t="str">
        <f t="shared" si="273"/>
        <v>OK</v>
      </c>
      <c r="M3515" s="1">
        <f t="shared" si="270"/>
        <v>1</v>
      </c>
      <c r="N3515" s="1">
        <f t="shared" si="271"/>
        <v>153</v>
      </c>
      <c r="O3515" s="10">
        <f t="shared" si="274"/>
        <v>3.9941666666418314</v>
      </c>
    </row>
    <row r="3516" spans="1:15">
      <c r="A3516" s="1" t="s">
        <v>3621</v>
      </c>
      <c r="B3516" s="23">
        <v>45280.95416666667</v>
      </c>
      <c r="C3516" s="1" t="s">
        <v>11</v>
      </c>
      <c r="D3516" s="1" t="s">
        <v>12</v>
      </c>
      <c r="E3516" s="1" t="s">
        <v>18</v>
      </c>
      <c r="F3516" s="1" t="s">
        <v>118</v>
      </c>
      <c r="G3516" s="1">
        <v>71</v>
      </c>
      <c r="H3516" s="23">
        <v>45282.131053240744</v>
      </c>
      <c r="I3516" s="1" t="b">
        <v>0</v>
      </c>
      <c r="K3516" s="10">
        <f t="shared" si="272"/>
        <v>28.245277777779847</v>
      </c>
      <c r="L3516" s="1" t="str">
        <f t="shared" si="273"/>
        <v>OK</v>
      </c>
      <c r="M3516" s="1">
        <f t="shared" si="270"/>
        <v>1</v>
      </c>
      <c r="N3516" s="1">
        <f t="shared" si="271"/>
        <v>71</v>
      </c>
      <c r="O3516" s="10">
        <f t="shared" si="274"/>
        <v>28.245277777779847</v>
      </c>
    </row>
    <row r="3517" spans="1:15">
      <c r="A3517" s="1" t="s">
        <v>3622</v>
      </c>
      <c r="B3517" s="23">
        <v>45281.029861111114</v>
      </c>
      <c r="C3517" s="1" t="s">
        <v>25</v>
      </c>
      <c r="D3517" s="1" t="s">
        <v>59</v>
      </c>
      <c r="E3517" s="1" t="s">
        <v>33</v>
      </c>
      <c r="F3517" s="1" t="s">
        <v>76</v>
      </c>
      <c r="G3517" s="1">
        <v>107</v>
      </c>
      <c r="H3517" s="23">
        <v>45287.318865740737</v>
      </c>
      <c r="I3517" s="1" t="b">
        <v>0</v>
      </c>
      <c r="J3517" s="1">
        <v>3</v>
      </c>
      <c r="K3517" s="10">
        <f t="shared" si="272"/>
        <v>150.93611111096106</v>
      </c>
      <c r="L3517" s="1" t="str">
        <f t="shared" si="273"/>
        <v>OK</v>
      </c>
      <c r="M3517" s="1">
        <f t="shared" si="270"/>
        <v>1</v>
      </c>
      <c r="N3517" s="1">
        <f t="shared" si="271"/>
        <v>107</v>
      </c>
      <c r="O3517" s="10">
        <f t="shared" si="274"/>
        <v>150.93611111096106</v>
      </c>
    </row>
    <row r="3518" spans="1:15">
      <c r="A3518" s="1" t="s">
        <v>3623</v>
      </c>
      <c r="B3518" s="23">
        <v>45281.03402777778</v>
      </c>
      <c r="C3518" s="1" t="s">
        <v>25</v>
      </c>
      <c r="D3518" s="1" t="s">
        <v>17</v>
      </c>
      <c r="E3518" s="1" t="s">
        <v>13</v>
      </c>
      <c r="F3518" s="1" t="s">
        <v>226</v>
      </c>
      <c r="G3518" s="1">
        <v>16</v>
      </c>
      <c r="H3518" s="23">
        <v>45282.893611111111</v>
      </c>
      <c r="I3518" s="1" t="b">
        <v>0</v>
      </c>
      <c r="K3518" s="10">
        <f t="shared" si="272"/>
        <v>44.629999999946449</v>
      </c>
      <c r="L3518" s="1" t="str">
        <f t="shared" si="273"/>
        <v>OK</v>
      </c>
      <c r="M3518" s="1">
        <f t="shared" si="270"/>
        <v>1</v>
      </c>
      <c r="N3518" s="1">
        <f t="shared" si="271"/>
        <v>16</v>
      </c>
      <c r="O3518" s="10">
        <f t="shared" si="274"/>
        <v>44.629999999946449</v>
      </c>
    </row>
    <row r="3519" spans="1:15">
      <c r="A3519" s="1" t="s">
        <v>3624</v>
      </c>
      <c r="B3519" s="23">
        <v>45281.078472222223</v>
      </c>
      <c r="C3519" s="1" t="s">
        <v>11</v>
      </c>
      <c r="D3519" s="1" t="s">
        <v>21</v>
      </c>
      <c r="E3519" s="1" t="s">
        <v>13</v>
      </c>
      <c r="F3519" s="1" t="s">
        <v>31</v>
      </c>
      <c r="G3519" s="1">
        <v>33</v>
      </c>
      <c r="H3519" s="23">
        <v>45281.236157407409</v>
      </c>
      <c r="I3519" s="1" t="b">
        <v>0</v>
      </c>
      <c r="K3519" s="10">
        <f t="shared" si="272"/>
        <v>3.7844444444635883</v>
      </c>
      <c r="L3519" s="1" t="str">
        <f t="shared" si="273"/>
        <v>OK</v>
      </c>
      <c r="M3519" s="1">
        <f t="shared" si="270"/>
        <v>1</v>
      </c>
      <c r="N3519" s="1">
        <f t="shared" si="271"/>
        <v>33</v>
      </c>
      <c r="O3519" s="10">
        <f t="shared" si="274"/>
        <v>3.7844444444635883</v>
      </c>
    </row>
    <row r="3520" spans="1:15">
      <c r="A3520" s="1" t="s">
        <v>3625</v>
      </c>
      <c r="B3520" s="23">
        <v>45281.237500000003</v>
      </c>
      <c r="C3520" s="1" t="s">
        <v>11</v>
      </c>
      <c r="D3520" s="1" t="s">
        <v>59</v>
      </c>
      <c r="E3520" s="1" t="s">
        <v>33</v>
      </c>
      <c r="F3520" s="1" t="s">
        <v>392</v>
      </c>
      <c r="G3520" s="1">
        <v>107</v>
      </c>
      <c r="H3520" s="23">
        <v>45281.780370370368</v>
      </c>
      <c r="I3520" s="1" t="b">
        <v>0</v>
      </c>
      <c r="K3520" s="10">
        <f t="shared" si="272"/>
        <v>13.028888888773508</v>
      </c>
      <c r="L3520" s="1" t="str">
        <f t="shared" si="273"/>
        <v>OK</v>
      </c>
      <c r="M3520" s="1">
        <f t="shared" si="270"/>
        <v>1</v>
      </c>
      <c r="N3520" s="1">
        <f t="shared" si="271"/>
        <v>107</v>
      </c>
      <c r="O3520" s="10">
        <f t="shared" si="274"/>
        <v>13.028888888773508</v>
      </c>
    </row>
    <row r="3521" spans="1:15">
      <c r="A3521" s="1" t="s">
        <v>3626</v>
      </c>
      <c r="B3521" s="23">
        <v>45281.275000000001</v>
      </c>
      <c r="C3521" s="1" t="s">
        <v>11</v>
      </c>
      <c r="D3521" s="1" t="s">
        <v>17</v>
      </c>
      <c r="E3521" s="1" t="s">
        <v>18</v>
      </c>
      <c r="F3521" s="1" t="s">
        <v>120</v>
      </c>
      <c r="G3521" s="1">
        <v>70</v>
      </c>
      <c r="H3521" s="23">
        <v>45282.604513888888</v>
      </c>
      <c r="I3521" s="1" t="b">
        <v>0</v>
      </c>
      <c r="K3521" s="10">
        <f t="shared" si="272"/>
        <v>31.908333333267365</v>
      </c>
      <c r="L3521" s="1" t="str">
        <f t="shared" si="273"/>
        <v>OK</v>
      </c>
      <c r="M3521" s="1">
        <f t="shared" si="270"/>
        <v>1</v>
      </c>
      <c r="N3521" s="1">
        <f t="shared" si="271"/>
        <v>70</v>
      </c>
      <c r="O3521" s="10">
        <f t="shared" si="274"/>
        <v>31.908333333267365</v>
      </c>
    </row>
    <row r="3522" spans="1:15">
      <c r="A3522" s="1" t="s">
        <v>3627</v>
      </c>
      <c r="B3522" s="23">
        <v>45281.304166666669</v>
      </c>
      <c r="C3522" s="1" t="s">
        <v>11</v>
      </c>
      <c r="D3522" s="1" t="s">
        <v>26</v>
      </c>
      <c r="E3522" s="1" t="s">
        <v>33</v>
      </c>
      <c r="F3522" s="1" t="s">
        <v>367</v>
      </c>
      <c r="G3522" s="1">
        <v>61</v>
      </c>
      <c r="H3522" s="23">
        <v>45283.903194444443</v>
      </c>
      <c r="I3522" s="1" t="b">
        <v>0</v>
      </c>
      <c r="K3522" s="10">
        <f t="shared" si="272"/>
        <v>62.376666666590609</v>
      </c>
      <c r="L3522" s="1" t="str">
        <f t="shared" si="273"/>
        <v>OK</v>
      </c>
      <c r="M3522" s="1">
        <f t="shared" ref="M3522:M3585" si="275">COUNTIF($A$2:$A$4001,A3522)</f>
        <v>1</v>
      </c>
      <c r="N3522" s="1">
        <f t="shared" ref="N3522:N3585" si="276">IF(OR(L3522="Review",G3522=""),"",G3522)</f>
        <v>61</v>
      </c>
      <c r="O3522" s="10">
        <f t="shared" si="274"/>
        <v>62.376666666590609</v>
      </c>
    </row>
    <row r="3523" spans="1:15">
      <c r="A3523" s="1" t="s">
        <v>3628</v>
      </c>
      <c r="B3523" s="23">
        <v>45281.335416666669</v>
      </c>
      <c r="C3523" s="1" t="s">
        <v>16</v>
      </c>
      <c r="D3523" s="1" t="s">
        <v>26</v>
      </c>
      <c r="E3523" s="1" t="s">
        <v>13</v>
      </c>
      <c r="F3523" s="1" t="s">
        <v>256</v>
      </c>
      <c r="G3523" s="1">
        <v>95</v>
      </c>
      <c r="H3523" s="23">
        <v>45281.745578703703</v>
      </c>
      <c r="I3523" s="1" t="b">
        <v>0</v>
      </c>
      <c r="K3523" s="10">
        <f t="shared" ref="K3523:K3586" si="277">IF(H3523="","",(H3523-B3523)*24)</f>
        <v>9.8438888888340443</v>
      </c>
      <c r="L3523" s="1" t="str">
        <f t="shared" ref="L3523:L3586" si="278">IF(OR(G3523="",K3523=""),"Cannot check",IF(G3523&gt;K3523*60,"Review","OK"))</f>
        <v>OK</v>
      </c>
      <c r="M3523" s="1">
        <f t="shared" si="275"/>
        <v>1</v>
      </c>
      <c r="N3523" s="1">
        <f t="shared" si="276"/>
        <v>95</v>
      </c>
      <c r="O3523" s="10">
        <f t="shared" ref="O3523:O3586" si="279">IF(OR(L3523="Review",K3523=""),"",K3523)</f>
        <v>9.8438888888340443</v>
      </c>
    </row>
    <row r="3524" spans="1:15">
      <c r="A3524" s="1" t="s">
        <v>3629</v>
      </c>
      <c r="B3524" s="23">
        <v>45281.65347222222</v>
      </c>
      <c r="C3524" s="1" t="s">
        <v>16</v>
      </c>
      <c r="D3524" s="1" t="s">
        <v>21</v>
      </c>
      <c r="E3524" s="1" t="s">
        <v>18</v>
      </c>
      <c r="F3524" s="1" t="s">
        <v>259</v>
      </c>
      <c r="G3524" s="1">
        <v>102</v>
      </c>
      <c r="H3524" s="23">
        <v>45284.00236111111</v>
      </c>
      <c r="I3524" s="1" t="b">
        <v>1</v>
      </c>
      <c r="K3524" s="10">
        <f t="shared" si="277"/>
        <v>56.373333333351184</v>
      </c>
      <c r="L3524" s="1" t="str">
        <f t="shared" si="278"/>
        <v>OK</v>
      </c>
      <c r="M3524" s="1">
        <f t="shared" si="275"/>
        <v>1</v>
      </c>
      <c r="N3524" s="1">
        <f t="shared" si="276"/>
        <v>102</v>
      </c>
      <c r="O3524" s="10">
        <f t="shared" si="279"/>
        <v>56.373333333351184</v>
      </c>
    </row>
    <row r="3525" spans="1:15">
      <c r="A3525" s="1" t="s">
        <v>3630</v>
      </c>
      <c r="B3525" s="23">
        <v>45281.666666666664</v>
      </c>
      <c r="C3525" s="1" t="s">
        <v>16</v>
      </c>
      <c r="D3525" s="1" t="s">
        <v>17</v>
      </c>
      <c r="E3525" s="1" t="s">
        <v>18</v>
      </c>
      <c r="F3525" s="1" t="s">
        <v>41</v>
      </c>
      <c r="G3525" s="1">
        <v>21</v>
      </c>
      <c r="H3525" s="23">
        <v>45282.40420138889</v>
      </c>
      <c r="I3525" s="1" t="b">
        <v>1</v>
      </c>
      <c r="J3525" s="1">
        <v>3</v>
      </c>
      <c r="K3525" s="10">
        <f t="shared" si="277"/>
        <v>17.700833333423361</v>
      </c>
      <c r="L3525" s="1" t="str">
        <f t="shared" si="278"/>
        <v>OK</v>
      </c>
      <c r="M3525" s="1">
        <f t="shared" si="275"/>
        <v>1</v>
      </c>
      <c r="N3525" s="1">
        <f t="shared" si="276"/>
        <v>21</v>
      </c>
      <c r="O3525" s="10">
        <f t="shared" si="279"/>
        <v>17.700833333423361</v>
      </c>
    </row>
    <row r="3526" spans="1:15">
      <c r="A3526" s="1" t="s">
        <v>3631</v>
      </c>
      <c r="B3526" s="23">
        <v>45282.006249999999</v>
      </c>
      <c r="C3526" s="1" t="s">
        <v>25</v>
      </c>
      <c r="D3526" s="1" t="s">
        <v>17</v>
      </c>
      <c r="E3526" s="1" t="s">
        <v>13</v>
      </c>
      <c r="F3526" s="1" t="s">
        <v>54</v>
      </c>
      <c r="G3526" s="1">
        <v>16</v>
      </c>
      <c r="H3526" s="23">
        <v>45282.143101851849</v>
      </c>
      <c r="I3526" s="1" t="b">
        <v>0</v>
      </c>
      <c r="K3526" s="10">
        <f t="shared" si="277"/>
        <v>3.2844444444053806</v>
      </c>
      <c r="L3526" s="1" t="str">
        <f t="shared" si="278"/>
        <v>OK</v>
      </c>
      <c r="M3526" s="1">
        <f t="shared" si="275"/>
        <v>1</v>
      </c>
      <c r="N3526" s="1">
        <f t="shared" si="276"/>
        <v>16</v>
      </c>
      <c r="O3526" s="10">
        <f t="shared" si="279"/>
        <v>3.2844444444053806</v>
      </c>
    </row>
    <row r="3527" spans="1:15">
      <c r="A3527" s="1" t="s">
        <v>3632</v>
      </c>
      <c r="B3527" s="23">
        <v>45282.105555555558</v>
      </c>
      <c r="C3527" s="1" t="s">
        <v>25</v>
      </c>
      <c r="D3527" s="1" t="s">
        <v>17</v>
      </c>
      <c r="E3527" s="1" t="s">
        <v>13</v>
      </c>
      <c r="F3527" s="1" t="s">
        <v>345</v>
      </c>
      <c r="G3527" s="1">
        <v>69</v>
      </c>
      <c r="H3527" s="23">
        <v>45283.46193287037</v>
      </c>
      <c r="I3527" s="1" t="b">
        <v>0</v>
      </c>
      <c r="J3527" s="1">
        <v>1</v>
      </c>
      <c r="K3527" s="10">
        <f t="shared" si="277"/>
        <v>32.553055555501487</v>
      </c>
      <c r="L3527" s="1" t="str">
        <f t="shared" si="278"/>
        <v>OK</v>
      </c>
      <c r="M3527" s="1">
        <f t="shared" si="275"/>
        <v>1</v>
      </c>
      <c r="N3527" s="1">
        <f t="shared" si="276"/>
        <v>69</v>
      </c>
      <c r="O3527" s="10">
        <f t="shared" si="279"/>
        <v>32.553055555501487</v>
      </c>
    </row>
    <row r="3528" spans="1:15">
      <c r="A3528" s="1" t="s">
        <v>3633</v>
      </c>
      <c r="B3528" s="23">
        <v>45282.138888888891</v>
      </c>
      <c r="C3528" s="1" t="s">
        <v>25</v>
      </c>
      <c r="D3528" s="1" t="s">
        <v>21</v>
      </c>
      <c r="E3528" s="1" t="s">
        <v>18</v>
      </c>
      <c r="F3528" s="1" t="s">
        <v>302</v>
      </c>
      <c r="G3528" s="1">
        <v>438</v>
      </c>
      <c r="H3528" s="23">
        <v>45282.369803240741</v>
      </c>
      <c r="I3528" s="1" t="b">
        <v>0</v>
      </c>
      <c r="K3528" s="10">
        <f t="shared" si="277"/>
        <v>5.5419444444123656</v>
      </c>
      <c r="L3528" s="1" t="str">
        <f t="shared" si="278"/>
        <v>Review</v>
      </c>
      <c r="M3528" s="1">
        <f t="shared" si="275"/>
        <v>1</v>
      </c>
      <c r="N3528" s="1" t="str">
        <f t="shared" si="276"/>
        <v/>
      </c>
      <c r="O3528" s="10" t="str">
        <f t="shared" si="279"/>
        <v/>
      </c>
    </row>
    <row r="3529" spans="1:15">
      <c r="A3529" s="1" t="s">
        <v>3634</v>
      </c>
      <c r="B3529" s="23">
        <v>45282.165277777778</v>
      </c>
      <c r="C3529" s="1" t="s">
        <v>16</v>
      </c>
      <c r="D3529" s="1" t="s">
        <v>17</v>
      </c>
      <c r="E3529" s="1" t="s">
        <v>13</v>
      </c>
      <c r="F3529" s="1" t="s">
        <v>100</v>
      </c>
      <c r="G3529" s="1">
        <v>45</v>
      </c>
      <c r="H3529" s="23">
        <v>45282.40148148148</v>
      </c>
      <c r="I3529" s="1" t="b">
        <v>0</v>
      </c>
      <c r="K3529" s="10">
        <f t="shared" si="277"/>
        <v>5.6688888888456859</v>
      </c>
      <c r="L3529" s="1" t="str">
        <f t="shared" si="278"/>
        <v>OK</v>
      </c>
      <c r="M3529" s="1">
        <f t="shared" si="275"/>
        <v>1</v>
      </c>
      <c r="N3529" s="1">
        <f t="shared" si="276"/>
        <v>45</v>
      </c>
      <c r="O3529" s="10">
        <f t="shared" si="279"/>
        <v>5.6688888888456859</v>
      </c>
    </row>
    <row r="3530" spans="1:15">
      <c r="A3530" s="1" t="s">
        <v>3635</v>
      </c>
      <c r="B3530" s="23">
        <v>45282.200694444444</v>
      </c>
      <c r="C3530" s="1" t="s">
        <v>16</v>
      </c>
      <c r="D3530" s="1" t="s">
        <v>59</v>
      </c>
      <c r="E3530" s="1" t="s">
        <v>18</v>
      </c>
      <c r="F3530" s="1" t="s">
        <v>23</v>
      </c>
      <c r="G3530" s="1">
        <v>171</v>
      </c>
      <c r="H3530" s="23">
        <v>45285.664641203701</v>
      </c>
      <c r="I3530" s="1" t="b">
        <v>0</v>
      </c>
      <c r="K3530" s="10">
        <f t="shared" si="277"/>
        <v>83.134722222166602</v>
      </c>
      <c r="L3530" s="1" t="str">
        <f t="shared" si="278"/>
        <v>OK</v>
      </c>
      <c r="M3530" s="1">
        <f t="shared" si="275"/>
        <v>1</v>
      </c>
      <c r="N3530" s="1">
        <f t="shared" si="276"/>
        <v>171</v>
      </c>
      <c r="O3530" s="10">
        <f t="shared" si="279"/>
        <v>83.134722222166602</v>
      </c>
    </row>
    <row r="3531" spans="1:15">
      <c r="A3531" s="1" t="s">
        <v>3636</v>
      </c>
      <c r="B3531" s="23">
        <v>45282.21597222222</v>
      </c>
      <c r="C3531" s="1" t="s">
        <v>25</v>
      </c>
      <c r="D3531" s="1" t="s">
        <v>17</v>
      </c>
      <c r="E3531" s="1" t="s">
        <v>33</v>
      </c>
      <c r="F3531" s="1" t="s">
        <v>14</v>
      </c>
      <c r="G3531" s="1">
        <v>216</v>
      </c>
      <c r="H3531" s="23">
        <v>45295.875104166669</v>
      </c>
      <c r="I3531" s="1" t="b">
        <v>0</v>
      </c>
      <c r="K3531" s="10">
        <f t="shared" si="277"/>
        <v>327.81916666676989</v>
      </c>
      <c r="L3531" s="1" t="str">
        <f t="shared" si="278"/>
        <v>OK</v>
      </c>
      <c r="M3531" s="1">
        <f t="shared" si="275"/>
        <v>1</v>
      </c>
      <c r="N3531" s="1">
        <f t="shared" si="276"/>
        <v>216</v>
      </c>
      <c r="O3531" s="10">
        <f t="shared" si="279"/>
        <v>327.81916666676989</v>
      </c>
    </row>
    <row r="3532" spans="1:15">
      <c r="A3532" s="1" t="s">
        <v>3637</v>
      </c>
      <c r="B3532" s="23">
        <v>45282.252083333333</v>
      </c>
      <c r="C3532" s="1" t="s">
        <v>43</v>
      </c>
      <c r="D3532" s="1" t="s">
        <v>26</v>
      </c>
      <c r="E3532" s="1" t="s">
        <v>33</v>
      </c>
      <c r="F3532" s="1" t="s">
        <v>415</v>
      </c>
      <c r="G3532" s="1">
        <v>628</v>
      </c>
      <c r="H3532" s="23">
        <v>45294.569733796299</v>
      </c>
      <c r="I3532" s="1" t="b">
        <v>1</v>
      </c>
      <c r="K3532" s="10">
        <f t="shared" si="277"/>
        <v>295.6236111111939</v>
      </c>
      <c r="L3532" s="1" t="str">
        <f t="shared" si="278"/>
        <v>OK</v>
      </c>
      <c r="M3532" s="1">
        <f t="shared" si="275"/>
        <v>1</v>
      </c>
      <c r="N3532" s="1">
        <f t="shared" si="276"/>
        <v>628</v>
      </c>
      <c r="O3532" s="10">
        <f t="shared" si="279"/>
        <v>295.6236111111939</v>
      </c>
    </row>
    <row r="3533" spans="1:15">
      <c r="A3533" s="1" t="s">
        <v>3638</v>
      </c>
      <c r="B3533" s="23">
        <v>45282.340277777781</v>
      </c>
      <c r="C3533" s="1" t="s">
        <v>25</v>
      </c>
      <c r="D3533" s="1" t="s">
        <v>12</v>
      </c>
      <c r="E3533" s="1" t="s">
        <v>18</v>
      </c>
      <c r="F3533" s="1" t="s">
        <v>76</v>
      </c>
      <c r="G3533" s="1">
        <v>36</v>
      </c>
      <c r="H3533" s="23">
        <v>45285.792557870373</v>
      </c>
      <c r="I3533" s="1" t="b">
        <v>0</v>
      </c>
      <c r="J3533" s="1">
        <v>2</v>
      </c>
      <c r="K3533" s="10">
        <f t="shared" si="277"/>
        <v>82.85472222219687</v>
      </c>
      <c r="L3533" s="1" t="str">
        <f t="shared" si="278"/>
        <v>OK</v>
      </c>
      <c r="M3533" s="1">
        <f t="shared" si="275"/>
        <v>1</v>
      </c>
      <c r="N3533" s="1">
        <f t="shared" si="276"/>
        <v>36</v>
      </c>
      <c r="O3533" s="10">
        <f t="shared" si="279"/>
        <v>82.85472222219687</v>
      </c>
    </row>
    <row r="3534" spans="1:15">
      <c r="A3534" s="1" t="s">
        <v>3639</v>
      </c>
      <c r="B3534" s="23">
        <v>45282.474305555559</v>
      </c>
      <c r="C3534" s="1" t="s">
        <v>11</v>
      </c>
      <c r="D3534" s="1" t="s">
        <v>26</v>
      </c>
      <c r="E3534" s="1" t="s">
        <v>18</v>
      </c>
      <c r="F3534" s="1" t="s">
        <v>134</v>
      </c>
      <c r="G3534" s="1">
        <v>93</v>
      </c>
      <c r="H3534" s="23">
        <v>45286.07503472222</v>
      </c>
      <c r="I3534" s="1" t="b">
        <v>0</v>
      </c>
      <c r="K3534" s="10">
        <f t="shared" si="277"/>
        <v>86.417499999864958</v>
      </c>
      <c r="L3534" s="1" t="str">
        <f t="shared" si="278"/>
        <v>OK</v>
      </c>
      <c r="M3534" s="1">
        <f t="shared" si="275"/>
        <v>1</v>
      </c>
      <c r="N3534" s="1">
        <f t="shared" si="276"/>
        <v>93</v>
      </c>
      <c r="O3534" s="10">
        <f t="shared" si="279"/>
        <v>86.417499999864958</v>
      </c>
    </row>
    <row r="3535" spans="1:15">
      <c r="A3535" s="1" t="s">
        <v>3640</v>
      </c>
      <c r="B3535" s="23">
        <v>45282.522916666669</v>
      </c>
      <c r="C3535" s="1" t="s">
        <v>11</v>
      </c>
      <c r="D3535" s="1" t="s">
        <v>26</v>
      </c>
      <c r="E3535" s="1" t="s">
        <v>18</v>
      </c>
      <c r="F3535" s="1" t="s">
        <v>245</v>
      </c>
      <c r="G3535" s="1">
        <v>111</v>
      </c>
      <c r="I3535" s="1" t="b">
        <v>0</v>
      </c>
      <c r="K3535" s="10" t="str">
        <f t="shared" si="277"/>
        <v/>
      </c>
      <c r="L3535" s="1" t="str">
        <f t="shared" si="278"/>
        <v>Cannot check</v>
      </c>
      <c r="M3535" s="1">
        <f t="shared" si="275"/>
        <v>1</v>
      </c>
      <c r="N3535" s="1">
        <f t="shared" si="276"/>
        <v>111</v>
      </c>
      <c r="O3535" s="10" t="str">
        <f t="shared" si="279"/>
        <v/>
      </c>
    </row>
    <row r="3536" spans="1:15">
      <c r="A3536" s="1" t="s">
        <v>3641</v>
      </c>
      <c r="B3536" s="23">
        <v>45282.585416666669</v>
      </c>
      <c r="C3536" s="1" t="s">
        <v>16</v>
      </c>
      <c r="D3536" s="1" t="s">
        <v>17</v>
      </c>
      <c r="E3536" s="1" t="s">
        <v>13</v>
      </c>
      <c r="F3536" s="1" t="s">
        <v>167</v>
      </c>
      <c r="G3536" s="1">
        <v>138</v>
      </c>
      <c r="I3536" s="1" t="b">
        <v>0</v>
      </c>
      <c r="K3536" s="10" t="str">
        <f t="shared" si="277"/>
        <v/>
      </c>
      <c r="L3536" s="1" t="str">
        <f t="shared" si="278"/>
        <v>Cannot check</v>
      </c>
      <c r="M3536" s="1">
        <f t="shared" si="275"/>
        <v>1</v>
      </c>
      <c r="N3536" s="1">
        <f t="shared" si="276"/>
        <v>138</v>
      </c>
      <c r="O3536" s="10" t="str">
        <f t="shared" si="279"/>
        <v/>
      </c>
    </row>
    <row r="3537" spans="1:15">
      <c r="A3537" s="1" t="s">
        <v>3642</v>
      </c>
      <c r="B3537" s="23">
        <v>45282.677777777775</v>
      </c>
      <c r="C3537" s="1" t="s">
        <v>43</v>
      </c>
      <c r="D3537" s="1" t="s">
        <v>26</v>
      </c>
      <c r="E3537" s="1" t="s">
        <v>18</v>
      </c>
      <c r="F3537" s="1" t="s">
        <v>92</v>
      </c>
      <c r="G3537" s="1">
        <v>86</v>
      </c>
      <c r="H3537" s="23">
        <v>45283.445636574077</v>
      </c>
      <c r="I3537" s="1" t="b">
        <v>0</v>
      </c>
      <c r="K3537" s="10">
        <f t="shared" si="277"/>
        <v>18.428611111245118</v>
      </c>
      <c r="L3537" s="1" t="str">
        <f t="shared" si="278"/>
        <v>OK</v>
      </c>
      <c r="M3537" s="1">
        <f t="shared" si="275"/>
        <v>1</v>
      </c>
      <c r="N3537" s="1">
        <f t="shared" si="276"/>
        <v>86</v>
      </c>
      <c r="O3537" s="10">
        <f t="shared" si="279"/>
        <v>18.428611111245118</v>
      </c>
    </row>
    <row r="3538" spans="1:15">
      <c r="A3538" s="1" t="s">
        <v>3643</v>
      </c>
      <c r="B3538" s="23">
        <v>45283.064583333333</v>
      </c>
      <c r="C3538" s="1" t="s">
        <v>25</v>
      </c>
      <c r="D3538" s="1" t="s">
        <v>17</v>
      </c>
      <c r="E3538" s="1" t="s">
        <v>33</v>
      </c>
      <c r="F3538" s="1" t="s">
        <v>37</v>
      </c>
      <c r="G3538" s="1">
        <v>62</v>
      </c>
      <c r="H3538" s="23">
        <v>45291.598530092589</v>
      </c>
      <c r="I3538" s="1" t="b">
        <v>0</v>
      </c>
      <c r="K3538" s="10">
        <f t="shared" si="277"/>
        <v>204.81472222215962</v>
      </c>
      <c r="L3538" s="1" t="str">
        <f t="shared" si="278"/>
        <v>OK</v>
      </c>
      <c r="M3538" s="1">
        <f t="shared" si="275"/>
        <v>1</v>
      </c>
      <c r="N3538" s="1">
        <f t="shared" si="276"/>
        <v>62</v>
      </c>
      <c r="O3538" s="10">
        <f t="shared" si="279"/>
        <v>204.81472222215962</v>
      </c>
    </row>
    <row r="3539" spans="1:15">
      <c r="A3539" s="1" t="s">
        <v>3644</v>
      </c>
      <c r="B3539" s="23">
        <v>45283.104166666664</v>
      </c>
      <c r="C3539" s="1" t="s">
        <v>11</v>
      </c>
      <c r="D3539" s="1" t="s">
        <v>12</v>
      </c>
      <c r="E3539" s="1" t="s">
        <v>33</v>
      </c>
      <c r="F3539" s="1" t="s">
        <v>198</v>
      </c>
      <c r="G3539" s="1">
        <v>452</v>
      </c>
      <c r="H3539" s="23">
        <v>45286.643101851849</v>
      </c>
      <c r="I3539" s="1" t="b">
        <v>0</v>
      </c>
      <c r="K3539" s="10">
        <f t="shared" si="277"/>
        <v>84.934444444428664</v>
      </c>
      <c r="L3539" s="1" t="str">
        <f t="shared" si="278"/>
        <v>OK</v>
      </c>
      <c r="M3539" s="1">
        <f t="shared" si="275"/>
        <v>1</v>
      </c>
      <c r="N3539" s="1">
        <f t="shared" si="276"/>
        <v>452</v>
      </c>
      <c r="O3539" s="10">
        <f t="shared" si="279"/>
        <v>84.934444444428664</v>
      </c>
    </row>
    <row r="3540" spans="1:15">
      <c r="A3540" s="1" t="s">
        <v>3645</v>
      </c>
      <c r="B3540" s="23">
        <v>45283.119444444441</v>
      </c>
      <c r="C3540" s="1" t="s">
        <v>16</v>
      </c>
      <c r="D3540" s="1" t="s">
        <v>59</v>
      </c>
      <c r="E3540" s="1" t="s">
        <v>18</v>
      </c>
      <c r="F3540" s="1" t="s">
        <v>66</v>
      </c>
      <c r="G3540" s="1">
        <v>63</v>
      </c>
      <c r="H3540" s="23">
        <v>45283.204745370371</v>
      </c>
      <c r="I3540" s="1" t="b">
        <v>0</v>
      </c>
      <c r="K3540" s="10">
        <f t="shared" si="277"/>
        <v>2.0472222223179415</v>
      </c>
      <c r="L3540" s="1" t="str">
        <f t="shared" si="278"/>
        <v>OK</v>
      </c>
      <c r="M3540" s="1">
        <f t="shared" si="275"/>
        <v>1</v>
      </c>
      <c r="N3540" s="1">
        <f t="shared" si="276"/>
        <v>63</v>
      </c>
      <c r="O3540" s="10">
        <f t="shared" si="279"/>
        <v>2.0472222223179415</v>
      </c>
    </row>
    <row r="3541" spans="1:15">
      <c r="A3541" s="1" t="s">
        <v>3646</v>
      </c>
      <c r="B3541" s="23">
        <v>45283.286805555559</v>
      </c>
      <c r="C3541" s="1" t="s">
        <v>16</v>
      </c>
      <c r="D3541" s="1" t="s">
        <v>21</v>
      </c>
      <c r="E3541" s="1" t="s">
        <v>33</v>
      </c>
      <c r="F3541" s="1" t="s">
        <v>60</v>
      </c>
      <c r="G3541" s="1">
        <v>126</v>
      </c>
      <c r="H3541" s="23">
        <v>45288.277708333335</v>
      </c>
      <c r="I3541" s="1" t="b">
        <v>0</v>
      </c>
      <c r="J3541" s="1">
        <v>5</v>
      </c>
      <c r="K3541" s="10">
        <f t="shared" si="277"/>
        <v>119.78166666661855</v>
      </c>
      <c r="L3541" s="1" t="str">
        <f t="shared" si="278"/>
        <v>OK</v>
      </c>
      <c r="M3541" s="1">
        <f t="shared" si="275"/>
        <v>1</v>
      </c>
      <c r="N3541" s="1">
        <f t="shared" si="276"/>
        <v>126</v>
      </c>
      <c r="O3541" s="10">
        <f t="shared" si="279"/>
        <v>119.78166666661855</v>
      </c>
    </row>
    <row r="3542" spans="1:15">
      <c r="A3542" s="1" t="s">
        <v>3647</v>
      </c>
      <c r="B3542" s="23">
        <v>45283.404166666667</v>
      </c>
      <c r="C3542" s="1" t="s">
        <v>11</v>
      </c>
      <c r="D3542" s="1" t="s">
        <v>59</v>
      </c>
      <c r="E3542" s="1" t="s">
        <v>18</v>
      </c>
      <c r="F3542" s="1" t="s">
        <v>90</v>
      </c>
      <c r="G3542" s="1">
        <v>64</v>
      </c>
      <c r="H3542" s="23">
        <v>45283.8049537037</v>
      </c>
      <c r="I3542" s="1" t="b">
        <v>0</v>
      </c>
      <c r="J3542" s="1">
        <v>5</v>
      </c>
      <c r="K3542" s="10">
        <f t="shared" si="277"/>
        <v>9.6188888887991197</v>
      </c>
      <c r="L3542" s="1" t="str">
        <f t="shared" si="278"/>
        <v>OK</v>
      </c>
      <c r="M3542" s="1">
        <f t="shared" si="275"/>
        <v>1</v>
      </c>
      <c r="N3542" s="1">
        <f t="shared" si="276"/>
        <v>64</v>
      </c>
      <c r="O3542" s="10">
        <f t="shared" si="279"/>
        <v>9.6188888887991197</v>
      </c>
    </row>
    <row r="3543" spans="1:15">
      <c r="A3543" s="1" t="s">
        <v>3648</v>
      </c>
      <c r="B3543" s="23">
        <v>45283.611805555556</v>
      </c>
      <c r="C3543" s="1" t="s">
        <v>16</v>
      </c>
      <c r="D3543" s="1" t="s">
        <v>17</v>
      </c>
      <c r="E3543" s="1" t="s">
        <v>18</v>
      </c>
      <c r="F3543" s="1" t="s">
        <v>100</v>
      </c>
      <c r="G3543" s="1">
        <v>138</v>
      </c>
      <c r="H3543" s="23">
        <v>45286.33189814815</v>
      </c>
      <c r="I3543" s="1" t="b">
        <v>0</v>
      </c>
      <c r="K3543" s="10">
        <f t="shared" si="277"/>
        <v>65.282222222245764</v>
      </c>
      <c r="L3543" s="1" t="str">
        <f t="shared" si="278"/>
        <v>OK</v>
      </c>
      <c r="M3543" s="1">
        <f t="shared" si="275"/>
        <v>1</v>
      </c>
      <c r="N3543" s="1">
        <f t="shared" si="276"/>
        <v>138</v>
      </c>
      <c r="O3543" s="10">
        <f t="shared" si="279"/>
        <v>65.282222222245764</v>
      </c>
    </row>
    <row r="3544" spans="1:15">
      <c r="A3544" s="1" t="s">
        <v>3649</v>
      </c>
      <c r="B3544" s="23">
        <v>45283.756944444445</v>
      </c>
      <c r="C3544" s="1" t="s">
        <v>11</v>
      </c>
      <c r="D3544" s="1" t="s">
        <v>12</v>
      </c>
      <c r="E3544" s="1" t="s">
        <v>13</v>
      </c>
      <c r="F3544" s="1" t="s">
        <v>326</v>
      </c>
      <c r="G3544" s="1">
        <v>63</v>
      </c>
      <c r="H3544" s="23">
        <v>45284.484791666669</v>
      </c>
      <c r="I3544" s="1" t="b">
        <v>0</v>
      </c>
      <c r="J3544" s="1">
        <v>4</v>
      </c>
      <c r="K3544" s="10">
        <f t="shared" si="277"/>
        <v>17.468333333381452</v>
      </c>
      <c r="L3544" s="1" t="str">
        <f t="shared" si="278"/>
        <v>OK</v>
      </c>
      <c r="M3544" s="1">
        <f t="shared" si="275"/>
        <v>1</v>
      </c>
      <c r="N3544" s="1">
        <f t="shared" si="276"/>
        <v>63</v>
      </c>
      <c r="O3544" s="10">
        <f t="shared" si="279"/>
        <v>17.468333333381452</v>
      </c>
    </row>
    <row r="3545" spans="1:15">
      <c r="A3545" s="1" t="s">
        <v>3650</v>
      </c>
      <c r="B3545" s="23">
        <v>45283.82916666667</v>
      </c>
      <c r="C3545" s="1" t="s">
        <v>43</v>
      </c>
      <c r="D3545" s="1" t="s">
        <v>26</v>
      </c>
      <c r="E3545" s="1" t="s">
        <v>33</v>
      </c>
      <c r="F3545" s="1" t="s">
        <v>178</v>
      </c>
      <c r="G3545" s="1">
        <v>53</v>
      </c>
      <c r="H3545" s="23">
        <v>45288.191527777781</v>
      </c>
      <c r="I3545" s="1" t="b">
        <v>0</v>
      </c>
      <c r="K3545" s="10">
        <f t="shared" si="277"/>
        <v>104.6966666666558</v>
      </c>
      <c r="L3545" s="1" t="str">
        <f t="shared" si="278"/>
        <v>OK</v>
      </c>
      <c r="M3545" s="1">
        <f t="shared" si="275"/>
        <v>1</v>
      </c>
      <c r="N3545" s="1">
        <f t="shared" si="276"/>
        <v>53</v>
      </c>
      <c r="O3545" s="10">
        <f t="shared" si="279"/>
        <v>104.6966666666558</v>
      </c>
    </row>
    <row r="3546" spans="1:15">
      <c r="A3546" s="1" t="s">
        <v>3651</v>
      </c>
      <c r="B3546" s="23">
        <v>45283.897916666669</v>
      </c>
      <c r="C3546" s="1" t="s">
        <v>11</v>
      </c>
      <c r="D3546" s="1" t="s">
        <v>21</v>
      </c>
      <c r="E3546" s="1" t="s">
        <v>18</v>
      </c>
      <c r="F3546" s="1" t="s">
        <v>206</v>
      </c>
      <c r="G3546" s="1">
        <v>124</v>
      </c>
      <c r="H3546" s="23">
        <v>45285.33929398148</v>
      </c>
      <c r="I3546" s="1" t="b">
        <v>0</v>
      </c>
      <c r="K3546" s="10">
        <f t="shared" si="277"/>
        <v>34.593055555480532</v>
      </c>
      <c r="L3546" s="1" t="str">
        <f t="shared" si="278"/>
        <v>OK</v>
      </c>
      <c r="M3546" s="1">
        <f t="shared" si="275"/>
        <v>1</v>
      </c>
      <c r="N3546" s="1">
        <f t="shared" si="276"/>
        <v>124</v>
      </c>
      <c r="O3546" s="10">
        <f t="shared" si="279"/>
        <v>34.593055555480532</v>
      </c>
    </row>
    <row r="3547" spans="1:15">
      <c r="A3547" s="1" t="s">
        <v>3652</v>
      </c>
      <c r="B3547" s="23">
        <v>45283.9</v>
      </c>
      <c r="C3547" s="1" t="s">
        <v>16</v>
      </c>
      <c r="D3547" s="1" t="s">
        <v>21</v>
      </c>
      <c r="E3547" s="1" t="s">
        <v>33</v>
      </c>
      <c r="F3547" s="1" t="s">
        <v>259</v>
      </c>
      <c r="G3547" s="1">
        <v>33</v>
      </c>
      <c r="H3547" s="23">
        <v>45285.966643518521</v>
      </c>
      <c r="I3547" s="1" t="b">
        <v>0</v>
      </c>
      <c r="K3547" s="10">
        <f t="shared" si="277"/>
        <v>49.599444444465917</v>
      </c>
      <c r="L3547" s="1" t="str">
        <f t="shared" si="278"/>
        <v>OK</v>
      </c>
      <c r="M3547" s="1">
        <f t="shared" si="275"/>
        <v>1</v>
      </c>
      <c r="N3547" s="1">
        <f t="shared" si="276"/>
        <v>33</v>
      </c>
      <c r="O3547" s="10">
        <f t="shared" si="279"/>
        <v>49.599444444465917</v>
      </c>
    </row>
    <row r="3548" spans="1:15">
      <c r="A3548" s="1" t="s">
        <v>3653</v>
      </c>
      <c r="B3548" s="23">
        <v>45283.98333333333</v>
      </c>
      <c r="C3548" s="1" t="s">
        <v>25</v>
      </c>
      <c r="D3548" s="1" t="s">
        <v>26</v>
      </c>
      <c r="E3548" s="1" t="s">
        <v>22</v>
      </c>
      <c r="F3548" s="1" t="s">
        <v>112</v>
      </c>
      <c r="G3548" s="1">
        <v>49</v>
      </c>
      <c r="H3548" s="23">
        <v>45284.44672453704</v>
      </c>
      <c r="I3548" s="1" t="b">
        <v>0</v>
      </c>
      <c r="J3548" s="1">
        <v>5</v>
      </c>
      <c r="K3548" s="10">
        <f t="shared" si="277"/>
        <v>11.121388889034279</v>
      </c>
      <c r="L3548" s="1" t="str">
        <f t="shared" si="278"/>
        <v>OK</v>
      </c>
      <c r="M3548" s="1">
        <f t="shared" si="275"/>
        <v>1</v>
      </c>
      <c r="N3548" s="1">
        <f t="shared" si="276"/>
        <v>49</v>
      </c>
      <c r="O3548" s="10">
        <f t="shared" si="279"/>
        <v>11.121388889034279</v>
      </c>
    </row>
    <row r="3549" spans="1:15">
      <c r="A3549" s="1" t="s">
        <v>3654</v>
      </c>
      <c r="B3549" s="23">
        <v>45284.470833333333</v>
      </c>
      <c r="C3549" s="1" t="s">
        <v>16</v>
      </c>
      <c r="D3549" s="1" t="s">
        <v>12</v>
      </c>
      <c r="E3549" s="1" t="s">
        <v>13</v>
      </c>
      <c r="F3549" s="1" t="s">
        <v>159</v>
      </c>
      <c r="G3549" s="1">
        <v>32</v>
      </c>
      <c r="H3549" s="23">
        <v>45284.98578703704</v>
      </c>
      <c r="I3549" s="1" t="b">
        <v>0</v>
      </c>
      <c r="J3549" s="1">
        <v>1</v>
      </c>
      <c r="K3549" s="10">
        <f t="shared" si="277"/>
        <v>12.358888888964429</v>
      </c>
      <c r="L3549" s="1" t="str">
        <f t="shared" si="278"/>
        <v>OK</v>
      </c>
      <c r="M3549" s="1">
        <f t="shared" si="275"/>
        <v>1</v>
      </c>
      <c r="N3549" s="1">
        <f t="shared" si="276"/>
        <v>32</v>
      </c>
      <c r="O3549" s="10">
        <f t="shared" si="279"/>
        <v>12.358888888964429</v>
      </c>
    </row>
    <row r="3550" spans="1:15">
      <c r="A3550" s="1" t="s">
        <v>3655</v>
      </c>
      <c r="B3550" s="23">
        <v>45284.529166666667</v>
      </c>
      <c r="C3550" s="1" t="s">
        <v>16</v>
      </c>
      <c r="D3550" s="1" t="s">
        <v>12</v>
      </c>
      <c r="E3550" s="1" t="s">
        <v>18</v>
      </c>
      <c r="F3550" s="1" t="s">
        <v>86</v>
      </c>
      <c r="G3550" s="1">
        <v>117</v>
      </c>
      <c r="H3550" s="23">
        <v>45285.88140046296</v>
      </c>
      <c r="I3550" s="1" t="b">
        <v>0</v>
      </c>
      <c r="K3550" s="10">
        <f t="shared" si="277"/>
        <v>32.453611111035571</v>
      </c>
      <c r="L3550" s="1" t="str">
        <f t="shared" si="278"/>
        <v>OK</v>
      </c>
      <c r="M3550" s="1">
        <f t="shared" si="275"/>
        <v>1</v>
      </c>
      <c r="N3550" s="1">
        <f t="shared" si="276"/>
        <v>117</v>
      </c>
      <c r="O3550" s="10">
        <f t="shared" si="279"/>
        <v>32.453611111035571</v>
      </c>
    </row>
    <row r="3551" spans="1:15">
      <c r="A3551" s="1" t="s">
        <v>3656</v>
      </c>
      <c r="B3551" s="23">
        <v>45284.570833333331</v>
      </c>
      <c r="C3551" s="1" t="s">
        <v>11</v>
      </c>
      <c r="D3551" s="1" t="s">
        <v>12</v>
      </c>
      <c r="E3551" s="1" t="s">
        <v>18</v>
      </c>
      <c r="F3551" s="1" t="s">
        <v>52</v>
      </c>
      <c r="G3551" s="1">
        <v>23</v>
      </c>
      <c r="H3551" s="23">
        <v>45287.533738425926</v>
      </c>
      <c r="I3551" s="1" t="b">
        <v>0</v>
      </c>
      <c r="K3551" s="10">
        <f t="shared" si="277"/>
        <v>71.109722222259734</v>
      </c>
      <c r="L3551" s="1" t="str">
        <f t="shared" si="278"/>
        <v>OK</v>
      </c>
      <c r="M3551" s="1">
        <f t="shared" si="275"/>
        <v>1</v>
      </c>
      <c r="N3551" s="1">
        <f t="shared" si="276"/>
        <v>23</v>
      </c>
      <c r="O3551" s="10">
        <f t="shared" si="279"/>
        <v>71.109722222259734</v>
      </c>
    </row>
    <row r="3552" spans="1:15">
      <c r="A3552" s="1" t="s">
        <v>3657</v>
      </c>
      <c r="B3552" s="23">
        <v>45284.702777777777</v>
      </c>
      <c r="C3552" s="1" t="s">
        <v>43</v>
      </c>
      <c r="D3552" s="1" t="s">
        <v>17</v>
      </c>
      <c r="E3552" s="1" t="s">
        <v>18</v>
      </c>
      <c r="F3552" s="1" t="s">
        <v>254</v>
      </c>
      <c r="H3552" s="23">
        <v>45285.165937500002</v>
      </c>
      <c r="I3552" s="1" t="b">
        <v>0</v>
      </c>
      <c r="K3552" s="10">
        <f t="shared" si="277"/>
        <v>11.115833333402406</v>
      </c>
      <c r="L3552" s="1" t="str">
        <f t="shared" si="278"/>
        <v>Cannot check</v>
      </c>
      <c r="M3552" s="1">
        <f t="shared" si="275"/>
        <v>1</v>
      </c>
      <c r="N3552" s="1" t="str">
        <f t="shared" si="276"/>
        <v/>
      </c>
      <c r="O3552" s="10">
        <f t="shared" si="279"/>
        <v>11.115833333402406</v>
      </c>
    </row>
    <row r="3553" spans="1:15">
      <c r="A3553" s="1" t="s">
        <v>3658</v>
      </c>
      <c r="B3553" s="23">
        <v>45284.755555555559</v>
      </c>
      <c r="C3553" s="1" t="s">
        <v>25</v>
      </c>
      <c r="D3553" s="1" t="s">
        <v>17</v>
      </c>
      <c r="E3553" s="1" t="s">
        <v>18</v>
      </c>
      <c r="F3553" s="1" t="s">
        <v>326</v>
      </c>
      <c r="G3553" s="1">
        <v>18</v>
      </c>
      <c r="H3553" s="23">
        <v>45286.634837962964</v>
      </c>
      <c r="I3553" s="1" t="b">
        <v>0</v>
      </c>
      <c r="K3553" s="10">
        <f t="shared" si="277"/>
        <v>45.102777777705342</v>
      </c>
      <c r="L3553" s="1" t="str">
        <f t="shared" si="278"/>
        <v>OK</v>
      </c>
      <c r="M3553" s="1">
        <f t="shared" si="275"/>
        <v>1</v>
      </c>
      <c r="N3553" s="1">
        <f t="shared" si="276"/>
        <v>18</v>
      </c>
      <c r="O3553" s="10">
        <f t="shared" si="279"/>
        <v>45.102777777705342</v>
      </c>
    </row>
    <row r="3554" spans="1:15">
      <c r="A3554" s="1" t="s">
        <v>3659</v>
      </c>
      <c r="B3554" s="23">
        <v>45284.888194444444</v>
      </c>
      <c r="C3554" s="1" t="s">
        <v>43</v>
      </c>
      <c r="D3554" s="1" t="s">
        <v>12</v>
      </c>
      <c r="E3554" s="1" t="s">
        <v>33</v>
      </c>
      <c r="F3554" s="1" t="s">
        <v>92</v>
      </c>
      <c r="G3554" s="1">
        <v>824</v>
      </c>
      <c r="H3554" s="23">
        <v>45285.422430555554</v>
      </c>
      <c r="I3554" s="1" t="b">
        <v>0</v>
      </c>
      <c r="K3554" s="10">
        <f t="shared" si="277"/>
        <v>12.821666666655801</v>
      </c>
      <c r="L3554" s="1" t="str">
        <f t="shared" si="278"/>
        <v>Review</v>
      </c>
      <c r="M3554" s="1">
        <f t="shared" si="275"/>
        <v>1</v>
      </c>
      <c r="N3554" s="1" t="str">
        <f t="shared" si="276"/>
        <v/>
      </c>
      <c r="O3554" s="10" t="str">
        <f t="shared" si="279"/>
        <v/>
      </c>
    </row>
    <row r="3555" spans="1:15">
      <c r="A3555" s="1" t="s">
        <v>3660</v>
      </c>
      <c r="B3555" s="23">
        <v>45284.938888888886</v>
      </c>
      <c r="C3555" s="1" t="s">
        <v>11</v>
      </c>
      <c r="D3555" s="1" t="s">
        <v>59</v>
      </c>
      <c r="E3555" s="1" t="s">
        <v>18</v>
      </c>
      <c r="F3555" s="1" t="s">
        <v>68</v>
      </c>
      <c r="G3555" s="1">
        <v>112</v>
      </c>
      <c r="H3555" s="23">
        <v>45285.584027777775</v>
      </c>
      <c r="I3555" s="1" t="b">
        <v>0</v>
      </c>
      <c r="K3555" s="10">
        <f t="shared" si="277"/>
        <v>15.483333333337214</v>
      </c>
      <c r="L3555" s="1" t="str">
        <f t="shared" si="278"/>
        <v>OK</v>
      </c>
      <c r="M3555" s="1">
        <f t="shared" si="275"/>
        <v>1</v>
      </c>
      <c r="N3555" s="1">
        <f t="shared" si="276"/>
        <v>112</v>
      </c>
      <c r="O3555" s="10">
        <f t="shared" si="279"/>
        <v>15.483333333337214</v>
      </c>
    </row>
    <row r="3556" spans="1:15">
      <c r="A3556" s="1" t="s">
        <v>3661</v>
      </c>
      <c r="B3556" s="23">
        <v>45285.138888888891</v>
      </c>
      <c r="C3556" s="1" t="s">
        <v>25</v>
      </c>
      <c r="D3556" s="1" t="s">
        <v>26</v>
      </c>
      <c r="E3556" s="1" t="s">
        <v>18</v>
      </c>
      <c r="F3556" s="1" t="s">
        <v>80</v>
      </c>
      <c r="G3556" s="1">
        <v>13</v>
      </c>
      <c r="H3556" s="23">
        <v>45285.850601851853</v>
      </c>
      <c r="I3556" s="1" t="b">
        <v>0</v>
      </c>
      <c r="K3556" s="10">
        <f t="shared" si="277"/>
        <v>17.081111111096106</v>
      </c>
      <c r="L3556" s="1" t="str">
        <f t="shared" si="278"/>
        <v>OK</v>
      </c>
      <c r="M3556" s="1">
        <f t="shared" si="275"/>
        <v>1</v>
      </c>
      <c r="N3556" s="1">
        <f t="shared" si="276"/>
        <v>13</v>
      </c>
      <c r="O3556" s="10">
        <f t="shared" si="279"/>
        <v>17.081111111096106</v>
      </c>
    </row>
    <row r="3557" spans="1:15">
      <c r="A3557" s="1" t="s">
        <v>3662</v>
      </c>
      <c r="B3557" s="23">
        <v>45285.344444444447</v>
      </c>
      <c r="C3557" s="1" t="s">
        <v>16</v>
      </c>
      <c r="D3557" s="1" t="s">
        <v>12</v>
      </c>
      <c r="E3557" s="1" t="s">
        <v>18</v>
      </c>
      <c r="F3557" s="1" t="s">
        <v>104</v>
      </c>
      <c r="G3557" s="1">
        <v>23</v>
      </c>
      <c r="H3557" s="23">
        <v>45287.600162037037</v>
      </c>
      <c r="I3557" s="1" t="b">
        <v>0</v>
      </c>
      <c r="K3557" s="10">
        <f t="shared" si="277"/>
        <v>54.13722222216893</v>
      </c>
      <c r="L3557" s="1" t="str">
        <f t="shared" si="278"/>
        <v>OK</v>
      </c>
      <c r="M3557" s="1">
        <f t="shared" si="275"/>
        <v>1</v>
      </c>
      <c r="N3557" s="1">
        <f t="shared" si="276"/>
        <v>23</v>
      </c>
      <c r="O3557" s="10">
        <f t="shared" si="279"/>
        <v>54.13722222216893</v>
      </c>
    </row>
    <row r="3558" spans="1:15">
      <c r="A3558" s="1" t="s">
        <v>3663</v>
      </c>
      <c r="B3558" s="23">
        <v>45285.365972222222</v>
      </c>
      <c r="C3558" s="1" t="s">
        <v>16</v>
      </c>
      <c r="D3558" s="1" t="s">
        <v>12</v>
      </c>
      <c r="E3558" s="1" t="s">
        <v>18</v>
      </c>
      <c r="F3558" s="1" t="s">
        <v>201</v>
      </c>
      <c r="G3558" s="1">
        <v>10</v>
      </c>
      <c r="H3558" s="23">
        <v>45285.551944444444</v>
      </c>
      <c r="I3558" s="1" t="b">
        <v>0</v>
      </c>
      <c r="J3558" s="1">
        <v>5</v>
      </c>
      <c r="K3558" s="10">
        <f t="shared" si="277"/>
        <v>4.4633333333185874</v>
      </c>
      <c r="L3558" s="1" t="str">
        <f t="shared" si="278"/>
        <v>OK</v>
      </c>
      <c r="M3558" s="1">
        <f t="shared" si="275"/>
        <v>1</v>
      </c>
      <c r="N3558" s="1">
        <f t="shared" si="276"/>
        <v>10</v>
      </c>
      <c r="O3558" s="10">
        <f t="shared" si="279"/>
        <v>4.4633333333185874</v>
      </c>
    </row>
    <row r="3559" spans="1:15">
      <c r="A3559" s="1" t="s">
        <v>3664</v>
      </c>
      <c r="B3559" s="23">
        <v>45285.515972222223</v>
      </c>
      <c r="C3559" s="1" t="s">
        <v>16</v>
      </c>
      <c r="D3559" s="1" t="s">
        <v>17</v>
      </c>
      <c r="E3559" s="1" t="s">
        <v>18</v>
      </c>
      <c r="F3559" s="1" t="s">
        <v>317</v>
      </c>
      <c r="G3559" s="1">
        <v>236</v>
      </c>
      <c r="H3559" s="23">
        <v>45285.867708333331</v>
      </c>
      <c r="I3559" s="1" t="b">
        <v>0</v>
      </c>
      <c r="K3559" s="10">
        <f t="shared" si="277"/>
        <v>8.441666666592937</v>
      </c>
      <c r="L3559" s="1" t="str">
        <f t="shared" si="278"/>
        <v>OK</v>
      </c>
      <c r="M3559" s="1">
        <f t="shared" si="275"/>
        <v>1</v>
      </c>
      <c r="N3559" s="1">
        <f t="shared" si="276"/>
        <v>236</v>
      </c>
      <c r="O3559" s="10">
        <f t="shared" si="279"/>
        <v>8.441666666592937</v>
      </c>
    </row>
    <row r="3560" spans="1:15">
      <c r="A3560" s="1" t="s">
        <v>3665</v>
      </c>
      <c r="B3560" s="23">
        <v>45285.544444444444</v>
      </c>
      <c r="C3560" s="1" t="s">
        <v>16</v>
      </c>
      <c r="D3560" s="1" t="s">
        <v>26</v>
      </c>
      <c r="E3560" s="1" t="s">
        <v>33</v>
      </c>
      <c r="F3560" s="1" t="s">
        <v>60</v>
      </c>
      <c r="G3560" s="1">
        <v>236</v>
      </c>
      <c r="H3560" s="23">
        <v>45314.470659722225</v>
      </c>
      <c r="I3560" s="1" t="b">
        <v>0</v>
      </c>
      <c r="J3560" s="1">
        <v>5</v>
      </c>
      <c r="K3560" s="10">
        <f t="shared" si="277"/>
        <v>694.22916666674428</v>
      </c>
      <c r="L3560" s="1" t="str">
        <f t="shared" si="278"/>
        <v>OK</v>
      </c>
      <c r="M3560" s="1">
        <f t="shared" si="275"/>
        <v>1</v>
      </c>
      <c r="N3560" s="1">
        <f t="shared" si="276"/>
        <v>236</v>
      </c>
      <c r="O3560" s="10">
        <f t="shared" si="279"/>
        <v>694.22916666674428</v>
      </c>
    </row>
    <row r="3561" spans="1:15">
      <c r="A3561" s="1" t="s">
        <v>3666</v>
      </c>
      <c r="B3561" s="23">
        <v>45285.581250000003</v>
      </c>
      <c r="C3561" s="1" t="s">
        <v>11</v>
      </c>
      <c r="D3561" s="1" t="s">
        <v>17</v>
      </c>
      <c r="E3561" s="1" t="s">
        <v>18</v>
      </c>
      <c r="F3561" s="1" t="s">
        <v>27</v>
      </c>
      <c r="G3561" s="1">
        <v>64</v>
      </c>
      <c r="H3561" s="23">
        <v>45287.859201388892</v>
      </c>
      <c r="I3561" s="1" t="b">
        <v>0</v>
      </c>
      <c r="J3561" s="1">
        <v>4</v>
      </c>
      <c r="K3561" s="10">
        <f t="shared" si="277"/>
        <v>54.670833333337214</v>
      </c>
      <c r="L3561" s="1" t="str">
        <f t="shared" si="278"/>
        <v>OK</v>
      </c>
      <c r="M3561" s="1">
        <f t="shared" si="275"/>
        <v>1</v>
      </c>
      <c r="N3561" s="1">
        <f t="shared" si="276"/>
        <v>64</v>
      </c>
      <c r="O3561" s="10">
        <f t="shared" si="279"/>
        <v>54.670833333337214</v>
      </c>
    </row>
    <row r="3562" spans="1:15">
      <c r="A3562" s="1" t="s">
        <v>3667</v>
      </c>
      <c r="B3562" s="23">
        <v>45285.738194444442</v>
      </c>
      <c r="C3562" s="1" t="s">
        <v>16</v>
      </c>
      <c r="D3562" s="1" t="s">
        <v>21</v>
      </c>
      <c r="E3562" s="1" t="s">
        <v>22</v>
      </c>
      <c r="F3562" s="1" t="s">
        <v>112</v>
      </c>
      <c r="G3562" s="1">
        <v>9</v>
      </c>
      <c r="H3562" s="23">
        <v>45285.820960648147</v>
      </c>
      <c r="I3562" s="1" t="b">
        <v>1</v>
      </c>
      <c r="K3562" s="10">
        <f t="shared" si="277"/>
        <v>1.9863888889085501</v>
      </c>
      <c r="L3562" s="1" t="str">
        <f t="shared" si="278"/>
        <v>OK</v>
      </c>
      <c r="M3562" s="1">
        <f t="shared" si="275"/>
        <v>1</v>
      </c>
      <c r="N3562" s="1">
        <f t="shared" si="276"/>
        <v>9</v>
      </c>
      <c r="O3562" s="10">
        <f t="shared" si="279"/>
        <v>1.9863888889085501</v>
      </c>
    </row>
    <row r="3563" spans="1:15">
      <c r="A3563" s="1" t="s">
        <v>3668</v>
      </c>
      <c r="B3563" s="23">
        <v>45285.984027777777</v>
      </c>
      <c r="C3563" s="1" t="s">
        <v>16</v>
      </c>
      <c r="D3563" s="1" t="s">
        <v>12</v>
      </c>
      <c r="E3563" s="1" t="s">
        <v>33</v>
      </c>
      <c r="F3563" s="1" t="s">
        <v>19</v>
      </c>
      <c r="G3563" s="1">
        <v>50</v>
      </c>
      <c r="H3563" s="23">
        <v>45286.804189814815</v>
      </c>
      <c r="I3563" s="1" t="b">
        <v>0</v>
      </c>
      <c r="J3563" s="1">
        <v>5</v>
      </c>
      <c r="K3563" s="10">
        <f t="shared" si="277"/>
        <v>19.683888888917863</v>
      </c>
      <c r="L3563" s="1" t="str">
        <f t="shared" si="278"/>
        <v>OK</v>
      </c>
      <c r="M3563" s="1">
        <f t="shared" si="275"/>
        <v>1</v>
      </c>
      <c r="N3563" s="1">
        <f t="shared" si="276"/>
        <v>50</v>
      </c>
      <c r="O3563" s="10">
        <f t="shared" si="279"/>
        <v>19.683888888917863</v>
      </c>
    </row>
    <row r="3564" spans="1:15">
      <c r="A3564" s="1" t="s">
        <v>3669</v>
      </c>
      <c r="B3564" s="23">
        <v>45286.046527777777</v>
      </c>
      <c r="C3564" s="1" t="s">
        <v>25</v>
      </c>
      <c r="D3564" s="1" t="s">
        <v>17</v>
      </c>
      <c r="E3564" s="1" t="s">
        <v>22</v>
      </c>
      <c r="F3564" s="1" t="s">
        <v>145</v>
      </c>
      <c r="G3564" s="1">
        <v>39</v>
      </c>
      <c r="H3564" s="23">
        <v>45286.079432870371</v>
      </c>
      <c r="I3564" s="1" t="b">
        <v>0</v>
      </c>
      <c r="K3564" s="10">
        <f t="shared" si="277"/>
        <v>0.78972222225274891</v>
      </c>
      <c r="L3564" s="1" t="str">
        <f t="shared" si="278"/>
        <v>OK</v>
      </c>
      <c r="M3564" s="1">
        <f t="shared" si="275"/>
        <v>1</v>
      </c>
      <c r="N3564" s="1">
        <f t="shared" si="276"/>
        <v>39</v>
      </c>
      <c r="O3564" s="10">
        <f t="shared" si="279"/>
        <v>0.78972222225274891</v>
      </c>
    </row>
    <row r="3565" spans="1:15">
      <c r="A3565" s="1" t="s">
        <v>3670</v>
      </c>
      <c r="B3565" s="23">
        <v>45286.208333333336</v>
      </c>
      <c r="C3565" s="1" t="s">
        <v>16</v>
      </c>
      <c r="D3565" s="1" t="s">
        <v>17</v>
      </c>
      <c r="E3565" s="1" t="s">
        <v>33</v>
      </c>
      <c r="F3565" s="1" t="s">
        <v>19</v>
      </c>
      <c r="G3565" s="1">
        <v>172</v>
      </c>
      <c r="H3565" s="23">
        <v>45288.354062500002</v>
      </c>
      <c r="I3565" s="1" t="b">
        <v>0</v>
      </c>
      <c r="K3565" s="10">
        <f t="shared" si="277"/>
        <v>51.497499999997672</v>
      </c>
      <c r="L3565" s="1" t="str">
        <f t="shared" si="278"/>
        <v>OK</v>
      </c>
      <c r="M3565" s="1">
        <f t="shared" si="275"/>
        <v>1</v>
      </c>
      <c r="N3565" s="1">
        <f t="shared" si="276"/>
        <v>172</v>
      </c>
      <c r="O3565" s="10">
        <f t="shared" si="279"/>
        <v>51.497499999997672</v>
      </c>
    </row>
    <row r="3566" spans="1:15">
      <c r="A3566" s="1" t="s">
        <v>3671</v>
      </c>
      <c r="B3566" s="23">
        <v>45286.34652777778</v>
      </c>
      <c r="C3566" s="1" t="s">
        <v>11</v>
      </c>
      <c r="D3566" s="1" t="s">
        <v>59</v>
      </c>
      <c r="E3566" s="1" t="s">
        <v>33</v>
      </c>
      <c r="F3566" s="1" t="s">
        <v>104</v>
      </c>
      <c r="G3566" s="1">
        <v>444</v>
      </c>
      <c r="H3566" s="23">
        <v>45287.383599537039</v>
      </c>
      <c r="I3566" s="1" t="b">
        <v>0</v>
      </c>
      <c r="J3566" s="1">
        <v>5</v>
      </c>
      <c r="K3566" s="10">
        <f t="shared" si="277"/>
        <v>24.889722222229466</v>
      </c>
      <c r="L3566" s="1" t="str">
        <f t="shared" si="278"/>
        <v>OK</v>
      </c>
      <c r="M3566" s="1">
        <f t="shared" si="275"/>
        <v>1</v>
      </c>
      <c r="N3566" s="1">
        <f t="shared" si="276"/>
        <v>444</v>
      </c>
      <c r="O3566" s="10">
        <f t="shared" si="279"/>
        <v>24.889722222229466</v>
      </c>
    </row>
    <row r="3567" spans="1:15">
      <c r="A3567" s="1" t="s">
        <v>3672</v>
      </c>
      <c r="B3567" s="23">
        <v>45286.415972222225</v>
      </c>
      <c r="C3567" s="1" t="s">
        <v>16</v>
      </c>
      <c r="D3567" s="1" t="s">
        <v>17</v>
      </c>
      <c r="E3567" s="1" t="s">
        <v>18</v>
      </c>
      <c r="F3567" s="1" t="s">
        <v>153</v>
      </c>
      <c r="G3567" s="1">
        <v>136</v>
      </c>
      <c r="H3567" s="23">
        <v>45288.872581018521</v>
      </c>
      <c r="I3567" s="1" t="b">
        <v>0</v>
      </c>
      <c r="K3567" s="10">
        <f t="shared" si="277"/>
        <v>58.958611111098435</v>
      </c>
      <c r="L3567" s="1" t="str">
        <f t="shared" si="278"/>
        <v>OK</v>
      </c>
      <c r="M3567" s="1">
        <f t="shared" si="275"/>
        <v>1</v>
      </c>
      <c r="N3567" s="1">
        <f t="shared" si="276"/>
        <v>136</v>
      </c>
      <c r="O3567" s="10">
        <f t="shared" si="279"/>
        <v>58.958611111098435</v>
      </c>
    </row>
    <row r="3568" spans="1:15">
      <c r="A3568" s="1" t="s">
        <v>3673</v>
      </c>
      <c r="B3568" s="23">
        <v>45286.828472222223</v>
      </c>
      <c r="C3568" s="1" t="s">
        <v>11</v>
      </c>
      <c r="D3568" s="1" t="s">
        <v>12</v>
      </c>
      <c r="E3568" s="1" t="s">
        <v>13</v>
      </c>
      <c r="F3568" s="1" t="s">
        <v>44</v>
      </c>
      <c r="G3568" s="1">
        <v>54</v>
      </c>
      <c r="H3568" s="23">
        <v>45287.500509259262</v>
      </c>
      <c r="I3568" s="1" t="b">
        <v>0</v>
      </c>
      <c r="K3568" s="10">
        <f t="shared" si="277"/>
        <v>16.128888888924848</v>
      </c>
      <c r="L3568" s="1" t="str">
        <f t="shared" si="278"/>
        <v>OK</v>
      </c>
      <c r="M3568" s="1">
        <f t="shared" si="275"/>
        <v>1</v>
      </c>
      <c r="N3568" s="1">
        <f t="shared" si="276"/>
        <v>54</v>
      </c>
      <c r="O3568" s="10">
        <f t="shared" si="279"/>
        <v>16.128888888924848</v>
      </c>
    </row>
    <row r="3569" spans="1:15">
      <c r="A3569" s="1" t="s">
        <v>3674</v>
      </c>
      <c r="B3569" s="23">
        <v>45286.87222222222</v>
      </c>
      <c r="C3569" s="1" t="s">
        <v>43</v>
      </c>
      <c r="D3569" s="1" t="s">
        <v>21</v>
      </c>
      <c r="E3569" s="1" t="s">
        <v>33</v>
      </c>
      <c r="F3569" s="1" t="s">
        <v>224</v>
      </c>
      <c r="G3569" s="1">
        <v>536</v>
      </c>
      <c r="H3569" s="23">
        <v>45289.733113425929</v>
      </c>
      <c r="I3569" s="1" t="b">
        <v>0</v>
      </c>
      <c r="J3569" s="1">
        <v>2</v>
      </c>
      <c r="K3569" s="10">
        <f t="shared" si="277"/>
        <v>68.661388889013324</v>
      </c>
      <c r="L3569" s="1" t="str">
        <f t="shared" si="278"/>
        <v>OK</v>
      </c>
      <c r="M3569" s="1">
        <f t="shared" si="275"/>
        <v>1</v>
      </c>
      <c r="N3569" s="1">
        <f t="shared" si="276"/>
        <v>536</v>
      </c>
      <c r="O3569" s="10">
        <f t="shared" si="279"/>
        <v>68.661388889013324</v>
      </c>
    </row>
    <row r="3570" spans="1:15">
      <c r="A3570" s="1" t="s">
        <v>3675</v>
      </c>
      <c r="B3570" s="23">
        <v>45287.050694444442</v>
      </c>
      <c r="C3570" s="1" t="s">
        <v>11</v>
      </c>
      <c r="D3570" s="1" t="s">
        <v>59</v>
      </c>
      <c r="E3570" s="1" t="s">
        <v>13</v>
      </c>
      <c r="F3570" s="1" t="s">
        <v>175</v>
      </c>
      <c r="G3570" s="1">
        <v>112</v>
      </c>
      <c r="H3570" s="23">
        <v>45291.308530092596</v>
      </c>
      <c r="I3570" s="1" t="b">
        <v>0</v>
      </c>
      <c r="K3570" s="10">
        <f t="shared" si="277"/>
        <v>102.18805555568542</v>
      </c>
      <c r="L3570" s="1" t="str">
        <f t="shared" si="278"/>
        <v>OK</v>
      </c>
      <c r="M3570" s="1">
        <f t="shared" si="275"/>
        <v>1</v>
      </c>
      <c r="N3570" s="1">
        <f t="shared" si="276"/>
        <v>112</v>
      </c>
      <c r="O3570" s="10">
        <f t="shared" si="279"/>
        <v>102.18805555568542</v>
      </c>
    </row>
    <row r="3571" spans="1:15">
      <c r="A3571" s="1" t="s">
        <v>3676</v>
      </c>
      <c r="B3571" s="23">
        <v>45287.104166666664</v>
      </c>
      <c r="C3571" s="1" t="s">
        <v>11</v>
      </c>
      <c r="D3571" s="1" t="s">
        <v>17</v>
      </c>
      <c r="E3571" s="1" t="s">
        <v>33</v>
      </c>
      <c r="F3571" s="1" t="s">
        <v>234</v>
      </c>
      <c r="G3571" s="1">
        <v>85</v>
      </c>
      <c r="H3571" s="23">
        <v>45291.750428240739</v>
      </c>
      <c r="I3571" s="1" t="b">
        <v>1</v>
      </c>
      <c r="K3571" s="10">
        <f t="shared" si="277"/>
        <v>111.51027777779382</v>
      </c>
      <c r="L3571" s="1" t="str">
        <f t="shared" si="278"/>
        <v>OK</v>
      </c>
      <c r="M3571" s="1">
        <f t="shared" si="275"/>
        <v>1</v>
      </c>
      <c r="N3571" s="1">
        <f t="shared" si="276"/>
        <v>85</v>
      </c>
      <c r="O3571" s="10">
        <f t="shared" si="279"/>
        <v>111.51027777779382</v>
      </c>
    </row>
    <row r="3572" spans="1:15">
      <c r="A3572" s="1" t="s">
        <v>3677</v>
      </c>
      <c r="B3572" s="23">
        <v>45287.268055555556</v>
      </c>
      <c r="C3572" s="1" t="s">
        <v>16</v>
      </c>
      <c r="D3572" s="1" t="s">
        <v>17</v>
      </c>
      <c r="E3572" s="1" t="s">
        <v>18</v>
      </c>
      <c r="F3572" s="1" t="s">
        <v>234</v>
      </c>
      <c r="G3572" s="1">
        <v>111</v>
      </c>
      <c r="H3572" s="23">
        <v>45288.749155092592</v>
      </c>
      <c r="I3572" s="1" t="b">
        <v>0</v>
      </c>
      <c r="K3572" s="10">
        <f t="shared" si="277"/>
        <v>35.546388888848014</v>
      </c>
      <c r="L3572" s="1" t="str">
        <f t="shared" si="278"/>
        <v>OK</v>
      </c>
      <c r="M3572" s="1">
        <f t="shared" si="275"/>
        <v>1</v>
      </c>
      <c r="N3572" s="1">
        <f t="shared" si="276"/>
        <v>111</v>
      </c>
      <c r="O3572" s="10">
        <f t="shared" si="279"/>
        <v>35.546388888848014</v>
      </c>
    </row>
    <row r="3573" spans="1:15">
      <c r="A3573" s="1" t="s">
        <v>3678</v>
      </c>
      <c r="B3573" s="23">
        <v>45287.323611111111</v>
      </c>
      <c r="C3573" s="1" t="s">
        <v>16</v>
      </c>
      <c r="D3573" s="1" t="s">
        <v>17</v>
      </c>
      <c r="E3573" s="1" t="s">
        <v>33</v>
      </c>
      <c r="F3573" s="1" t="s">
        <v>46</v>
      </c>
      <c r="G3573" s="1">
        <v>255</v>
      </c>
      <c r="H3573" s="23">
        <v>45292.501180555555</v>
      </c>
      <c r="I3573" s="1" t="b">
        <v>0</v>
      </c>
      <c r="K3573" s="10">
        <f t="shared" si="277"/>
        <v>124.26166666665813</v>
      </c>
      <c r="L3573" s="1" t="str">
        <f t="shared" si="278"/>
        <v>OK</v>
      </c>
      <c r="M3573" s="1">
        <f t="shared" si="275"/>
        <v>1</v>
      </c>
      <c r="N3573" s="1">
        <f t="shared" si="276"/>
        <v>255</v>
      </c>
      <c r="O3573" s="10">
        <f t="shared" si="279"/>
        <v>124.26166666665813</v>
      </c>
    </row>
    <row r="3574" spans="1:15">
      <c r="A3574" s="1" t="s">
        <v>3679</v>
      </c>
      <c r="B3574" s="23">
        <v>45287.367361111108</v>
      </c>
      <c r="C3574" s="1" t="s">
        <v>16</v>
      </c>
      <c r="D3574" s="1" t="s">
        <v>26</v>
      </c>
      <c r="E3574" s="1" t="s">
        <v>13</v>
      </c>
      <c r="F3574" s="1" t="s">
        <v>57</v>
      </c>
      <c r="H3574" s="23">
        <v>45287.691782407404</v>
      </c>
      <c r="I3574" s="1" t="b">
        <v>0</v>
      </c>
      <c r="K3574" s="10">
        <f t="shared" si="277"/>
        <v>7.7861111111124046</v>
      </c>
      <c r="L3574" s="1" t="str">
        <f t="shared" si="278"/>
        <v>Cannot check</v>
      </c>
      <c r="M3574" s="1">
        <f t="shared" si="275"/>
        <v>1</v>
      </c>
      <c r="N3574" s="1" t="str">
        <f t="shared" si="276"/>
        <v/>
      </c>
      <c r="O3574" s="10">
        <f t="shared" si="279"/>
        <v>7.7861111111124046</v>
      </c>
    </row>
    <row r="3575" spans="1:15">
      <c r="A3575" s="1" t="s">
        <v>3680</v>
      </c>
      <c r="B3575" s="23">
        <v>45287.404861111114</v>
      </c>
      <c r="C3575" s="1" t="s">
        <v>11</v>
      </c>
      <c r="D3575" s="1" t="s">
        <v>12</v>
      </c>
      <c r="E3575" s="1" t="s">
        <v>33</v>
      </c>
      <c r="F3575" s="1" t="s">
        <v>37</v>
      </c>
      <c r="G3575" s="1">
        <v>138</v>
      </c>
      <c r="H3575" s="23">
        <v>45290.013194444444</v>
      </c>
      <c r="I3575" s="1" t="b">
        <v>0</v>
      </c>
      <c r="K3575" s="10">
        <f t="shared" si="277"/>
        <v>62.599999999918509</v>
      </c>
      <c r="L3575" s="1" t="str">
        <f t="shared" si="278"/>
        <v>OK</v>
      </c>
      <c r="M3575" s="1">
        <f t="shared" si="275"/>
        <v>1</v>
      </c>
      <c r="N3575" s="1">
        <f t="shared" si="276"/>
        <v>138</v>
      </c>
      <c r="O3575" s="10">
        <f t="shared" si="279"/>
        <v>62.599999999918509</v>
      </c>
    </row>
    <row r="3576" spans="1:15">
      <c r="A3576" s="1" t="s">
        <v>3681</v>
      </c>
      <c r="B3576" s="23">
        <v>45287.638888888891</v>
      </c>
      <c r="C3576" s="1" t="s">
        <v>11</v>
      </c>
      <c r="D3576" s="1" t="s">
        <v>26</v>
      </c>
      <c r="E3576" s="1" t="s">
        <v>13</v>
      </c>
      <c r="F3576" s="1" t="s">
        <v>62</v>
      </c>
      <c r="G3576" s="1">
        <v>134</v>
      </c>
      <c r="H3576" s="23">
        <v>45288.120023148149</v>
      </c>
      <c r="I3576" s="1" t="b">
        <v>0</v>
      </c>
      <c r="K3576" s="10">
        <f t="shared" si="277"/>
        <v>11.547222222201526</v>
      </c>
      <c r="L3576" s="1" t="str">
        <f t="shared" si="278"/>
        <v>OK</v>
      </c>
      <c r="M3576" s="1">
        <f t="shared" si="275"/>
        <v>1</v>
      </c>
      <c r="N3576" s="1">
        <f t="shared" si="276"/>
        <v>134</v>
      </c>
      <c r="O3576" s="10">
        <f t="shared" si="279"/>
        <v>11.547222222201526</v>
      </c>
    </row>
    <row r="3577" spans="1:15">
      <c r="A3577" s="1" t="s">
        <v>3682</v>
      </c>
      <c r="B3577" s="23">
        <v>45287.762499999997</v>
      </c>
      <c r="C3577" s="1" t="s">
        <v>16</v>
      </c>
      <c r="D3577" s="1" t="s">
        <v>17</v>
      </c>
      <c r="E3577" s="1" t="s">
        <v>13</v>
      </c>
      <c r="F3577" s="1" t="s">
        <v>66</v>
      </c>
      <c r="G3577" s="1">
        <v>101</v>
      </c>
      <c r="H3577" s="23">
        <v>45288.203194444446</v>
      </c>
      <c r="I3577" s="1" t="b">
        <v>0</v>
      </c>
      <c r="J3577" s="1">
        <v>2</v>
      </c>
      <c r="K3577" s="10">
        <f t="shared" si="277"/>
        <v>10.576666666776873</v>
      </c>
      <c r="L3577" s="1" t="str">
        <f t="shared" si="278"/>
        <v>OK</v>
      </c>
      <c r="M3577" s="1">
        <f t="shared" si="275"/>
        <v>1</v>
      </c>
      <c r="N3577" s="1">
        <f t="shared" si="276"/>
        <v>101</v>
      </c>
      <c r="O3577" s="10">
        <f t="shared" si="279"/>
        <v>10.576666666776873</v>
      </c>
    </row>
    <row r="3578" spans="1:15">
      <c r="A3578" s="1" t="s">
        <v>3683</v>
      </c>
      <c r="B3578" s="23">
        <v>45287.777083333334</v>
      </c>
      <c r="C3578" s="1" t="s">
        <v>25</v>
      </c>
      <c r="D3578" s="1" t="s">
        <v>59</v>
      </c>
      <c r="E3578" s="1" t="s">
        <v>22</v>
      </c>
      <c r="F3578" s="1" t="s">
        <v>41</v>
      </c>
      <c r="G3578" s="1">
        <v>9</v>
      </c>
      <c r="H3578" s="23">
        <v>45287.894166666665</v>
      </c>
      <c r="I3578" s="1" t="b">
        <v>0</v>
      </c>
      <c r="K3578" s="10">
        <f t="shared" si="277"/>
        <v>2.809999999939464</v>
      </c>
      <c r="L3578" s="1" t="str">
        <f t="shared" si="278"/>
        <v>OK</v>
      </c>
      <c r="M3578" s="1">
        <f t="shared" si="275"/>
        <v>1</v>
      </c>
      <c r="N3578" s="1">
        <f t="shared" si="276"/>
        <v>9</v>
      </c>
      <c r="O3578" s="10">
        <f t="shared" si="279"/>
        <v>2.809999999939464</v>
      </c>
    </row>
    <row r="3579" spans="1:15">
      <c r="A3579" s="1" t="s">
        <v>3684</v>
      </c>
      <c r="B3579" s="23">
        <v>45287.838888888888</v>
      </c>
      <c r="C3579" s="1" t="s">
        <v>25</v>
      </c>
      <c r="D3579" s="1" t="s">
        <v>17</v>
      </c>
      <c r="E3579" s="1" t="s">
        <v>18</v>
      </c>
      <c r="F3579" s="1" t="s">
        <v>64</v>
      </c>
      <c r="G3579" s="1">
        <v>69</v>
      </c>
      <c r="H3579" s="23">
        <v>45289.299131944441</v>
      </c>
      <c r="I3579" s="1" t="b">
        <v>0</v>
      </c>
      <c r="K3579" s="10">
        <f t="shared" si="277"/>
        <v>35.045833333279006</v>
      </c>
      <c r="L3579" s="1" t="str">
        <f t="shared" si="278"/>
        <v>OK</v>
      </c>
      <c r="M3579" s="1">
        <f t="shared" si="275"/>
        <v>1</v>
      </c>
      <c r="N3579" s="1">
        <f t="shared" si="276"/>
        <v>69</v>
      </c>
      <c r="O3579" s="10">
        <f t="shared" si="279"/>
        <v>35.045833333279006</v>
      </c>
    </row>
    <row r="3580" spans="1:15">
      <c r="A3580" s="1" t="s">
        <v>3685</v>
      </c>
      <c r="B3580" s="23">
        <v>45287.843055555553</v>
      </c>
      <c r="C3580" s="1" t="s">
        <v>25</v>
      </c>
      <c r="D3580" s="1" t="s">
        <v>17</v>
      </c>
      <c r="E3580" s="1" t="s">
        <v>13</v>
      </c>
      <c r="F3580" s="1" t="s">
        <v>44</v>
      </c>
      <c r="G3580" s="1">
        <v>9</v>
      </c>
      <c r="H3580" s="23">
        <v>45289.602916666663</v>
      </c>
      <c r="I3580" s="1" t="b">
        <v>0</v>
      </c>
      <c r="K3580" s="10">
        <f t="shared" si="277"/>
        <v>42.236666666634846</v>
      </c>
      <c r="L3580" s="1" t="str">
        <f t="shared" si="278"/>
        <v>OK</v>
      </c>
      <c r="M3580" s="1">
        <f t="shared" si="275"/>
        <v>1</v>
      </c>
      <c r="N3580" s="1">
        <f t="shared" si="276"/>
        <v>9</v>
      </c>
      <c r="O3580" s="10">
        <f t="shared" si="279"/>
        <v>42.236666666634846</v>
      </c>
    </row>
    <row r="3581" spans="1:15">
      <c r="A3581" s="1" t="s">
        <v>3686</v>
      </c>
      <c r="B3581" s="23">
        <v>45288.020138888889</v>
      </c>
      <c r="C3581" s="1" t="s">
        <v>43</v>
      </c>
      <c r="D3581" s="1" t="s">
        <v>21</v>
      </c>
      <c r="E3581" s="1" t="s">
        <v>18</v>
      </c>
      <c r="F3581" s="1" t="s">
        <v>106</v>
      </c>
      <c r="G3581" s="1">
        <v>169</v>
      </c>
      <c r="H3581" s="23">
        <v>45288.110601851855</v>
      </c>
      <c r="I3581" s="1" t="b">
        <v>1</v>
      </c>
      <c r="K3581" s="10">
        <f t="shared" si="277"/>
        <v>2.1711111111799255</v>
      </c>
      <c r="L3581" s="1" t="str">
        <f t="shared" si="278"/>
        <v>Review</v>
      </c>
      <c r="M3581" s="1">
        <f t="shared" si="275"/>
        <v>1</v>
      </c>
      <c r="N3581" s="1" t="str">
        <f t="shared" si="276"/>
        <v/>
      </c>
      <c r="O3581" s="10" t="str">
        <f t="shared" si="279"/>
        <v/>
      </c>
    </row>
    <row r="3582" spans="1:15">
      <c r="A3582" s="1" t="s">
        <v>3687</v>
      </c>
      <c r="B3582" s="23">
        <v>45288.040277777778</v>
      </c>
      <c r="C3582" s="1" t="s">
        <v>16</v>
      </c>
      <c r="D3582" s="1" t="s">
        <v>59</v>
      </c>
      <c r="E3582" s="1" t="s">
        <v>22</v>
      </c>
      <c r="F3582" s="1" t="s">
        <v>145</v>
      </c>
      <c r="G3582" s="1">
        <v>5</v>
      </c>
      <c r="H3582" s="23">
        <v>45288.54346064815</v>
      </c>
      <c r="I3582" s="1" t="b">
        <v>0</v>
      </c>
      <c r="K3582" s="10">
        <f t="shared" si="277"/>
        <v>12.076388888934162</v>
      </c>
      <c r="L3582" s="1" t="str">
        <f t="shared" si="278"/>
        <v>OK</v>
      </c>
      <c r="M3582" s="1">
        <f t="shared" si="275"/>
        <v>1</v>
      </c>
      <c r="N3582" s="1">
        <f t="shared" si="276"/>
        <v>5</v>
      </c>
      <c r="O3582" s="10">
        <f t="shared" si="279"/>
        <v>12.076388888934162</v>
      </c>
    </row>
    <row r="3583" spans="1:15">
      <c r="A3583" s="1" t="s">
        <v>3688</v>
      </c>
      <c r="B3583" s="23">
        <v>45288.043749999997</v>
      </c>
      <c r="C3583" s="1" t="s">
        <v>11</v>
      </c>
      <c r="D3583" s="1" t="s">
        <v>26</v>
      </c>
      <c r="E3583" s="1" t="s">
        <v>33</v>
      </c>
      <c r="F3583" s="1" t="s">
        <v>57</v>
      </c>
      <c r="G3583" s="1">
        <v>196</v>
      </c>
      <c r="H3583" s="23">
        <v>45289.463159722225</v>
      </c>
      <c r="I3583" s="1" t="b">
        <v>0</v>
      </c>
      <c r="K3583" s="10">
        <f t="shared" si="277"/>
        <v>34.065833333472256</v>
      </c>
      <c r="L3583" s="1" t="str">
        <f t="shared" si="278"/>
        <v>OK</v>
      </c>
      <c r="M3583" s="1">
        <f t="shared" si="275"/>
        <v>1</v>
      </c>
      <c r="N3583" s="1">
        <f t="shared" si="276"/>
        <v>196</v>
      </c>
      <c r="O3583" s="10">
        <f t="shared" si="279"/>
        <v>34.065833333472256</v>
      </c>
    </row>
    <row r="3584" spans="1:15">
      <c r="A3584" s="1" t="s">
        <v>3689</v>
      </c>
      <c r="B3584" s="23">
        <v>45288.04583333333</v>
      </c>
      <c r="C3584" s="1" t="s">
        <v>11</v>
      </c>
      <c r="D3584" s="1" t="s">
        <v>17</v>
      </c>
      <c r="E3584" s="1" t="s">
        <v>18</v>
      </c>
      <c r="F3584" s="1" t="s">
        <v>86</v>
      </c>
      <c r="G3584" s="1">
        <v>136</v>
      </c>
      <c r="H3584" s="23">
        <v>45295.718263888892</v>
      </c>
      <c r="I3584" s="1" t="b">
        <v>0</v>
      </c>
      <c r="J3584" s="1">
        <v>3</v>
      </c>
      <c r="K3584" s="10">
        <f t="shared" si="277"/>
        <v>184.13833333348157</v>
      </c>
      <c r="L3584" s="1" t="str">
        <f t="shared" si="278"/>
        <v>OK</v>
      </c>
      <c r="M3584" s="1">
        <f t="shared" si="275"/>
        <v>1</v>
      </c>
      <c r="N3584" s="1">
        <f t="shared" si="276"/>
        <v>136</v>
      </c>
      <c r="O3584" s="10">
        <f t="shared" si="279"/>
        <v>184.13833333348157</v>
      </c>
    </row>
    <row r="3585" spans="1:15">
      <c r="A3585" s="1" t="s">
        <v>3690</v>
      </c>
      <c r="B3585" s="23">
        <v>45288.076388888891</v>
      </c>
      <c r="C3585" s="1" t="s">
        <v>16</v>
      </c>
      <c r="D3585" s="1" t="s">
        <v>21</v>
      </c>
      <c r="E3585" s="1" t="s">
        <v>18</v>
      </c>
      <c r="F3585" s="1" t="s">
        <v>224</v>
      </c>
      <c r="G3585" s="1">
        <v>272</v>
      </c>
      <c r="H3585" s="23">
        <v>45289.318506944444</v>
      </c>
      <c r="I3585" s="1" t="b">
        <v>0</v>
      </c>
      <c r="J3585" s="1">
        <v>5</v>
      </c>
      <c r="K3585" s="10">
        <f t="shared" si="277"/>
        <v>29.810833333292976</v>
      </c>
      <c r="L3585" s="1" t="str">
        <f t="shared" si="278"/>
        <v>OK</v>
      </c>
      <c r="M3585" s="1">
        <f t="shared" si="275"/>
        <v>1</v>
      </c>
      <c r="N3585" s="1">
        <f t="shared" si="276"/>
        <v>272</v>
      </c>
      <c r="O3585" s="10">
        <f t="shared" si="279"/>
        <v>29.810833333292976</v>
      </c>
    </row>
    <row r="3586" spans="1:15">
      <c r="A3586" s="1" t="s">
        <v>3691</v>
      </c>
      <c r="B3586" s="23">
        <v>45288.23541666667</v>
      </c>
      <c r="C3586" s="1" t="s">
        <v>11</v>
      </c>
      <c r="D3586" s="1" t="s">
        <v>17</v>
      </c>
      <c r="E3586" s="1" t="s">
        <v>33</v>
      </c>
      <c r="F3586" s="1" t="s">
        <v>245</v>
      </c>
      <c r="I3586" s="1" t="b">
        <v>0</v>
      </c>
      <c r="K3586" s="10" t="str">
        <f t="shared" si="277"/>
        <v/>
      </c>
      <c r="L3586" s="1" t="str">
        <f t="shared" si="278"/>
        <v>Cannot check</v>
      </c>
      <c r="M3586" s="1">
        <f t="shared" ref="M3586:M3649" si="280">COUNTIF($A$2:$A$4001,A3586)</f>
        <v>1</v>
      </c>
      <c r="N3586" s="1" t="str">
        <f t="shared" ref="N3586:N3649" si="281">IF(OR(L3586="Review",G3586=""),"",G3586)</f>
        <v/>
      </c>
      <c r="O3586" s="10" t="str">
        <f t="shared" si="279"/>
        <v/>
      </c>
    </row>
    <row r="3587" spans="1:15">
      <c r="A3587" s="1" t="s">
        <v>3692</v>
      </c>
      <c r="B3587" s="23">
        <v>45288.297222222223</v>
      </c>
      <c r="C3587" s="1" t="s">
        <v>11</v>
      </c>
      <c r="D3587" s="1" t="s">
        <v>26</v>
      </c>
      <c r="E3587" s="1" t="s">
        <v>22</v>
      </c>
      <c r="F3587" s="1" t="s">
        <v>486</v>
      </c>
      <c r="G3587" s="1">
        <v>31</v>
      </c>
      <c r="H3587" s="23">
        <v>45289.431504629632</v>
      </c>
      <c r="I3587" s="1" t="b">
        <v>0</v>
      </c>
      <c r="K3587" s="10">
        <f t="shared" ref="K3587:K3650" si="282">IF(H3587="","",(H3587-B3587)*24)</f>
        <v>27.2227777778171</v>
      </c>
      <c r="L3587" s="1" t="str">
        <f t="shared" ref="L3587:L3650" si="283">IF(OR(G3587="",K3587=""),"Cannot check",IF(G3587&gt;K3587*60,"Review","OK"))</f>
        <v>OK</v>
      </c>
      <c r="M3587" s="1">
        <f t="shared" si="280"/>
        <v>1</v>
      </c>
      <c r="N3587" s="1">
        <f t="shared" si="281"/>
        <v>31</v>
      </c>
      <c r="O3587" s="10">
        <f t="shared" ref="O3587:O3650" si="284">IF(OR(L3587="Review",K3587=""),"",K3587)</f>
        <v>27.2227777778171</v>
      </c>
    </row>
    <row r="3588" spans="1:15">
      <c r="A3588" s="1" t="s">
        <v>3693</v>
      </c>
      <c r="B3588" s="23">
        <v>45288.380555555559</v>
      </c>
      <c r="C3588" s="1" t="s">
        <v>16</v>
      </c>
      <c r="D3588" s="1" t="s">
        <v>17</v>
      </c>
      <c r="E3588" s="1" t="s">
        <v>33</v>
      </c>
      <c r="F3588" s="1" t="s">
        <v>198</v>
      </c>
      <c r="G3588" s="1">
        <v>166</v>
      </c>
      <c r="H3588" s="23">
        <v>45292.79042824074</v>
      </c>
      <c r="I3588" s="1" t="b">
        <v>0</v>
      </c>
      <c r="K3588" s="10">
        <f t="shared" si="282"/>
        <v>105.83694444433786</v>
      </c>
      <c r="L3588" s="1" t="str">
        <f t="shared" si="283"/>
        <v>OK</v>
      </c>
      <c r="M3588" s="1">
        <f t="shared" si="280"/>
        <v>1</v>
      </c>
      <c r="N3588" s="1">
        <f t="shared" si="281"/>
        <v>166</v>
      </c>
      <c r="O3588" s="10">
        <f t="shared" si="284"/>
        <v>105.83694444433786</v>
      </c>
    </row>
    <row r="3589" spans="1:15">
      <c r="A3589" s="1" t="s">
        <v>3694</v>
      </c>
      <c r="B3589" s="23">
        <v>45288.418749999997</v>
      </c>
      <c r="C3589" s="1" t="s">
        <v>16</v>
      </c>
      <c r="D3589" s="1" t="s">
        <v>59</v>
      </c>
      <c r="E3589" s="1" t="s">
        <v>18</v>
      </c>
      <c r="F3589" s="1" t="s">
        <v>39</v>
      </c>
      <c r="G3589" s="1">
        <v>177</v>
      </c>
      <c r="H3589" s="23">
        <v>45288.739189814813</v>
      </c>
      <c r="I3589" s="1" t="b">
        <v>0</v>
      </c>
      <c r="K3589" s="10">
        <f t="shared" si="282"/>
        <v>7.6905555555713363</v>
      </c>
      <c r="L3589" s="1" t="str">
        <f t="shared" si="283"/>
        <v>OK</v>
      </c>
      <c r="M3589" s="1">
        <f t="shared" si="280"/>
        <v>1</v>
      </c>
      <c r="N3589" s="1">
        <f t="shared" si="281"/>
        <v>177</v>
      </c>
      <c r="O3589" s="10">
        <f t="shared" si="284"/>
        <v>7.6905555555713363</v>
      </c>
    </row>
    <row r="3590" spans="1:15">
      <c r="A3590" s="1" t="s">
        <v>3695</v>
      </c>
      <c r="B3590" s="23">
        <v>45288.493055555555</v>
      </c>
      <c r="C3590" s="1" t="s">
        <v>11</v>
      </c>
      <c r="D3590" s="1" t="s">
        <v>17</v>
      </c>
      <c r="E3590" s="1" t="s">
        <v>33</v>
      </c>
      <c r="F3590" s="1" t="s">
        <v>178</v>
      </c>
      <c r="G3590" s="1">
        <v>525</v>
      </c>
      <c r="H3590" s="23">
        <v>45295.007627314815</v>
      </c>
      <c r="I3590" s="1" t="b">
        <v>0</v>
      </c>
      <c r="K3590" s="10">
        <f t="shared" si="282"/>
        <v>156.34972222225042</v>
      </c>
      <c r="L3590" s="1" t="str">
        <f t="shared" si="283"/>
        <v>OK</v>
      </c>
      <c r="M3590" s="1">
        <f t="shared" si="280"/>
        <v>1</v>
      </c>
      <c r="N3590" s="1">
        <f t="shared" si="281"/>
        <v>525</v>
      </c>
      <c r="O3590" s="10">
        <f t="shared" si="284"/>
        <v>156.34972222225042</v>
      </c>
    </row>
    <row r="3591" spans="1:15">
      <c r="A3591" s="1" t="s">
        <v>3696</v>
      </c>
      <c r="B3591" s="23">
        <v>45288.496527777781</v>
      </c>
      <c r="C3591" s="1" t="s">
        <v>25</v>
      </c>
      <c r="D3591" s="1" t="s">
        <v>59</v>
      </c>
      <c r="E3591" s="1" t="s">
        <v>18</v>
      </c>
      <c r="F3591" s="1" t="s">
        <v>254</v>
      </c>
      <c r="G3591" s="1">
        <v>103</v>
      </c>
      <c r="H3591" s="23">
        <v>45290.546342592592</v>
      </c>
      <c r="I3591" s="1" t="b">
        <v>0</v>
      </c>
      <c r="K3591" s="10">
        <f t="shared" si="282"/>
        <v>49.195555555459578</v>
      </c>
      <c r="L3591" s="1" t="str">
        <f t="shared" si="283"/>
        <v>OK</v>
      </c>
      <c r="M3591" s="1">
        <f t="shared" si="280"/>
        <v>1</v>
      </c>
      <c r="N3591" s="1">
        <f t="shared" si="281"/>
        <v>103</v>
      </c>
      <c r="O3591" s="10">
        <f t="shared" si="284"/>
        <v>49.195555555459578</v>
      </c>
    </row>
    <row r="3592" spans="1:15">
      <c r="A3592" s="1" t="s">
        <v>3697</v>
      </c>
      <c r="B3592" s="23">
        <v>45288.53402777778</v>
      </c>
      <c r="C3592" s="1" t="s">
        <v>25</v>
      </c>
      <c r="D3592" s="1" t="s">
        <v>17</v>
      </c>
      <c r="E3592" s="1" t="s">
        <v>22</v>
      </c>
      <c r="F3592" s="1" t="s">
        <v>256</v>
      </c>
      <c r="G3592" s="1">
        <v>15</v>
      </c>
      <c r="H3592" s="23">
        <v>45289.813900462963</v>
      </c>
      <c r="I3592" s="1" t="b">
        <v>0</v>
      </c>
      <c r="J3592" s="1">
        <v>5</v>
      </c>
      <c r="K3592" s="10">
        <f t="shared" si="282"/>
        <v>30.716944444400724</v>
      </c>
      <c r="L3592" s="1" t="str">
        <f t="shared" si="283"/>
        <v>OK</v>
      </c>
      <c r="M3592" s="1">
        <f t="shared" si="280"/>
        <v>1</v>
      </c>
      <c r="N3592" s="1">
        <f t="shared" si="281"/>
        <v>15</v>
      </c>
      <c r="O3592" s="10">
        <f t="shared" si="284"/>
        <v>30.716944444400724</v>
      </c>
    </row>
    <row r="3593" spans="1:15">
      <c r="A3593" s="1" t="s">
        <v>3698</v>
      </c>
      <c r="B3593" s="23">
        <v>45288.552777777775</v>
      </c>
      <c r="C3593" s="1" t="s">
        <v>16</v>
      </c>
      <c r="D3593" s="1" t="s">
        <v>17</v>
      </c>
      <c r="E3593" s="1" t="s">
        <v>18</v>
      </c>
      <c r="F3593" s="1" t="s">
        <v>224</v>
      </c>
      <c r="G3593" s="1">
        <v>60</v>
      </c>
      <c r="H3593" s="23">
        <v>45293.630254629628</v>
      </c>
      <c r="I3593" s="1" t="b">
        <v>0</v>
      </c>
      <c r="J3593" s="1">
        <v>3</v>
      </c>
      <c r="K3593" s="10">
        <f t="shared" si="282"/>
        <v>121.85944444447523</v>
      </c>
      <c r="L3593" s="1" t="str">
        <f t="shared" si="283"/>
        <v>OK</v>
      </c>
      <c r="M3593" s="1">
        <f t="shared" si="280"/>
        <v>1</v>
      </c>
      <c r="N3593" s="1">
        <f t="shared" si="281"/>
        <v>60</v>
      </c>
      <c r="O3593" s="10">
        <f t="shared" si="284"/>
        <v>121.85944444447523</v>
      </c>
    </row>
    <row r="3594" spans="1:15">
      <c r="A3594" s="1" t="s">
        <v>3699</v>
      </c>
      <c r="B3594" s="23">
        <v>45288.581250000003</v>
      </c>
      <c r="C3594" s="1" t="s">
        <v>25</v>
      </c>
      <c r="D3594" s="1" t="s">
        <v>21</v>
      </c>
      <c r="E3594" s="1" t="s">
        <v>33</v>
      </c>
      <c r="F3594" s="1" t="s">
        <v>120</v>
      </c>
      <c r="G3594" s="1">
        <v>216</v>
      </c>
      <c r="H3594" s="23">
        <v>45306.769421296296</v>
      </c>
      <c r="I3594" s="1" t="b">
        <v>1</v>
      </c>
      <c r="K3594" s="10">
        <f t="shared" si="282"/>
        <v>436.51611111103557</v>
      </c>
      <c r="L3594" s="1" t="str">
        <f t="shared" si="283"/>
        <v>OK</v>
      </c>
      <c r="M3594" s="1">
        <f t="shared" si="280"/>
        <v>1</v>
      </c>
      <c r="N3594" s="1">
        <f t="shared" si="281"/>
        <v>216</v>
      </c>
      <c r="O3594" s="10">
        <f t="shared" si="284"/>
        <v>436.51611111103557</v>
      </c>
    </row>
    <row r="3595" spans="1:15">
      <c r="A3595" s="1" t="s">
        <v>3700</v>
      </c>
      <c r="B3595" s="23">
        <v>45288.603472222225</v>
      </c>
      <c r="C3595" s="1" t="s">
        <v>25</v>
      </c>
      <c r="D3595" s="1" t="s">
        <v>21</v>
      </c>
      <c r="E3595" s="1" t="s">
        <v>33</v>
      </c>
      <c r="F3595" s="1" t="s">
        <v>88</v>
      </c>
      <c r="G3595" s="1">
        <v>74</v>
      </c>
      <c r="H3595" s="23">
        <v>45291.810428240744</v>
      </c>
      <c r="I3595" s="1" t="b">
        <v>0</v>
      </c>
      <c r="J3595" s="1">
        <v>5</v>
      </c>
      <c r="K3595" s="10">
        <f t="shared" si="282"/>
        <v>76.966944444458932</v>
      </c>
      <c r="L3595" s="1" t="str">
        <f t="shared" si="283"/>
        <v>OK</v>
      </c>
      <c r="M3595" s="1">
        <f t="shared" si="280"/>
        <v>1</v>
      </c>
      <c r="N3595" s="1">
        <f t="shared" si="281"/>
        <v>74</v>
      </c>
      <c r="O3595" s="10">
        <f t="shared" si="284"/>
        <v>76.966944444458932</v>
      </c>
    </row>
    <row r="3596" spans="1:15">
      <c r="A3596" s="1" t="s">
        <v>3701</v>
      </c>
      <c r="B3596" s="23">
        <v>45288.65902777778</v>
      </c>
      <c r="C3596" s="1" t="s">
        <v>16</v>
      </c>
      <c r="D3596" s="1" t="s">
        <v>17</v>
      </c>
      <c r="E3596" s="1" t="s">
        <v>18</v>
      </c>
      <c r="F3596" s="1" t="s">
        <v>92</v>
      </c>
      <c r="G3596" s="1">
        <v>347</v>
      </c>
      <c r="H3596" s="23">
        <v>45289.523796296293</v>
      </c>
      <c r="I3596" s="1" t="b">
        <v>1</v>
      </c>
      <c r="K3596" s="10">
        <f t="shared" si="282"/>
        <v>20.754444444319233</v>
      </c>
      <c r="L3596" s="1" t="str">
        <f t="shared" si="283"/>
        <v>OK</v>
      </c>
      <c r="M3596" s="1">
        <f t="shared" si="280"/>
        <v>1</v>
      </c>
      <c r="N3596" s="1">
        <f t="shared" si="281"/>
        <v>347</v>
      </c>
      <c r="O3596" s="10">
        <f t="shared" si="284"/>
        <v>20.754444444319233</v>
      </c>
    </row>
    <row r="3597" spans="1:15">
      <c r="A3597" s="1" t="s">
        <v>3702</v>
      </c>
      <c r="B3597" s="23">
        <v>45288.790972222225</v>
      </c>
      <c r="C3597" s="1" t="s">
        <v>16</v>
      </c>
      <c r="D3597" s="1" t="s">
        <v>17</v>
      </c>
      <c r="E3597" s="1" t="s">
        <v>13</v>
      </c>
      <c r="F3597" s="1" t="s">
        <v>27</v>
      </c>
      <c r="G3597" s="1">
        <v>112</v>
      </c>
      <c r="H3597" s="23">
        <v>45289.547974537039</v>
      </c>
      <c r="I3597" s="1" t="b">
        <v>0</v>
      </c>
      <c r="K3597" s="10">
        <f t="shared" si="282"/>
        <v>18.168055555550382</v>
      </c>
      <c r="L3597" s="1" t="str">
        <f t="shared" si="283"/>
        <v>OK</v>
      </c>
      <c r="M3597" s="1">
        <f t="shared" si="280"/>
        <v>1</v>
      </c>
      <c r="N3597" s="1">
        <f t="shared" si="281"/>
        <v>112</v>
      </c>
      <c r="O3597" s="10">
        <f t="shared" si="284"/>
        <v>18.168055555550382</v>
      </c>
    </row>
    <row r="3598" spans="1:15">
      <c r="A3598" s="1" t="s">
        <v>3703</v>
      </c>
      <c r="B3598" s="23">
        <v>45289.056250000001</v>
      </c>
      <c r="C3598" s="1" t="s">
        <v>25</v>
      </c>
      <c r="D3598" s="1" t="s">
        <v>59</v>
      </c>
      <c r="E3598" s="1" t="s">
        <v>18</v>
      </c>
      <c r="F3598" s="1" t="s">
        <v>57</v>
      </c>
      <c r="G3598" s="1">
        <v>113</v>
      </c>
      <c r="H3598" s="23">
        <v>45289.421423611115</v>
      </c>
      <c r="I3598" s="1" t="b">
        <v>0</v>
      </c>
      <c r="K3598" s="10">
        <f t="shared" si="282"/>
        <v>8.7641666667186655</v>
      </c>
      <c r="L3598" s="1" t="str">
        <f t="shared" si="283"/>
        <v>OK</v>
      </c>
      <c r="M3598" s="1">
        <f t="shared" si="280"/>
        <v>1</v>
      </c>
      <c r="N3598" s="1">
        <f t="shared" si="281"/>
        <v>113</v>
      </c>
      <c r="O3598" s="10">
        <f t="shared" si="284"/>
        <v>8.7641666667186655</v>
      </c>
    </row>
    <row r="3599" spans="1:15">
      <c r="A3599" s="1" t="s">
        <v>3704</v>
      </c>
      <c r="B3599" s="23">
        <v>45289.177777777775</v>
      </c>
      <c r="C3599" s="1" t="s">
        <v>25</v>
      </c>
      <c r="D3599" s="1" t="s">
        <v>59</v>
      </c>
      <c r="E3599" s="1" t="s">
        <v>33</v>
      </c>
      <c r="F3599" s="1" t="s">
        <v>106</v>
      </c>
      <c r="G3599" s="1">
        <v>110</v>
      </c>
      <c r="H3599" s="23">
        <v>45289.442129629628</v>
      </c>
      <c r="I3599" s="1" t="b">
        <v>0</v>
      </c>
      <c r="J3599" s="1">
        <v>5</v>
      </c>
      <c r="K3599" s="10">
        <f t="shared" si="282"/>
        <v>6.34444444446126</v>
      </c>
      <c r="L3599" s="1" t="str">
        <f t="shared" si="283"/>
        <v>OK</v>
      </c>
      <c r="M3599" s="1">
        <f t="shared" si="280"/>
        <v>1</v>
      </c>
      <c r="N3599" s="1">
        <f t="shared" si="281"/>
        <v>110</v>
      </c>
      <c r="O3599" s="10">
        <f t="shared" si="284"/>
        <v>6.34444444446126</v>
      </c>
    </row>
    <row r="3600" spans="1:15">
      <c r="A3600" s="1" t="s">
        <v>3705</v>
      </c>
      <c r="B3600" s="23">
        <v>45289.209027777775</v>
      </c>
      <c r="C3600" s="1" t="s">
        <v>11</v>
      </c>
      <c r="D3600" s="1" t="s">
        <v>17</v>
      </c>
      <c r="E3600" s="1" t="s">
        <v>13</v>
      </c>
      <c r="F3600" s="1" t="s">
        <v>94</v>
      </c>
      <c r="G3600" s="1">
        <v>232</v>
      </c>
      <c r="H3600" s="23">
        <v>45290.177546296298</v>
      </c>
      <c r="I3600" s="1" t="b">
        <v>1</v>
      </c>
      <c r="K3600" s="10">
        <f t="shared" si="282"/>
        <v>23.244444444542751</v>
      </c>
      <c r="L3600" s="1" t="str">
        <f t="shared" si="283"/>
        <v>OK</v>
      </c>
      <c r="M3600" s="1">
        <f t="shared" si="280"/>
        <v>1</v>
      </c>
      <c r="N3600" s="1">
        <f t="shared" si="281"/>
        <v>232</v>
      </c>
      <c r="O3600" s="10">
        <f t="shared" si="284"/>
        <v>23.244444444542751</v>
      </c>
    </row>
    <row r="3601" spans="1:15">
      <c r="A3601" s="1" t="s">
        <v>3706</v>
      </c>
      <c r="B3601" s="23">
        <v>45289.326388888891</v>
      </c>
      <c r="C3601" s="1" t="s">
        <v>25</v>
      </c>
      <c r="D3601" s="1" t="s">
        <v>26</v>
      </c>
      <c r="E3601" s="1" t="s">
        <v>33</v>
      </c>
      <c r="F3601" s="1" t="s">
        <v>100</v>
      </c>
      <c r="G3601" s="1">
        <v>199</v>
      </c>
      <c r="I3601" s="1" t="b">
        <v>0</v>
      </c>
      <c r="K3601" s="10" t="str">
        <f t="shared" si="282"/>
        <v/>
      </c>
      <c r="L3601" s="1" t="str">
        <f t="shared" si="283"/>
        <v>Cannot check</v>
      </c>
      <c r="M3601" s="1">
        <f t="shared" si="280"/>
        <v>1</v>
      </c>
      <c r="N3601" s="1">
        <f t="shared" si="281"/>
        <v>199</v>
      </c>
      <c r="O3601" s="10" t="str">
        <f t="shared" si="284"/>
        <v/>
      </c>
    </row>
    <row r="3602" spans="1:15">
      <c r="A3602" s="1" t="s">
        <v>3707</v>
      </c>
      <c r="B3602" s="23">
        <v>45289.331250000003</v>
      </c>
      <c r="C3602" s="1" t="s">
        <v>25</v>
      </c>
      <c r="D3602" s="1" t="s">
        <v>26</v>
      </c>
      <c r="E3602" s="1" t="s">
        <v>18</v>
      </c>
      <c r="F3602" s="1" t="s">
        <v>64</v>
      </c>
      <c r="G3602" s="1">
        <v>714</v>
      </c>
      <c r="H3602" s="23">
        <v>45302.80395833333</v>
      </c>
      <c r="I3602" s="1" t="b">
        <v>0</v>
      </c>
      <c r="J3602" s="1">
        <v>4</v>
      </c>
      <c r="K3602" s="10">
        <f t="shared" si="282"/>
        <v>323.34499999985565</v>
      </c>
      <c r="L3602" s="1" t="str">
        <f t="shared" si="283"/>
        <v>OK</v>
      </c>
      <c r="M3602" s="1">
        <f t="shared" si="280"/>
        <v>1</v>
      </c>
      <c r="N3602" s="1">
        <f t="shared" si="281"/>
        <v>714</v>
      </c>
      <c r="O3602" s="10">
        <f t="shared" si="284"/>
        <v>323.34499999985565</v>
      </c>
    </row>
    <row r="3603" spans="1:15">
      <c r="A3603" s="1" t="s">
        <v>3708</v>
      </c>
      <c r="B3603" s="23">
        <v>45289.334027777775</v>
      </c>
      <c r="C3603" s="1" t="s">
        <v>16</v>
      </c>
      <c r="D3603" s="1" t="s">
        <v>17</v>
      </c>
      <c r="E3603" s="1" t="s">
        <v>18</v>
      </c>
      <c r="F3603" s="1" t="s">
        <v>44</v>
      </c>
      <c r="G3603" s="1">
        <v>100</v>
      </c>
      <c r="H3603" s="23">
        <v>45290.569386574076</v>
      </c>
      <c r="I3603" s="1" t="b">
        <v>1</v>
      </c>
      <c r="J3603" s="1">
        <v>4</v>
      </c>
      <c r="K3603" s="10">
        <f t="shared" si="282"/>
        <v>29.648611111217178</v>
      </c>
      <c r="L3603" s="1" t="str">
        <f t="shared" si="283"/>
        <v>OK</v>
      </c>
      <c r="M3603" s="1">
        <f t="shared" si="280"/>
        <v>1</v>
      </c>
      <c r="N3603" s="1">
        <f t="shared" si="281"/>
        <v>100</v>
      </c>
      <c r="O3603" s="10">
        <f t="shared" si="284"/>
        <v>29.648611111217178</v>
      </c>
    </row>
    <row r="3604" spans="1:15">
      <c r="A3604" s="1" t="s">
        <v>3709</v>
      </c>
      <c r="B3604" s="23">
        <v>45289.363888888889</v>
      </c>
      <c r="C3604" s="1" t="s">
        <v>11</v>
      </c>
      <c r="D3604" s="1" t="s">
        <v>17</v>
      </c>
      <c r="E3604" s="1" t="s">
        <v>18</v>
      </c>
      <c r="F3604" s="1" t="s">
        <v>153</v>
      </c>
      <c r="G3604" s="1">
        <v>440</v>
      </c>
      <c r="H3604" s="23">
        <v>45293.48704861111</v>
      </c>
      <c r="I3604" s="1" t="b">
        <v>0</v>
      </c>
      <c r="K3604" s="10">
        <f t="shared" si="282"/>
        <v>98.955833333311602</v>
      </c>
      <c r="L3604" s="1" t="str">
        <f t="shared" si="283"/>
        <v>OK</v>
      </c>
      <c r="M3604" s="1">
        <f t="shared" si="280"/>
        <v>1</v>
      </c>
      <c r="N3604" s="1">
        <f t="shared" si="281"/>
        <v>440</v>
      </c>
      <c r="O3604" s="10">
        <f t="shared" si="284"/>
        <v>98.955833333311602</v>
      </c>
    </row>
    <row r="3605" spans="1:15">
      <c r="A3605" s="1" t="s">
        <v>3710</v>
      </c>
      <c r="B3605" s="23">
        <v>45289.425000000003</v>
      </c>
      <c r="C3605" s="1" t="s">
        <v>16</v>
      </c>
      <c r="D3605" s="1" t="s">
        <v>17</v>
      </c>
      <c r="E3605" s="1" t="s">
        <v>18</v>
      </c>
      <c r="F3605" s="1" t="s">
        <v>106</v>
      </c>
      <c r="G3605" s="1">
        <v>106</v>
      </c>
      <c r="H3605" s="23">
        <v>45290.883020833331</v>
      </c>
      <c r="I3605" s="1" t="b">
        <v>0</v>
      </c>
      <c r="K3605" s="10">
        <f t="shared" si="282"/>
        <v>34.9924999998766</v>
      </c>
      <c r="L3605" s="1" t="str">
        <f t="shared" si="283"/>
        <v>OK</v>
      </c>
      <c r="M3605" s="1">
        <f t="shared" si="280"/>
        <v>1</v>
      </c>
      <c r="N3605" s="1">
        <f t="shared" si="281"/>
        <v>106</v>
      </c>
      <c r="O3605" s="10">
        <f t="shared" si="284"/>
        <v>34.9924999998766</v>
      </c>
    </row>
    <row r="3606" spans="1:15">
      <c r="A3606" s="1" t="s">
        <v>3711</v>
      </c>
      <c r="B3606" s="23">
        <v>45289.425694444442</v>
      </c>
      <c r="C3606" s="1" t="s">
        <v>16</v>
      </c>
      <c r="D3606" s="1" t="s">
        <v>21</v>
      </c>
      <c r="E3606" s="1" t="s">
        <v>18</v>
      </c>
      <c r="F3606" s="1" t="s">
        <v>120</v>
      </c>
      <c r="G3606" s="1">
        <v>163</v>
      </c>
      <c r="H3606" s="23">
        <v>45289.99324074074</v>
      </c>
      <c r="I3606" s="1" t="b">
        <v>0</v>
      </c>
      <c r="K3606" s="10">
        <f t="shared" si="282"/>
        <v>13.621111111133359</v>
      </c>
      <c r="L3606" s="1" t="str">
        <f t="shared" si="283"/>
        <v>OK</v>
      </c>
      <c r="M3606" s="1">
        <f t="shared" si="280"/>
        <v>1</v>
      </c>
      <c r="N3606" s="1">
        <f t="shared" si="281"/>
        <v>163</v>
      </c>
      <c r="O3606" s="10">
        <f t="shared" si="284"/>
        <v>13.621111111133359</v>
      </c>
    </row>
    <row r="3607" spans="1:15">
      <c r="A3607" s="1" t="s">
        <v>3712</v>
      </c>
      <c r="B3607" s="23">
        <v>45289.691666666666</v>
      </c>
      <c r="C3607" s="1" t="s">
        <v>16</v>
      </c>
      <c r="D3607" s="1" t="s">
        <v>17</v>
      </c>
      <c r="E3607" s="1" t="s">
        <v>13</v>
      </c>
      <c r="F3607" s="1" t="s">
        <v>120</v>
      </c>
      <c r="G3607" s="1">
        <v>41</v>
      </c>
      <c r="H3607" s="23">
        <v>45294.843055555553</v>
      </c>
      <c r="I3607" s="1" t="b">
        <v>0</v>
      </c>
      <c r="K3607" s="10">
        <f t="shared" si="282"/>
        <v>123.63333333330229</v>
      </c>
      <c r="L3607" s="1" t="str">
        <f t="shared" si="283"/>
        <v>OK</v>
      </c>
      <c r="M3607" s="1">
        <f t="shared" si="280"/>
        <v>1</v>
      </c>
      <c r="N3607" s="1">
        <f t="shared" si="281"/>
        <v>41</v>
      </c>
      <c r="O3607" s="10">
        <f t="shared" si="284"/>
        <v>123.63333333330229</v>
      </c>
    </row>
    <row r="3608" spans="1:15">
      <c r="A3608" s="1" t="s">
        <v>3713</v>
      </c>
      <c r="B3608" s="23">
        <v>45289.701388888891</v>
      </c>
      <c r="C3608" s="1" t="s">
        <v>16</v>
      </c>
      <c r="D3608" s="1" t="s">
        <v>59</v>
      </c>
      <c r="E3608" s="1" t="s">
        <v>18</v>
      </c>
      <c r="F3608" s="1" t="s">
        <v>201</v>
      </c>
      <c r="G3608" s="1">
        <v>121</v>
      </c>
      <c r="H3608" s="23">
        <v>45290.091145833336</v>
      </c>
      <c r="I3608" s="1" t="b">
        <v>0</v>
      </c>
      <c r="J3608" s="1">
        <v>4</v>
      </c>
      <c r="K3608" s="10">
        <f t="shared" si="282"/>
        <v>9.3541666666860692</v>
      </c>
      <c r="L3608" s="1" t="str">
        <f t="shared" si="283"/>
        <v>OK</v>
      </c>
      <c r="M3608" s="1">
        <f t="shared" si="280"/>
        <v>1</v>
      </c>
      <c r="N3608" s="1">
        <f t="shared" si="281"/>
        <v>121</v>
      </c>
      <c r="O3608" s="10">
        <f t="shared" si="284"/>
        <v>9.3541666666860692</v>
      </c>
    </row>
    <row r="3609" spans="1:15">
      <c r="A3609" s="1" t="s">
        <v>3714</v>
      </c>
      <c r="B3609" s="23">
        <v>45289.70208333333</v>
      </c>
      <c r="C3609" s="1" t="s">
        <v>11</v>
      </c>
      <c r="D3609" s="1" t="s">
        <v>21</v>
      </c>
      <c r="E3609" s="1" t="s">
        <v>13</v>
      </c>
      <c r="F3609" s="1" t="s">
        <v>274</v>
      </c>
      <c r="G3609" s="1">
        <v>26</v>
      </c>
      <c r="H3609" s="23">
        <v>45289.758900462963</v>
      </c>
      <c r="I3609" s="1" t="b">
        <v>0</v>
      </c>
      <c r="K3609" s="10">
        <f t="shared" si="282"/>
        <v>1.3636111111845821</v>
      </c>
      <c r="L3609" s="1" t="str">
        <f t="shared" si="283"/>
        <v>OK</v>
      </c>
      <c r="M3609" s="1">
        <f t="shared" si="280"/>
        <v>1</v>
      </c>
      <c r="N3609" s="1">
        <f t="shared" si="281"/>
        <v>26</v>
      </c>
      <c r="O3609" s="10">
        <f t="shared" si="284"/>
        <v>1.3636111111845821</v>
      </c>
    </row>
    <row r="3610" spans="1:15">
      <c r="A3610" s="1" t="s">
        <v>3715</v>
      </c>
      <c r="B3610" s="23">
        <v>45289.767361111109</v>
      </c>
      <c r="C3610" s="1" t="s">
        <v>16</v>
      </c>
      <c r="D3610" s="1" t="s">
        <v>59</v>
      </c>
      <c r="E3610" s="1" t="s">
        <v>13</v>
      </c>
      <c r="F3610" s="1" t="s">
        <v>415</v>
      </c>
      <c r="G3610" s="1">
        <v>690</v>
      </c>
      <c r="H3610" s="23">
        <v>45290.000833333332</v>
      </c>
      <c r="I3610" s="1" t="b">
        <v>0</v>
      </c>
      <c r="K3610" s="10">
        <f t="shared" si="282"/>
        <v>5.6033333333325572</v>
      </c>
      <c r="L3610" s="1" t="str">
        <f t="shared" si="283"/>
        <v>Review</v>
      </c>
      <c r="M3610" s="1">
        <f t="shared" si="280"/>
        <v>1</v>
      </c>
      <c r="N3610" s="1" t="str">
        <f t="shared" si="281"/>
        <v/>
      </c>
      <c r="O3610" s="10" t="str">
        <f t="shared" si="284"/>
        <v/>
      </c>
    </row>
    <row r="3611" spans="1:15">
      <c r="A3611" s="1" t="s">
        <v>3716</v>
      </c>
      <c r="B3611" s="23">
        <v>45289.913888888892</v>
      </c>
      <c r="C3611" s="1" t="s">
        <v>16</v>
      </c>
      <c r="D3611" s="1" t="s">
        <v>26</v>
      </c>
      <c r="E3611" s="1" t="s">
        <v>18</v>
      </c>
      <c r="F3611" s="1" t="s">
        <v>39</v>
      </c>
      <c r="G3611" s="1">
        <v>79</v>
      </c>
      <c r="H3611" s="23">
        <v>45302.13894675926</v>
      </c>
      <c r="I3611" s="1" t="b">
        <v>0</v>
      </c>
      <c r="K3611" s="10">
        <f t="shared" si="282"/>
        <v>293.40138888882939</v>
      </c>
      <c r="L3611" s="1" t="str">
        <f t="shared" si="283"/>
        <v>OK</v>
      </c>
      <c r="M3611" s="1">
        <f t="shared" si="280"/>
        <v>1</v>
      </c>
      <c r="N3611" s="1">
        <f t="shared" si="281"/>
        <v>79</v>
      </c>
      <c r="O3611" s="10">
        <f t="shared" si="284"/>
        <v>293.40138888882939</v>
      </c>
    </row>
    <row r="3612" spans="1:15">
      <c r="A3612" s="1" t="s">
        <v>3717</v>
      </c>
      <c r="B3612" s="23">
        <v>45289.94027777778</v>
      </c>
      <c r="C3612" s="1" t="s">
        <v>16</v>
      </c>
      <c r="D3612" s="1" t="s">
        <v>17</v>
      </c>
      <c r="E3612" s="1" t="s">
        <v>18</v>
      </c>
      <c r="F3612" s="1" t="s">
        <v>134</v>
      </c>
      <c r="G3612" s="1">
        <v>111</v>
      </c>
      <c r="H3612" s="23">
        <v>45290.656261574077</v>
      </c>
      <c r="I3612" s="1" t="b">
        <v>0</v>
      </c>
      <c r="J3612" s="1">
        <v>4</v>
      </c>
      <c r="K3612" s="10">
        <f t="shared" si="282"/>
        <v>17.183611111133359</v>
      </c>
      <c r="L3612" s="1" t="str">
        <f t="shared" si="283"/>
        <v>OK</v>
      </c>
      <c r="M3612" s="1">
        <f t="shared" si="280"/>
        <v>1</v>
      </c>
      <c r="N3612" s="1">
        <f t="shared" si="281"/>
        <v>111</v>
      </c>
      <c r="O3612" s="10">
        <f t="shared" si="284"/>
        <v>17.183611111133359</v>
      </c>
    </row>
    <row r="3613" spans="1:15">
      <c r="A3613" s="1" t="s">
        <v>3718</v>
      </c>
      <c r="B3613" s="23">
        <v>45290.265972222223</v>
      </c>
      <c r="C3613" s="1" t="s">
        <v>25</v>
      </c>
      <c r="D3613" s="1" t="s">
        <v>26</v>
      </c>
      <c r="E3613" s="1" t="s">
        <v>18</v>
      </c>
      <c r="F3613" s="1" t="s">
        <v>345</v>
      </c>
      <c r="G3613" s="1">
        <v>95</v>
      </c>
      <c r="H3613" s="23">
        <v>45295.022800925923</v>
      </c>
      <c r="I3613" s="1" t="b">
        <v>0</v>
      </c>
      <c r="K3613" s="10">
        <f t="shared" si="282"/>
        <v>114.16388888878282</v>
      </c>
      <c r="L3613" s="1" t="str">
        <f t="shared" si="283"/>
        <v>OK</v>
      </c>
      <c r="M3613" s="1">
        <f t="shared" si="280"/>
        <v>1</v>
      </c>
      <c r="N3613" s="1">
        <f t="shared" si="281"/>
        <v>95</v>
      </c>
      <c r="O3613" s="10">
        <f t="shared" si="284"/>
        <v>114.16388888878282</v>
      </c>
    </row>
    <row r="3614" spans="1:15">
      <c r="A3614" s="1" t="s">
        <v>3719</v>
      </c>
      <c r="B3614" s="23">
        <v>45290.353472222225</v>
      </c>
      <c r="C3614" s="1" t="s">
        <v>11</v>
      </c>
      <c r="D3614" s="1" t="s">
        <v>17</v>
      </c>
      <c r="E3614" s="1" t="s">
        <v>13</v>
      </c>
      <c r="F3614" s="1" t="s">
        <v>709</v>
      </c>
      <c r="G3614" s="1">
        <v>11</v>
      </c>
      <c r="H3614" s="23">
        <v>45290.950266203705</v>
      </c>
      <c r="I3614" s="1" t="b">
        <v>1</v>
      </c>
      <c r="K3614" s="10">
        <f t="shared" si="282"/>
        <v>14.323055555520114</v>
      </c>
      <c r="L3614" s="1" t="str">
        <f t="shared" si="283"/>
        <v>OK</v>
      </c>
      <c r="M3614" s="1">
        <f t="shared" si="280"/>
        <v>1</v>
      </c>
      <c r="N3614" s="1">
        <f t="shared" si="281"/>
        <v>11</v>
      </c>
      <c r="O3614" s="10">
        <f t="shared" si="284"/>
        <v>14.323055555520114</v>
      </c>
    </row>
    <row r="3615" spans="1:15">
      <c r="A3615" s="1" t="s">
        <v>3720</v>
      </c>
      <c r="B3615" s="23">
        <v>45290.489583333336</v>
      </c>
      <c r="C3615" s="1" t="s">
        <v>11</v>
      </c>
      <c r="D3615" s="1" t="s">
        <v>12</v>
      </c>
      <c r="E3615" s="1" t="s">
        <v>33</v>
      </c>
      <c r="F3615" s="1" t="s">
        <v>90</v>
      </c>
      <c r="G3615" s="1">
        <v>215</v>
      </c>
      <c r="H3615" s="23">
        <v>45293.596388888887</v>
      </c>
      <c r="I3615" s="1" t="b">
        <v>0</v>
      </c>
      <c r="J3615" s="1">
        <v>4</v>
      </c>
      <c r="K3615" s="10">
        <f t="shared" si="282"/>
        <v>74.563333333237097</v>
      </c>
      <c r="L3615" s="1" t="str">
        <f t="shared" si="283"/>
        <v>OK</v>
      </c>
      <c r="M3615" s="1">
        <f t="shared" si="280"/>
        <v>1</v>
      </c>
      <c r="N3615" s="1">
        <f t="shared" si="281"/>
        <v>215</v>
      </c>
      <c r="O3615" s="10">
        <f t="shared" si="284"/>
        <v>74.563333333237097</v>
      </c>
    </row>
    <row r="3616" spans="1:15">
      <c r="A3616" s="1" t="s">
        <v>3721</v>
      </c>
      <c r="B3616" s="23">
        <v>45290.61041666667</v>
      </c>
      <c r="C3616" s="1" t="s">
        <v>16</v>
      </c>
      <c r="D3616" s="1" t="s">
        <v>17</v>
      </c>
      <c r="E3616" s="1" t="s">
        <v>33</v>
      </c>
      <c r="F3616" s="1" t="s">
        <v>178</v>
      </c>
      <c r="G3616" s="1">
        <v>39</v>
      </c>
      <c r="H3616" s="23">
        <v>45293.903495370374</v>
      </c>
      <c r="I3616" s="1" t="b">
        <v>1</v>
      </c>
      <c r="K3616" s="10">
        <f t="shared" si="282"/>
        <v>79.03388888889458</v>
      </c>
      <c r="L3616" s="1" t="str">
        <f t="shared" si="283"/>
        <v>OK</v>
      </c>
      <c r="M3616" s="1">
        <f t="shared" si="280"/>
        <v>1</v>
      </c>
      <c r="N3616" s="1">
        <f t="shared" si="281"/>
        <v>39</v>
      </c>
      <c r="O3616" s="10">
        <f t="shared" si="284"/>
        <v>79.03388888889458</v>
      </c>
    </row>
    <row r="3617" spans="1:15">
      <c r="A3617" s="1" t="s">
        <v>3722</v>
      </c>
      <c r="B3617" s="23">
        <v>45290.999305555553</v>
      </c>
      <c r="C3617" s="1" t="s">
        <v>16</v>
      </c>
      <c r="D3617" s="1" t="s">
        <v>17</v>
      </c>
      <c r="E3617" s="1" t="s">
        <v>33</v>
      </c>
      <c r="F3617" s="1" t="s">
        <v>35</v>
      </c>
      <c r="H3617" s="23">
        <v>45299.574583333335</v>
      </c>
      <c r="I3617" s="1" t="b">
        <v>0</v>
      </c>
      <c r="K3617" s="10">
        <f t="shared" si="282"/>
        <v>205.80666666675825</v>
      </c>
      <c r="L3617" s="1" t="str">
        <f t="shared" si="283"/>
        <v>Cannot check</v>
      </c>
      <c r="M3617" s="1">
        <f t="shared" si="280"/>
        <v>1</v>
      </c>
      <c r="N3617" s="1" t="str">
        <f t="shared" si="281"/>
        <v/>
      </c>
      <c r="O3617" s="10">
        <f t="shared" si="284"/>
        <v>205.80666666675825</v>
      </c>
    </row>
    <row r="3618" spans="1:15">
      <c r="A3618" s="1" t="s">
        <v>3723</v>
      </c>
      <c r="B3618" s="23">
        <v>45291.075694444444</v>
      </c>
      <c r="C3618" s="1" t="s">
        <v>16</v>
      </c>
      <c r="D3618" s="1" t="s">
        <v>59</v>
      </c>
      <c r="E3618" s="1" t="s">
        <v>18</v>
      </c>
      <c r="F3618" s="1" t="s">
        <v>167</v>
      </c>
      <c r="G3618" s="1">
        <v>82</v>
      </c>
      <c r="H3618" s="23">
        <v>45291.786678240744</v>
      </c>
      <c r="I3618" s="1" t="b">
        <v>0</v>
      </c>
      <c r="J3618" s="1">
        <v>5</v>
      </c>
      <c r="K3618" s="10">
        <f t="shared" si="282"/>
        <v>17.063611111196224</v>
      </c>
      <c r="L3618" s="1" t="str">
        <f t="shared" si="283"/>
        <v>OK</v>
      </c>
      <c r="M3618" s="1">
        <f t="shared" si="280"/>
        <v>1</v>
      </c>
      <c r="N3618" s="1">
        <f t="shared" si="281"/>
        <v>82</v>
      </c>
      <c r="O3618" s="10">
        <f t="shared" si="284"/>
        <v>17.063611111196224</v>
      </c>
    </row>
    <row r="3619" spans="1:15">
      <c r="A3619" s="1" t="s">
        <v>3724</v>
      </c>
      <c r="B3619" s="23">
        <v>45291.209722222222</v>
      </c>
      <c r="C3619" s="1" t="s">
        <v>11</v>
      </c>
      <c r="D3619" s="1" t="s">
        <v>21</v>
      </c>
      <c r="E3619" s="1" t="s">
        <v>33</v>
      </c>
      <c r="F3619" s="1" t="s">
        <v>29</v>
      </c>
      <c r="G3619" s="1">
        <v>220</v>
      </c>
      <c r="H3619" s="23">
        <v>45293.588796296295</v>
      </c>
      <c r="I3619" s="1" t="b">
        <v>0</v>
      </c>
      <c r="J3619" s="1">
        <v>1</v>
      </c>
      <c r="K3619" s="10">
        <f t="shared" si="282"/>
        <v>57.097777777758893</v>
      </c>
      <c r="L3619" s="1" t="str">
        <f t="shared" si="283"/>
        <v>OK</v>
      </c>
      <c r="M3619" s="1">
        <f t="shared" si="280"/>
        <v>1</v>
      </c>
      <c r="N3619" s="1">
        <f t="shared" si="281"/>
        <v>220</v>
      </c>
      <c r="O3619" s="10">
        <f t="shared" si="284"/>
        <v>57.097777777758893</v>
      </c>
    </row>
    <row r="3620" spans="1:15">
      <c r="A3620" s="1" t="s">
        <v>3725</v>
      </c>
      <c r="B3620" s="23">
        <v>45291.243055555555</v>
      </c>
      <c r="C3620" s="1" t="s">
        <v>25</v>
      </c>
      <c r="D3620" s="1" t="s">
        <v>17</v>
      </c>
      <c r="E3620" s="1" t="s">
        <v>22</v>
      </c>
      <c r="F3620" s="1" t="s">
        <v>88</v>
      </c>
      <c r="G3620" s="1">
        <v>28</v>
      </c>
      <c r="H3620" s="23">
        <v>45291.382754629631</v>
      </c>
      <c r="I3620" s="1" t="b">
        <v>0</v>
      </c>
      <c r="K3620" s="10">
        <f t="shared" si="282"/>
        <v>3.3527777778217569</v>
      </c>
      <c r="L3620" s="1" t="str">
        <f t="shared" si="283"/>
        <v>OK</v>
      </c>
      <c r="M3620" s="1">
        <f t="shared" si="280"/>
        <v>1</v>
      </c>
      <c r="N3620" s="1">
        <f t="shared" si="281"/>
        <v>28</v>
      </c>
      <c r="O3620" s="10">
        <f t="shared" si="284"/>
        <v>3.3527777778217569</v>
      </c>
    </row>
    <row r="3621" spans="1:15">
      <c r="A3621" s="1" t="s">
        <v>3726</v>
      </c>
      <c r="B3621" s="23">
        <v>45291.24722222222</v>
      </c>
      <c r="C3621" s="1" t="s">
        <v>16</v>
      </c>
      <c r="D3621" s="1" t="s">
        <v>17</v>
      </c>
      <c r="E3621" s="1" t="s">
        <v>13</v>
      </c>
      <c r="F3621" s="1" t="s">
        <v>206</v>
      </c>
      <c r="G3621" s="1">
        <v>11</v>
      </c>
      <c r="I3621" s="1" t="b">
        <v>0</v>
      </c>
      <c r="K3621" s="10" t="str">
        <f t="shared" si="282"/>
        <v/>
      </c>
      <c r="L3621" s="1" t="str">
        <f t="shared" si="283"/>
        <v>Cannot check</v>
      </c>
      <c r="M3621" s="1">
        <f t="shared" si="280"/>
        <v>1</v>
      </c>
      <c r="N3621" s="1">
        <f t="shared" si="281"/>
        <v>11</v>
      </c>
      <c r="O3621" s="10" t="str">
        <f t="shared" si="284"/>
        <v/>
      </c>
    </row>
    <row r="3622" spans="1:15">
      <c r="A3622" s="1" t="s">
        <v>3727</v>
      </c>
      <c r="B3622" s="23">
        <v>45291.248611111114</v>
      </c>
      <c r="C3622" s="1" t="s">
        <v>16</v>
      </c>
      <c r="D3622" s="1" t="s">
        <v>59</v>
      </c>
      <c r="E3622" s="1" t="s">
        <v>18</v>
      </c>
      <c r="F3622" s="1" t="s">
        <v>245</v>
      </c>
      <c r="G3622" s="1">
        <v>411</v>
      </c>
      <c r="H3622" s="23">
        <v>45291.412361111114</v>
      </c>
      <c r="I3622" s="1" t="b">
        <v>0</v>
      </c>
      <c r="K3622" s="10">
        <f t="shared" si="282"/>
        <v>3.9299999999930151</v>
      </c>
      <c r="L3622" s="1" t="str">
        <f t="shared" si="283"/>
        <v>Review</v>
      </c>
      <c r="M3622" s="1">
        <f t="shared" si="280"/>
        <v>1</v>
      </c>
      <c r="N3622" s="1" t="str">
        <f t="shared" si="281"/>
        <v/>
      </c>
      <c r="O3622" s="10" t="str">
        <f t="shared" si="284"/>
        <v/>
      </c>
    </row>
    <row r="3623" spans="1:15">
      <c r="A3623" s="1" t="s">
        <v>3728</v>
      </c>
      <c r="B3623" s="23">
        <v>45291.367361111108</v>
      </c>
      <c r="C3623" s="1" t="s">
        <v>25</v>
      </c>
      <c r="D3623" s="1" t="s">
        <v>12</v>
      </c>
      <c r="E3623" s="1" t="s">
        <v>33</v>
      </c>
      <c r="F3623" s="1" t="s">
        <v>94</v>
      </c>
      <c r="G3623" s="1">
        <v>154</v>
      </c>
      <c r="H3623" s="23">
        <v>45295.263993055552</v>
      </c>
      <c r="I3623" s="1" t="b">
        <v>0</v>
      </c>
      <c r="J3623" s="1">
        <v>4</v>
      </c>
      <c r="K3623" s="10">
        <f t="shared" si="282"/>
        <v>93.519166666665114</v>
      </c>
      <c r="L3623" s="1" t="str">
        <f t="shared" si="283"/>
        <v>OK</v>
      </c>
      <c r="M3623" s="1">
        <f t="shared" si="280"/>
        <v>1</v>
      </c>
      <c r="N3623" s="1">
        <f t="shared" si="281"/>
        <v>154</v>
      </c>
      <c r="O3623" s="10">
        <f t="shared" si="284"/>
        <v>93.519166666665114</v>
      </c>
    </row>
    <row r="3624" spans="1:15">
      <c r="A3624" s="1" t="s">
        <v>3729</v>
      </c>
      <c r="B3624" s="23">
        <v>45291.545138888891</v>
      </c>
      <c r="C3624" s="1" t="s">
        <v>16</v>
      </c>
      <c r="D3624" s="1" t="s">
        <v>12</v>
      </c>
      <c r="E3624" s="1" t="s">
        <v>33</v>
      </c>
      <c r="F3624" s="1" t="s">
        <v>326</v>
      </c>
      <c r="G3624" s="1">
        <v>182</v>
      </c>
      <c r="H3624" s="23">
        <v>45295.188634259262</v>
      </c>
      <c r="I3624" s="1" t="b">
        <v>0</v>
      </c>
      <c r="K3624" s="10">
        <f t="shared" si="282"/>
        <v>87.443888888927177</v>
      </c>
      <c r="L3624" s="1" t="str">
        <f t="shared" si="283"/>
        <v>OK</v>
      </c>
      <c r="M3624" s="1">
        <f t="shared" si="280"/>
        <v>1</v>
      </c>
      <c r="N3624" s="1">
        <f t="shared" si="281"/>
        <v>182</v>
      </c>
      <c r="O3624" s="10">
        <f t="shared" si="284"/>
        <v>87.443888888927177</v>
      </c>
    </row>
    <row r="3625" spans="1:15">
      <c r="A3625" s="1" t="s">
        <v>3730</v>
      </c>
      <c r="B3625" s="23">
        <v>45291.638888888891</v>
      </c>
      <c r="C3625" s="1" t="s">
        <v>16</v>
      </c>
      <c r="D3625" s="1" t="s">
        <v>21</v>
      </c>
      <c r="E3625" s="1" t="s">
        <v>18</v>
      </c>
      <c r="F3625" s="1" t="s">
        <v>326</v>
      </c>
      <c r="G3625" s="1">
        <v>120</v>
      </c>
      <c r="H3625" s="23">
        <v>45293.991782407407</v>
      </c>
      <c r="I3625" s="1" t="b">
        <v>0</v>
      </c>
      <c r="J3625" s="1">
        <v>4</v>
      </c>
      <c r="K3625" s="10">
        <f t="shared" si="282"/>
        <v>56.469444444403052</v>
      </c>
      <c r="L3625" s="1" t="str">
        <f t="shared" si="283"/>
        <v>OK</v>
      </c>
      <c r="M3625" s="1">
        <f t="shared" si="280"/>
        <v>1</v>
      </c>
      <c r="N3625" s="1">
        <f t="shared" si="281"/>
        <v>120</v>
      </c>
      <c r="O3625" s="10">
        <f t="shared" si="284"/>
        <v>56.469444444403052</v>
      </c>
    </row>
    <row r="3626" spans="1:15">
      <c r="A3626" s="1" t="s">
        <v>3731</v>
      </c>
      <c r="B3626" s="23">
        <v>45291.821527777778</v>
      </c>
      <c r="C3626" s="1" t="s">
        <v>16</v>
      </c>
      <c r="D3626" s="1" t="s">
        <v>59</v>
      </c>
      <c r="E3626" s="1" t="s">
        <v>18</v>
      </c>
      <c r="F3626" s="1" t="s">
        <v>102</v>
      </c>
      <c r="G3626" s="1">
        <v>64</v>
      </c>
      <c r="H3626" s="23">
        <v>45292.277905092589</v>
      </c>
      <c r="I3626" s="1" t="b">
        <v>0</v>
      </c>
      <c r="K3626" s="10">
        <f t="shared" si="282"/>
        <v>10.953055555466563</v>
      </c>
      <c r="L3626" s="1" t="str">
        <f t="shared" si="283"/>
        <v>OK</v>
      </c>
      <c r="M3626" s="1">
        <f t="shared" si="280"/>
        <v>1</v>
      </c>
      <c r="N3626" s="1">
        <f t="shared" si="281"/>
        <v>64</v>
      </c>
      <c r="O3626" s="10">
        <f t="shared" si="284"/>
        <v>10.953055555466563</v>
      </c>
    </row>
    <row r="3627" spans="1:15">
      <c r="A3627" s="1" t="s">
        <v>3732</v>
      </c>
      <c r="B3627" s="23">
        <v>45291.895833333336</v>
      </c>
      <c r="C3627" s="1" t="s">
        <v>16</v>
      </c>
      <c r="D3627" s="1" t="s">
        <v>21</v>
      </c>
      <c r="E3627" s="1" t="s">
        <v>18</v>
      </c>
      <c r="F3627" s="1" t="s">
        <v>54</v>
      </c>
      <c r="G3627" s="1">
        <v>39</v>
      </c>
      <c r="H3627" s="23">
        <v>45292.262696759259</v>
      </c>
      <c r="I3627" s="1" t="b">
        <v>0</v>
      </c>
      <c r="K3627" s="10">
        <f t="shared" si="282"/>
        <v>8.8047222221503034</v>
      </c>
      <c r="L3627" s="1" t="str">
        <f t="shared" si="283"/>
        <v>OK</v>
      </c>
      <c r="M3627" s="1">
        <f t="shared" si="280"/>
        <v>1</v>
      </c>
      <c r="N3627" s="1">
        <f t="shared" si="281"/>
        <v>39</v>
      </c>
      <c r="O3627" s="10">
        <f t="shared" si="284"/>
        <v>8.8047222221503034</v>
      </c>
    </row>
    <row r="3628" spans="1:15">
      <c r="A3628" s="1" t="s">
        <v>3733</v>
      </c>
      <c r="B3628" s="23">
        <v>45291.954861111109</v>
      </c>
      <c r="C3628" s="1" t="s">
        <v>25</v>
      </c>
      <c r="D3628" s="1" t="s">
        <v>21</v>
      </c>
      <c r="E3628" s="1" t="s">
        <v>33</v>
      </c>
      <c r="F3628" s="1" t="s">
        <v>256</v>
      </c>
      <c r="G3628" s="1">
        <v>30</v>
      </c>
      <c r="H3628" s="23">
        <v>45292.551527777781</v>
      </c>
      <c r="I3628" s="1" t="b">
        <v>0</v>
      </c>
      <c r="K3628" s="10">
        <f t="shared" si="282"/>
        <v>14.3200000001234</v>
      </c>
      <c r="L3628" s="1" t="str">
        <f t="shared" si="283"/>
        <v>OK</v>
      </c>
      <c r="M3628" s="1">
        <f t="shared" si="280"/>
        <v>1</v>
      </c>
      <c r="N3628" s="1">
        <f t="shared" si="281"/>
        <v>30</v>
      </c>
      <c r="O3628" s="10">
        <f t="shared" si="284"/>
        <v>14.3200000001234</v>
      </c>
    </row>
    <row r="3629" spans="1:15">
      <c r="A3629" s="1" t="s">
        <v>3734</v>
      </c>
      <c r="B3629" s="23">
        <v>45291.995138888888</v>
      </c>
      <c r="C3629" s="1" t="s">
        <v>25</v>
      </c>
      <c r="D3629" s="1" t="s">
        <v>17</v>
      </c>
      <c r="E3629" s="1" t="s">
        <v>18</v>
      </c>
      <c r="F3629" s="1" t="s">
        <v>709</v>
      </c>
      <c r="G3629" s="1">
        <v>209</v>
      </c>
      <c r="H3629" s="23">
        <v>45294.993564814817</v>
      </c>
      <c r="I3629" s="1" t="b">
        <v>0</v>
      </c>
      <c r="J3629" s="1">
        <v>5</v>
      </c>
      <c r="K3629" s="10">
        <f t="shared" si="282"/>
        <v>71.962222222296987</v>
      </c>
      <c r="L3629" s="1" t="str">
        <f t="shared" si="283"/>
        <v>OK</v>
      </c>
      <c r="M3629" s="1">
        <f t="shared" si="280"/>
        <v>1</v>
      </c>
      <c r="N3629" s="1">
        <f t="shared" si="281"/>
        <v>209</v>
      </c>
      <c r="O3629" s="10">
        <f t="shared" si="284"/>
        <v>71.962222222296987</v>
      </c>
    </row>
    <row r="3630" spans="1:15">
      <c r="A3630" s="1" t="s">
        <v>3735</v>
      </c>
      <c r="B3630" s="23">
        <v>45292.032638888886</v>
      </c>
      <c r="C3630" s="1" t="s">
        <v>16</v>
      </c>
      <c r="D3630" s="1" t="s">
        <v>26</v>
      </c>
      <c r="E3630" s="1" t="s">
        <v>33</v>
      </c>
      <c r="F3630" s="1" t="s">
        <v>74</v>
      </c>
      <c r="G3630" s="1">
        <v>439</v>
      </c>
      <c r="H3630" s="23">
        <v>45295.649571759262</v>
      </c>
      <c r="I3630" s="1" t="b">
        <v>0</v>
      </c>
      <c r="J3630" s="1">
        <v>5</v>
      </c>
      <c r="K3630" s="10">
        <f t="shared" si="282"/>
        <v>86.80638888903195</v>
      </c>
      <c r="L3630" s="1" t="str">
        <f t="shared" si="283"/>
        <v>OK</v>
      </c>
      <c r="M3630" s="1">
        <f t="shared" si="280"/>
        <v>1</v>
      </c>
      <c r="N3630" s="1">
        <f t="shared" si="281"/>
        <v>439</v>
      </c>
      <c r="O3630" s="10">
        <f t="shared" si="284"/>
        <v>86.80638888903195</v>
      </c>
    </row>
    <row r="3631" spans="1:15">
      <c r="A3631" s="1" t="s">
        <v>3736</v>
      </c>
      <c r="B3631" s="23">
        <v>45292.152777777781</v>
      </c>
      <c r="C3631" s="1" t="s">
        <v>43</v>
      </c>
      <c r="D3631" s="1" t="s">
        <v>59</v>
      </c>
      <c r="E3631" s="1" t="s">
        <v>18</v>
      </c>
      <c r="F3631" s="1" t="s">
        <v>128</v>
      </c>
      <c r="G3631" s="1">
        <v>126</v>
      </c>
      <c r="H3631" s="23">
        <v>45294.019756944443</v>
      </c>
      <c r="I3631" s="1" t="b">
        <v>0</v>
      </c>
      <c r="K3631" s="10">
        <f t="shared" si="282"/>
        <v>44.807499999878928</v>
      </c>
      <c r="L3631" s="1" t="str">
        <f t="shared" si="283"/>
        <v>OK</v>
      </c>
      <c r="M3631" s="1">
        <f t="shared" si="280"/>
        <v>1</v>
      </c>
      <c r="N3631" s="1">
        <f t="shared" si="281"/>
        <v>126</v>
      </c>
      <c r="O3631" s="10">
        <f t="shared" si="284"/>
        <v>44.807499999878928</v>
      </c>
    </row>
    <row r="3632" spans="1:15">
      <c r="A3632" s="1" t="s">
        <v>3737</v>
      </c>
      <c r="B3632" s="23">
        <v>45292.223611111112</v>
      </c>
      <c r="C3632" s="1" t="s">
        <v>25</v>
      </c>
      <c r="D3632" s="1" t="s">
        <v>17</v>
      </c>
      <c r="E3632" s="1" t="s">
        <v>13</v>
      </c>
      <c r="F3632" s="1" t="s">
        <v>31</v>
      </c>
      <c r="G3632" s="1">
        <v>7</v>
      </c>
      <c r="H3632" s="23">
        <v>45292.706273148149</v>
      </c>
      <c r="I3632" s="1" t="b">
        <v>0</v>
      </c>
      <c r="K3632" s="10">
        <f t="shared" si="282"/>
        <v>11.583888888882939</v>
      </c>
      <c r="L3632" s="1" t="str">
        <f t="shared" si="283"/>
        <v>OK</v>
      </c>
      <c r="M3632" s="1">
        <f t="shared" si="280"/>
        <v>1</v>
      </c>
      <c r="N3632" s="1">
        <f t="shared" si="281"/>
        <v>7</v>
      </c>
      <c r="O3632" s="10">
        <f t="shared" si="284"/>
        <v>11.583888888882939</v>
      </c>
    </row>
    <row r="3633" spans="1:15">
      <c r="A3633" s="1" t="s">
        <v>3738</v>
      </c>
      <c r="B3633" s="23">
        <v>45292.226388888892</v>
      </c>
      <c r="C3633" s="1" t="s">
        <v>25</v>
      </c>
      <c r="D3633" s="1" t="s">
        <v>21</v>
      </c>
      <c r="E3633" s="1" t="s">
        <v>18</v>
      </c>
      <c r="F3633" s="1" t="s">
        <v>148</v>
      </c>
      <c r="G3633" s="1">
        <v>70</v>
      </c>
      <c r="H3633" s="23">
        <v>45292.37027777778</v>
      </c>
      <c r="I3633" s="1" t="b">
        <v>0</v>
      </c>
      <c r="K3633" s="10">
        <f t="shared" si="282"/>
        <v>3.4533333333092742</v>
      </c>
      <c r="L3633" s="1" t="str">
        <f t="shared" si="283"/>
        <v>OK</v>
      </c>
      <c r="M3633" s="1">
        <f t="shared" si="280"/>
        <v>1</v>
      </c>
      <c r="N3633" s="1">
        <f t="shared" si="281"/>
        <v>70</v>
      </c>
      <c r="O3633" s="10">
        <f t="shared" si="284"/>
        <v>3.4533333333092742</v>
      </c>
    </row>
    <row r="3634" spans="1:15">
      <c r="A3634" s="1" t="s">
        <v>3739</v>
      </c>
      <c r="B3634" s="23">
        <v>45292.328472222223</v>
      </c>
      <c r="C3634" s="1" t="s">
        <v>11</v>
      </c>
      <c r="D3634" s="1" t="s">
        <v>12</v>
      </c>
      <c r="E3634" s="1" t="s">
        <v>18</v>
      </c>
      <c r="F3634" s="1" t="s">
        <v>98</v>
      </c>
      <c r="G3634" s="1">
        <v>80</v>
      </c>
      <c r="H3634" s="23">
        <v>45296.176412037035</v>
      </c>
      <c r="I3634" s="1" t="b">
        <v>0</v>
      </c>
      <c r="J3634" s="1">
        <v>5</v>
      </c>
      <c r="K3634" s="10">
        <f t="shared" si="282"/>
        <v>92.350555555487517</v>
      </c>
      <c r="L3634" s="1" t="str">
        <f t="shared" si="283"/>
        <v>OK</v>
      </c>
      <c r="M3634" s="1">
        <f t="shared" si="280"/>
        <v>1</v>
      </c>
      <c r="N3634" s="1">
        <f t="shared" si="281"/>
        <v>80</v>
      </c>
      <c r="O3634" s="10">
        <f t="shared" si="284"/>
        <v>92.350555555487517</v>
      </c>
    </row>
    <row r="3635" spans="1:15">
      <c r="A3635" s="1" t="s">
        <v>3740</v>
      </c>
      <c r="B3635" s="23">
        <v>45292.679166666669</v>
      </c>
      <c r="C3635" s="1" t="s">
        <v>25</v>
      </c>
      <c r="D3635" s="1" t="s">
        <v>59</v>
      </c>
      <c r="E3635" s="1" t="s">
        <v>33</v>
      </c>
      <c r="F3635" s="1" t="s">
        <v>215</v>
      </c>
      <c r="G3635" s="1">
        <v>188</v>
      </c>
      <c r="H3635" s="23">
        <v>45294.292893518519</v>
      </c>
      <c r="I3635" s="1" t="b">
        <v>0</v>
      </c>
      <c r="K3635" s="10">
        <f t="shared" si="282"/>
        <v>38.729444444412366</v>
      </c>
      <c r="L3635" s="1" t="str">
        <f t="shared" si="283"/>
        <v>OK</v>
      </c>
      <c r="M3635" s="1">
        <f t="shared" si="280"/>
        <v>1</v>
      </c>
      <c r="N3635" s="1">
        <f t="shared" si="281"/>
        <v>188</v>
      </c>
      <c r="O3635" s="10">
        <f t="shared" si="284"/>
        <v>38.729444444412366</v>
      </c>
    </row>
    <row r="3636" spans="1:15">
      <c r="A3636" s="1" t="s">
        <v>3741</v>
      </c>
      <c r="B3636" s="23">
        <v>45292.765972222223</v>
      </c>
      <c r="C3636" s="1" t="s">
        <v>25</v>
      </c>
      <c r="D3636" s="1" t="s">
        <v>17</v>
      </c>
      <c r="E3636" s="1" t="s">
        <v>33</v>
      </c>
      <c r="F3636" s="1" t="s">
        <v>84</v>
      </c>
      <c r="G3636" s="1">
        <v>117</v>
      </c>
      <c r="H3636" s="23">
        <v>45294.098900462966</v>
      </c>
      <c r="I3636" s="1" t="b">
        <v>0</v>
      </c>
      <c r="K3636" s="10">
        <f t="shared" si="282"/>
        <v>31.990277777833398</v>
      </c>
      <c r="L3636" s="1" t="str">
        <f t="shared" si="283"/>
        <v>OK</v>
      </c>
      <c r="M3636" s="1">
        <f t="shared" si="280"/>
        <v>1</v>
      </c>
      <c r="N3636" s="1">
        <f t="shared" si="281"/>
        <v>117</v>
      </c>
      <c r="O3636" s="10">
        <f t="shared" si="284"/>
        <v>31.990277777833398</v>
      </c>
    </row>
    <row r="3637" spans="1:15">
      <c r="A3637" s="1" t="s">
        <v>3742</v>
      </c>
      <c r="B3637" s="23">
        <v>45292.923611111109</v>
      </c>
      <c r="C3637" s="1" t="s">
        <v>11</v>
      </c>
      <c r="D3637" s="1" t="s">
        <v>12</v>
      </c>
      <c r="E3637" s="1" t="s">
        <v>33</v>
      </c>
      <c r="F3637" s="1" t="s">
        <v>134</v>
      </c>
      <c r="G3637" s="1">
        <v>610</v>
      </c>
      <c r="H3637" s="23">
        <v>45300.617627314816</v>
      </c>
      <c r="I3637" s="1" t="b">
        <v>0</v>
      </c>
      <c r="K3637" s="10">
        <f t="shared" si="282"/>
        <v>184.65638888895046</v>
      </c>
      <c r="L3637" s="1" t="str">
        <f t="shared" si="283"/>
        <v>OK</v>
      </c>
      <c r="M3637" s="1">
        <f t="shared" si="280"/>
        <v>1</v>
      </c>
      <c r="N3637" s="1">
        <f t="shared" si="281"/>
        <v>610</v>
      </c>
      <c r="O3637" s="10">
        <f t="shared" si="284"/>
        <v>184.65638888895046</v>
      </c>
    </row>
    <row r="3638" spans="1:15">
      <c r="A3638" s="1" t="s">
        <v>3743</v>
      </c>
      <c r="B3638" s="23">
        <v>45293.008333333331</v>
      </c>
      <c r="C3638" s="1" t="s">
        <v>11</v>
      </c>
      <c r="D3638" s="1" t="s">
        <v>21</v>
      </c>
      <c r="E3638" s="1" t="s">
        <v>33</v>
      </c>
      <c r="F3638" s="1" t="s">
        <v>112</v>
      </c>
      <c r="G3638" s="1">
        <v>180</v>
      </c>
      <c r="H3638" s="23">
        <v>45295.747465277775</v>
      </c>
      <c r="I3638" s="1" t="b">
        <v>0</v>
      </c>
      <c r="J3638" s="1">
        <v>3</v>
      </c>
      <c r="K3638" s="10">
        <f t="shared" si="282"/>
        <v>65.739166666637175</v>
      </c>
      <c r="L3638" s="1" t="str">
        <f t="shared" si="283"/>
        <v>OK</v>
      </c>
      <c r="M3638" s="1">
        <f t="shared" si="280"/>
        <v>1</v>
      </c>
      <c r="N3638" s="1">
        <f t="shared" si="281"/>
        <v>180</v>
      </c>
      <c r="O3638" s="10">
        <f t="shared" si="284"/>
        <v>65.739166666637175</v>
      </c>
    </row>
    <row r="3639" spans="1:15">
      <c r="A3639" s="1" t="s">
        <v>3744</v>
      </c>
      <c r="B3639" s="23">
        <v>45293.147222222222</v>
      </c>
      <c r="C3639" s="1" t="s">
        <v>25</v>
      </c>
      <c r="D3639" s="1" t="s">
        <v>17</v>
      </c>
      <c r="E3639" s="1" t="s">
        <v>18</v>
      </c>
      <c r="F3639" s="1" t="s">
        <v>90</v>
      </c>
      <c r="G3639" s="1">
        <v>16</v>
      </c>
      <c r="I3639" s="1" t="b">
        <v>0</v>
      </c>
      <c r="K3639" s="10" t="str">
        <f t="shared" si="282"/>
        <v/>
      </c>
      <c r="L3639" s="1" t="str">
        <f t="shared" si="283"/>
        <v>Cannot check</v>
      </c>
      <c r="M3639" s="1">
        <f t="shared" si="280"/>
        <v>1</v>
      </c>
      <c r="N3639" s="1">
        <f t="shared" si="281"/>
        <v>16</v>
      </c>
      <c r="O3639" s="10" t="str">
        <f t="shared" si="284"/>
        <v/>
      </c>
    </row>
    <row r="3640" spans="1:15">
      <c r="A3640" s="1" t="s">
        <v>3745</v>
      </c>
      <c r="B3640" s="23">
        <v>45293.522222222222</v>
      </c>
      <c r="C3640" s="1" t="s">
        <v>25</v>
      </c>
      <c r="D3640" s="1" t="s">
        <v>59</v>
      </c>
      <c r="E3640" s="1" t="s">
        <v>18</v>
      </c>
      <c r="F3640" s="1" t="s">
        <v>259</v>
      </c>
      <c r="G3640" s="1">
        <v>157</v>
      </c>
      <c r="H3640" s="23">
        <v>45293.549675925926</v>
      </c>
      <c r="I3640" s="1" t="b">
        <v>0</v>
      </c>
      <c r="K3640" s="10">
        <f t="shared" si="282"/>
        <v>0.6588888888945803</v>
      </c>
      <c r="L3640" s="1" t="str">
        <f t="shared" si="283"/>
        <v>Review</v>
      </c>
      <c r="M3640" s="1">
        <f t="shared" si="280"/>
        <v>1</v>
      </c>
      <c r="N3640" s="1" t="str">
        <f t="shared" si="281"/>
        <v/>
      </c>
      <c r="O3640" s="10" t="str">
        <f t="shared" si="284"/>
        <v/>
      </c>
    </row>
    <row r="3641" spans="1:15">
      <c r="A3641" s="1" t="s">
        <v>3746</v>
      </c>
      <c r="B3641" s="23">
        <v>45293.59097222222</v>
      </c>
      <c r="C3641" s="1" t="s">
        <v>11</v>
      </c>
      <c r="D3641" s="1" t="s">
        <v>21</v>
      </c>
      <c r="E3641" s="1" t="s">
        <v>33</v>
      </c>
      <c r="F3641" s="1" t="s">
        <v>367</v>
      </c>
      <c r="G3641" s="1">
        <v>85</v>
      </c>
      <c r="H3641" s="23">
        <v>45294.888078703705</v>
      </c>
      <c r="I3641" s="1" t="b">
        <v>0</v>
      </c>
      <c r="K3641" s="10">
        <f t="shared" si="282"/>
        <v>31.130555555631872</v>
      </c>
      <c r="L3641" s="1" t="str">
        <f t="shared" si="283"/>
        <v>OK</v>
      </c>
      <c r="M3641" s="1">
        <f t="shared" si="280"/>
        <v>1</v>
      </c>
      <c r="N3641" s="1">
        <f t="shared" si="281"/>
        <v>85</v>
      </c>
      <c r="O3641" s="10">
        <f t="shared" si="284"/>
        <v>31.130555555631872</v>
      </c>
    </row>
    <row r="3642" spans="1:15">
      <c r="A3642" s="1" t="s">
        <v>3747</v>
      </c>
      <c r="B3642" s="23">
        <v>45293.669444444444</v>
      </c>
      <c r="C3642" s="1" t="s">
        <v>16</v>
      </c>
      <c r="D3642" s="1" t="s">
        <v>17</v>
      </c>
      <c r="E3642" s="1" t="s">
        <v>33</v>
      </c>
      <c r="F3642" s="1" t="s">
        <v>118</v>
      </c>
      <c r="G3642" s="1">
        <v>59</v>
      </c>
      <c r="H3642" s="23">
        <v>45298.830868055556</v>
      </c>
      <c r="I3642" s="1" t="b">
        <v>0</v>
      </c>
      <c r="K3642" s="10">
        <f t="shared" si="282"/>
        <v>123.8741666667047</v>
      </c>
      <c r="L3642" s="1" t="str">
        <f t="shared" si="283"/>
        <v>OK</v>
      </c>
      <c r="M3642" s="1">
        <f t="shared" si="280"/>
        <v>1</v>
      </c>
      <c r="N3642" s="1">
        <f t="shared" si="281"/>
        <v>59</v>
      </c>
      <c r="O3642" s="10">
        <f t="shared" si="284"/>
        <v>123.8741666667047</v>
      </c>
    </row>
    <row r="3643" spans="1:15">
      <c r="A3643" s="1" t="s">
        <v>3748</v>
      </c>
      <c r="B3643" s="23">
        <v>45293.71875</v>
      </c>
      <c r="C3643" s="1" t="s">
        <v>43</v>
      </c>
      <c r="D3643" s="1" t="s">
        <v>21</v>
      </c>
      <c r="E3643" s="1" t="s">
        <v>13</v>
      </c>
      <c r="F3643" s="1" t="s">
        <v>237</v>
      </c>
      <c r="G3643" s="1">
        <v>12</v>
      </c>
      <c r="H3643" s="23">
        <v>45294.012071759258</v>
      </c>
      <c r="I3643" s="1" t="b">
        <v>0</v>
      </c>
      <c r="K3643" s="10">
        <f t="shared" si="282"/>
        <v>7.0397222221945412</v>
      </c>
      <c r="L3643" s="1" t="str">
        <f t="shared" si="283"/>
        <v>OK</v>
      </c>
      <c r="M3643" s="1">
        <f t="shared" si="280"/>
        <v>1</v>
      </c>
      <c r="N3643" s="1">
        <f t="shared" si="281"/>
        <v>12</v>
      </c>
      <c r="O3643" s="10">
        <f t="shared" si="284"/>
        <v>7.0397222221945412</v>
      </c>
    </row>
    <row r="3644" spans="1:15">
      <c r="A3644" s="1" t="s">
        <v>3749</v>
      </c>
      <c r="B3644" s="23">
        <v>45293.763194444444</v>
      </c>
      <c r="C3644" s="1" t="s">
        <v>25</v>
      </c>
      <c r="D3644" s="1" t="s">
        <v>21</v>
      </c>
      <c r="E3644" s="1" t="s">
        <v>13</v>
      </c>
      <c r="F3644" s="1" t="s">
        <v>116</v>
      </c>
      <c r="H3644" s="23">
        <v>45296.603807870371</v>
      </c>
      <c r="I3644" s="1" t="b">
        <v>0</v>
      </c>
      <c r="J3644" s="1">
        <v>5</v>
      </c>
      <c r="K3644" s="10">
        <f t="shared" si="282"/>
        <v>68.174722222262062</v>
      </c>
      <c r="L3644" s="1" t="str">
        <f t="shared" si="283"/>
        <v>Cannot check</v>
      </c>
      <c r="M3644" s="1">
        <f t="shared" si="280"/>
        <v>1</v>
      </c>
      <c r="N3644" s="1" t="str">
        <f t="shared" si="281"/>
        <v/>
      </c>
      <c r="O3644" s="10">
        <f t="shared" si="284"/>
        <v>68.174722222262062</v>
      </c>
    </row>
    <row r="3645" spans="1:15">
      <c r="A3645" s="1" t="s">
        <v>3750</v>
      </c>
      <c r="B3645" s="23">
        <v>45293.76666666667</v>
      </c>
      <c r="C3645" s="1" t="s">
        <v>16</v>
      </c>
      <c r="D3645" s="1" t="s">
        <v>17</v>
      </c>
      <c r="E3645" s="1" t="s">
        <v>22</v>
      </c>
      <c r="F3645" s="1" t="s">
        <v>86</v>
      </c>
      <c r="G3645" s="1">
        <v>56</v>
      </c>
      <c r="I3645" s="1" t="b">
        <v>0</v>
      </c>
      <c r="K3645" s="10" t="str">
        <f t="shared" si="282"/>
        <v/>
      </c>
      <c r="L3645" s="1" t="str">
        <f t="shared" si="283"/>
        <v>Cannot check</v>
      </c>
      <c r="M3645" s="1">
        <f t="shared" si="280"/>
        <v>1</v>
      </c>
      <c r="N3645" s="1">
        <f t="shared" si="281"/>
        <v>56</v>
      </c>
      <c r="O3645" s="10" t="str">
        <f t="shared" si="284"/>
        <v/>
      </c>
    </row>
    <row r="3646" spans="1:15">
      <c r="A3646" s="1" t="s">
        <v>3751</v>
      </c>
      <c r="B3646" s="23">
        <v>45294.114583333336</v>
      </c>
      <c r="C3646" s="1" t="s">
        <v>11</v>
      </c>
      <c r="D3646" s="1" t="s">
        <v>21</v>
      </c>
      <c r="E3646" s="1" t="s">
        <v>18</v>
      </c>
      <c r="F3646" s="1" t="s">
        <v>215</v>
      </c>
      <c r="G3646" s="1">
        <v>105</v>
      </c>
      <c r="H3646" s="23">
        <v>45297.689062500001</v>
      </c>
      <c r="I3646" s="1" t="b">
        <v>0</v>
      </c>
      <c r="K3646" s="10">
        <f t="shared" si="282"/>
        <v>85.787499999976717</v>
      </c>
      <c r="L3646" s="1" t="str">
        <f t="shared" si="283"/>
        <v>OK</v>
      </c>
      <c r="M3646" s="1">
        <f t="shared" si="280"/>
        <v>1</v>
      </c>
      <c r="N3646" s="1">
        <f t="shared" si="281"/>
        <v>105</v>
      </c>
      <c r="O3646" s="10">
        <f t="shared" si="284"/>
        <v>85.787499999976717</v>
      </c>
    </row>
    <row r="3647" spans="1:15">
      <c r="A3647" s="1" t="s">
        <v>3752</v>
      </c>
      <c r="B3647" s="23">
        <v>45294.160416666666</v>
      </c>
      <c r="C3647" s="1" t="s">
        <v>16</v>
      </c>
      <c r="D3647" s="1" t="s">
        <v>59</v>
      </c>
      <c r="E3647" s="1" t="s">
        <v>33</v>
      </c>
      <c r="F3647" s="1" t="s">
        <v>60</v>
      </c>
      <c r="G3647" s="1">
        <v>61</v>
      </c>
      <c r="H3647" s="23">
        <v>45295.943368055552</v>
      </c>
      <c r="I3647" s="1" t="b">
        <v>0</v>
      </c>
      <c r="K3647" s="10">
        <f t="shared" si="282"/>
        <v>42.79083333327435</v>
      </c>
      <c r="L3647" s="1" t="str">
        <f t="shared" si="283"/>
        <v>OK</v>
      </c>
      <c r="M3647" s="1">
        <f t="shared" si="280"/>
        <v>1</v>
      </c>
      <c r="N3647" s="1">
        <f t="shared" si="281"/>
        <v>61</v>
      </c>
      <c r="O3647" s="10">
        <f t="shared" si="284"/>
        <v>42.79083333327435</v>
      </c>
    </row>
    <row r="3648" spans="1:15">
      <c r="A3648" s="1" t="s">
        <v>3753</v>
      </c>
      <c r="B3648" s="23">
        <v>45294.167361111111</v>
      </c>
      <c r="C3648" s="1" t="s">
        <v>16</v>
      </c>
      <c r="D3648" s="1" t="s">
        <v>59</v>
      </c>
      <c r="E3648" s="1" t="s">
        <v>18</v>
      </c>
      <c r="F3648" s="1" t="s">
        <v>27</v>
      </c>
      <c r="G3648" s="1">
        <v>12</v>
      </c>
      <c r="H3648" s="23">
        <v>45297.0312962963</v>
      </c>
      <c r="I3648" s="1" t="b">
        <v>1</v>
      </c>
      <c r="K3648" s="10">
        <f t="shared" si="282"/>
        <v>68.734444444533437</v>
      </c>
      <c r="L3648" s="1" t="str">
        <f t="shared" si="283"/>
        <v>OK</v>
      </c>
      <c r="M3648" s="1">
        <f t="shared" si="280"/>
        <v>1</v>
      </c>
      <c r="N3648" s="1">
        <f t="shared" si="281"/>
        <v>12</v>
      </c>
      <c r="O3648" s="10">
        <f t="shared" si="284"/>
        <v>68.734444444533437</v>
      </c>
    </row>
    <row r="3649" spans="1:15">
      <c r="A3649" s="1" t="s">
        <v>3754</v>
      </c>
      <c r="B3649" s="23">
        <v>45294.192361111112</v>
      </c>
      <c r="C3649" s="1" t="s">
        <v>43</v>
      </c>
      <c r="D3649" s="1" t="s">
        <v>21</v>
      </c>
      <c r="E3649" s="1" t="s">
        <v>13</v>
      </c>
      <c r="F3649" s="1" t="s">
        <v>486</v>
      </c>
      <c r="G3649" s="1">
        <v>63</v>
      </c>
      <c r="H3649" s="23">
        <v>45296.370856481481</v>
      </c>
      <c r="I3649" s="1" t="b">
        <v>0</v>
      </c>
      <c r="J3649" s="1">
        <v>5</v>
      </c>
      <c r="K3649" s="10">
        <f t="shared" si="282"/>
        <v>52.283888888836373</v>
      </c>
      <c r="L3649" s="1" t="str">
        <f t="shared" si="283"/>
        <v>OK</v>
      </c>
      <c r="M3649" s="1">
        <f t="shared" si="280"/>
        <v>1</v>
      </c>
      <c r="N3649" s="1">
        <f t="shared" si="281"/>
        <v>63</v>
      </c>
      <c r="O3649" s="10">
        <f t="shared" si="284"/>
        <v>52.283888888836373</v>
      </c>
    </row>
    <row r="3650" spans="1:15">
      <c r="A3650" s="1" t="s">
        <v>3755</v>
      </c>
      <c r="B3650" s="23">
        <v>45294.245138888888</v>
      </c>
      <c r="C3650" s="1" t="s">
        <v>11</v>
      </c>
      <c r="D3650" s="1" t="s">
        <v>17</v>
      </c>
      <c r="E3650" s="1" t="s">
        <v>33</v>
      </c>
      <c r="F3650" s="1" t="s">
        <v>66</v>
      </c>
      <c r="G3650" s="1">
        <v>225</v>
      </c>
      <c r="H3650" s="23">
        <v>45297.373124999998</v>
      </c>
      <c r="I3650" s="1" t="b">
        <v>0</v>
      </c>
      <c r="J3650" s="1">
        <v>2</v>
      </c>
      <c r="K3650" s="10">
        <f t="shared" si="282"/>
        <v>75.071666666655801</v>
      </c>
      <c r="L3650" s="1" t="str">
        <f t="shared" si="283"/>
        <v>OK</v>
      </c>
      <c r="M3650" s="1">
        <f t="shared" ref="M3650:M3713" si="285">COUNTIF($A$2:$A$4001,A3650)</f>
        <v>1</v>
      </c>
      <c r="N3650" s="1">
        <f t="shared" ref="N3650:N3713" si="286">IF(OR(L3650="Review",G3650=""),"",G3650)</f>
        <v>225</v>
      </c>
      <c r="O3650" s="10">
        <f t="shared" si="284"/>
        <v>75.071666666655801</v>
      </c>
    </row>
    <row r="3651" spans="1:15">
      <c r="A3651" s="1" t="s">
        <v>3756</v>
      </c>
      <c r="B3651" s="23">
        <v>45294.347222222219</v>
      </c>
      <c r="C3651" s="1" t="s">
        <v>25</v>
      </c>
      <c r="D3651" s="1" t="s">
        <v>21</v>
      </c>
      <c r="E3651" s="1" t="s">
        <v>18</v>
      </c>
      <c r="F3651" s="1" t="s">
        <v>302</v>
      </c>
      <c r="G3651" s="1">
        <v>93</v>
      </c>
      <c r="H3651" s="23">
        <v>45297.099305555559</v>
      </c>
      <c r="I3651" s="1" t="b">
        <v>0</v>
      </c>
      <c r="J3651" s="1">
        <v>1</v>
      </c>
      <c r="K3651" s="10">
        <f t="shared" ref="K3651:K3714" si="287">IF(H3651="","",(H3651-B3651)*24)</f>
        <v>66.050000000162981</v>
      </c>
      <c r="L3651" s="1" t="str">
        <f t="shared" ref="L3651:L3714" si="288">IF(OR(G3651="",K3651=""),"Cannot check",IF(G3651&gt;K3651*60,"Review","OK"))</f>
        <v>OK</v>
      </c>
      <c r="M3651" s="1">
        <f t="shared" si="285"/>
        <v>1</v>
      </c>
      <c r="N3651" s="1">
        <f t="shared" si="286"/>
        <v>93</v>
      </c>
      <c r="O3651" s="10">
        <f t="shared" ref="O3651:O3714" si="289">IF(OR(L3651="Review",K3651=""),"",K3651)</f>
        <v>66.050000000162981</v>
      </c>
    </row>
    <row r="3652" spans="1:15">
      <c r="A3652" s="1" t="s">
        <v>3757</v>
      </c>
      <c r="B3652" s="23">
        <v>45294.354861111111</v>
      </c>
      <c r="C3652" s="1" t="s">
        <v>25</v>
      </c>
      <c r="D3652" s="1" t="s">
        <v>59</v>
      </c>
      <c r="E3652" s="1" t="s">
        <v>18</v>
      </c>
      <c r="F3652" s="1" t="s">
        <v>110</v>
      </c>
      <c r="G3652" s="1">
        <v>100</v>
      </c>
      <c r="H3652" s="23">
        <v>45294.671805555554</v>
      </c>
      <c r="I3652" s="1" t="b">
        <v>0</v>
      </c>
      <c r="J3652" s="1">
        <v>3</v>
      </c>
      <c r="K3652" s="10">
        <f t="shared" si="287"/>
        <v>7.6066666666301899</v>
      </c>
      <c r="L3652" s="1" t="str">
        <f t="shared" si="288"/>
        <v>OK</v>
      </c>
      <c r="M3652" s="1">
        <f t="shared" si="285"/>
        <v>1</v>
      </c>
      <c r="N3652" s="1">
        <f t="shared" si="286"/>
        <v>100</v>
      </c>
      <c r="O3652" s="10">
        <f t="shared" si="289"/>
        <v>7.6066666666301899</v>
      </c>
    </row>
    <row r="3653" spans="1:15">
      <c r="A3653" s="1" t="s">
        <v>3758</v>
      </c>
      <c r="B3653" s="23">
        <v>45294.418749999997</v>
      </c>
      <c r="C3653" s="1" t="s">
        <v>43</v>
      </c>
      <c r="D3653" s="1" t="s">
        <v>26</v>
      </c>
      <c r="E3653" s="1" t="s">
        <v>22</v>
      </c>
      <c r="F3653" s="1" t="s">
        <v>52</v>
      </c>
      <c r="G3653" s="1">
        <v>8</v>
      </c>
      <c r="H3653" s="23">
        <v>45294.539560185185</v>
      </c>
      <c r="I3653" s="1" t="b">
        <v>0</v>
      </c>
      <c r="K3653" s="10">
        <f t="shared" si="287"/>
        <v>2.8994444445124827</v>
      </c>
      <c r="L3653" s="1" t="str">
        <f t="shared" si="288"/>
        <v>OK</v>
      </c>
      <c r="M3653" s="1">
        <f t="shared" si="285"/>
        <v>1</v>
      </c>
      <c r="N3653" s="1">
        <f t="shared" si="286"/>
        <v>8</v>
      </c>
      <c r="O3653" s="10">
        <f t="shared" si="289"/>
        <v>2.8994444445124827</v>
      </c>
    </row>
    <row r="3654" spans="1:15">
      <c r="A3654" s="1" t="s">
        <v>3759</v>
      </c>
      <c r="B3654" s="23">
        <v>45294.433333333334</v>
      </c>
      <c r="C3654" s="1" t="s">
        <v>16</v>
      </c>
      <c r="D3654" s="1" t="s">
        <v>21</v>
      </c>
      <c r="E3654" s="1" t="s">
        <v>13</v>
      </c>
      <c r="F3654" s="1" t="s">
        <v>72</v>
      </c>
      <c r="G3654" s="1">
        <v>26</v>
      </c>
      <c r="H3654" s="23">
        <v>45294.698877314811</v>
      </c>
      <c r="I3654" s="1" t="b">
        <v>0</v>
      </c>
      <c r="K3654" s="10">
        <f t="shared" si="287"/>
        <v>6.3730555554502644</v>
      </c>
      <c r="L3654" s="1" t="str">
        <f t="shared" si="288"/>
        <v>OK</v>
      </c>
      <c r="M3654" s="1">
        <f t="shared" si="285"/>
        <v>1</v>
      </c>
      <c r="N3654" s="1">
        <f t="shared" si="286"/>
        <v>26</v>
      </c>
      <c r="O3654" s="10">
        <f t="shared" si="289"/>
        <v>6.3730555554502644</v>
      </c>
    </row>
    <row r="3655" spans="1:15">
      <c r="A3655" s="1" t="s">
        <v>3760</v>
      </c>
      <c r="B3655" s="23">
        <v>45294.582638888889</v>
      </c>
      <c r="C3655" s="1" t="s">
        <v>43</v>
      </c>
      <c r="D3655" s="1" t="s">
        <v>26</v>
      </c>
      <c r="E3655" s="1" t="s">
        <v>13</v>
      </c>
      <c r="F3655" s="1" t="s">
        <v>178</v>
      </c>
      <c r="G3655" s="1">
        <v>50</v>
      </c>
      <c r="H3655" s="23">
        <v>45298.529062499998</v>
      </c>
      <c r="I3655" s="1" t="b">
        <v>0</v>
      </c>
      <c r="J3655" s="1">
        <v>4</v>
      </c>
      <c r="K3655" s="10">
        <f t="shared" si="287"/>
        <v>94.714166666613892</v>
      </c>
      <c r="L3655" s="1" t="str">
        <f t="shared" si="288"/>
        <v>OK</v>
      </c>
      <c r="M3655" s="1">
        <f t="shared" si="285"/>
        <v>1</v>
      </c>
      <c r="N3655" s="1">
        <f t="shared" si="286"/>
        <v>50</v>
      </c>
      <c r="O3655" s="10">
        <f t="shared" si="289"/>
        <v>94.714166666613892</v>
      </c>
    </row>
    <row r="3656" spans="1:15">
      <c r="A3656" s="1" t="s">
        <v>3761</v>
      </c>
      <c r="B3656" s="23">
        <v>45294.621527777781</v>
      </c>
      <c r="C3656" s="1" t="s">
        <v>25</v>
      </c>
      <c r="D3656" s="1" t="s">
        <v>21</v>
      </c>
      <c r="E3656" s="1" t="s">
        <v>18</v>
      </c>
      <c r="F3656" s="1" t="s">
        <v>112</v>
      </c>
      <c r="G3656" s="1">
        <v>267</v>
      </c>
      <c r="H3656" s="23">
        <v>45294.761446759258</v>
      </c>
      <c r="I3656" s="1" t="b">
        <v>0</v>
      </c>
      <c r="K3656" s="10">
        <f t="shared" si="287"/>
        <v>3.3580555554362945</v>
      </c>
      <c r="L3656" s="1" t="str">
        <f t="shared" si="288"/>
        <v>Review</v>
      </c>
      <c r="M3656" s="1">
        <f t="shared" si="285"/>
        <v>1</v>
      </c>
      <c r="N3656" s="1" t="str">
        <f t="shared" si="286"/>
        <v/>
      </c>
      <c r="O3656" s="10" t="str">
        <f t="shared" si="289"/>
        <v/>
      </c>
    </row>
    <row r="3657" spans="1:15">
      <c r="A3657" s="1" t="s">
        <v>3762</v>
      </c>
      <c r="B3657" s="23">
        <v>45294.811805555553</v>
      </c>
      <c r="C3657" s="1" t="s">
        <v>25</v>
      </c>
      <c r="D3657" s="1" t="s">
        <v>12</v>
      </c>
      <c r="E3657" s="1" t="s">
        <v>33</v>
      </c>
      <c r="F3657" s="1" t="s">
        <v>345</v>
      </c>
      <c r="G3657" s="1">
        <v>150</v>
      </c>
      <c r="H3657" s="23">
        <v>45296.399247685185</v>
      </c>
      <c r="I3657" s="1" t="b">
        <v>0</v>
      </c>
      <c r="K3657" s="10">
        <f t="shared" si="287"/>
        <v>38.098611111170612</v>
      </c>
      <c r="L3657" s="1" t="str">
        <f t="shared" si="288"/>
        <v>OK</v>
      </c>
      <c r="M3657" s="1">
        <f t="shared" si="285"/>
        <v>1</v>
      </c>
      <c r="N3657" s="1">
        <f t="shared" si="286"/>
        <v>150</v>
      </c>
      <c r="O3657" s="10">
        <f t="shared" si="289"/>
        <v>38.098611111170612</v>
      </c>
    </row>
    <row r="3658" spans="1:15">
      <c r="A3658" s="1" t="s">
        <v>3763</v>
      </c>
      <c r="B3658" s="23">
        <v>45295.030555555553</v>
      </c>
      <c r="C3658" s="1" t="s">
        <v>25</v>
      </c>
      <c r="D3658" s="1" t="s">
        <v>17</v>
      </c>
      <c r="E3658" s="1" t="s">
        <v>18</v>
      </c>
      <c r="F3658" s="1" t="s">
        <v>224</v>
      </c>
      <c r="G3658" s="1">
        <v>131</v>
      </c>
      <c r="H3658" s="23">
        <v>45296.172662037039</v>
      </c>
      <c r="I3658" s="1" t="b">
        <v>0</v>
      </c>
      <c r="J3658" s="1">
        <v>5</v>
      </c>
      <c r="K3658" s="10">
        <f t="shared" si="287"/>
        <v>27.410555555659812</v>
      </c>
      <c r="L3658" s="1" t="str">
        <f t="shared" si="288"/>
        <v>OK</v>
      </c>
      <c r="M3658" s="1">
        <f t="shared" si="285"/>
        <v>1</v>
      </c>
      <c r="N3658" s="1">
        <f t="shared" si="286"/>
        <v>131</v>
      </c>
      <c r="O3658" s="10">
        <f t="shared" si="289"/>
        <v>27.410555555659812</v>
      </c>
    </row>
    <row r="3659" spans="1:15">
      <c r="A3659" s="1" t="s">
        <v>3764</v>
      </c>
      <c r="B3659" s="23">
        <v>45295.109027777777</v>
      </c>
      <c r="C3659" s="1" t="s">
        <v>11</v>
      </c>
      <c r="D3659" s="1" t="s">
        <v>17</v>
      </c>
      <c r="E3659" s="1" t="s">
        <v>18</v>
      </c>
      <c r="F3659" s="1" t="s">
        <v>96</v>
      </c>
      <c r="G3659" s="1">
        <v>79</v>
      </c>
      <c r="H3659" s="23">
        <v>45295.58258101852</v>
      </c>
      <c r="I3659" s="1" t="b">
        <v>0</v>
      </c>
      <c r="K3659" s="10">
        <f t="shared" si="287"/>
        <v>11.365277777833398</v>
      </c>
      <c r="L3659" s="1" t="str">
        <f t="shared" si="288"/>
        <v>OK</v>
      </c>
      <c r="M3659" s="1">
        <f t="shared" si="285"/>
        <v>1</v>
      </c>
      <c r="N3659" s="1">
        <f t="shared" si="286"/>
        <v>79</v>
      </c>
      <c r="O3659" s="10">
        <f t="shared" si="289"/>
        <v>11.365277777833398</v>
      </c>
    </row>
    <row r="3660" spans="1:15">
      <c r="A3660" s="1" t="s">
        <v>3765</v>
      </c>
      <c r="B3660" s="23">
        <v>45295.132638888892</v>
      </c>
      <c r="C3660" s="1" t="s">
        <v>25</v>
      </c>
      <c r="D3660" s="1" t="s">
        <v>12</v>
      </c>
      <c r="E3660" s="1" t="s">
        <v>13</v>
      </c>
      <c r="F3660" s="1" t="s">
        <v>54</v>
      </c>
      <c r="G3660" s="1">
        <v>41</v>
      </c>
      <c r="H3660" s="23">
        <v>45295.307673611111</v>
      </c>
      <c r="I3660" s="1" t="b">
        <v>0</v>
      </c>
      <c r="K3660" s="10">
        <f t="shared" si="287"/>
        <v>4.2008333332487382</v>
      </c>
      <c r="L3660" s="1" t="str">
        <f t="shared" si="288"/>
        <v>OK</v>
      </c>
      <c r="M3660" s="1">
        <f t="shared" si="285"/>
        <v>1</v>
      </c>
      <c r="N3660" s="1">
        <f t="shared" si="286"/>
        <v>41</v>
      </c>
      <c r="O3660" s="10">
        <f t="shared" si="289"/>
        <v>4.2008333332487382</v>
      </c>
    </row>
    <row r="3661" spans="1:15">
      <c r="A3661" s="1" t="s">
        <v>3766</v>
      </c>
      <c r="B3661" s="23">
        <v>45295.269444444442</v>
      </c>
      <c r="C3661" s="1" t="s">
        <v>16</v>
      </c>
      <c r="D3661" s="1" t="s">
        <v>59</v>
      </c>
      <c r="E3661" s="1" t="s">
        <v>33</v>
      </c>
      <c r="F3661" s="1" t="s">
        <v>120</v>
      </c>
      <c r="G3661" s="1">
        <v>88</v>
      </c>
      <c r="H3661" s="23">
        <v>45300.876122685186</v>
      </c>
      <c r="I3661" s="1" t="b">
        <v>0</v>
      </c>
      <c r="J3661" s="1">
        <v>5</v>
      </c>
      <c r="K3661" s="10">
        <f t="shared" si="287"/>
        <v>134.56027777784038</v>
      </c>
      <c r="L3661" s="1" t="str">
        <f t="shared" si="288"/>
        <v>OK</v>
      </c>
      <c r="M3661" s="1">
        <f t="shared" si="285"/>
        <v>1</v>
      </c>
      <c r="N3661" s="1">
        <f t="shared" si="286"/>
        <v>88</v>
      </c>
      <c r="O3661" s="10">
        <f t="shared" si="289"/>
        <v>134.56027777784038</v>
      </c>
    </row>
    <row r="3662" spans="1:15">
      <c r="A3662" s="1" t="s">
        <v>3767</v>
      </c>
      <c r="B3662" s="23">
        <v>45295.558333333334</v>
      </c>
      <c r="C3662" s="1" t="s">
        <v>11</v>
      </c>
      <c r="D3662" s="1" t="s">
        <v>17</v>
      </c>
      <c r="E3662" s="1" t="s">
        <v>18</v>
      </c>
      <c r="F3662" s="1" t="s">
        <v>198</v>
      </c>
      <c r="G3662" s="1">
        <v>36</v>
      </c>
      <c r="H3662" s="23">
        <v>45296.994884259257</v>
      </c>
      <c r="I3662" s="1" t="b">
        <v>1</v>
      </c>
      <c r="K3662" s="10">
        <f t="shared" si="287"/>
        <v>34.477222222136334</v>
      </c>
      <c r="L3662" s="1" t="str">
        <f t="shared" si="288"/>
        <v>OK</v>
      </c>
      <c r="M3662" s="1">
        <f t="shared" si="285"/>
        <v>1</v>
      </c>
      <c r="N3662" s="1">
        <f t="shared" si="286"/>
        <v>36</v>
      </c>
      <c r="O3662" s="10">
        <f t="shared" si="289"/>
        <v>34.477222222136334</v>
      </c>
    </row>
    <row r="3663" spans="1:15">
      <c r="A3663" s="1" t="s">
        <v>3768</v>
      </c>
      <c r="B3663" s="23">
        <v>45295.765277777777</v>
      </c>
      <c r="C3663" s="1" t="s">
        <v>16</v>
      </c>
      <c r="D3663" s="1" t="s">
        <v>26</v>
      </c>
      <c r="E3663" s="1" t="s">
        <v>18</v>
      </c>
      <c r="F3663" s="1" t="s">
        <v>159</v>
      </c>
      <c r="G3663" s="1">
        <v>300</v>
      </c>
      <c r="H3663" s="23">
        <v>45305.67423611111</v>
      </c>
      <c r="I3663" s="1" t="b">
        <v>0</v>
      </c>
      <c r="K3663" s="10">
        <f t="shared" si="287"/>
        <v>237.81500000000233</v>
      </c>
      <c r="L3663" s="1" t="str">
        <f t="shared" si="288"/>
        <v>OK</v>
      </c>
      <c r="M3663" s="1">
        <f t="shared" si="285"/>
        <v>1</v>
      </c>
      <c r="N3663" s="1">
        <f t="shared" si="286"/>
        <v>300</v>
      </c>
      <c r="O3663" s="10">
        <f t="shared" si="289"/>
        <v>237.81500000000233</v>
      </c>
    </row>
    <row r="3664" spans="1:15">
      <c r="A3664" s="1" t="s">
        <v>3769</v>
      </c>
      <c r="B3664" s="23">
        <v>45295.769444444442</v>
      </c>
      <c r="C3664" s="1" t="s">
        <v>16</v>
      </c>
      <c r="D3664" s="1" t="s">
        <v>17</v>
      </c>
      <c r="E3664" s="1" t="s">
        <v>13</v>
      </c>
      <c r="F3664" s="1" t="s">
        <v>108</v>
      </c>
      <c r="G3664" s="1">
        <v>183</v>
      </c>
      <c r="H3664" s="23">
        <v>45295.986134259256</v>
      </c>
      <c r="I3664" s="1" t="b">
        <v>0</v>
      </c>
      <c r="J3664" s="1">
        <v>1</v>
      </c>
      <c r="K3664" s="10">
        <f t="shared" si="287"/>
        <v>5.2005555555224419</v>
      </c>
      <c r="L3664" s="1" t="str">
        <f t="shared" si="288"/>
        <v>OK</v>
      </c>
      <c r="M3664" s="1">
        <f t="shared" si="285"/>
        <v>1</v>
      </c>
      <c r="N3664" s="1">
        <f t="shared" si="286"/>
        <v>183</v>
      </c>
      <c r="O3664" s="10">
        <f t="shared" si="289"/>
        <v>5.2005555555224419</v>
      </c>
    </row>
    <row r="3665" spans="1:15">
      <c r="A3665" s="1" t="s">
        <v>3770</v>
      </c>
      <c r="B3665" s="23">
        <v>45295.825694444444</v>
      </c>
      <c r="C3665" s="1" t="s">
        <v>11</v>
      </c>
      <c r="D3665" s="1" t="s">
        <v>17</v>
      </c>
      <c r="E3665" s="1" t="s">
        <v>18</v>
      </c>
      <c r="F3665" s="1" t="s">
        <v>102</v>
      </c>
      <c r="G3665" s="1">
        <v>24</v>
      </c>
      <c r="H3665" s="23">
        <v>45300.79483796296</v>
      </c>
      <c r="I3665" s="1" t="b">
        <v>0</v>
      </c>
      <c r="K3665" s="10">
        <f t="shared" si="287"/>
        <v>119.2594444443821</v>
      </c>
      <c r="L3665" s="1" t="str">
        <f t="shared" si="288"/>
        <v>OK</v>
      </c>
      <c r="M3665" s="1">
        <f t="shared" si="285"/>
        <v>1</v>
      </c>
      <c r="N3665" s="1">
        <f t="shared" si="286"/>
        <v>24</v>
      </c>
      <c r="O3665" s="10">
        <f t="shared" si="289"/>
        <v>119.2594444443821</v>
      </c>
    </row>
    <row r="3666" spans="1:15">
      <c r="A3666" s="1" t="s">
        <v>3771</v>
      </c>
      <c r="B3666" s="23">
        <v>45295.988888888889</v>
      </c>
      <c r="C3666" s="1" t="s">
        <v>25</v>
      </c>
      <c r="D3666" s="1" t="s">
        <v>59</v>
      </c>
      <c r="E3666" s="1" t="s">
        <v>18</v>
      </c>
      <c r="F3666" s="1" t="s">
        <v>145</v>
      </c>
      <c r="G3666" s="1">
        <v>82</v>
      </c>
      <c r="H3666" s="23">
        <v>45296.373518518521</v>
      </c>
      <c r="I3666" s="1" t="b">
        <v>0</v>
      </c>
      <c r="K3666" s="10">
        <f t="shared" si="287"/>
        <v>9.2311111111775972</v>
      </c>
      <c r="L3666" s="1" t="str">
        <f t="shared" si="288"/>
        <v>OK</v>
      </c>
      <c r="M3666" s="1">
        <f t="shared" si="285"/>
        <v>1</v>
      </c>
      <c r="N3666" s="1">
        <f t="shared" si="286"/>
        <v>82</v>
      </c>
      <c r="O3666" s="10">
        <f t="shared" si="289"/>
        <v>9.2311111111775972</v>
      </c>
    </row>
    <row r="3667" spans="1:15">
      <c r="A3667" s="1" t="s">
        <v>3772</v>
      </c>
      <c r="B3667" s="23">
        <v>45296.022916666669</v>
      </c>
      <c r="C3667" s="1" t="s">
        <v>16</v>
      </c>
      <c r="D3667" s="1" t="s">
        <v>12</v>
      </c>
      <c r="E3667" s="1" t="s">
        <v>18</v>
      </c>
      <c r="F3667" s="1" t="s">
        <v>162</v>
      </c>
      <c r="G3667" s="1">
        <v>149</v>
      </c>
      <c r="H3667" s="23">
        <v>45296.204016203701</v>
      </c>
      <c r="I3667" s="1" t="b">
        <v>0</v>
      </c>
      <c r="K3667" s="10">
        <f t="shared" si="287"/>
        <v>4.346388888778165</v>
      </c>
      <c r="L3667" s="1" t="str">
        <f t="shared" si="288"/>
        <v>OK</v>
      </c>
      <c r="M3667" s="1">
        <f t="shared" si="285"/>
        <v>1</v>
      </c>
      <c r="N3667" s="1">
        <f t="shared" si="286"/>
        <v>149</v>
      </c>
      <c r="O3667" s="10">
        <f t="shared" si="289"/>
        <v>4.346388888778165</v>
      </c>
    </row>
    <row r="3668" spans="1:15">
      <c r="A3668" s="1" t="s">
        <v>3773</v>
      </c>
      <c r="B3668" s="23">
        <v>45296.122916666667</v>
      </c>
      <c r="C3668" s="1" t="s">
        <v>16</v>
      </c>
      <c r="D3668" s="1" t="s">
        <v>59</v>
      </c>
      <c r="E3668" s="1" t="s">
        <v>33</v>
      </c>
      <c r="F3668" s="1" t="s">
        <v>392</v>
      </c>
      <c r="H3668" s="23">
        <v>45303.374027777776</v>
      </c>
      <c r="I3668" s="1" t="b">
        <v>0</v>
      </c>
      <c r="K3668" s="10">
        <f t="shared" si="287"/>
        <v>174.02666666661389</v>
      </c>
      <c r="L3668" s="1" t="str">
        <f t="shared" si="288"/>
        <v>Cannot check</v>
      </c>
      <c r="M3668" s="1">
        <f t="shared" si="285"/>
        <v>1</v>
      </c>
      <c r="N3668" s="1" t="str">
        <f t="shared" si="286"/>
        <v/>
      </c>
      <c r="O3668" s="10">
        <f t="shared" si="289"/>
        <v>174.02666666661389</v>
      </c>
    </row>
    <row r="3669" spans="1:15">
      <c r="A3669" s="1" t="s">
        <v>3774</v>
      </c>
      <c r="B3669" s="23">
        <v>45296.363194444442</v>
      </c>
      <c r="C3669" s="1" t="s">
        <v>11</v>
      </c>
      <c r="D3669" s="1" t="s">
        <v>17</v>
      </c>
      <c r="E3669" s="1" t="s">
        <v>18</v>
      </c>
      <c r="F3669" s="1" t="s">
        <v>31</v>
      </c>
      <c r="G3669" s="1">
        <v>24</v>
      </c>
      <c r="H3669" s="23">
        <v>45296.897048611114</v>
      </c>
      <c r="I3669" s="1" t="b">
        <v>0</v>
      </c>
      <c r="K3669" s="10">
        <f t="shared" si="287"/>
        <v>12.812500000116415</v>
      </c>
      <c r="L3669" s="1" t="str">
        <f t="shared" si="288"/>
        <v>OK</v>
      </c>
      <c r="M3669" s="1">
        <f t="shared" si="285"/>
        <v>1</v>
      </c>
      <c r="N3669" s="1">
        <f t="shared" si="286"/>
        <v>24</v>
      </c>
      <c r="O3669" s="10">
        <f t="shared" si="289"/>
        <v>12.812500000116415</v>
      </c>
    </row>
    <row r="3670" spans="1:15">
      <c r="A3670" s="1" t="s">
        <v>3775</v>
      </c>
      <c r="B3670" s="23">
        <v>45296.72152777778</v>
      </c>
      <c r="C3670" s="1" t="s">
        <v>16</v>
      </c>
      <c r="D3670" s="1" t="s">
        <v>17</v>
      </c>
      <c r="E3670" s="1" t="s">
        <v>18</v>
      </c>
      <c r="F3670" s="1" t="s">
        <v>486</v>
      </c>
      <c r="G3670" s="1">
        <v>53</v>
      </c>
      <c r="H3670" s="23">
        <v>45299.595011574071</v>
      </c>
      <c r="I3670" s="1" t="b">
        <v>1</v>
      </c>
      <c r="K3670" s="10">
        <f t="shared" si="287"/>
        <v>68.963611110986676</v>
      </c>
      <c r="L3670" s="1" t="str">
        <f t="shared" si="288"/>
        <v>OK</v>
      </c>
      <c r="M3670" s="1">
        <f t="shared" si="285"/>
        <v>1</v>
      </c>
      <c r="N3670" s="1">
        <f t="shared" si="286"/>
        <v>53</v>
      </c>
      <c r="O3670" s="10">
        <f t="shared" si="289"/>
        <v>68.963611110986676</v>
      </c>
    </row>
    <row r="3671" spans="1:15">
      <c r="A3671" s="1" t="s">
        <v>3776</v>
      </c>
      <c r="B3671" s="23">
        <v>45296.777083333334</v>
      </c>
      <c r="C3671" s="1" t="s">
        <v>16</v>
      </c>
      <c r="D3671" s="1" t="s">
        <v>26</v>
      </c>
      <c r="E3671" s="1" t="s">
        <v>18</v>
      </c>
      <c r="F3671" s="1" t="s">
        <v>44</v>
      </c>
      <c r="G3671" s="1">
        <v>105</v>
      </c>
      <c r="H3671" s="23">
        <v>45302.396331018521</v>
      </c>
      <c r="I3671" s="1" t="b">
        <v>0</v>
      </c>
      <c r="J3671" s="1">
        <v>5</v>
      </c>
      <c r="K3671" s="10">
        <f t="shared" si="287"/>
        <v>134.86194444447756</v>
      </c>
      <c r="L3671" s="1" t="str">
        <f t="shared" si="288"/>
        <v>OK</v>
      </c>
      <c r="M3671" s="1">
        <f t="shared" si="285"/>
        <v>1</v>
      </c>
      <c r="N3671" s="1">
        <f t="shared" si="286"/>
        <v>105</v>
      </c>
      <c r="O3671" s="10">
        <f t="shared" si="289"/>
        <v>134.86194444447756</v>
      </c>
    </row>
    <row r="3672" spans="1:15">
      <c r="A3672" s="1" t="s">
        <v>3777</v>
      </c>
      <c r="B3672" s="23">
        <v>45296.842361111114</v>
      </c>
      <c r="C3672" s="1" t="s">
        <v>43</v>
      </c>
      <c r="D3672" s="1" t="s">
        <v>17</v>
      </c>
      <c r="E3672" s="1" t="s">
        <v>18</v>
      </c>
      <c r="F3672" s="1" t="s">
        <v>102</v>
      </c>
      <c r="G3672" s="1">
        <v>240</v>
      </c>
      <c r="H3672" s="23">
        <v>45297.541701388887</v>
      </c>
      <c r="I3672" s="1" t="b">
        <v>0</v>
      </c>
      <c r="K3672" s="10">
        <f t="shared" si="287"/>
        <v>16.784166666562669</v>
      </c>
      <c r="L3672" s="1" t="str">
        <f t="shared" si="288"/>
        <v>OK</v>
      </c>
      <c r="M3672" s="1">
        <f t="shared" si="285"/>
        <v>1</v>
      </c>
      <c r="N3672" s="1">
        <f t="shared" si="286"/>
        <v>240</v>
      </c>
      <c r="O3672" s="10">
        <f t="shared" si="289"/>
        <v>16.784166666562669</v>
      </c>
    </row>
    <row r="3673" spans="1:15">
      <c r="A3673" s="1" t="s">
        <v>3778</v>
      </c>
      <c r="B3673" s="23">
        <v>45297.013888888891</v>
      </c>
      <c r="C3673" s="1" t="s">
        <v>16</v>
      </c>
      <c r="D3673" s="1" t="s">
        <v>17</v>
      </c>
      <c r="E3673" s="1" t="s">
        <v>13</v>
      </c>
      <c r="F3673" s="1" t="s">
        <v>148</v>
      </c>
      <c r="G3673" s="1">
        <v>57</v>
      </c>
      <c r="H3673" s="23">
        <v>45298.778599537036</v>
      </c>
      <c r="I3673" s="1" t="b">
        <v>0</v>
      </c>
      <c r="K3673" s="10">
        <f t="shared" si="287"/>
        <v>42.353055555489846</v>
      </c>
      <c r="L3673" s="1" t="str">
        <f t="shared" si="288"/>
        <v>OK</v>
      </c>
      <c r="M3673" s="1">
        <f t="shared" si="285"/>
        <v>1</v>
      </c>
      <c r="N3673" s="1">
        <f t="shared" si="286"/>
        <v>57</v>
      </c>
      <c r="O3673" s="10">
        <f t="shared" si="289"/>
        <v>42.353055555489846</v>
      </c>
    </row>
    <row r="3674" spans="1:15">
      <c r="A3674" s="1" t="s">
        <v>3779</v>
      </c>
      <c r="B3674" s="23">
        <v>45297.071527777778</v>
      </c>
      <c r="C3674" s="1" t="s">
        <v>25</v>
      </c>
      <c r="D3674" s="1" t="s">
        <v>17</v>
      </c>
      <c r="E3674" s="1" t="s">
        <v>18</v>
      </c>
      <c r="F3674" s="1" t="s">
        <v>234</v>
      </c>
      <c r="G3674" s="1">
        <v>93</v>
      </c>
      <c r="H3674" s="23">
        <v>45297.897326388891</v>
      </c>
      <c r="I3674" s="1" t="b">
        <v>0</v>
      </c>
      <c r="K3674" s="10">
        <f t="shared" si="287"/>
        <v>19.819166666711681</v>
      </c>
      <c r="L3674" s="1" t="str">
        <f t="shared" si="288"/>
        <v>OK</v>
      </c>
      <c r="M3674" s="1">
        <f t="shared" si="285"/>
        <v>1</v>
      </c>
      <c r="N3674" s="1">
        <f t="shared" si="286"/>
        <v>93</v>
      </c>
      <c r="O3674" s="10">
        <f t="shared" si="289"/>
        <v>19.819166666711681</v>
      </c>
    </row>
    <row r="3675" spans="1:15">
      <c r="A3675" s="1" t="s">
        <v>3780</v>
      </c>
      <c r="B3675" s="23">
        <v>45297.180555555555</v>
      </c>
      <c r="C3675" s="1" t="s">
        <v>16</v>
      </c>
      <c r="D3675" s="1" t="s">
        <v>12</v>
      </c>
      <c r="E3675" s="1" t="s">
        <v>18</v>
      </c>
      <c r="F3675" s="1" t="s">
        <v>37</v>
      </c>
      <c r="G3675" s="1">
        <v>191</v>
      </c>
      <c r="H3675" s="23">
        <v>45297.400740740741</v>
      </c>
      <c r="I3675" s="1" t="b">
        <v>0</v>
      </c>
      <c r="J3675" s="1">
        <v>1</v>
      </c>
      <c r="K3675" s="10">
        <f t="shared" si="287"/>
        <v>5.2844444444635883</v>
      </c>
      <c r="L3675" s="1" t="str">
        <f t="shared" si="288"/>
        <v>OK</v>
      </c>
      <c r="M3675" s="1">
        <f t="shared" si="285"/>
        <v>1</v>
      </c>
      <c r="N3675" s="1">
        <f t="shared" si="286"/>
        <v>191</v>
      </c>
      <c r="O3675" s="10">
        <f t="shared" si="289"/>
        <v>5.2844444444635883</v>
      </c>
    </row>
    <row r="3676" spans="1:15">
      <c r="A3676" s="1" t="s">
        <v>3781</v>
      </c>
      <c r="B3676" s="23">
        <v>45297.181944444441</v>
      </c>
      <c r="C3676" s="1" t="s">
        <v>25</v>
      </c>
      <c r="D3676" s="1" t="s">
        <v>17</v>
      </c>
      <c r="E3676" s="1" t="s">
        <v>13</v>
      </c>
      <c r="F3676" s="1" t="s">
        <v>64</v>
      </c>
      <c r="G3676" s="1">
        <v>4</v>
      </c>
      <c r="H3676" s="23">
        <v>45299.608831018515</v>
      </c>
      <c r="I3676" s="1" t="b">
        <v>0</v>
      </c>
      <c r="J3676" s="1">
        <v>4</v>
      </c>
      <c r="K3676" s="10">
        <f t="shared" si="287"/>
        <v>58.245277777779847</v>
      </c>
      <c r="L3676" s="1" t="str">
        <f t="shared" si="288"/>
        <v>OK</v>
      </c>
      <c r="M3676" s="1">
        <f t="shared" si="285"/>
        <v>1</v>
      </c>
      <c r="N3676" s="1">
        <f t="shared" si="286"/>
        <v>4</v>
      </c>
      <c r="O3676" s="10">
        <f t="shared" si="289"/>
        <v>58.245277777779847</v>
      </c>
    </row>
    <row r="3677" spans="1:15">
      <c r="A3677" s="1" t="s">
        <v>3782</v>
      </c>
      <c r="B3677" s="23">
        <v>45297.209722222222</v>
      </c>
      <c r="C3677" s="1" t="s">
        <v>43</v>
      </c>
      <c r="D3677" s="1" t="s">
        <v>21</v>
      </c>
      <c r="E3677" s="1" t="s">
        <v>33</v>
      </c>
      <c r="F3677" s="1" t="s">
        <v>41</v>
      </c>
      <c r="G3677" s="1">
        <v>37</v>
      </c>
      <c r="H3677" s="23">
        <v>45306.265844907408</v>
      </c>
      <c r="I3677" s="1" t="b">
        <v>0</v>
      </c>
      <c r="K3677" s="10">
        <f t="shared" si="287"/>
        <v>217.34694444446359</v>
      </c>
      <c r="L3677" s="1" t="str">
        <f t="shared" si="288"/>
        <v>OK</v>
      </c>
      <c r="M3677" s="1">
        <f t="shared" si="285"/>
        <v>1</v>
      </c>
      <c r="N3677" s="1">
        <f t="shared" si="286"/>
        <v>37</v>
      </c>
      <c r="O3677" s="10">
        <f t="shared" si="289"/>
        <v>217.34694444446359</v>
      </c>
    </row>
    <row r="3678" spans="1:15">
      <c r="A3678" s="1" t="s">
        <v>3783</v>
      </c>
      <c r="B3678" s="23">
        <v>45297.289583333331</v>
      </c>
      <c r="C3678" s="1" t="s">
        <v>25</v>
      </c>
      <c r="D3678" s="1" t="s">
        <v>12</v>
      </c>
      <c r="E3678" s="1" t="s">
        <v>33</v>
      </c>
      <c r="F3678" s="1" t="s">
        <v>201</v>
      </c>
      <c r="G3678" s="1">
        <v>638</v>
      </c>
      <c r="H3678" s="23">
        <v>45304.583518518521</v>
      </c>
      <c r="I3678" s="1" t="b">
        <v>0</v>
      </c>
      <c r="K3678" s="10">
        <f t="shared" si="287"/>
        <v>175.05444444454042</v>
      </c>
      <c r="L3678" s="1" t="str">
        <f t="shared" si="288"/>
        <v>OK</v>
      </c>
      <c r="M3678" s="1">
        <f t="shared" si="285"/>
        <v>1</v>
      </c>
      <c r="N3678" s="1">
        <f t="shared" si="286"/>
        <v>638</v>
      </c>
      <c r="O3678" s="10">
        <f t="shared" si="289"/>
        <v>175.05444444454042</v>
      </c>
    </row>
    <row r="3679" spans="1:15">
      <c r="A3679" s="1" t="s">
        <v>3784</v>
      </c>
      <c r="B3679" s="23">
        <v>45297.3125</v>
      </c>
      <c r="C3679" s="1" t="s">
        <v>16</v>
      </c>
      <c r="D3679" s="1" t="s">
        <v>17</v>
      </c>
      <c r="E3679" s="1" t="s">
        <v>18</v>
      </c>
      <c r="F3679" s="1" t="s">
        <v>256</v>
      </c>
      <c r="G3679" s="1">
        <v>76</v>
      </c>
      <c r="H3679" s="23">
        <v>45298.658067129632</v>
      </c>
      <c r="I3679" s="1" t="b">
        <v>0</v>
      </c>
      <c r="K3679" s="10">
        <f t="shared" si="287"/>
        <v>32.293611111177597</v>
      </c>
      <c r="L3679" s="1" t="str">
        <f t="shared" si="288"/>
        <v>OK</v>
      </c>
      <c r="M3679" s="1">
        <f t="shared" si="285"/>
        <v>1</v>
      </c>
      <c r="N3679" s="1">
        <f t="shared" si="286"/>
        <v>76</v>
      </c>
      <c r="O3679" s="10">
        <f t="shared" si="289"/>
        <v>32.293611111177597</v>
      </c>
    </row>
    <row r="3680" spans="1:15">
      <c r="A3680" s="1" t="s">
        <v>3785</v>
      </c>
      <c r="B3680" s="23">
        <v>45297.331250000003</v>
      </c>
      <c r="C3680" s="1" t="s">
        <v>25</v>
      </c>
      <c r="D3680" s="1" t="s">
        <v>21</v>
      </c>
      <c r="E3680" s="1" t="s">
        <v>18</v>
      </c>
      <c r="F3680" s="1" t="s">
        <v>88</v>
      </c>
      <c r="G3680" s="1">
        <v>11</v>
      </c>
      <c r="H3680" s="23">
        <v>45298.267627314817</v>
      </c>
      <c r="I3680" s="1" t="b">
        <v>0</v>
      </c>
      <c r="J3680" s="1">
        <v>4</v>
      </c>
      <c r="K3680" s="10">
        <f t="shared" si="287"/>
        <v>22.473055555543397</v>
      </c>
      <c r="L3680" s="1" t="str">
        <f t="shared" si="288"/>
        <v>OK</v>
      </c>
      <c r="M3680" s="1">
        <f t="shared" si="285"/>
        <v>1</v>
      </c>
      <c r="N3680" s="1">
        <f t="shared" si="286"/>
        <v>11</v>
      </c>
      <c r="O3680" s="10">
        <f t="shared" si="289"/>
        <v>22.473055555543397</v>
      </c>
    </row>
    <row r="3681" spans="1:15">
      <c r="A3681" s="1" t="s">
        <v>3786</v>
      </c>
      <c r="B3681" s="23">
        <v>45297.381944444445</v>
      </c>
      <c r="C3681" s="1" t="s">
        <v>11</v>
      </c>
      <c r="D3681" s="1" t="s">
        <v>12</v>
      </c>
      <c r="E3681" s="1" t="s">
        <v>18</v>
      </c>
      <c r="F3681" s="1" t="s">
        <v>215</v>
      </c>
      <c r="G3681" s="1">
        <v>379</v>
      </c>
      <c r="H3681" s="23">
        <v>45298.525104166663</v>
      </c>
      <c r="I3681" s="1" t="b">
        <v>0</v>
      </c>
      <c r="K3681" s="10">
        <f t="shared" si="287"/>
        <v>27.435833333234768</v>
      </c>
      <c r="L3681" s="1" t="str">
        <f t="shared" si="288"/>
        <v>OK</v>
      </c>
      <c r="M3681" s="1">
        <f t="shared" si="285"/>
        <v>1</v>
      </c>
      <c r="N3681" s="1">
        <f t="shared" si="286"/>
        <v>379</v>
      </c>
      <c r="O3681" s="10">
        <f t="shared" si="289"/>
        <v>27.435833333234768</v>
      </c>
    </row>
    <row r="3682" spans="1:15">
      <c r="A3682" s="1" t="s">
        <v>3787</v>
      </c>
      <c r="B3682" s="23">
        <v>45297.461111111108</v>
      </c>
      <c r="C3682" s="1" t="s">
        <v>16</v>
      </c>
      <c r="D3682" s="1" t="s">
        <v>17</v>
      </c>
      <c r="E3682" s="1" t="s">
        <v>33</v>
      </c>
      <c r="F3682" s="1" t="s">
        <v>132</v>
      </c>
      <c r="G3682" s="1">
        <v>89</v>
      </c>
      <c r="H3682" s="23">
        <v>45297.894965277781</v>
      </c>
      <c r="I3682" s="1" t="b">
        <v>0</v>
      </c>
      <c r="J3682" s="1">
        <v>5</v>
      </c>
      <c r="K3682" s="10">
        <f t="shared" si="287"/>
        <v>10.41250000015134</v>
      </c>
      <c r="L3682" s="1" t="str">
        <f t="shared" si="288"/>
        <v>OK</v>
      </c>
      <c r="M3682" s="1">
        <f t="shared" si="285"/>
        <v>1</v>
      </c>
      <c r="N3682" s="1">
        <f t="shared" si="286"/>
        <v>89</v>
      </c>
      <c r="O3682" s="10">
        <f t="shared" si="289"/>
        <v>10.41250000015134</v>
      </c>
    </row>
    <row r="3683" spans="1:15">
      <c r="A3683" s="1" t="s">
        <v>3788</v>
      </c>
      <c r="B3683" s="23">
        <v>45297.541666666664</v>
      </c>
      <c r="C3683" s="1" t="s">
        <v>16</v>
      </c>
      <c r="D3683" s="1" t="s">
        <v>17</v>
      </c>
      <c r="E3683" s="1" t="s">
        <v>13</v>
      </c>
      <c r="F3683" s="1" t="s">
        <v>14</v>
      </c>
      <c r="G3683" s="1">
        <v>57</v>
      </c>
      <c r="I3683" s="1" t="b">
        <v>0</v>
      </c>
      <c r="K3683" s="10" t="str">
        <f t="shared" si="287"/>
        <v/>
      </c>
      <c r="L3683" s="1" t="str">
        <f t="shared" si="288"/>
        <v>Cannot check</v>
      </c>
      <c r="M3683" s="1">
        <f t="shared" si="285"/>
        <v>1</v>
      </c>
      <c r="N3683" s="1">
        <f t="shared" si="286"/>
        <v>57</v>
      </c>
      <c r="O3683" s="10" t="str">
        <f t="shared" si="289"/>
        <v/>
      </c>
    </row>
    <row r="3684" spans="1:15">
      <c r="A3684" s="1" t="s">
        <v>3789</v>
      </c>
      <c r="B3684" s="23">
        <v>45297.643055555556</v>
      </c>
      <c r="C3684" s="1" t="s">
        <v>11</v>
      </c>
      <c r="D3684" s="1" t="s">
        <v>21</v>
      </c>
      <c r="E3684" s="1" t="s">
        <v>22</v>
      </c>
      <c r="F3684" s="1" t="s">
        <v>78</v>
      </c>
      <c r="G3684" s="1">
        <v>15</v>
      </c>
      <c r="H3684" s="23">
        <v>45297.748564814814</v>
      </c>
      <c r="I3684" s="1" t="b">
        <v>0</v>
      </c>
      <c r="K3684" s="10">
        <f t="shared" si="287"/>
        <v>2.5322222221875563</v>
      </c>
      <c r="L3684" s="1" t="str">
        <f t="shared" si="288"/>
        <v>OK</v>
      </c>
      <c r="M3684" s="1">
        <f t="shared" si="285"/>
        <v>1</v>
      </c>
      <c r="N3684" s="1">
        <f t="shared" si="286"/>
        <v>15</v>
      </c>
      <c r="O3684" s="10">
        <f t="shared" si="289"/>
        <v>2.5322222221875563</v>
      </c>
    </row>
    <row r="3685" spans="1:15">
      <c r="A3685" s="1" t="s">
        <v>3790</v>
      </c>
      <c r="B3685" s="23">
        <v>45297.770833333336</v>
      </c>
      <c r="C3685" s="1" t="s">
        <v>11</v>
      </c>
      <c r="D3685" s="1" t="s">
        <v>17</v>
      </c>
      <c r="E3685" s="1" t="s">
        <v>22</v>
      </c>
      <c r="F3685" s="1" t="s">
        <v>239</v>
      </c>
      <c r="G3685" s="1">
        <v>11</v>
      </c>
      <c r="H3685" s="23">
        <v>45298.385300925926</v>
      </c>
      <c r="I3685" s="1" t="b">
        <v>0</v>
      </c>
      <c r="K3685" s="10">
        <f t="shared" si="287"/>
        <v>14.74722222215496</v>
      </c>
      <c r="L3685" s="1" t="str">
        <f t="shared" si="288"/>
        <v>OK</v>
      </c>
      <c r="M3685" s="1">
        <f t="shared" si="285"/>
        <v>1</v>
      </c>
      <c r="N3685" s="1">
        <f t="shared" si="286"/>
        <v>11</v>
      </c>
      <c r="O3685" s="10">
        <f t="shared" si="289"/>
        <v>14.74722222215496</v>
      </c>
    </row>
    <row r="3686" spans="1:15">
      <c r="A3686" s="1" t="s">
        <v>3791</v>
      </c>
      <c r="B3686" s="23">
        <v>45297.922222222223</v>
      </c>
      <c r="C3686" s="1" t="s">
        <v>25</v>
      </c>
      <c r="D3686" s="1" t="s">
        <v>26</v>
      </c>
      <c r="E3686" s="1" t="s">
        <v>13</v>
      </c>
      <c r="F3686" s="1" t="s">
        <v>106</v>
      </c>
      <c r="G3686" s="1">
        <v>40</v>
      </c>
      <c r="H3686" s="23">
        <v>45298.844756944447</v>
      </c>
      <c r="I3686" s="1" t="b">
        <v>0</v>
      </c>
      <c r="K3686" s="10">
        <f t="shared" si="287"/>
        <v>22.140833333367482</v>
      </c>
      <c r="L3686" s="1" t="str">
        <f t="shared" si="288"/>
        <v>OK</v>
      </c>
      <c r="M3686" s="1">
        <f t="shared" si="285"/>
        <v>1</v>
      </c>
      <c r="N3686" s="1">
        <f t="shared" si="286"/>
        <v>40</v>
      </c>
      <c r="O3686" s="10">
        <f t="shared" si="289"/>
        <v>22.140833333367482</v>
      </c>
    </row>
    <row r="3687" spans="1:15">
      <c r="A3687" s="1" t="s">
        <v>3792</v>
      </c>
      <c r="B3687" s="23">
        <v>45297.925694444442</v>
      </c>
      <c r="C3687" s="1" t="s">
        <v>25</v>
      </c>
      <c r="D3687" s="1" t="s">
        <v>21</v>
      </c>
      <c r="E3687" s="1" t="s">
        <v>33</v>
      </c>
      <c r="F3687" s="1" t="s">
        <v>14</v>
      </c>
      <c r="G3687" s="1">
        <v>94</v>
      </c>
      <c r="H3687" s="23">
        <v>45302.587048611109</v>
      </c>
      <c r="I3687" s="1" t="b">
        <v>0</v>
      </c>
      <c r="K3687" s="10">
        <f t="shared" si="287"/>
        <v>111.87249999999767</v>
      </c>
      <c r="L3687" s="1" t="str">
        <f t="shared" si="288"/>
        <v>OK</v>
      </c>
      <c r="M3687" s="1">
        <f t="shared" si="285"/>
        <v>1</v>
      </c>
      <c r="N3687" s="1">
        <f t="shared" si="286"/>
        <v>94</v>
      </c>
      <c r="O3687" s="10">
        <f t="shared" si="289"/>
        <v>111.87249999999767</v>
      </c>
    </row>
    <row r="3688" spans="1:15">
      <c r="A3688" s="1" t="s">
        <v>3793</v>
      </c>
      <c r="B3688" s="23">
        <v>45298.015972222223</v>
      </c>
      <c r="C3688" s="1" t="s">
        <v>11</v>
      </c>
      <c r="D3688" s="1" t="s">
        <v>26</v>
      </c>
      <c r="E3688" s="1" t="s">
        <v>13</v>
      </c>
      <c r="F3688" s="1" t="s">
        <v>80</v>
      </c>
      <c r="G3688" s="1">
        <v>103</v>
      </c>
      <c r="H3688" s="23">
        <v>45299.419432870367</v>
      </c>
      <c r="I3688" s="1" t="b">
        <v>0</v>
      </c>
      <c r="K3688" s="10">
        <f t="shared" si="287"/>
        <v>33.683055555447936</v>
      </c>
      <c r="L3688" s="1" t="str">
        <f t="shared" si="288"/>
        <v>OK</v>
      </c>
      <c r="M3688" s="1">
        <f t="shared" si="285"/>
        <v>1</v>
      </c>
      <c r="N3688" s="1">
        <f t="shared" si="286"/>
        <v>103</v>
      </c>
      <c r="O3688" s="10">
        <f t="shared" si="289"/>
        <v>33.683055555447936</v>
      </c>
    </row>
    <row r="3689" spans="1:15">
      <c r="A3689" s="1" t="s">
        <v>3794</v>
      </c>
      <c r="B3689" s="23">
        <v>45298.05972222222</v>
      </c>
      <c r="C3689" s="1" t="s">
        <v>11</v>
      </c>
      <c r="D3689" s="1" t="s">
        <v>59</v>
      </c>
      <c r="E3689" s="1" t="s">
        <v>33</v>
      </c>
      <c r="F3689" s="1" t="s">
        <v>167</v>
      </c>
      <c r="G3689" s="1">
        <v>1412</v>
      </c>
      <c r="H3689" s="23">
        <v>45298.861145833333</v>
      </c>
      <c r="I3689" s="1" t="b">
        <v>0</v>
      </c>
      <c r="K3689" s="10">
        <f t="shared" si="287"/>
        <v>19.234166666690726</v>
      </c>
      <c r="L3689" s="1" t="str">
        <f t="shared" si="288"/>
        <v>Review</v>
      </c>
      <c r="M3689" s="1">
        <f t="shared" si="285"/>
        <v>1</v>
      </c>
      <c r="N3689" s="1" t="str">
        <f t="shared" si="286"/>
        <v/>
      </c>
      <c r="O3689" s="10" t="str">
        <f t="shared" si="289"/>
        <v/>
      </c>
    </row>
    <row r="3690" spans="1:15">
      <c r="A3690" s="1" t="s">
        <v>3795</v>
      </c>
      <c r="B3690" s="23">
        <v>45298.256249999999</v>
      </c>
      <c r="C3690" s="1" t="s">
        <v>16</v>
      </c>
      <c r="D3690" s="1" t="s">
        <v>17</v>
      </c>
      <c r="E3690" s="1" t="s">
        <v>18</v>
      </c>
      <c r="F3690" s="1" t="s">
        <v>50</v>
      </c>
      <c r="G3690" s="1">
        <v>77</v>
      </c>
      <c r="H3690" s="23">
        <v>45301.857314814813</v>
      </c>
      <c r="I3690" s="1" t="b">
        <v>0</v>
      </c>
      <c r="K3690" s="10">
        <f t="shared" si="287"/>
        <v>86.425555555557366</v>
      </c>
      <c r="L3690" s="1" t="str">
        <f t="shared" si="288"/>
        <v>OK</v>
      </c>
      <c r="M3690" s="1">
        <f t="shared" si="285"/>
        <v>1</v>
      </c>
      <c r="N3690" s="1">
        <f t="shared" si="286"/>
        <v>77</v>
      </c>
      <c r="O3690" s="10">
        <f t="shared" si="289"/>
        <v>86.425555555557366</v>
      </c>
    </row>
    <row r="3691" spans="1:15">
      <c r="A3691" s="1" t="s">
        <v>3796</v>
      </c>
      <c r="B3691" s="23">
        <v>45298.404166666667</v>
      </c>
      <c r="C3691" s="1" t="s">
        <v>16</v>
      </c>
      <c r="D3691" s="1" t="s">
        <v>59</v>
      </c>
      <c r="E3691" s="1" t="s">
        <v>18</v>
      </c>
      <c r="F3691" s="1" t="s">
        <v>224</v>
      </c>
      <c r="G3691" s="1">
        <v>97</v>
      </c>
      <c r="H3691" s="23">
        <v>45300.281655092593</v>
      </c>
      <c r="I3691" s="1" t="b">
        <v>0</v>
      </c>
      <c r="K3691" s="10">
        <f t="shared" si="287"/>
        <v>45.059722222213168</v>
      </c>
      <c r="L3691" s="1" t="str">
        <f t="shared" si="288"/>
        <v>OK</v>
      </c>
      <c r="M3691" s="1">
        <f t="shared" si="285"/>
        <v>1</v>
      </c>
      <c r="N3691" s="1">
        <f t="shared" si="286"/>
        <v>97</v>
      </c>
      <c r="O3691" s="10">
        <f t="shared" si="289"/>
        <v>45.059722222213168</v>
      </c>
    </row>
    <row r="3692" spans="1:15">
      <c r="A3692" s="1" t="s">
        <v>3797</v>
      </c>
      <c r="B3692" s="23">
        <v>45298.588888888888</v>
      </c>
      <c r="C3692" s="1" t="s">
        <v>11</v>
      </c>
      <c r="D3692" s="1" t="s">
        <v>21</v>
      </c>
      <c r="E3692" s="1" t="s">
        <v>13</v>
      </c>
      <c r="F3692" s="1" t="s">
        <v>245</v>
      </c>
      <c r="G3692" s="1">
        <v>65</v>
      </c>
      <c r="I3692" s="1" t="b">
        <v>0</v>
      </c>
      <c r="K3692" s="10" t="str">
        <f t="shared" si="287"/>
        <v/>
      </c>
      <c r="L3692" s="1" t="str">
        <f t="shared" si="288"/>
        <v>Cannot check</v>
      </c>
      <c r="M3692" s="1">
        <f t="shared" si="285"/>
        <v>1</v>
      </c>
      <c r="N3692" s="1">
        <f t="shared" si="286"/>
        <v>65</v>
      </c>
      <c r="O3692" s="10" t="str">
        <f t="shared" si="289"/>
        <v/>
      </c>
    </row>
    <row r="3693" spans="1:15">
      <c r="A3693" s="1" t="s">
        <v>3798</v>
      </c>
      <c r="B3693" s="23">
        <v>45298.716666666667</v>
      </c>
      <c r="C3693" s="1" t="s">
        <v>11</v>
      </c>
      <c r="D3693" s="1" t="s">
        <v>17</v>
      </c>
      <c r="E3693" s="1" t="s">
        <v>33</v>
      </c>
      <c r="F3693" s="1" t="s">
        <v>118</v>
      </c>
      <c r="G3693" s="1">
        <v>293</v>
      </c>
      <c r="H3693" s="23">
        <v>45299.393495370372</v>
      </c>
      <c r="I3693" s="1" t="b">
        <v>0</v>
      </c>
      <c r="J3693" s="1">
        <v>2</v>
      </c>
      <c r="K3693" s="10">
        <f t="shared" si="287"/>
        <v>16.243888888915535</v>
      </c>
      <c r="L3693" s="1" t="str">
        <f t="shared" si="288"/>
        <v>OK</v>
      </c>
      <c r="M3693" s="1">
        <f t="shared" si="285"/>
        <v>1</v>
      </c>
      <c r="N3693" s="1">
        <f t="shared" si="286"/>
        <v>293</v>
      </c>
      <c r="O3693" s="10">
        <f t="shared" si="289"/>
        <v>16.243888888915535</v>
      </c>
    </row>
    <row r="3694" spans="1:15">
      <c r="A3694" s="1" t="s">
        <v>3799</v>
      </c>
      <c r="B3694" s="23">
        <v>45298.720833333333</v>
      </c>
      <c r="C3694" s="1" t="s">
        <v>16</v>
      </c>
      <c r="D3694" s="1" t="s">
        <v>17</v>
      </c>
      <c r="E3694" s="1" t="s">
        <v>18</v>
      </c>
      <c r="F3694" s="1" t="s">
        <v>14</v>
      </c>
      <c r="G3694" s="1">
        <v>118</v>
      </c>
      <c r="H3694" s="23">
        <v>45299.669814814813</v>
      </c>
      <c r="I3694" s="1" t="b">
        <v>0</v>
      </c>
      <c r="K3694" s="10">
        <f t="shared" si="287"/>
        <v>22.775555555534083</v>
      </c>
      <c r="L3694" s="1" t="str">
        <f t="shared" si="288"/>
        <v>OK</v>
      </c>
      <c r="M3694" s="1">
        <f t="shared" si="285"/>
        <v>1</v>
      </c>
      <c r="N3694" s="1">
        <f t="shared" si="286"/>
        <v>118</v>
      </c>
      <c r="O3694" s="10">
        <f t="shared" si="289"/>
        <v>22.775555555534083</v>
      </c>
    </row>
    <row r="3695" spans="1:15">
      <c r="A3695" s="1" t="s">
        <v>3800</v>
      </c>
      <c r="B3695" s="23">
        <v>45298.817361111112</v>
      </c>
      <c r="C3695" s="1" t="s">
        <v>11</v>
      </c>
      <c r="D3695" s="1" t="s">
        <v>17</v>
      </c>
      <c r="E3695" s="1" t="s">
        <v>13</v>
      </c>
      <c r="F3695" s="1" t="s">
        <v>145</v>
      </c>
      <c r="G3695" s="1">
        <v>45</v>
      </c>
      <c r="H3695" s="23">
        <v>45301.451307870368</v>
      </c>
      <c r="I3695" s="1" t="b">
        <v>0</v>
      </c>
      <c r="J3695" s="1">
        <v>3</v>
      </c>
      <c r="K3695" s="10">
        <f t="shared" si="287"/>
        <v>63.214722222124692</v>
      </c>
      <c r="L3695" s="1" t="str">
        <f t="shared" si="288"/>
        <v>OK</v>
      </c>
      <c r="M3695" s="1">
        <f t="shared" si="285"/>
        <v>1</v>
      </c>
      <c r="N3695" s="1">
        <f t="shared" si="286"/>
        <v>45</v>
      </c>
      <c r="O3695" s="10">
        <f t="shared" si="289"/>
        <v>63.214722222124692</v>
      </c>
    </row>
    <row r="3696" spans="1:15">
      <c r="A3696" s="1" t="s">
        <v>3801</v>
      </c>
      <c r="B3696" s="23">
        <v>45298.845138888886</v>
      </c>
      <c r="C3696" s="1" t="s">
        <v>11</v>
      </c>
      <c r="D3696" s="1" t="s">
        <v>26</v>
      </c>
      <c r="E3696" s="1" t="s">
        <v>18</v>
      </c>
      <c r="F3696" s="1" t="s">
        <v>76</v>
      </c>
      <c r="G3696" s="1">
        <v>95</v>
      </c>
      <c r="H3696" s="23">
        <v>45303.178124999999</v>
      </c>
      <c r="I3696" s="1" t="b">
        <v>0</v>
      </c>
      <c r="J3696" s="1">
        <v>5</v>
      </c>
      <c r="K3696" s="10">
        <f t="shared" si="287"/>
        <v>103.99166666669771</v>
      </c>
      <c r="L3696" s="1" t="str">
        <f t="shared" si="288"/>
        <v>OK</v>
      </c>
      <c r="M3696" s="1">
        <f t="shared" si="285"/>
        <v>1</v>
      </c>
      <c r="N3696" s="1">
        <f t="shared" si="286"/>
        <v>95</v>
      </c>
      <c r="O3696" s="10">
        <f t="shared" si="289"/>
        <v>103.99166666669771</v>
      </c>
    </row>
    <row r="3697" spans="1:15">
      <c r="A3697" s="1" t="s">
        <v>3802</v>
      </c>
      <c r="B3697" s="23">
        <v>45298.84652777778</v>
      </c>
      <c r="C3697" s="1" t="s">
        <v>25</v>
      </c>
      <c r="D3697" s="1" t="s">
        <v>59</v>
      </c>
      <c r="E3697" s="1" t="s">
        <v>18</v>
      </c>
      <c r="F3697" s="1" t="s">
        <v>159</v>
      </c>
      <c r="G3697" s="1">
        <v>39</v>
      </c>
      <c r="H3697" s="23">
        <v>45299.002303240741</v>
      </c>
      <c r="I3697" s="1" t="b">
        <v>1</v>
      </c>
      <c r="K3697" s="10">
        <f t="shared" si="287"/>
        <v>3.7386111110681668</v>
      </c>
      <c r="L3697" s="1" t="str">
        <f t="shared" si="288"/>
        <v>OK</v>
      </c>
      <c r="M3697" s="1">
        <f t="shared" si="285"/>
        <v>1</v>
      </c>
      <c r="N3697" s="1">
        <f t="shared" si="286"/>
        <v>39</v>
      </c>
      <c r="O3697" s="10">
        <f t="shared" si="289"/>
        <v>3.7386111110681668</v>
      </c>
    </row>
    <row r="3698" spans="1:15">
      <c r="A3698" s="1" t="s">
        <v>3803</v>
      </c>
      <c r="B3698" s="23">
        <v>45298.856249999997</v>
      </c>
      <c r="C3698" s="1" t="s">
        <v>11</v>
      </c>
      <c r="D3698" s="1" t="s">
        <v>21</v>
      </c>
      <c r="E3698" s="1" t="s">
        <v>18</v>
      </c>
      <c r="F3698" s="1" t="s">
        <v>392</v>
      </c>
      <c r="G3698" s="1">
        <v>749</v>
      </c>
      <c r="H3698" s="23">
        <v>45299.336886574078</v>
      </c>
      <c r="I3698" s="1" t="b">
        <v>1</v>
      </c>
      <c r="K3698" s="10">
        <f t="shared" si="287"/>
        <v>11.535277777933516</v>
      </c>
      <c r="L3698" s="1" t="str">
        <f t="shared" si="288"/>
        <v>Review</v>
      </c>
      <c r="M3698" s="1">
        <f t="shared" si="285"/>
        <v>1</v>
      </c>
      <c r="N3698" s="1" t="str">
        <f t="shared" si="286"/>
        <v/>
      </c>
      <c r="O3698" s="10" t="str">
        <f t="shared" si="289"/>
        <v/>
      </c>
    </row>
    <row r="3699" spans="1:15">
      <c r="A3699" s="1" t="s">
        <v>3804</v>
      </c>
      <c r="B3699" s="23">
        <v>45298.875694444447</v>
      </c>
      <c r="C3699" s="1" t="s">
        <v>25</v>
      </c>
      <c r="D3699" s="1" t="s">
        <v>12</v>
      </c>
      <c r="E3699" s="1" t="s">
        <v>13</v>
      </c>
      <c r="F3699" s="1" t="s">
        <v>74</v>
      </c>
      <c r="G3699" s="1">
        <v>62</v>
      </c>
      <c r="H3699" s="23">
        <v>45299.61996527778</v>
      </c>
      <c r="I3699" s="1" t="b">
        <v>0</v>
      </c>
      <c r="K3699" s="10">
        <f t="shared" si="287"/>
        <v>17.862499999988358</v>
      </c>
      <c r="L3699" s="1" t="str">
        <f t="shared" si="288"/>
        <v>OK</v>
      </c>
      <c r="M3699" s="1">
        <f t="shared" si="285"/>
        <v>1</v>
      </c>
      <c r="N3699" s="1">
        <f t="shared" si="286"/>
        <v>62</v>
      </c>
      <c r="O3699" s="10">
        <f t="shared" si="289"/>
        <v>17.862499999988358</v>
      </c>
    </row>
    <row r="3700" spans="1:15">
      <c r="A3700" s="1" t="s">
        <v>3805</v>
      </c>
      <c r="B3700" s="23">
        <v>45298.974999999999</v>
      </c>
      <c r="C3700" s="1" t="s">
        <v>11</v>
      </c>
      <c r="D3700" s="1" t="s">
        <v>17</v>
      </c>
      <c r="E3700" s="1" t="s">
        <v>13</v>
      </c>
      <c r="F3700" s="1" t="s">
        <v>148</v>
      </c>
      <c r="G3700" s="1">
        <v>35</v>
      </c>
      <c r="H3700" s="23">
        <v>45301.695405092592</v>
      </c>
      <c r="I3700" s="1" t="b">
        <v>0</v>
      </c>
      <c r="K3700" s="10">
        <f t="shared" si="287"/>
        <v>65.289722222252749</v>
      </c>
      <c r="L3700" s="1" t="str">
        <f t="shared" si="288"/>
        <v>OK</v>
      </c>
      <c r="M3700" s="1">
        <f t="shared" si="285"/>
        <v>1</v>
      </c>
      <c r="N3700" s="1">
        <f t="shared" si="286"/>
        <v>35</v>
      </c>
      <c r="O3700" s="10">
        <f t="shared" si="289"/>
        <v>65.289722222252749</v>
      </c>
    </row>
    <row r="3701" spans="1:15">
      <c r="A3701" s="1" t="s">
        <v>3806</v>
      </c>
      <c r="B3701" s="23">
        <v>45299.023611111108</v>
      </c>
      <c r="C3701" s="1" t="s">
        <v>16</v>
      </c>
      <c r="D3701" s="1" t="s">
        <v>21</v>
      </c>
      <c r="E3701" s="1" t="s">
        <v>13</v>
      </c>
      <c r="F3701" s="1" t="s">
        <v>178</v>
      </c>
      <c r="G3701" s="1">
        <v>41</v>
      </c>
      <c r="H3701" s="23">
        <v>45299.293807870374</v>
      </c>
      <c r="I3701" s="1" t="b">
        <v>0</v>
      </c>
      <c r="K3701" s="10">
        <f t="shared" si="287"/>
        <v>6.4847222223761491</v>
      </c>
      <c r="L3701" s="1" t="str">
        <f t="shared" si="288"/>
        <v>OK</v>
      </c>
      <c r="M3701" s="1">
        <f t="shared" si="285"/>
        <v>1</v>
      </c>
      <c r="N3701" s="1">
        <f t="shared" si="286"/>
        <v>41</v>
      </c>
      <c r="O3701" s="10">
        <f t="shared" si="289"/>
        <v>6.4847222223761491</v>
      </c>
    </row>
    <row r="3702" spans="1:15">
      <c r="A3702" s="1" t="s">
        <v>3807</v>
      </c>
      <c r="B3702" s="23">
        <v>45299.054166666669</v>
      </c>
      <c r="C3702" s="1" t="s">
        <v>16</v>
      </c>
      <c r="D3702" s="1" t="s">
        <v>21</v>
      </c>
      <c r="E3702" s="1" t="s">
        <v>22</v>
      </c>
      <c r="F3702" s="1" t="s">
        <v>118</v>
      </c>
      <c r="G3702" s="1">
        <v>3</v>
      </c>
      <c r="I3702" s="1" t="b">
        <v>0</v>
      </c>
      <c r="K3702" s="10" t="str">
        <f t="shared" si="287"/>
        <v/>
      </c>
      <c r="L3702" s="1" t="str">
        <f t="shared" si="288"/>
        <v>Cannot check</v>
      </c>
      <c r="M3702" s="1">
        <f t="shared" si="285"/>
        <v>1</v>
      </c>
      <c r="N3702" s="1">
        <f t="shared" si="286"/>
        <v>3</v>
      </c>
      <c r="O3702" s="10" t="str">
        <f t="shared" si="289"/>
        <v/>
      </c>
    </row>
    <row r="3703" spans="1:15">
      <c r="A3703" s="1" t="s">
        <v>3808</v>
      </c>
      <c r="B3703" s="23">
        <v>45299.183333333334</v>
      </c>
      <c r="C3703" s="1" t="s">
        <v>25</v>
      </c>
      <c r="D3703" s="1" t="s">
        <v>12</v>
      </c>
      <c r="E3703" s="1" t="s">
        <v>18</v>
      </c>
      <c r="F3703" s="1" t="s">
        <v>175</v>
      </c>
      <c r="G3703" s="1">
        <v>39</v>
      </c>
      <c r="H3703" s="23">
        <v>45299.778692129628</v>
      </c>
      <c r="I3703" s="1" t="b">
        <v>0</v>
      </c>
      <c r="K3703" s="10">
        <f t="shared" si="287"/>
        <v>14.288611111056525</v>
      </c>
      <c r="L3703" s="1" t="str">
        <f t="shared" si="288"/>
        <v>OK</v>
      </c>
      <c r="M3703" s="1">
        <f t="shared" si="285"/>
        <v>1</v>
      </c>
      <c r="N3703" s="1">
        <f t="shared" si="286"/>
        <v>39</v>
      </c>
      <c r="O3703" s="10">
        <f t="shared" si="289"/>
        <v>14.288611111056525</v>
      </c>
    </row>
    <row r="3704" spans="1:15">
      <c r="A3704" s="1" t="s">
        <v>3809</v>
      </c>
      <c r="B3704" s="23">
        <v>45299.198611111111</v>
      </c>
      <c r="C3704" s="1" t="s">
        <v>43</v>
      </c>
      <c r="D3704" s="1" t="s">
        <v>21</v>
      </c>
      <c r="E3704" s="1" t="s">
        <v>18</v>
      </c>
      <c r="F3704" s="1" t="s">
        <v>392</v>
      </c>
      <c r="G3704" s="1">
        <v>88</v>
      </c>
      <c r="H3704" s="23">
        <v>45299.569293981483</v>
      </c>
      <c r="I3704" s="1" t="b">
        <v>1</v>
      </c>
      <c r="K3704" s="10">
        <f t="shared" si="287"/>
        <v>8.8963888889411464</v>
      </c>
      <c r="L3704" s="1" t="str">
        <f t="shared" si="288"/>
        <v>OK</v>
      </c>
      <c r="M3704" s="1">
        <f t="shared" si="285"/>
        <v>1</v>
      </c>
      <c r="N3704" s="1">
        <f t="shared" si="286"/>
        <v>88</v>
      </c>
      <c r="O3704" s="10">
        <f t="shared" si="289"/>
        <v>8.8963888889411464</v>
      </c>
    </row>
    <row r="3705" spans="1:15">
      <c r="A3705" s="1" t="s">
        <v>3810</v>
      </c>
      <c r="B3705" s="23">
        <v>45299.260416666664</v>
      </c>
      <c r="C3705" s="1" t="s">
        <v>25</v>
      </c>
      <c r="D3705" s="1" t="s">
        <v>26</v>
      </c>
      <c r="E3705" s="1" t="s">
        <v>18</v>
      </c>
      <c r="F3705" s="1" t="s">
        <v>88</v>
      </c>
      <c r="G3705" s="1">
        <v>181</v>
      </c>
      <c r="H3705" s="23">
        <v>45302.960069444445</v>
      </c>
      <c r="I3705" s="1" t="b">
        <v>1</v>
      </c>
      <c r="J3705" s="1">
        <v>5</v>
      </c>
      <c r="K3705" s="10">
        <f t="shared" si="287"/>
        <v>88.791666666744277</v>
      </c>
      <c r="L3705" s="1" t="str">
        <f t="shared" si="288"/>
        <v>OK</v>
      </c>
      <c r="M3705" s="1">
        <f t="shared" si="285"/>
        <v>1</v>
      </c>
      <c r="N3705" s="1">
        <f t="shared" si="286"/>
        <v>181</v>
      </c>
      <c r="O3705" s="10">
        <f t="shared" si="289"/>
        <v>88.791666666744277</v>
      </c>
    </row>
    <row r="3706" spans="1:15">
      <c r="A3706" s="1" t="s">
        <v>3811</v>
      </c>
      <c r="B3706" s="23">
        <v>45299.27847222222</v>
      </c>
      <c r="C3706" s="1" t="s">
        <v>16</v>
      </c>
      <c r="D3706" s="1" t="s">
        <v>21</v>
      </c>
      <c r="E3706" s="1" t="s">
        <v>33</v>
      </c>
      <c r="F3706" s="1" t="s">
        <v>486</v>
      </c>
      <c r="G3706" s="1">
        <v>323</v>
      </c>
      <c r="H3706" s="23">
        <v>45301.220046296294</v>
      </c>
      <c r="I3706" s="1" t="b">
        <v>1</v>
      </c>
      <c r="K3706" s="10">
        <f t="shared" si="287"/>
        <v>46.597777777758893</v>
      </c>
      <c r="L3706" s="1" t="str">
        <f t="shared" si="288"/>
        <v>OK</v>
      </c>
      <c r="M3706" s="1">
        <f t="shared" si="285"/>
        <v>1</v>
      </c>
      <c r="N3706" s="1">
        <f t="shared" si="286"/>
        <v>323</v>
      </c>
      <c r="O3706" s="10">
        <f t="shared" si="289"/>
        <v>46.597777777758893</v>
      </c>
    </row>
    <row r="3707" spans="1:15">
      <c r="A3707" s="1" t="s">
        <v>3812</v>
      </c>
      <c r="B3707" s="23">
        <v>45299.542361111111</v>
      </c>
      <c r="C3707" s="1" t="s">
        <v>11</v>
      </c>
      <c r="D3707" s="1" t="s">
        <v>59</v>
      </c>
      <c r="E3707" s="1" t="s">
        <v>18</v>
      </c>
      <c r="F3707" s="1" t="s">
        <v>66</v>
      </c>
      <c r="G3707" s="1">
        <v>93</v>
      </c>
      <c r="H3707" s="23">
        <v>45299.793900462966</v>
      </c>
      <c r="I3707" s="1" t="b">
        <v>0</v>
      </c>
      <c r="J3707" s="1">
        <v>3</v>
      </c>
      <c r="K3707" s="10">
        <f t="shared" si="287"/>
        <v>6.0369444445241243</v>
      </c>
      <c r="L3707" s="1" t="str">
        <f t="shared" si="288"/>
        <v>OK</v>
      </c>
      <c r="M3707" s="1">
        <f t="shared" si="285"/>
        <v>1</v>
      </c>
      <c r="N3707" s="1">
        <f t="shared" si="286"/>
        <v>93</v>
      </c>
      <c r="O3707" s="10">
        <f t="shared" si="289"/>
        <v>6.0369444445241243</v>
      </c>
    </row>
    <row r="3708" spans="1:15">
      <c r="A3708" s="1" t="s">
        <v>3813</v>
      </c>
      <c r="B3708" s="23">
        <v>45299.584027777775</v>
      </c>
      <c r="C3708" s="1" t="s">
        <v>16</v>
      </c>
      <c r="D3708" s="1" t="s">
        <v>12</v>
      </c>
      <c r="E3708" s="1" t="s">
        <v>18</v>
      </c>
      <c r="F3708" s="1" t="s">
        <v>76</v>
      </c>
      <c r="G3708" s="1">
        <v>252</v>
      </c>
      <c r="H3708" s="23">
        <v>45300.892604166664</v>
      </c>
      <c r="I3708" s="1" t="b">
        <v>0</v>
      </c>
      <c r="K3708" s="10">
        <f t="shared" si="287"/>
        <v>31.405833333323244</v>
      </c>
      <c r="L3708" s="1" t="str">
        <f t="shared" si="288"/>
        <v>OK</v>
      </c>
      <c r="M3708" s="1">
        <f t="shared" si="285"/>
        <v>1</v>
      </c>
      <c r="N3708" s="1">
        <f t="shared" si="286"/>
        <v>252</v>
      </c>
      <c r="O3708" s="10">
        <f t="shared" si="289"/>
        <v>31.405833333323244</v>
      </c>
    </row>
    <row r="3709" spans="1:15">
      <c r="A3709" s="1" t="s">
        <v>3814</v>
      </c>
      <c r="B3709" s="23">
        <v>45299.670138888891</v>
      </c>
      <c r="C3709" s="1" t="s">
        <v>43</v>
      </c>
      <c r="D3709" s="1" t="s">
        <v>17</v>
      </c>
      <c r="E3709" s="1" t="s">
        <v>18</v>
      </c>
      <c r="F3709" s="1" t="s">
        <v>88</v>
      </c>
      <c r="G3709" s="1">
        <v>50</v>
      </c>
      <c r="I3709" s="1" t="b">
        <v>0</v>
      </c>
      <c r="K3709" s="10" t="str">
        <f t="shared" si="287"/>
        <v/>
      </c>
      <c r="L3709" s="1" t="str">
        <f t="shared" si="288"/>
        <v>Cannot check</v>
      </c>
      <c r="M3709" s="1">
        <f t="shared" si="285"/>
        <v>1</v>
      </c>
      <c r="N3709" s="1">
        <f t="shared" si="286"/>
        <v>50</v>
      </c>
      <c r="O3709" s="10" t="str">
        <f t="shared" si="289"/>
        <v/>
      </c>
    </row>
    <row r="3710" spans="1:15">
      <c r="A3710" s="1" t="s">
        <v>3815</v>
      </c>
      <c r="B3710" s="23">
        <v>45299.714583333334</v>
      </c>
      <c r="C3710" s="1" t="s">
        <v>16</v>
      </c>
      <c r="D3710" s="1" t="s">
        <v>26</v>
      </c>
      <c r="E3710" s="1" t="s">
        <v>18</v>
      </c>
      <c r="F3710" s="1" t="s">
        <v>274</v>
      </c>
      <c r="H3710" s="23">
        <v>45300.226215277777</v>
      </c>
      <c r="I3710" s="1" t="b">
        <v>0</v>
      </c>
      <c r="K3710" s="10">
        <f t="shared" si="287"/>
        <v>12.27916666661622</v>
      </c>
      <c r="L3710" s="1" t="str">
        <f t="shared" si="288"/>
        <v>Cannot check</v>
      </c>
      <c r="M3710" s="1">
        <f t="shared" si="285"/>
        <v>1</v>
      </c>
      <c r="N3710" s="1" t="str">
        <f t="shared" si="286"/>
        <v/>
      </c>
      <c r="O3710" s="10">
        <f t="shared" si="289"/>
        <v>12.27916666661622</v>
      </c>
    </row>
    <row r="3711" spans="1:15">
      <c r="A3711" s="1" t="s">
        <v>3816</v>
      </c>
      <c r="B3711" s="23">
        <v>45299.742361111108</v>
      </c>
      <c r="C3711" s="1" t="s">
        <v>11</v>
      </c>
      <c r="D3711" s="1" t="s">
        <v>59</v>
      </c>
      <c r="E3711" s="1" t="s">
        <v>33</v>
      </c>
      <c r="F3711" s="1" t="s">
        <v>102</v>
      </c>
      <c r="G3711" s="1">
        <v>83</v>
      </c>
      <c r="H3711" s="23">
        <v>45301.955810185187</v>
      </c>
      <c r="I3711" s="1" t="b">
        <v>0</v>
      </c>
      <c r="J3711" s="1">
        <v>4</v>
      </c>
      <c r="K3711" s="10">
        <f t="shared" si="287"/>
        <v>53.122777777898591</v>
      </c>
      <c r="L3711" s="1" t="str">
        <f t="shared" si="288"/>
        <v>OK</v>
      </c>
      <c r="M3711" s="1">
        <f t="shared" si="285"/>
        <v>1</v>
      </c>
      <c r="N3711" s="1">
        <f t="shared" si="286"/>
        <v>83</v>
      </c>
      <c r="O3711" s="10">
        <f t="shared" si="289"/>
        <v>53.122777777898591</v>
      </c>
    </row>
    <row r="3712" spans="1:15">
      <c r="A3712" s="1" t="s">
        <v>3817</v>
      </c>
      <c r="B3712" s="23">
        <v>45299.756944444445</v>
      </c>
      <c r="C3712" s="1" t="s">
        <v>11</v>
      </c>
      <c r="D3712" s="1" t="s">
        <v>59</v>
      </c>
      <c r="E3712" s="1" t="s">
        <v>18</v>
      </c>
      <c r="F3712" s="1" t="s">
        <v>130</v>
      </c>
      <c r="G3712" s="1">
        <v>46</v>
      </c>
      <c r="I3712" s="1" t="b">
        <v>0</v>
      </c>
      <c r="K3712" s="10" t="str">
        <f t="shared" si="287"/>
        <v/>
      </c>
      <c r="L3712" s="1" t="str">
        <f t="shared" si="288"/>
        <v>Cannot check</v>
      </c>
      <c r="M3712" s="1">
        <f t="shared" si="285"/>
        <v>1</v>
      </c>
      <c r="N3712" s="1">
        <f t="shared" si="286"/>
        <v>46</v>
      </c>
      <c r="O3712" s="10" t="str">
        <f t="shared" si="289"/>
        <v/>
      </c>
    </row>
    <row r="3713" spans="1:15">
      <c r="A3713" s="1" t="s">
        <v>3818</v>
      </c>
      <c r="B3713" s="23">
        <v>45299.789583333331</v>
      </c>
      <c r="C3713" s="1" t="s">
        <v>16</v>
      </c>
      <c r="D3713" s="1" t="s">
        <v>17</v>
      </c>
      <c r="E3713" s="1" t="s">
        <v>13</v>
      </c>
      <c r="F3713" s="1" t="s">
        <v>132</v>
      </c>
      <c r="G3713" s="1">
        <v>41</v>
      </c>
      <c r="H3713" s="23">
        <v>45299.921354166669</v>
      </c>
      <c r="I3713" s="1" t="b">
        <v>0</v>
      </c>
      <c r="K3713" s="10">
        <f t="shared" si="287"/>
        <v>3.1625000000931323</v>
      </c>
      <c r="L3713" s="1" t="str">
        <f t="shared" si="288"/>
        <v>OK</v>
      </c>
      <c r="M3713" s="1">
        <f t="shared" si="285"/>
        <v>1</v>
      </c>
      <c r="N3713" s="1">
        <f t="shared" si="286"/>
        <v>41</v>
      </c>
      <c r="O3713" s="10">
        <f t="shared" si="289"/>
        <v>3.1625000000931323</v>
      </c>
    </row>
    <row r="3714" spans="1:15">
      <c r="A3714" s="1" t="s">
        <v>3819</v>
      </c>
      <c r="B3714" s="23">
        <v>45299.988888888889</v>
      </c>
      <c r="C3714" s="1" t="s">
        <v>16</v>
      </c>
      <c r="D3714" s="1" t="s">
        <v>21</v>
      </c>
      <c r="E3714" s="1" t="s">
        <v>18</v>
      </c>
      <c r="F3714" s="1" t="s">
        <v>50</v>
      </c>
      <c r="G3714" s="1">
        <v>107</v>
      </c>
      <c r="H3714" s="23">
        <v>45300.279629629629</v>
      </c>
      <c r="I3714" s="1" t="b">
        <v>0</v>
      </c>
      <c r="K3714" s="10">
        <f t="shared" si="287"/>
        <v>6.9777777777635492</v>
      </c>
      <c r="L3714" s="1" t="str">
        <f t="shared" si="288"/>
        <v>OK</v>
      </c>
      <c r="M3714" s="1">
        <f t="shared" ref="M3714:M3777" si="290">COUNTIF($A$2:$A$4001,A3714)</f>
        <v>1</v>
      </c>
      <c r="N3714" s="1">
        <f t="shared" ref="N3714:N3777" si="291">IF(OR(L3714="Review",G3714=""),"",G3714)</f>
        <v>107</v>
      </c>
      <c r="O3714" s="10">
        <f t="shared" si="289"/>
        <v>6.9777777777635492</v>
      </c>
    </row>
    <row r="3715" spans="1:15">
      <c r="A3715" s="1" t="s">
        <v>3820</v>
      </c>
      <c r="B3715" s="23">
        <v>45300.009027777778</v>
      </c>
      <c r="C3715" s="1" t="s">
        <v>43</v>
      </c>
      <c r="D3715" s="1" t="s">
        <v>59</v>
      </c>
      <c r="E3715" s="1" t="s">
        <v>18</v>
      </c>
      <c r="F3715" s="1" t="s">
        <v>367</v>
      </c>
      <c r="G3715" s="1">
        <v>110</v>
      </c>
      <c r="H3715" s="23">
        <v>45300.743483796294</v>
      </c>
      <c r="I3715" s="1" t="b">
        <v>0</v>
      </c>
      <c r="J3715" s="1">
        <v>4</v>
      </c>
      <c r="K3715" s="10">
        <f t="shared" ref="K3715:K3778" si="292">IF(H3715="","",(H3715-B3715)*24)</f>
        <v>17.626944444375113</v>
      </c>
      <c r="L3715" s="1" t="str">
        <f t="shared" ref="L3715:L3778" si="293">IF(OR(G3715="",K3715=""),"Cannot check",IF(G3715&gt;K3715*60,"Review","OK"))</f>
        <v>OK</v>
      </c>
      <c r="M3715" s="1">
        <f t="shared" si="290"/>
        <v>1</v>
      </c>
      <c r="N3715" s="1">
        <f t="shared" si="291"/>
        <v>110</v>
      </c>
      <c r="O3715" s="10">
        <f t="shared" ref="O3715:O3778" si="294">IF(OR(L3715="Review",K3715=""),"",K3715)</f>
        <v>17.626944444375113</v>
      </c>
    </row>
    <row r="3716" spans="1:15">
      <c r="A3716" s="1" t="s">
        <v>3821</v>
      </c>
      <c r="B3716" s="23">
        <v>45300.038194444445</v>
      </c>
      <c r="C3716" s="1" t="s">
        <v>11</v>
      </c>
      <c r="D3716" s="1" t="s">
        <v>12</v>
      </c>
      <c r="E3716" s="1" t="s">
        <v>18</v>
      </c>
      <c r="F3716" s="1" t="s">
        <v>19</v>
      </c>
      <c r="G3716" s="1">
        <v>133</v>
      </c>
      <c r="H3716" s="23">
        <v>45300.6721875</v>
      </c>
      <c r="I3716" s="1" t="b">
        <v>0</v>
      </c>
      <c r="K3716" s="10">
        <f t="shared" si="292"/>
        <v>15.215833333320916</v>
      </c>
      <c r="L3716" s="1" t="str">
        <f t="shared" si="293"/>
        <v>OK</v>
      </c>
      <c r="M3716" s="1">
        <f t="shared" si="290"/>
        <v>1</v>
      </c>
      <c r="N3716" s="1">
        <f t="shared" si="291"/>
        <v>133</v>
      </c>
      <c r="O3716" s="10">
        <f t="shared" si="294"/>
        <v>15.215833333320916</v>
      </c>
    </row>
    <row r="3717" spans="1:15">
      <c r="A3717" s="1" t="s">
        <v>3822</v>
      </c>
      <c r="B3717" s="23">
        <v>45300.212500000001</v>
      </c>
      <c r="C3717" s="1" t="s">
        <v>11</v>
      </c>
      <c r="D3717" s="1" t="s">
        <v>26</v>
      </c>
      <c r="E3717" s="1" t="s">
        <v>18</v>
      </c>
      <c r="F3717" s="1" t="s">
        <v>134</v>
      </c>
      <c r="G3717" s="1">
        <v>79</v>
      </c>
      <c r="H3717" s="23">
        <v>45300.848587962966</v>
      </c>
      <c r="I3717" s="1" t="b">
        <v>0</v>
      </c>
      <c r="J3717" s="1">
        <v>5</v>
      </c>
      <c r="K3717" s="10">
        <f t="shared" si="292"/>
        <v>15.266111111151986</v>
      </c>
      <c r="L3717" s="1" t="str">
        <f t="shared" si="293"/>
        <v>OK</v>
      </c>
      <c r="M3717" s="1">
        <f t="shared" si="290"/>
        <v>1</v>
      </c>
      <c r="N3717" s="1">
        <f t="shared" si="291"/>
        <v>79</v>
      </c>
      <c r="O3717" s="10">
        <f t="shared" si="294"/>
        <v>15.266111111151986</v>
      </c>
    </row>
    <row r="3718" spans="1:15">
      <c r="A3718" s="1" t="s">
        <v>3823</v>
      </c>
      <c r="B3718" s="23">
        <v>45300.45416666667</v>
      </c>
      <c r="C3718" s="1" t="s">
        <v>11</v>
      </c>
      <c r="D3718" s="1" t="s">
        <v>26</v>
      </c>
      <c r="E3718" s="1" t="s">
        <v>18</v>
      </c>
      <c r="F3718" s="1" t="s">
        <v>70</v>
      </c>
      <c r="G3718" s="1">
        <v>169</v>
      </c>
      <c r="H3718" s="23">
        <v>45312.002372685187</v>
      </c>
      <c r="I3718" s="1" t="b">
        <v>0</v>
      </c>
      <c r="J3718" s="1">
        <v>5</v>
      </c>
      <c r="K3718" s="10">
        <f t="shared" si="292"/>
        <v>277.15694444440305</v>
      </c>
      <c r="L3718" s="1" t="str">
        <f t="shared" si="293"/>
        <v>OK</v>
      </c>
      <c r="M3718" s="1">
        <f t="shared" si="290"/>
        <v>1</v>
      </c>
      <c r="N3718" s="1">
        <f t="shared" si="291"/>
        <v>169</v>
      </c>
      <c r="O3718" s="10">
        <f t="shared" si="294"/>
        <v>277.15694444440305</v>
      </c>
    </row>
    <row r="3719" spans="1:15">
      <c r="A3719" s="1" t="s">
        <v>3824</v>
      </c>
      <c r="B3719" s="23">
        <v>45300.456944444442</v>
      </c>
      <c r="C3719" s="1" t="s">
        <v>43</v>
      </c>
      <c r="D3719" s="1" t="s">
        <v>17</v>
      </c>
      <c r="E3719" s="1" t="s">
        <v>33</v>
      </c>
      <c r="F3719" s="1" t="s">
        <v>74</v>
      </c>
      <c r="G3719" s="1">
        <v>76</v>
      </c>
      <c r="H3719" s="23">
        <v>45305.825381944444</v>
      </c>
      <c r="I3719" s="1" t="b">
        <v>0</v>
      </c>
      <c r="K3719" s="10">
        <f t="shared" si="292"/>
        <v>128.84250000002794</v>
      </c>
      <c r="L3719" s="1" t="str">
        <f t="shared" si="293"/>
        <v>OK</v>
      </c>
      <c r="M3719" s="1">
        <f t="shared" si="290"/>
        <v>1</v>
      </c>
      <c r="N3719" s="1">
        <f t="shared" si="291"/>
        <v>76</v>
      </c>
      <c r="O3719" s="10">
        <f t="shared" si="294"/>
        <v>128.84250000002794</v>
      </c>
    </row>
    <row r="3720" spans="1:15">
      <c r="A3720" s="1" t="s">
        <v>3825</v>
      </c>
      <c r="B3720" s="23">
        <v>45300.702777777777</v>
      </c>
      <c r="C3720" s="1" t="s">
        <v>25</v>
      </c>
      <c r="D3720" s="1" t="s">
        <v>21</v>
      </c>
      <c r="E3720" s="1" t="s">
        <v>18</v>
      </c>
      <c r="F3720" s="1" t="s">
        <v>86</v>
      </c>
      <c r="G3720" s="1">
        <v>112</v>
      </c>
      <c r="I3720" s="1" t="b">
        <v>0</v>
      </c>
      <c r="K3720" s="10" t="str">
        <f t="shared" si="292"/>
        <v/>
      </c>
      <c r="L3720" s="1" t="str">
        <f t="shared" si="293"/>
        <v>Cannot check</v>
      </c>
      <c r="M3720" s="1">
        <f t="shared" si="290"/>
        <v>1</v>
      </c>
      <c r="N3720" s="1">
        <f t="shared" si="291"/>
        <v>112</v>
      </c>
      <c r="O3720" s="10" t="str">
        <f t="shared" si="294"/>
        <v/>
      </c>
    </row>
    <row r="3721" spans="1:15">
      <c r="A3721" s="1" t="s">
        <v>3826</v>
      </c>
      <c r="B3721" s="23">
        <v>45300.878472222219</v>
      </c>
      <c r="C3721" s="1" t="s">
        <v>16</v>
      </c>
      <c r="D3721" s="1" t="s">
        <v>59</v>
      </c>
      <c r="E3721" s="1" t="s">
        <v>33</v>
      </c>
      <c r="F3721" s="1" t="s">
        <v>259</v>
      </c>
      <c r="G3721" s="1">
        <v>52</v>
      </c>
      <c r="H3721" s="23">
        <v>45301.694606481484</v>
      </c>
      <c r="I3721" s="1" t="b">
        <v>0</v>
      </c>
      <c r="K3721" s="10">
        <f t="shared" si="292"/>
        <v>19.587222222355194</v>
      </c>
      <c r="L3721" s="1" t="str">
        <f t="shared" si="293"/>
        <v>OK</v>
      </c>
      <c r="M3721" s="1">
        <f t="shared" si="290"/>
        <v>1</v>
      </c>
      <c r="N3721" s="1">
        <f t="shared" si="291"/>
        <v>52</v>
      </c>
      <c r="O3721" s="10">
        <f t="shared" si="294"/>
        <v>19.587222222355194</v>
      </c>
    </row>
    <row r="3722" spans="1:15">
      <c r="A3722" s="1" t="s">
        <v>3827</v>
      </c>
      <c r="B3722" s="23">
        <v>45301.193055555559</v>
      </c>
      <c r="C3722" s="1" t="s">
        <v>11</v>
      </c>
      <c r="D3722" s="1" t="s">
        <v>21</v>
      </c>
      <c r="E3722" s="1" t="s">
        <v>33</v>
      </c>
      <c r="F3722" s="1" t="s">
        <v>709</v>
      </c>
      <c r="G3722" s="1">
        <v>125</v>
      </c>
      <c r="I3722" s="1" t="b">
        <v>0</v>
      </c>
      <c r="K3722" s="10" t="str">
        <f t="shared" si="292"/>
        <v/>
      </c>
      <c r="L3722" s="1" t="str">
        <f t="shared" si="293"/>
        <v>Cannot check</v>
      </c>
      <c r="M3722" s="1">
        <f t="shared" si="290"/>
        <v>1</v>
      </c>
      <c r="N3722" s="1">
        <f t="shared" si="291"/>
        <v>125</v>
      </c>
      <c r="O3722" s="10" t="str">
        <f t="shared" si="294"/>
        <v/>
      </c>
    </row>
    <row r="3723" spans="1:15">
      <c r="A3723" s="1" t="s">
        <v>3828</v>
      </c>
      <c r="B3723" s="23">
        <v>45301.245138888888</v>
      </c>
      <c r="C3723" s="1" t="s">
        <v>11</v>
      </c>
      <c r="D3723" s="1" t="s">
        <v>59</v>
      </c>
      <c r="E3723" s="1" t="s">
        <v>13</v>
      </c>
      <c r="F3723" s="1" t="s">
        <v>23</v>
      </c>
      <c r="G3723" s="1">
        <v>101</v>
      </c>
      <c r="H3723" s="23">
        <v>45301.37939814815</v>
      </c>
      <c r="I3723" s="1" t="b">
        <v>0</v>
      </c>
      <c r="J3723" s="1">
        <v>5</v>
      </c>
      <c r="K3723" s="10">
        <f t="shared" si="292"/>
        <v>3.2222222223063</v>
      </c>
      <c r="L3723" s="1" t="str">
        <f t="shared" si="293"/>
        <v>OK</v>
      </c>
      <c r="M3723" s="1">
        <f t="shared" si="290"/>
        <v>1</v>
      </c>
      <c r="N3723" s="1">
        <f t="shared" si="291"/>
        <v>101</v>
      </c>
      <c r="O3723" s="10">
        <f t="shared" si="294"/>
        <v>3.2222222223063</v>
      </c>
    </row>
    <row r="3724" spans="1:15">
      <c r="A3724" s="1" t="s">
        <v>3829</v>
      </c>
      <c r="B3724" s="23">
        <v>45301.387499999997</v>
      </c>
      <c r="C3724" s="1" t="s">
        <v>25</v>
      </c>
      <c r="D3724" s="1" t="s">
        <v>21</v>
      </c>
      <c r="E3724" s="1" t="s">
        <v>13</v>
      </c>
      <c r="F3724" s="1" t="s">
        <v>90</v>
      </c>
      <c r="G3724" s="1">
        <v>364</v>
      </c>
      <c r="H3724" s="23">
        <v>45301.51190972222</v>
      </c>
      <c r="I3724" s="1" t="b">
        <v>1</v>
      </c>
      <c r="K3724" s="10">
        <f t="shared" si="292"/>
        <v>2.9858333333395422</v>
      </c>
      <c r="L3724" s="1" t="str">
        <f t="shared" si="293"/>
        <v>Review</v>
      </c>
      <c r="M3724" s="1">
        <f t="shared" si="290"/>
        <v>1</v>
      </c>
      <c r="N3724" s="1" t="str">
        <f t="shared" si="291"/>
        <v/>
      </c>
      <c r="O3724" s="10" t="str">
        <f t="shared" si="294"/>
        <v/>
      </c>
    </row>
    <row r="3725" spans="1:15">
      <c r="A3725" s="1" t="s">
        <v>3830</v>
      </c>
      <c r="B3725" s="23">
        <v>45301.503472222219</v>
      </c>
      <c r="C3725" s="1" t="s">
        <v>16</v>
      </c>
      <c r="D3725" s="1" t="s">
        <v>12</v>
      </c>
      <c r="E3725" s="1" t="s">
        <v>18</v>
      </c>
      <c r="F3725" s="1" t="s">
        <v>50</v>
      </c>
      <c r="G3725" s="1">
        <v>102</v>
      </c>
      <c r="H3725" s="23">
        <v>45301.686377314814</v>
      </c>
      <c r="I3725" s="1" t="b">
        <v>0</v>
      </c>
      <c r="K3725" s="10">
        <f t="shared" si="292"/>
        <v>4.3897222222876735</v>
      </c>
      <c r="L3725" s="1" t="str">
        <f t="shared" si="293"/>
        <v>OK</v>
      </c>
      <c r="M3725" s="1">
        <f t="shared" si="290"/>
        <v>1</v>
      </c>
      <c r="N3725" s="1">
        <f t="shared" si="291"/>
        <v>102</v>
      </c>
      <c r="O3725" s="10">
        <f t="shared" si="294"/>
        <v>4.3897222222876735</v>
      </c>
    </row>
    <row r="3726" spans="1:15">
      <c r="A3726" s="1" t="s">
        <v>3831</v>
      </c>
      <c r="B3726" s="23">
        <v>45301.570138888892</v>
      </c>
      <c r="C3726" s="1" t="s">
        <v>25</v>
      </c>
      <c r="D3726" s="1" t="s">
        <v>26</v>
      </c>
      <c r="E3726" s="1" t="s">
        <v>18</v>
      </c>
      <c r="F3726" s="1" t="s">
        <v>175</v>
      </c>
      <c r="G3726" s="1">
        <v>639</v>
      </c>
      <c r="I3726" s="1" t="b">
        <v>0</v>
      </c>
      <c r="K3726" s="10" t="str">
        <f t="shared" si="292"/>
        <v/>
      </c>
      <c r="L3726" s="1" t="str">
        <f t="shared" si="293"/>
        <v>Cannot check</v>
      </c>
      <c r="M3726" s="1">
        <f t="shared" si="290"/>
        <v>1</v>
      </c>
      <c r="N3726" s="1">
        <f t="shared" si="291"/>
        <v>639</v>
      </c>
      <c r="O3726" s="10" t="str">
        <f t="shared" si="294"/>
        <v/>
      </c>
    </row>
    <row r="3727" spans="1:15">
      <c r="A3727" s="1" t="s">
        <v>3832</v>
      </c>
      <c r="B3727" s="23">
        <v>45301.908333333333</v>
      </c>
      <c r="C3727" s="1" t="s">
        <v>25</v>
      </c>
      <c r="D3727" s="1" t="s">
        <v>17</v>
      </c>
      <c r="E3727" s="1" t="s">
        <v>33</v>
      </c>
      <c r="F3727" s="1" t="s">
        <v>98</v>
      </c>
      <c r="H3727" s="23">
        <v>45304.236875000002</v>
      </c>
      <c r="I3727" s="1" t="b">
        <v>0</v>
      </c>
      <c r="K3727" s="10">
        <f t="shared" si="292"/>
        <v>55.885000000067521</v>
      </c>
      <c r="L3727" s="1" t="str">
        <f t="shared" si="293"/>
        <v>Cannot check</v>
      </c>
      <c r="M3727" s="1">
        <f t="shared" si="290"/>
        <v>1</v>
      </c>
      <c r="N3727" s="1" t="str">
        <f t="shared" si="291"/>
        <v/>
      </c>
      <c r="O3727" s="10">
        <f t="shared" si="294"/>
        <v>55.885000000067521</v>
      </c>
    </row>
    <row r="3728" spans="1:15">
      <c r="A3728" s="1" t="s">
        <v>3833</v>
      </c>
      <c r="B3728" s="23">
        <v>45301.936805555553</v>
      </c>
      <c r="C3728" s="1" t="s">
        <v>16</v>
      </c>
      <c r="D3728" s="1" t="s">
        <v>12</v>
      </c>
      <c r="E3728" s="1" t="s">
        <v>13</v>
      </c>
      <c r="F3728" s="1" t="s">
        <v>245</v>
      </c>
      <c r="G3728" s="1">
        <v>2</v>
      </c>
      <c r="H3728" s="23">
        <v>45302.180312500001</v>
      </c>
      <c r="I3728" s="1" t="b">
        <v>1</v>
      </c>
      <c r="K3728" s="10">
        <f t="shared" si="292"/>
        <v>5.8441666667349637</v>
      </c>
      <c r="L3728" s="1" t="str">
        <f t="shared" si="293"/>
        <v>OK</v>
      </c>
      <c r="M3728" s="1">
        <f t="shared" si="290"/>
        <v>1</v>
      </c>
      <c r="N3728" s="1">
        <f t="shared" si="291"/>
        <v>2</v>
      </c>
      <c r="O3728" s="10">
        <f t="shared" si="294"/>
        <v>5.8441666667349637</v>
      </c>
    </row>
    <row r="3729" spans="1:15">
      <c r="A3729" s="1" t="s">
        <v>3834</v>
      </c>
      <c r="B3729" s="23">
        <v>45301.992361111108</v>
      </c>
      <c r="C3729" s="1" t="s">
        <v>16</v>
      </c>
      <c r="D3729" s="1" t="s">
        <v>59</v>
      </c>
      <c r="E3729" s="1" t="s">
        <v>18</v>
      </c>
      <c r="F3729" s="1" t="s">
        <v>167</v>
      </c>
      <c r="G3729" s="1">
        <v>353</v>
      </c>
      <c r="H3729" s="23">
        <v>45302.229143518518</v>
      </c>
      <c r="I3729" s="1" t="b">
        <v>0</v>
      </c>
      <c r="K3729" s="10">
        <f t="shared" si="292"/>
        <v>5.682777777838055</v>
      </c>
      <c r="L3729" s="1" t="str">
        <f t="shared" si="293"/>
        <v>Review</v>
      </c>
      <c r="M3729" s="1">
        <f t="shared" si="290"/>
        <v>1</v>
      </c>
      <c r="N3729" s="1" t="str">
        <f t="shared" si="291"/>
        <v/>
      </c>
      <c r="O3729" s="10" t="str">
        <f t="shared" si="294"/>
        <v/>
      </c>
    </row>
    <row r="3730" spans="1:15">
      <c r="A3730" s="1" t="s">
        <v>3835</v>
      </c>
      <c r="B3730" s="23">
        <v>45302.104166666664</v>
      </c>
      <c r="C3730" s="1" t="s">
        <v>16</v>
      </c>
      <c r="D3730" s="1" t="s">
        <v>21</v>
      </c>
      <c r="E3730" s="1" t="s">
        <v>13</v>
      </c>
      <c r="F3730" s="1" t="s">
        <v>41</v>
      </c>
      <c r="G3730" s="1">
        <v>46</v>
      </c>
      <c r="H3730" s="23">
        <v>45302.576412037037</v>
      </c>
      <c r="I3730" s="1" t="b">
        <v>0</v>
      </c>
      <c r="K3730" s="10">
        <f t="shared" si="292"/>
        <v>11.333888888941146</v>
      </c>
      <c r="L3730" s="1" t="str">
        <f t="shared" si="293"/>
        <v>OK</v>
      </c>
      <c r="M3730" s="1">
        <f t="shared" si="290"/>
        <v>1</v>
      </c>
      <c r="N3730" s="1">
        <f t="shared" si="291"/>
        <v>46</v>
      </c>
      <c r="O3730" s="10">
        <f t="shared" si="294"/>
        <v>11.333888888941146</v>
      </c>
    </row>
    <row r="3731" spans="1:15">
      <c r="A3731" s="1" t="s">
        <v>3836</v>
      </c>
      <c r="B3731" s="23">
        <v>45302.109027777777</v>
      </c>
      <c r="C3731" s="1" t="s">
        <v>11</v>
      </c>
      <c r="D3731" s="1" t="s">
        <v>17</v>
      </c>
      <c r="E3731" s="1" t="s">
        <v>33</v>
      </c>
      <c r="F3731" s="1" t="s">
        <v>80</v>
      </c>
      <c r="G3731" s="1">
        <v>152</v>
      </c>
      <c r="H3731" s="23">
        <v>45309.320960648147</v>
      </c>
      <c r="I3731" s="1" t="b">
        <v>0</v>
      </c>
      <c r="K3731" s="10">
        <f t="shared" si="292"/>
        <v>173.08638888888527</v>
      </c>
      <c r="L3731" s="1" t="str">
        <f t="shared" si="293"/>
        <v>OK</v>
      </c>
      <c r="M3731" s="1">
        <f t="shared" si="290"/>
        <v>1</v>
      </c>
      <c r="N3731" s="1">
        <f t="shared" si="291"/>
        <v>152</v>
      </c>
      <c r="O3731" s="10">
        <f t="shared" si="294"/>
        <v>173.08638888888527</v>
      </c>
    </row>
    <row r="3732" spans="1:15">
      <c r="A3732" s="1" t="s">
        <v>3837</v>
      </c>
      <c r="B3732" s="23">
        <v>45302.131249999999</v>
      </c>
      <c r="C3732" s="1" t="s">
        <v>16</v>
      </c>
      <c r="D3732" s="1" t="s">
        <v>26</v>
      </c>
      <c r="E3732" s="1" t="s">
        <v>18</v>
      </c>
      <c r="F3732" s="1" t="s">
        <v>224</v>
      </c>
      <c r="G3732" s="1">
        <v>226</v>
      </c>
      <c r="H3732" s="23">
        <v>45303.746701388889</v>
      </c>
      <c r="I3732" s="1" t="b">
        <v>1</v>
      </c>
      <c r="K3732" s="10">
        <f t="shared" si="292"/>
        <v>38.770833333372138</v>
      </c>
      <c r="L3732" s="1" t="str">
        <f t="shared" si="293"/>
        <v>OK</v>
      </c>
      <c r="M3732" s="1">
        <f t="shared" si="290"/>
        <v>1</v>
      </c>
      <c r="N3732" s="1">
        <f t="shared" si="291"/>
        <v>226</v>
      </c>
      <c r="O3732" s="10">
        <f t="shared" si="294"/>
        <v>38.770833333372138</v>
      </c>
    </row>
    <row r="3733" spans="1:15">
      <c r="A3733" s="1" t="s">
        <v>3838</v>
      </c>
      <c r="B3733" s="23">
        <v>45302.205555555556</v>
      </c>
      <c r="C3733" s="1" t="s">
        <v>16</v>
      </c>
      <c r="D3733" s="1" t="s">
        <v>17</v>
      </c>
      <c r="E3733" s="1" t="s">
        <v>33</v>
      </c>
      <c r="F3733" s="1" t="s">
        <v>326</v>
      </c>
      <c r="G3733" s="1">
        <v>23</v>
      </c>
      <c r="H3733" s="23">
        <v>45303.325046296297</v>
      </c>
      <c r="I3733" s="1" t="b">
        <v>1</v>
      </c>
      <c r="K3733" s="10">
        <f t="shared" si="292"/>
        <v>26.867777777777519</v>
      </c>
      <c r="L3733" s="1" t="str">
        <f t="shared" si="293"/>
        <v>OK</v>
      </c>
      <c r="M3733" s="1">
        <f t="shared" si="290"/>
        <v>1</v>
      </c>
      <c r="N3733" s="1">
        <f t="shared" si="291"/>
        <v>23</v>
      </c>
      <c r="O3733" s="10">
        <f t="shared" si="294"/>
        <v>26.867777777777519</v>
      </c>
    </row>
    <row r="3734" spans="1:15">
      <c r="A3734" s="1" t="s">
        <v>3839</v>
      </c>
      <c r="B3734" s="23">
        <v>45302.316666666666</v>
      </c>
      <c r="C3734" s="1" t="s">
        <v>43</v>
      </c>
      <c r="D3734" s="1" t="s">
        <v>17</v>
      </c>
      <c r="E3734" s="1" t="s">
        <v>33</v>
      </c>
      <c r="F3734" s="1" t="s">
        <v>102</v>
      </c>
      <c r="G3734" s="1">
        <v>90</v>
      </c>
      <c r="H3734" s="23">
        <v>45304.886944444443</v>
      </c>
      <c r="I3734" s="1" t="b">
        <v>0</v>
      </c>
      <c r="K3734" s="10">
        <f t="shared" si="292"/>
        <v>61.686666666646488</v>
      </c>
      <c r="L3734" s="1" t="str">
        <f t="shared" si="293"/>
        <v>OK</v>
      </c>
      <c r="M3734" s="1">
        <f t="shared" si="290"/>
        <v>1</v>
      </c>
      <c r="N3734" s="1">
        <f t="shared" si="291"/>
        <v>90</v>
      </c>
      <c r="O3734" s="10">
        <f t="shared" si="294"/>
        <v>61.686666666646488</v>
      </c>
    </row>
    <row r="3735" spans="1:15">
      <c r="A3735" s="1" t="s">
        <v>3840</v>
      </c>
      <c r="B3735" s="23">
        <v>45302.377083333333</v>
      </c>
      <c r="C3735" s="1" t="s">
        <v>25</v>
      </c>
      <c r="D3735" s="1" t="s">
        <v>12</v>
      </c>
      <c r="E3735" s="1" t="s">
        <v>33</v>
      </c>
      <c r="F3735" s="1" t="s">
        <v>162</v>
      </c>
      <c r="G3735" s="1">
        <v>547</v>
      </c>
      <c r="H3735" s="23">
        <v>45303.375636574077</v>
      </c>
      <c r="I3735" s="1" t="b">
        <v>0</v>
      </c>
      <c r="K3735" s="10">
        <f t="shared" si="292"/>
        <v>23.965277777868323</v>
      </c>
      <c r="L3735" s="1" t="str">
        <f t="shared" si="293"/>
        <v>OK</v>
      </c>
      <c r="M3735" s="1">
        <f t="shared" si="290"/>
        <v>1</v>
      </c>
      <c r="N3735" s="1">
        <f t="shared" si="291"/>
        <v>547</v>
      </c>
      <c r="O3735" s="10">
        <f t="shared" si="294"/>
        <v>23.965277777868323</v>
      </c>
    </row>
    <row r="3736" spans="1:15">
      <c r="A3736" s="1" t="s">
        <v>3841</v>
      </c>
      <c r="B3736" s="23">
        <v>45302.383333333331</v>
      </c>
      <c r="C3736" s="1" t="s">
        <v>16</v>
      </c>
      <c r="D3736" s="1" t="s">
        <v>17</v>
      </c>
      <c r="E3736" s="1" t="s">
        <v>18</v>
      </c>
      <c r="F3736" s="1" t="s">
        <v>37</v>
      </c>
      <c r="G3736" s="1">
        <v>55</v>
      </c>
      <c r="H3736" s="23">
        <v>45306.605729166666</v>
      </c>
      <c r="I3736" s="1" t="b">
        <v>0</v>
      </c>
      <c r="K3736" s="10">
        <f t="shared" si="292"/>
        <v>101.33750000002328</v>
      </c>
      <c r="L3736" s="1" t="str">
        <f t="shared" si="293"/>
        <v>OK</v>
      </c>
      <c r="M3736" s="1">
        <f t="shared" si="290"/>
        <v>1</v>
      </c>
      <c r="N3736" s="1">
        <f t="shared" si="291"/>
        <v>55</v>
      </c>
      <c r="O3736" s="10">
        <f t="shared" si="294"/>
        <v>101.33750000002328</v>
      </c>
    </row>
    <row r="3737" spans="1:15">
      <c r="A3737" s="1" t="s">
        <v>3842</v>
      </c>
      <c r="B3737" s="23">
        <v>45302.559027777781</v>
      </c>
      <c r="C3737" s="1" t="s">
        <v>11</v>
      </c>
      <c r="D3737" s="1" t="s">
        <v>59</v>
      </c>
      <c r="E3737" s="1" t="s">
        <v>33</v>
      </c>
      <c r="F3737" s="1" t="s">
        <v>237</v>
      </c>
      <c r="G3737" s="1">
        <v>66</v>
      </c>
      <c r="H3737" s="23">
        <v>45305.58116898148</v>
      </c>
      <c r="I3737" s="1" t="b">
        <v>0</v>
      </c>
      <c r="K3737" s="10">
        <f t="shared" si="292"/>
        <v>72.531388888775837</v>
      </c>
      <c r="L3737" s="1" t="str">
        <f t="shared" si="293"/>
        <v>OK</v>
      </c>
      <c r="M3737" s="1">
        <f t="shared" si="290"/>
        <v>1</v>
      </c>
      <c r="N3737" s="1">
        <f t="shared" si="291"/>
        <v>66</v>
      </c>
      <c r="O3737" s="10">
        <f t="shared" si="294"/>
        <v>72.531388888775837</v>
      </c>
    </row>
    <row r="3738" spans="1:15">
      <c r="A3738" s="1" t="s">
        <v>3843</v>
      </c>
      <c r="B3738" s="23">
        <v>45302.775694444441</v>
      </c>
      <c r="C3738" s="1" t="s">
        <v>11</v>
      </c>
      <c r="D3738" s="1" t="s">
        <v>26</v>
      </c>
      <c r="E3738" s="1" t="s">
        <v>33</v>
      </c>
      <c r="F3738" s="1" t="s">
        <v>72</v>
      </c>
      <c r="G3738" s="1">
        <v>123</v>
      </c>
      <c r="H3738" s="23">
        <v>45303.817511574074</v>
      </c>
      <c r="I3738" s="1" t="b">
        <v>1</v>
      </c>
      <c r="J3738" s="1">
        <v>4</v>
      </c>
      <c r="K3738" s="10">
        <f t="shared" si="292"/>
        <v>25.003611111198552</v>
      </c>
      <c r="L3738" s="1" t="str">
        <f t="shared" si="293"/>
        <v>OK</v>
      </c>
      <c r="M3738" s="1">
        <f t="shared" si="290"/>
        <v>1</v>
      </c>
      <c r="N3738" s="1">
        <f t="shared" si="291"/>
        <v>123</v>
      </c>
      <c r="O3738" s="10">
        <f t="shared" si="294"/>
        <v>25.003611111198552</v>
      </c>
    </row>
    <row r="3739" spans="1:15">
      <c r="A3739" s="1" t="s">
        <v>3844</v>
      </c>
      <c r="B3739" s="23">
        <v>45302.798611111109</v>
      </c>
      <c r="C3739" s="1" t="s">
        <v>16</v>
      </c>
      <c r="D3739" s="1" t="s">
        <v>17</v>
      </c>
      <c r="E3739" s="1" t="s">
        <v>22</v>
      </c>
      <c r="F3739" s="1" t="s">
        <v>23</v>
      </c>
      <c r="G3739" s="1">
        <v>10</v>
      </c>
      <c r="H3739" s="23">
        <v>45303.845104166663</v>
      </c>
      <c r="I3739" s="1" t="b">
        <v>1</v>
      </c>
      <c r="J3739" s="1">
        <v>3</v>
      </c>
      <c r="K3739" s="10">
        <f t="shared" si="292"/>
        <v>25.115833333285991</v>
      </c>
      <c r="L3739" s="1" t="str">
        <f t="shared" si="293"/>
        <v>OK</v>
      </c>
      <c r="M3739" s="1">
        <f t="shared" si="290"/>
        <v>1</v>
      </c>
      <c r="N3739" s="1">
        <f t="shared" si="291"/>
        <v>10</v>
      </c>
      <c r="O3739" s="10">
        <f t="shared" si="294"/>
        <v>25.115833333285991</v>
      </c>
    </row>
    <row r="3740" spans="1:15">
      <c r="A3740" s="1" t="s">
        <v>3845</v>
      </c>
      <c r="B3740" s="23">
        <v>45302.838888888888</v>
      </c>
      <c r="C3740" s="1" t="s">
        <v>11</v>
      </c>
      <c r="D3740" s="1" t="s">
        <v>12</v>
      </c>
      <c r="E3740" s="1" t="s">
        <v>18</v>
      </c>
      <c r="F3740" s="1" t="s">
        <v>14</v>
      </c>
      <c r="G3740" s="1">
        <v>104</v>
      </c>
      <c r="H3740" s="23">
        <v>45303.42459490741</v>
      </c>
      <c r="I3740" s="1" t="b">
        <v>0</v>
      </c>
      <c r="J3740" s="1">
        <v>4</v>
      </c>
      <c r="K3740" s="10">
        <f t="shared" si="292"/>
        <v>14.056944444542751</v>
      </c>
      <c r="L3740" s="1" t="str">
        <f t="shared" si="293"/>
        <v>OK</v>
      </c>
      <c r="M3740" s="1">
        <f t="shared" si="290"/>
        <v>1</v>
      </c>
      <c r="N3740" s="1">
        <f t="shared" si="291"/>
        <v>104</v>
      </c>
      <c r="O3740" s="10">
        <f t="shared" si="294"/>
        <v>14.056944444542751</v>
      </c>
    </row>
    <row r="3741" spans="1:15">
      <c r="A3741" s="1" t="s">
        <v>3846</v>
      </c>
      <c r="B3741" s="23">
        <v>45302.892361111109</v>
      </c>
      <c r="C3741" s="1" t="s">
        <v>16</v>
      </c>
      <c r="D3741" s="1" t="s">
        <v>26</v>
      </c>
      <c r="E3741" s="1" t="s">
        <v>33</v>
      </c>
      <c r="F3741" s="1" t="s">
        <v>239</v>
      </c>
      <c r="G3741" s="1">
        <v>28</v>
      </c>
      <c r="H3741" s="23">
        <v>45305.456111111111</v>
      </c>
      <c r="I3741" s="1" t="b">
        <v>0</v>
      </c>
      <c r="K3741" s="10">
        <f t="shared" si="292"/>
        <v>61.53000000002794</v>
      </c>
      <c r="L3741" s="1" t="str">
        <f t="shared" si="293"/>
        <v>OK</v>
      </c>
      <c r="M3741" s="1">
        <f t="shared" si="290"/>
        <v>1</v>
      </c>
      <c r="N3741" s="1">
        <f t="shared" si="291"/>
        <v>28</v>
      </c>
      <c r="O3741" s="10">
        <f t="shared" si="294"/>
        <v>61.53000000002794</v>
      </c>
    </row>
    <row r="3742" spans="1:15">
      <c r="A3742" s="1" t="s">
        <v>3847</v>
      </c>
      <c r="B3742" s="23">
        <v>45303.19027777778</v>
      </c>
      <c r="C3742" s="1" t="s">
        <v>16</v>
      </c>
      <c r="D3742" s="1" t="s">
        <v>59</v>
      </c>
      <c r="E3742" s="1" t="s">
        <v>33</v>
      </c>
      <c r="F3742" s="1" t="s">
        <v>215</v>
      </c>
      <c r="G3742" s="1">
        <v>762</v>
      </c>
      <c r="H3742" s="23">
        <v>45303.296018518522</v>
      </c>
      <c r="I3742" s="1" t="b">
        <v>0</v>
      </c>
      <c r="K3742" s="10">
        <f t="shared" si="292"/>
        <v>2.5377777778194286</v>
      </c>
      <c r="L3742" s="1" t="str">
        <f t="shared" si="293"/>
        <v>Review</v>
      </c>
      <c r="M3742" s="1">
        <f t="shared" si="290"/>
        <v>1</v>
      </c>
      <c r="N3742" s="1" t="str">
        <f t="shared" si="291"/>
        <v/>
      </c>
      <c r="O3742" s="10" t="str">
        <f t="shared" si="294"/>
        <v/>
      </c>
    </row>
    <row r="3743" spans="1:15">
      <c r="A3743" s="1" t="s">
        <v>3848</v>
      </c>
      <c r="B3743" s="23">
        <v>45303.203472222223</v>
      </c>
      <c r="C3743" s="1" t="s">
        <v>25</v>
      </c>
      <c r="D3743" s="1" t="s">
        <v>26</v>
      </c>
      <c r="E3743" s="1" t="s">
        <v>18</v>
      </c>
      <c r="F3743" s="1" t="s">
        <v>256</v>
      </c>
      <c r="G3743" s="1">
        <v>30</v>
      </c>
      <c r="H3743" s="23">
        <v>45304.981516203705</v>
      </c>
      <c r="I3743" s="1" t="b">
        <v>0</v>
      </c>
      <c r="K3743" s="10">
        <f t="shared" si="292"/>
        <v>42.673055555555038</v>
      </c>
      <c r="L3743" s="1" t="str">
        <f t="shared" si="293"/>
        <v>OK</v>
      </c>
      <c r="M3743" s="1">
        <f t="shared" si="290"/>
        <v>1</v>
      </c>
      <c r="N3743" s="1">
        <f t="shared" si="291"/>
        <v>30</v>
      </c>
      <c r="O3743" s="10">
        <f t="shared" si="294"/>
        <v>42.673055555555038</v>
      </c>
    </row>
    <row r="3744" spans="1:15">
      <c r="A3744" s="1" t="s">
        <v>3849</v>
      </c>
      <c r="B3744" s="23">
        <v>45303.283333333333</v>
      </c>
      <c r="C3744" s="1" t="s">
        <v>43</v>
      </c>
      <c r="D3744" s="1" t="s">
        <v>26</v>
      </c>
      <c r="E3744" s="1" t="s">
        <v>33</v>
      </c>
      <c r="F3744" s="1" t="s">
        <v>19</v>
      </c>
      <c r="G3744" s="1">
        <v>138</v>
      </c>
      <c r="H3744" s="23">
        <v>45306.029317129629</v>
      </c>
      <c r="I3744" s="1" t="b">
        <v>0</v>
      </c>
      <c r="J3744" s="1">
        <v>5</v>
      </c>
      <c r="K3744" s="10">
        <f t="shared" si="292"/>
        <v>65.90361111110542</v>
      </c>
      <c r="L3744" s="1" t="str">
        <f t="shared" si="293"/>
        <v>OK</v>
      </c>
      <c r="M3744" s="1">
        <f t="shared" si="290"/>
        <v>1</v>
      </c>
      <c r="N3744" s="1">
        <f t="shared" si="291"/>
        <v>138</v>
      </c>
      <c r="O3744" s="10">
        <f t="shared" si="294"/>
        <v>65.90361111110542</v>
      </c>
    </row>
    <row r="3745" spans="1:15">
      <c r="A3745" s="1" t="s">
        <v>3850</v>
      </c>
      <c r="B3745" s="23">
        <v>45303.887499999997</v>
      </c>
      <c r="C3745" s="1" t="s">
        <v>43</v>
      </c>
      <c r="D3745" s="1" t="s">
        <v>12</v>
      </c>
      <c r="E3745" s="1" t="s">
        <v>18</v>
      </c>
      <c r="F3745" s="1" t="s">
        <v>68</v>
      </c>
      <c r="G3745" s="1">
        <v>55</v>
      </c>
      <c r="H3745" s="23">
        <v>45304.557604166665</v>
      </c>
      <c r="I3745" s="1" t="b">
        <v>0</v>
      </c>
      <c r="K3745" s="10">
        <f t="shared" si="292"/>
        <v>16.082500000018626</v>
      </c>
      <c r="L3745" s="1" t="str">
        <f t="shared" si="293"/>
        <v>OK</v>
      </c>
      <c r="M3745" s="1">
        <f t="shared" si="290"/>
        <v>1</v>
      </c>
      <c r="N3745" s="1">
        <f t="shared" si="291"/>
        <v>55</v>
      </c>
      <c r="O3745" s="10">
        <f t="shared" si="294"/>
        <v>16.082500000018626</v>
      </c>
    </row>
    <row r="3746" spans="1:15">
      <c r="A3746" s="1" t="s">
        <v>3851</v>
      </c>
      <c r="B3746" s="23">
        <v>45303.98541666667</v>
      </c>
      <c r="C3746" s="1" t="s">
        <v>11</v>
      </c>
      <c r="D3746" s="1" t="s">
        <v>17</v>
      </c>
      <c r="E3746" s="1" t="s">
        <v>18</v>
      </c>
      <c r="F3746" s="1" t="s">
        <v>72</v>
      </c>
      <c r="G3746" s="1">
        <v>140</v>
      </c>
      <c r="H3746" s="23">
        <v>45306.135462962964</v>
      </c>
      <c r="I3746" s="1" t="b">
        <v>0</v>
      </c>
      <c r="J3746" s="1">
        <v>5</v>
      </c>
      <c r="K3746" s="10">
        <f t="shared" si="292"/>
        <v>51.601111111056525</v>
      </c>
      <c r="L3746" s="1" t="str">
        <f t="shared" si="293"/>
        <v>OK</v>
      </c>
      <c r="M3746" s="1">
        <f t="shared" si="290"/>
        <v>1</v>
      </c>
      <c r="N3746" s="1">
        <f t="shared" si="291"/>
        <v>140</v>
      </c>
      <c r="O3746" s="10">
        <f t="shared" si="294"/>
        <v>51.601111111056525</v>
      </c>
    </row>
    <row r="3747" spans="1:15">
      <c r="A3747" s="1" t="s">
        <v>3852</v>
      </c>
      <c r="B3747" s="23">
        <v>45304.150694444441</v>
      </c>
      <c r="C3747" s="1" t="s">
        <v>11</v>
      </c>
      <c r="D3747" s="1" t="s">
        <v>26</v>
      </c>
      <c r="E3747" s="1" t="s">
        <v>18</v>
      </c>
      <c r="F3747" s="1" t="s">
        <v>50</v>
      </c>
      <c r="G3747" s="1">
        <v>204</v>
      </c>
      <c r="H3747" s="23">
        <v>45305.208229166667</v>
      </c>
      <c r="I3747" s="1" t="b">
        <v>0</v>
      </c>
      <c r="J3747" s="1">
        <v>5</v>
      </c>
      <c r="K3747" s="10">
        <f t="shared" si="292"/>
        <v>25.380833333416376</v>
      </c>
      <c r="L3747" s="1" t="str">
        <f t="shared" si="293"/>
        <v>OK</v>
      </c>
      <c r="M3747" s="1">
        <f t="shared" si="290"/>
        <v>1</v>
      </c>
      <c r="N3747" s="1">
        <f t="shared" si="291"/>
        <v>204</v>
      </c>
      <c r="O3747" s="10">
        <f t="shared" si="294"/>
        <v>25.380833333416376</v>
      </c>
    </row>
    <row r="3748" spans="1:15">
      <c r="A3748" s="1" t="s">
        <v>3853</v>
      </c>
      <c r="B3748" s="23">
        <v>45304.203472222223</v>
      </c>
      <c r="C3748" s="1" t="s">
        <v>11</v>
      </c>
      <c r="D3748" s="1" t="s">
        <v>21</v>
      </c>
      <c r="E3748" s="1" t="s">
        <v>13</v>
      </c>
      <c r="F3748" s="1" t="s">
        <v>76</v>
      </c>
      <c r="G3748" s="1">
        <v>19</v>
      </c>
      <c r="H3748" s="23">
        <v>45307.287361111114</v>
      </c>
      <c r="I3748" s="1" t="b">
        <v>0</v>
      </c>
      <c r="J3748" s="1">
        <v>5</v>
      </c>
      <c r="K3748" s="10">
        <f t="shared" si="292"/>
        <v>74.013333333365154</v>
      </c>
      <c r="L3748" s="1" t="str">
        <f t="shared" si="293"/>
        <v>OK</v>
      </c>
      <c r="M3748" s="1">
        <f t="shared" si="290"/>
        <v>1</v>
      </c>
      <c r="N3748" s="1">
        <f t="shared" si="291"/>
        <v>19</v>
      </c>
      <c r="O3748" s="10">
        <f t="shared" si="294"/>
        <v>74.013333333365154</v>
      </c>
    </row>
    <row r="3749" spans="1:15">
      <c r="A3749" s="1" t="s">
        <v>3854</v>
      </c>
      <c r="B3749" s="23">
        <v>45304.28125</v>
      </c>
      <c r="C3749" s="1" t="s">
        <v>43</v>
      </c>
      <c r="D3749" s="1" t="s">
        <v>17</v>
      </c>
      <c r="E3749" s="1" t="s">
        <v>13</v>
      </c>
      <c r="F3749" s="1" t="s">
        <v>64</v>
      </c>
      <c r="G3749" s="1">
        <v>150</v>
      </c>
      <c r="H3749" s="23">
        <v>45304.372175925928</v>
      </c>
      <c r="I3749" s="1" t="b">
        <v>0</v>
      </c>
      <c r="K3749" s="10">
        <f t="shared" si="292"/>
        <v>2.1822222222690471</v>
      </c>
      <c r="L3749" s="1" t="str">
        <f t="shared" si="293"/>
        <v>Review</v>
      </c>
      <c r="M3749" s="1">
        <f t="shared" si="290"/>
        <v>1</v>
      </c>
      <c r="N3749" s="1" t="str">
        <f t="shared" si="291"/>
        <v/>
      </c>
      <c r="O3749" s="10" t="str">
        <f t="shared" si="294"/>
        <v/>
      </c>
    </row>
    <row r="3750" spans="1:15">
      <c r="A3750" s="1" t="s">
        <v>3855</v>
      </c>
      <c r="B3750" s="23">
        <v>45304.289583333331</v>
      </c>
      <c r="C3750" s="1" t="s">
        <v>16</v>
      </c>
      <c r="D3750" s="1" t="s">
        <v>21</v>
      </c>
      <c r="E3750" s="1" t="s">
        <v>13</v>
      </c>
      <c r="F3750" s="1" t="s">
        <v>178</v>
      </c>
      <c r="G3750" s="1">
        <v>26</v>
      </c>
      <c r="H3750" s="23">
        <v>45305.18891203704</v>
      </c>
      <c r="I3750" s="1" t="b">
        <v>0</v>
      </c>
      <c r="K3750" s="10">
        <f t="shared" si="292"/>
        <v>21.583888888999354</v>
      </c>
      <c r="L3750" s="1" t="str">
        <f t="shared" si="293"/>
        <v>OK</v>
      </c>
      <c r="M3750" s="1">
        <f t="shared" si="290"/>
        <v>1</v>
      </c>
      <c r="N3750" s="1">
        <f t="shared" si="291"/>
        <v>26</v>
      </c>
      <c r="O3750" s="10">
        <f t="shared" si="294"/>
        <v>21.583888888999354</v>
      </c>
    </row>
    <row r="3751" spans="1:15">
      <c r="A3751" s="1" t="s">
        <v>3856</v>
      </c>
      <c r="B3751" s="23">
        <v>45304.354861111111</v>
      </c>
      <c r="C3751" s="1" t="s">
        <v>11</v>
      </c>
      <c r="D3751" s="1" t="s">
        <v>17</v>
      </c>
      <c r="E3751" s="1" t="s">
        <v>33</v>
      </c>
      <c r="F3751" s="1" t="s">
        <v>106</v>
      </c>
      <c r="G3751" s="1">
        <v>121</v>
      </c>
      <c r="H3751" s="23">
        <v>45306.629907407405</v>
      </c>
      <c r="I3751" s="1" t="b">
        <v>0</v>
      </c>
      <c r="J3751" s="1">
        <v>4</v>
      </c>
      <c r="K3751" s="10">
        <f t="shared" si="292"/>
        <v>54.601111111056525</v>
      </c>
      <c r="L3751" s="1" t="str">
        <f t="shared" si="293"/>
        <v>OK</v>
      </c>
      <c r="M3751" s="1">
        <f t="shared" si="290"/>
        <v>1</v>
      </c>
      <c r="N3751" s="1">
        <f t="shared" si="291"/>
        <v>121</v>
      </c>
      <c r="O3751" s="10">
        <f t="shared" si="294"/>
        <v>54.601111111056525</v>
      </c>
    </row>
    <row r="3752" spans="1:15">
      <c r="A3752" s="1" t="s">
        <v>3857</v>
      </c>
      <c r="B3752" s="23">
        <v>45304.670138888891</v>
      </c>
      <c r="C3752" s="1" t="s">
        <v>43</v>
      </c>
      <c r="D3752" s="1" t="s">
        <v>17</v>
      </c>
      <c r="E3752" s="1" t="s">
        <v>33</v>
      </c>
      <c r="F3752" s="1" t="s">
        <v>48</v>
      </c>
      <c r="G3752" s="1">
        <v>203</v>
      </c>
      <c r="H3752" s="23">
        <v>45305.802430555559</v>
      </c>
      <c r="I3752" s="1" t="b">
        <v>0</v>
      </c>
      <c r="K3752" s="10">
        <f t="shared" si="292"/>
        <v>27.175000000046566</v>
      </c>
      <c r="L3752" s="1" t="str">
        <f t="shared" si="293"/>
        <v>OK</v>
      </c>
      <c r="M3752" s="1">
        <f t="shared" si="290"/>
        <v>1</v>
      </c>
      <c r="N3752" s="1">
        <f t="shared" si="291"/>
        <v>203</v>
      </c>
      <c r="O3752" s="10">
        <f t="shared" si="294"/>
        <v>27.175000000046566</v>
      </c>
    </row>
    <row r="3753" spans="1:15">
      <c r="A3753" s="1" t="s">
        <v>3858</v>
      </c>
      <c r="B3753" s="23">
        <v>45304.839583333334</v>
      </c>
      <c r="C3753" s="1" t="s">
        <v>16</v>
      </c>
      <c r="D3753" s="1" t="s">
        <v>21</v>
      </c>
      <c r="E3753" s="1" t="s">
        <v>33</v>
      </c>
      <c r="F3753" s="1" t="s">
        <v>175</v>
      </c>
      <c r="G3753" s="1">
        <v>274</v>
      </c>
      <c r="H3753" s="23">
        <v>45307.256851851853</v>
      </c>
      <c r="I3753" s="1" t="b">
        <v>0</v>
      </c>
      <c r="K3753" s="10">
        <f t="shared" si="292"/>
        <v>58.014444444444962</v>
      </c>
      <c r="L3753" s="1" t="str">
        <f t="shared" si="293"/>
        <v>OK</v>
      </c>
      <c r="M3753" s="1">
        <f t="shared" si="290"/>
        <v>1</v>
      </c>
      <c r="N3753" s="1">
        <f t="shared" si="291"/>
        <v>274</v>
      </c>
      <c r="O3753" s="10">
        <f t="shared" si="294"/>
        <v>58.014444444444962</v>
      </c>
    </row>
    <row r="3754" spans="1:15">
      <c r="A3754" s="1" t="s">
        <v>3859</v>
      </c>
      <c r="B3754" s="23">
        <v>45304.946527777778</v>
      </c>
      <c r="C3754" s="1" t="s">
        <v>16</v>
      </c>
      <c r="D3754" s="1" t="s">
        <v>17</v>
      </c>
      <c r="E3754" s="1" t="s">
        <v>18</v>
      </c>
      <c r="F3754" s="1" t="s">
        <v>148</v>
      </c>
      <c r="G3754" s="1">
        <v>71</v>
      </c>
      <c r="H3754" s="23">
        <v>45316.371307870373</v>
      </c>
      <c r="I3754" s="1" t="b">
        <v>0</v>
      </c>
      <c r="K3754" s="10">
        <f t="shared" si="292"/>
        <v>274.19472222228069</v>
      </c>
      <c r="L3754" s="1" t="str">
        <f t="shared" si="293"/>
        <v>OK</v>
      </c>
      <c r="M3754" s="1">
        <f t="shared" si="290"/>
        <v>1</v>
      </c>
      <c r="N3754" s="1">
        <f t="shared" si="291"/>
        <v>71</v>
      </c>
      <c r="O3754" s="10">
        <f t="shared" si="294"/>
        <v>274.19472222228069</v>
      </c>
    </row>
    <row r="3755" spans="1:15">
      <c r="A3755" s="1" t="s">
        <v>3860</v>
      </c>
      <c r="B3755" s="23">
        <v>45304.992361111108</v>
      </c>
      <c r="C3755" s="1" t="s">
        <v>16</v>
      </c>
      <c r="D3755" s="1" t="s">
        <v>12</v>
      </c>
      <c r="E3755" s="1" t="s">
        <v>13</v>
      </c>
      <c r="F3755" s="1" t="s">
        <v>254</v>
      </c>
      <c r="G3755" s="1">
        <v>85</v>
      </c>
      <c r="H3755" s="23">
        <v>45308.959502314814</v>
      </c>
      <c r="I3755" s="1" t="b">
        <v>0</v>
      </c>
      <c r="J3755" s="1">
        <v>3</v>
      </c>
      <c r="K3755" s="10">
        <f t="shared" si="292"/>
        <v>95.211388888943475</v>
      </c>
      <c r="L3755" s="1" t="str">
        <f t="shared" si="293"/>
        <v>OK</v>
      </c>
      <c r="M3755" s="1">
        <f t="shared" si="290"/>
        <v>1</v>
      </c>
      <c r="N3755" s="1">
        <f t="shared" si="291"/>
        <v>85</v>
      </c>
      <c r="O3755" s="10">
        <f t="shared" si="294"/>
        <v>95.211388888943475</v>
      </c>
    </row>
    <row r="3756" spans="1:15">
      <c r="A3756" s="1" t="s">
        <v>3861</v>
      </c>
      <c r="B3756" s="23">
        <v>45304.996527777781</v>
      </c>
      <c r="C3756" s="1" t="s">
        <v>16</v>
      </c>
      <c r="D3756" s="1" t="s">
        <v>26</v>
      </c>
      <c r="E3756" s="1" t="s">
        <v>33</v>
      </c>
      <c r="F3756" s="1" t="s">
        <v>31</v>
      </c>
      <c r="G3756" s="1">
        <v>217</v>
      </c>
      <c r="H3756" s="23">
        <v>45312.497106481482</v>
      </c>
      <c r="I3756" s="1" t="b">
        <v>0</v>
      </c>
      <c r="J3756" s="1">
        <v>5</v>
      </c>
      <c r="K3756" s="10">
        <f t="shared" si="292"/>
        <v>180.01388888881775</v>
      </c>
      <c r="L3756" s="1" t="str">
        <f t="shared" si="293"/>
        <v>OK</v>
      </c>
      <c r="M3756" s="1">
        <f t="shared" si="290"/>
        <v>1</v>
      </c>
      <c r="N3756" s="1">
        <f t="shared" si="291"/>
        <v>217</v>
      </c>
      <c r="O3756" s="10">
        <f t="shared" si="294"/>
        <v>180.01388888881775</v>
      </c>
    </row>
    <row r="3757" spans="1:15">
      <c r="A3757" s="1" t="s">
        <v>3862</v>
      </c>
      <c r="B3757" s="23">
        <v>45305.004861111112</v>
      </c>
      <c r="C3757" s="1" t="s">
        <v>11</v>
      </c>
      <c r="D3757" s="1" t="s">
        <v>17</v>
      </c>
      <c r="E3757" s="1" t="s">
        <v>18</v>
      </c>
      <c r="F3757" s="1" t="s">
        <v>145</v>
      </c>
      <c r="G3757" s="1">
        <v>288</v>
      </c>
      <c r="H3757" s="23">
        <v>45311.297858796293</v>
      </c>
      <c r="I3757" s="1" t="b">
        <v>0</v>
      </c>
      <c r="J3757" s="1">
        <v>5</v>
      </c>
      <c r="K3757" s="10">
        <f t="shared" si="292"/>
        <v>151.03194444434484</v>
      </c>
      <c r="L3757" s="1" t="str">
        <f t="shared" si="293"/>
        <v>OK</v>
      </c>
      <c r="M3757" s="1">
        <f t="shared" si="290"/>
        <v>1</v>
      </c>
      <c r="N3757" s="1">
        <f t="shared" si="291"/>
        <v>288</v>
      </c>
      <c r="O3757" s="10">
        <f t="shared" si="294"/>
        <v>151.03194444434484</v>
      </c>
    </row>
    <row r="3758" spans="1:15">
      <c r="A3758" s="1" t="s">
        <v>3863</v>
      </c>
      <c r="B3758" s="23">
        <v>45305.034722222219</v>
      </c>
      <c r="C3758" s="1" t="s">
        <v>25</v>
      </c>
      <c r="D3758" s="1" t="s">
        <v>21</v>
      </c>
      <c r="E3758" s="1" t="s">
        <v>18</v>
      </c>
      <c r="F3758" s="1" t="s">
        <v>48</v>
      </c>
      <c r="G3758" s="1">
        <v>33</v>
      </c>
      <c r="H3758" s="23">
        <v>45306.54215277778</v>
      </c>
      <c r="I3758" s="1" t="b">
        <v>0</v>
      </c>
      <c r="J3758" s="1">
        <v>5</v>
      </c>
      <c r="K3758" s="10">
        <f t="shared" si="292"/>
        <v>36.178333333460614</v>
      </c>
      <c r="L3758" s="1" t="str">
        <f t="shared" si="293"/>
        <v>OK</v>
      </c>
      <c r="M3758" s="1">
        <f t="shared" si="290"/>
        <v>1</v>
      </c>
      <c r="N3758" s="1">
        <f t="shared" si="291"/>
        <v>33</v>
      </c>
      <c r="O3758" s="10">
        <f t="shared" si="294"/>
        <v>36.178333333460614</v>
      </c>
    </row>
    <row r="3759" spans="1:15">
      <c r="A3759" s="1" t="s">
        <v>3864</v>
      </c>
      <c r="B3759" s="23">
        <v>45305.05</v>
      </c>
      <c r="C3759" s="1" t="s">
        <v>11</v>
      </c>
      <c r="D3759" s="1" t="s">
        <v>12</v>
      </c>
      <c r="E3759" s="1" t="s">
        <v>22</v>
      </c>
      <c r="F3759" s="1" t="s">
        <v>224</v>
      </c>
      <c r="G3759" s="1">
        <v>15</v>
      </c>
      <c r="H3759" s="23">
        <v>45305.150636574072</v>
      </c>
      <c r="I3759" s="1" t="b">
        <v>1</v>
      </c>
      <c r="K3759" s="10">
        <f t="shared" si="292"/>
        <v>2.4152777776471339</v>
      </c>
      <c r="L3759" s="1" t="str">
        <f t="shared" si="293"/>
        <v>OK</v>
      </c>
      <c r="M3759" s="1">
        <f t="shared" si="290"/>
        <v>1</v>
      </c>
      <c r="N3759" s="1">
        <f t="shared" si="291"/>
        <v>15</v>
      </c>
      <c r="O3759" s="10">
        <f t="shared" si="294"/>
        <v>2.4152777776471339</v>
      </c>
    </row>
    <row r="3760" spans="1:15">
      <c r="A3760" s="1" t="s">
        <v>3865</v>
      </c>
      <c r="B3760" s="23">
        <v>45305.068055555559</v>
      </c>
      <c r="C3760" s="1" t="s">
        <v>25</v>
      </c>
      <c r="D3760" s="1" t="s">
        <v>17</v>
      </c>
      <c r="E3760" s="1" t="s">
        <v>13</v>
      </c>
      <c r="F3760" s="1" t="s">
        <v>186</v>
      </c>
      <c r="G3760" s="1">
        <v>13</v>
      </c>
      <c r="H3760" s="23">
        <v>45307.997361111113</v>
      </c>
      <c r="I3760" s="1" t="b">
        <v>0</v>
      </c>
      <c r="J3760" s="1">
        <v>5</v>
      </c>
      <c r="K3760" s="10">
        <f t="shared" si="292"/>
        <v>70.303333333285991</v>
      </c>
      <c r="L3760" s="1" t="str">
        <f t="shared" si="293"/>
        <v>OK</v>
      </c>
      <c r="M3760" s="1">
        <f t="shared" si="290"/>
        <v>1</v>
      </c>
      <c r="N3760" s="1">
        <f t="shared" si="291"/>
        <v>13</v>
      </c>
      <c r="O3760" s="10">
        <f t="shared" si="294"/>
        <v>70.303333333285991</v>
      </c>
    </row>
    <row r="3761" spans="1:15">
      <c r="A3761" s="1" t="s">
        <v>3866</v>
      </c>
      <c r="B3761" s="23">
        <v>45305.168055555558</v>
      </c>
      <c r="C3761" s="1" t="s">
        <v>16</v>
      </c>
      <c r="D3761" s="1" t="s">
        <v>59</v>
      </c>
      <c r="E3761" s="1" t="s">
        <v>18</v>
      </c>
      <c r="F3761" s="1" t="s">
        <v>130</v>
      </c>
      <c r="G3761" s="1">
        <v>368</v>
      </c>
      <c r="H3761" s="23">
        <v>45305.872060185182</v>
      </c>
      <c r="I3761" s="1" t="b">
        <v>0</v>
      </c>
      <c r="K3761" s="10">
        <f t="shared" si="292"/>
        <v>16.896111110982019</v>
      </c>
      <c r="L3761" s="1" t="str">
        <f t="shared" si="293"/>
        <v>OK</v>
      </c>
      <c r="M3761" s="1">
        <f t="shared" si="290"/>
        <v>1</v>
      </c>
      <c r="N3761" s="1">
        <f t="shared" si="291"/>
        <v>368</v>
      </c>
      <c r="O3761" s="10">
        <f t="shared" si="294"/>
        <v>16.896111110982019</v>
      </c>
    </row>
    <row r="3762" spans="1:15">
      <c r="A3762" s="1" t="s">
        <v>3867</v>
      </c>
      <c r="B3762" s="23">
        <v>45305.234722222223</v>
      </c>
      <c r="C3762" s="1" t="s">
        <v>25</v>
      </c>
      <c r="D3762" s="1" t="s">
        <v>17</v>
      </c>
      <c r="E3762" s="1" t="s">
        <v>18</v>
      </c>
      <c r="F3762" s="1" t="s">
        <v>108</v>
      </c>
      <c r="G3762" s="1">
        <v>101</v>
      </c>
      <c r="H3762" s="23">
        <v>45305.768391203703</v>
      </c>
      <c r="I3762" s="1" t="b">
        <v>0</v>
      </c>
      <c r="J3762" s="1">
        <v>3</v>
      </c>
      <c r="K3762" s="10">
        <f t="shared" si="292"/>
        <v>12.808055555506144</v>
      </c>
      <c r="L3762" s="1" t="str">
        <f t="shared" si="293"/>
        <v>OK</v>
      </c>
      <c r="M3762" s="1">
        <f t="shared" si="290"/>
        <v>1</v>
      </c>
      <c r="N3762" s="1">
        <f t="shared" si="291"/>
        <v>101</v>
      </c>
      <c r="O3762" s="10">
        <f t="shared" si="294"/>
        <v>12.808055555506144</v>
      </c>
    </row>
    <row r="3763" spans="1:15">
      <c r="A3763" s="1" t="s">
        <v>3868</v>
      </c>
      <c r="B3763" s="23">
        <v>45305.470833333333</v>
      </c>
      <c r="C3763" s="1" t="s">
        <v>16</v>
      </c>
      <c r="D3763" s="1" t="s">
        <v>17</v>
      </c>
      <c r="E3763" s="1" t="s">
        <v>18</v>
      </c>
      <c r="F3763" s="1" t="s">
        <v>74</v>
      </c>
      <c r="G3763" s="1">
        <v>39</v>
      </c>
      <c r="H3763" s="23">
        <v>45306.176898148151</v>
      </c>
      <c r="I3763" s="1" t="b">
        <v>0</v>
      </c>
      <c r="K3763" s="10">
        <f t="shared" si="292"/>
        <v>16.945555555634201</v>
      </c>
      <c r="L3763" s="1" t="str">
        <f t="shared" si="293"/>
        <v>OK</v>
      </c>
      <c r="M3763" s="1">
        <f t="shared" si="290"/>
        <v>1</v>
      </c>
      <c r="N3763" s="1">
        <f t="shared" si="291"/>
        <v>39</v>
      </c>
      <c r="O3763" s="10">
        <f t="shared" si="294"/>
        <v>16.945555555634201</v>
      </c>
    </row>
    <row r="3764" spans="1:15">
      <c r="A3764" s="1" t="s">
        <v>3869</v>
      </c>
      <c r="B3764" s="23">
        <v>45305.531944444447</v>
      </c>
      <c r="C3764" s="1" t="s">
        <v>11</v>
      </c>
      <c r="D3764" s="1" t="s">
        <v>59</v>
      </c>
      <c r="E3764" s="1" t="s">
        <v>13</v>
      </c>
      <c r="F3764" s="1" t="s">
        <v>132</v>
      </c>
      <c r="G3764" s="1">
        <v>136</v>
      </c>
      <c r="H3764" s="23">
        <v>45305.592476851853</v>
      </c>
      <c r="I3764" s="1" t="b">
        <v>0</v>
      </c>
      <c r="J3764" s="1">
        <v>4</v>
      </c>
      <c r="K3764" s="10">
        <f t="shared" si="292"/>
        <v>1.4527777777402662</v>
      </c>
      <c r="L3764" s="1" t="str">
        <f t="shared" si="293"/>
        <v>Review</v>
      </c>
      <c r="M3764" s="1">
        <f t="shared" si="290"/>
        <v>1</v>
      </c>
      <c r="N3764" s="1" t="str">
        <f t="shared" si="291"/>
        <v/>
      </c>
      <c r="O3764" s="10" t="str">
        <f t="shared" si="294"/>
        <v/>
      </c>
    </row>
    <row r="3765" spans="1:15">
      <c r="A3765" s="1" t="s">
        <v>3870</v>
      </c>
      <c r="B3765" s="23">
        <v>45305.626388888886</v>
      </c>
      <c r="C3765" s="1" t="s">
        <v>16</v>
      </c>
      <c r="D3765" s="1" t="s">
        <v>21</v>
      </c>
      <c r="E3765" s="1" t="s">
        <v>18</v>
      </c>
      <c r="F3765" s="1" t="s">
        <v>245</v>
      </c>
      <c r="G3765" s="1">
        <v>13</v>
      </c>
      <c r="H3765" s="23">
        <v>45309.252511574072</v>
      </c>
      <c r="I3765" s="1" t="b">
        <v>0</v>
      </c>
      <c r="K3765" s="10">
        <f t="shared" si="292"/>
        <v>87.026944444456603</v>
      </c>
      <c r="L3765" s="1" t="str">
        <f t="shared" si="293"/>
        <v>OK</v>
      </c>
      <c r="M3765" s="1">
        <f t="shared" si="290"/>
        <v>1</v>
      </c>
      <c r="N3765" s="1">
        <f t="shared" si="291"/>
        <v>13</v>
      </c>
      <c r="O3765" s="10">
        <f t="shared" si="294"/>
        <v>87.026944444456603</v>
      </c>
    </row>
    <row r="3766" spans="1:15">
      <c r="A3766" s="1" t="s">
        <v>3871</v>
      </c>
      <c r="B3766" s="23">
        <v>45305.634027777778</v>
      </c>
      <c r="C3766" s="1" t="s">
        <v>16</v>
      </c>
      <c r="D3766" s="1" t="s">
        <v>12</v>
      </c>
      <c r="E3766" s="1" t="s">
        <v>18</v>
      </c>
      <c r="F3766" s="1" t="s">
        <v>41</v>
      </c>
      <c r="G3766" s="1">
        <v>431</v>
      </c>
      <c r="H3766" s="23">
        <v>45306.606805555559</v>
      </c>
      <c r="I3766" s="1" t="b">
        <v>0</v>
      </c>
      <c r="K3766" s="10">
        <f t="shared" si="292"/>
        <v>23.346666666737292</v>
      </c>
      <c r="L3766" s="1" t="str">
        <f t="shared" si="293"/>
        <v>OK</v>
      </c>
      <c r="M3766" s="1">
        <f t="shared" si="290"/>
        <v>1</v>
      </c>
      <c r="N3766" s="1">
        <f t="shared" si="291"/>
        <v>431</v>
      </c>
      <c r="O3766" s="10">
        <f t="shared" si="294"/>
        <v>23.346666666737292</v>
      </c>
    </row>
    <row r="3767" spans="1:15">
      <c r="A3767" s="1" t="s">
        <v>3872</v>
      </c>
      <c r="B3767" s="23">
        <v>45305.737500000003</v>
      </c>
      <c r="C3767" s="1" t="s">
        <v>43</v>
      </c>
      <c r="D3767" s="1" t="s">
        <v>59</v>
      </c>
      <c r="E3767" s="1" t="s">
        <v>13</v>
      </c>
      <c r="F3767" s="1" t="s">
        <v>39</v>
      </c>
      <c r="G3767" s="1">
        <v>139</v>
      </c>
      <c r="H3767" s="23">
        <v>45307.594756944447</v>
      </c>
      <c r="I3767" s="1" t="b">
        <v>0</v>
      </c>
      <c r="K3767" s="10">
        <f t="shared" si="292"/>
        <v>44.57416666665813</v>
      </c>
      <c r="L3767" s="1" t="str">
        <f t="shared" si="293"/>
        <v>OK</v>
      </c>
      <c r="M3767" s="1">
        <f t="shared" si="290"/>
        <v>1</v>
      </c>
      <c r="N3767" s="1">
        <f t="shared" si="291"/>
        <v>139</v>
      </c>
      <c r="O3767" s="10">
        <f t="shared" si="294"/>
        <v>44.57416666665813</v>
      </c>
    </row>
    <row r="3768" spans="1:15">
      <c r="A3768" s="1" t="s">
        <v>3873</v>
      </c>
      <c r="B3768" s="23">
        <v>45305.803472222222</v>
      </c>
      <c r="C3768" s="1" t="s">
        <v>11</v>
      </c>
      <c r="D3768" s="1" t="s">
        <v>17</v>
      </c>
      <c r="E3768" s="1" t="s">
        <v>13</v>
      </c>
      <c r="F3768" s="1" t="s">
        <v>96</v>
      </c>
      <c r="G3768" s="1">
        <v>18</v>
      </c>
      <c r="H3768" s="23">
        <v>45306.060601851852</v>
      </c>
      <c r="I3768" s="1" t="b">
        <v>0</v>
      </c>
      <c r="K3768" s="10">
        <f t="shared" si="292"/>
        <v>6.1711111111217178</v>
      </c>
      <c r="L3768" s="1" t="str">
        <f t="shared" si="293"/>
        <v>OK</v>
      </c>
      <c r="M3768" s="1">
        <f t="shared" si="290"/>
        <v>1</v>
      </c>
      <c r="N3768" s="1">
        <f t="shared" si="291"/>
        <v>18</v>
      </c>
      <c r="O3768" s="10">
        <f t="shared" si="294"/>
        <v>6.1711111111217178</v>
      </c>
    </row>
    <row r="3769" spans="1:15">
      <c r="A3769" s="1" t="s">
        <v>3874</v>
      </c>
      <c r="B3769" s="23">
        <v>45305.911111111112</v>
      </c>
      <c r="C3769" s="1" t="s">
        <v>16</v>
      </c>
      <c r="D3769" s="1" t="s">
        <v>21</v>
      </c>
      <c r="E3769" s="1" t="s">
        <v>33</v>
      </c>
      <c r="F3769" s="1" t="s">
        <v>234</v>
      </c>
      <c r="G3769" s="1">
        <v>330</v>
      </c>
      <c r="H3769" s="23">
        <v>45306.497800925928</v>
      </c>
      <c r="I3769" s="1" t="b">
        <v>0</v>
      </c>
      <c r="K3769" s="10">
        <f t="shared" si="292"/>
        <v>14.080555555585306</v>
      </c>
      <c r="L3769" s="1" t="str">
        <f t="shared" si="293"/>
        <v>OK</v>
      </c>
      <c r="M3769" s="1">
        <f t="shared" si="290"/>
        <v>1</v>
      </c>
      <c r="N3769" s="1">
        <f t="shared" si="291"/>
        <v>330</v>
      </c>
      <c r="O3769" s="10">
        <f t="shared" si="294"/>
        <v>14.080555555585306</v>
      </c>
    </row>
    <row r="3770" spans="1:15">
      <c r="A3770" s="1" t="s">
        <v>3875</v>
      </c>
      <c r="B3770" s="23">
        <v>45305.95</v>
      </c>
      <c r="C3770" s="1" t="s">
        <v>16</v>
      </c>
      <c r="D3770" s="1" t="s">
        <v>17</v>
      </c>
      <c r="E3770" s="1" t="s">
        <v>22</v>
      </c>
      <c r="F3770" s="1" t="s">
        <v>116</v>
      </c>
      <c r="G3770" s="1">
        <v>27</v>
      </c>
      <c r="H3770" s="23">
        <v>45306.081064814818</v>
      </c>
      <c r="I3770" s="1" t="b">
        <v>0</v>
      </c>
      <c r="K3770" s="10">
        <f t="shared" si="292"/>
        <v>3.1455555557040498</v>
      </c>
      <c r="L3770" s="1" t="str">
        <f t="shared" si="293"/>
        <v>OK</v>
      </c>
      <c r="M3770" s="1">
        <f t="shared" si="290"/>
        <v>1</v>
      </c>
      <c r="N3770" s="1">
        <f t="shared" si="291"/>
        <v>27</v>
      </c>
      <c r="O3770" s="10">
        <f t="shared" si="294"/>
        <v>3.1455555557040498</v>
      </c>
    </row>
    <row r="3771" spans="1:15">
      <c r="A3771" s="1" t="s">
        <v>3876</v>
      </c>
      <c r="B3771" s="23">
        <v>45305.970138888886</v>
      </c>
      <c r="C3771" s="1" t="s">
        <v>16</v>
      </c>
      <c r="D3771" s="1" t="s">
        <v>17</v>
      </c>
      <c r="E3771" s="1" t="s">
        <v>13</v>
      </c>
      <c r="F3771" s="1" t="s">
        <v>96</v>
      </c>
      <c r="G3771" s="1">
        <v>21</v>
      </c>
      <c r="I3771" s="1" t="b">
        <v>0</v>
      </c>
      <c r="K3771" s="10" t="str">
        <f t="shared" si="292"/>
        <v/>
      </c>
      <c r="L3771" s="1" t="str">
        <f t="shared" si="293"/>
        <v>Cannot check</v>
      </c>
      <c r="M3771" s="1">
        <f t="shared" si="290"/>
        <v>1</v>
      </c>
      <c r="N3771" s="1">
        <f t="shared" si="291"/>
        <v>21</v>
      </c>
      <c r="O3771" s="10" t="str">
        <f t="shared" si="294"/>
        <v/>
      </c>
    </row>
    <row r="3772" spans="1:15">
      <c r="A3772" s="1" t="s">
        <v>3877</v>
      </c>
      <c r="B3772" s="23">
        <v>45306.197916666664</v>
      </c>
      <c r="C3772" s="1" t="s">
        <v>16</v>
      </c>
      <c r="D3772" s="1" t="s">
        <v>17</v>
      </c>
      <c r="E3772" s="1" t="s">
        <v>18</v>
      </c>
      <c r="F3772" s="1" t="s">
        <v>88</v>
      </c>
      <c r="G3772" s="1">
        <v>77</v>
      </c>
      <c r="H3772" s="23">
        <v>45309.937256944446</v>
      </c>
      <c r="I3772" s="1" t="b">
        <v>0</v>
      </c>
      <c r="J3772" s="1">
        <v>3</v>
      </c>
      <c r="K3772" s="10">
        <f t="shared" si="292"/>
        <v>89.744166666758247</v>
      </c>
      <c r="L3772" s="1" t="str">
        <f t="shared" si="293"/>
        <v>OK</v>
      </c>
      <c r="M3772" s="1">
        <f t="shared" si="290"/>
        <v>1</v>
      </c>
      <c r="N3772" s="1">
        <f t="shared" si="291"/>
        <v>77</v>
      </c>
      <c r="O3772" s="10">
        <f t="shared" si="294"/>
        <v>89.744166666758247</v>
      </c>
    </row>
    <row r="3773" spans="1:15">
      <c r="A3773" s="1" t="s">
        <v>3878</v>
      </c>
      <c r="B3773" s="23">
        <v>45306.234722222223</v>
      </c>
      <c r="C3773" s="1" t="s">
        <v>11</v>
      </c>
      <c r="D3773" s="1" t="s">
        <v>12</v>
      </c>
      <c r="E3773" s="1" t="s">
        <v>22</v>
      </c>
      <c r="F3773" s="1" t="s">
        <v>118</v>
      </c>
      <c r="G3773" s="1">
        <v>5</v>
      </c>
      <c r="H3773" s="23">
        <v>45306.826736111114</v>
      </c>
      <c r="I3773" s="1" t="b">
        <v>0</v>
      </c>
      <c r="K3773" s="10">
        <f t="shared" si="292"/>
        <v>14.208333333372138</v>
      </c>
      <c r="L3773" s="1" t="str">
        <f t="shared" si="293"/>
        <v>OK</v>
      </c>
      <c r="M3773" s="1">
        <f t="shared" si="290"/>
        <v>1</v>
      </c>
      <c r="N3773" s="1">
        <f t="shared" si="291"/>
        <v>5</v>
      </c>
      <c r="O3773" s="10">
        <f t="shared" si="294"/>
        <v>14.208333333372138</v>
      </c>
    </row>
    <row r="3774" spans="1:15">
      <c r="A3774" s="1" t="s">
        <v>3879</v>
      </c>
      <c r="B3774" s="23">
        <v>45306.357638888891</v>
      </c>
      <c r="C3774" s="1" t="s">
        <v>16</v>
      </c>
      <c r="D3774" s="1" t="s">
        <v>17</v>
      </c>
      <c r="E3774" s="1" t="s">
        <v>18</v>
      </c>
      <c r="F3774" s="1" t="s">
        <v>259</v>
      </c>
      <c r="G3774" s="1">
        <v>124</v>
      </c>
      <c r="H3774" s="23">
        <v>45306.9377662037</v>
      </c>
      <c r="I3774" s="1" t="b">
        <v>0</v>
      </c>
      <c r="K3774" s="10">
        <f t="shared" si="292"/>
        <v>13.923055555438623</v>
      </c>
      <c r="L3774" s="1" t="str">
        <f t="shared" si="293"/>
        <v>OK</v>
      </c>
      <c r="M3774" s="1">
        <f t="shared" si="290"/>
        <v>1</v>
      </c>
      <c r="N3774" s="1">
        <f t="shared" si="291"/>
        <v>124</v>
      </c>
      <c r="O3774" s="10">
        <f t="shared" si="294"/>
        <v>13.923055555438623</v>
      </c>
    </row>
    <row r="3775" spans="1:15">
      <c r="A3775" s="1" t="s">
        <v>3880</v>
      </c>
      <c r="B3775" s="23">
        <v>45306.400694444441</v>
      </c>
      <c r="C3775" s="1" t="s">
        <v>16</v>
      </c>
      <c r="D3775" s="1" t="s">
        <v>17</v>
      </c>
      <c r="E3775" s="1" t="s">
        <v>18</v>
      </c>
      <c r="F3775" s="1" t="s">
        <v>120</v>
      </c>
      <c r="G3775" s="1">
        <v>239</v>
      </c>
      <c r="H3775" s="23">
        <v>45306.974560185183</v>
      </c>
      <c r="I3775" s="1" t="b">
        <v>0</v>
      </c>
      <c r="J3775" s="1">
        <v>3</v>
      </c>
      <c r="K3775" s="10">
        <f t="shared" si="292"/>
        <v>13.772777777805459</v>
      </c>
      <c r="L3775" s="1" t="str">
        <f t="shared" si="293"/>
        <v>OK</v>
      </c>
      <c r="M3775" s="1">
        <f t="shared" si="290"/>
        <v>1</v>
      </c>
      <c r="N3775" s="1">
        <f t="shared" si="291"/>
        <v>239</v>
      </c>
      <c r="O3775" s="10">
        <f t="shared" si="294"/>
        <v>13.772777777805459</v>
      </c>
    </row>
    <row r="3776" spans="1:15">
      <c r="A3776" s="1" t="s">
        <v>3881</v>
      </c>
      <c r="B3776" s="23">
        <v>45306.542361111111</v>
      </c>
      <c r="C3776" s="1" t="s">
        <v>11</v>
      </c>
      <c r="D3776" s="1" t="s">
        <v>59</v>
      </c>
      <c r="E3776" s="1" t="s">
        <v>18</v>
      </c>
      <c r="F3776" s="1" t="s">
        <v>54</v>
      </c>
      <c r="G3776" s="1">
        <v>133</v>
      </c>
      <c r="H3776" s="23">
        <v>45307.075185185182</v>
      </c>
      <c r="I3776" s="1" t="b">
        <v>0</v>
      </c>
      <c r="K3776" s="10">
        <f t="shared" si="292"/>
        <v>12.787777777703013</v>
      </c>
      <c r="L3776" s="1" t="str">
        <f t="shared" si="293"/>
        <v>OK</v>
      </c>
      <c r="M3776" s="1">
        <f t="shared" si="290"/>
        <v>1</v>
      </c>
      <c r="N3776" s="1">
        <f t="shared" si="291"/>
        <v>133</v>
      </c>
      <c r="O3776" s="10">
        <f t="shared" si="294"/>
        <v>12.787777777703013</v>
      </c>
    </row>
    <row r="3777" spans="1:15">
      <c r="A3777" s="1" t="s">
        <v>3882</v>
      </c>
      <c r="B3777" s="23">
        <v>45306.590277777781</v>
      </c>
      <c r="C3777" s="1" t="s">
        <v>16</v>
      </c>
      <c r="D3777" s="1" t="s">
        <v>26</v>
      </c>
      <c r="E3777" s="1" t="s">
        <v>33</v>
      </c>
      <c r="F3777" s="1" t="s">
        <v>326</v>
      </c>
      <c r="G3777" s="1">
        <v>85</v>
      </c>
      <c r="H3777" s="23">
        <v>45307.743460648147</v>
      </c>
      <c r="I3777" s="1" t="b">
        <v>0</v>
      </c>
      <c r="K3777" s="10">
        <f t="shared" si="292"/>
        <v>27.676388888794463</v>
      </c>
      <c r="L3777" s="1" t="str">
        <f t="shared" si="293"/>
        <v>OK</v>
      </c>
      <c r="M3777" s="1">
        <f t="shared" si="290"/>
        <v>1</v>
      </c>
      <c r="N3777" s="1">
        <f t="shared" si="291"/>
        <v>85</v>
      </c>
      <c r="O3777" s="10">
        <f t="shared" si="294"/>
        <v>27.676388888794463</v>
      </c>
    </row>
    <row r="3778" spans="1:15">
      <c r="A3778" s="1" t="s">
        <v>3883</v>
      </c>
      <c r="B3778" s="23">
        <v>45306.6</v>
      </c>
      <c r="C3778" s="1" t="s">
        <v>16</v>
      </c>
      <c r="D3778" s="1" t="s">
        <v>12</v>
      </c>
      <c r="E3778" s="1" t="s">
        <v>33</v>
      </c>
      <c r="F3778" s="1" t="s">
        <v>72</v>
      </c>
      <c r="G3778" s="1">
        <v>122</v>
      </c>
      <c r="H3778" s="23">
        <v>45307.810694444444</v>
      </c>
      <c r="I3778" s="1" t="b">
        <v>0</v>
      </c>
      <c r="K3778" s="10">
        <f t="shared" si="292"/>
        <v>29.056666666700039</v>
      </c>
      <c r="L3778" s="1" t="str">
        <f t="shared" si="293"/>
        <v>OK</v>
      </c>
      <c r="M3778" s="1">
        <f t="shared" ref="M3778:M3841" si="295">COUNTIF($A$2:$A$4001,A3778)</f>
        <v>1</v>
      </c>
      <c r="N3778" s="1">
        <f t="shared" ref="N3778:N3841" si="296">IF(OR(L3778="Review",G3778=""),"",G3778)</f>
        <v>122</v>
      </c>
      <c r="O3778" s="10">
        <f t="shared" si="294"/>
        <v>29.056666666700039</v>
      </c>
    </row>
    <row r="3779" spans="1:15">
      <c r="A3779" s="1" t="s">
        <v>3884</v>
      </c>
      <c r="B3779" s="23">
        <v>45306.737500000003</v>
      </c>
      <c r="C3779" s="1" t="s">
        <v>43</v>
      </c>
      <c r="D3779" s="1" t="s">
        <v>21</v>
      </c>
      <c r="E3779" s="1" t="s">
        <v>18</v>
      </c>
      <c r="F3779" s="1" t="s">
        <v>106</v>
      </c>
      <c r="G3779" s="1">
        <v>86</v>
      </c>
      <c r="H3779" s="23">
        <v>45306.888611111113</v>
      </c>
      <c r="I3779" s="1" t="b">
        <v>0</v>
      </c>
      <c r="K3779" s="10">
        <f t="shared" ref="K3779:K3842" si="297">IF(H3779="","",(H3779-B3779)*24)</f>
        <v>3.6266666666488163</v>
      </c>
      <c r="L3779" s="1" t="str">
        <f t="shared" ref="L3779:L3842" si="298">IF(OR(G3779="",K3779=""),"Cannot check",IF(G3779&gt;K3779*60,"Review","OK"))</f>
        <v>OK</v>
      </c>
      <c r="M3779" s="1">
        <f t="shared" si="295"/>
        <v>1</v>
      </c>
      <c r="N3779" s="1">
        <f t="shared" si="296"/>
        <v>86</v>
      </c>
      <c r="O3779" s="10">
        <f t="shared" ref="O3779:O3842" si="299">IF(OR(L3779="Review",K3779=""),"",K3779)</f>
        <v>3.6266666666488163</v>
      </c>
    </row>
    <row r="3780" spans="1:15">
      <c r="A3780" s="1" t="s">
        <v>3885</v>
      </c>
      <c r="B3780" s="23">
        <v>45306.84652777778</v>
      </c>
      <c r="C3780" s="1" t="s">
        <v>43</v>
      </c>
      <c r="D3780" s="1" t="s">
        <v>59</v>
      </c>
      <c r="E3780" s="1" t="s">
        <v>13</v>
      </c>
      <c r="F3780" s="1" t="s">
        <v>114</v>
      </c>
      <c r="G3780" s="1">
        <v>189</v>
      </c>
      <c r="H3780" s="23">
        <v>45307.354259259257</v>
      </c>
      <c r="I3780" s="1" t="b">
        <v>0</v>
      </c>
      <c r="J3780" s="1">
        <v>3</v>
      </c>
      <c r="K3780" s="10">
        <f t="shared" si="297"/>
        <v>12.185555555450264</v>
      </c>
      <c r="L3780" s="1" t="str">
        <f t="shared" si="298"/>
        <v>OK</v>
      </c>
      <c r="M3780" s="1">
        <f t="shared" si="295"/>
        <v>1</v>
      </c>
      <c r="N3780" s="1">
        <f t="shared" si="296"/>
        <v>189</v>
      </c>
      <c r="O3780" s="10">
        <f t="shared" si="299"/>
        <v>12.185555555450264</v>
      </c>
    </row>
    <row r="3781" spans="1:15">
      <c r="A3781" s="1" t="s">
        <v>3886</v>
      </c>
      <c r="B3781" s="23">
        <v>45306.972222222219</v>
      </c>
      <c r="C3781" s="1" t="s">
        <v>16</v>
      </c>
      <c r="D3781" s="1" t="s">
        <v>12</v>
      </c>
      <c r="E3781" s="1" t="s">
        <v>13</v>
      </c>
      <c r="F3781" s="1" t="s">
        <v>23</v>
      </c>
      <c r="G3781" s="1">
        <v>68</v>
      </c>
      <c r="H3781" s="23">
        <v>45307.482581018521</v>
      </c>
      <c r="I3781" s="1" t="b">
        <v>0</v>
      </c>
      <c r="K3781" s="10">
        <f t="shared" si="297"/>
        <v>12.248611111252103</v>
      </c>
      <c r="L3781" s="1" t="str">
        <f t="shared" si="298"/>
        <v>OK</v>
      </c>
      <c r="M3781" s="1">
        <f t="shared" si="295"/>
        <v>1</v>
      </c>
      <c r="N3781" s="1">
        <f t="shared" si="296"/>
        <v>68</v>
      </c>
      <c r="O3781" s="10">
        <f t="shared" si="299"/>
        <v>12.248611111252103</v>
      </c>
    </row>
    <row r="3782" spans="1:15">
      <c r="A3782" s="1" t="s">
        <v>3887</v>
      </c>
      <c r="B3782" s="23">
        <v>45307.015972222223</v>
      </c>
      <c r="C3782" s="1" t="s">
        <v>43</v>
      </c>
      <c r="D3782" s="1" t="s">
        <v>12</v>
      </c>
      <c r="E3782" s="1" t="s">
        <v>18</v>
      </c>
      <c r="F3782" s="1" t="s">
        <v>178</v>
      </c>
      <c r="G3782" s="1">
        <v>138</v>
      </c>
      <c r="H3782" s="23">
        <v>45307.134189814817</v>
      </c>
      <c r="I3782" s="1" t="b">
        <v>0</v>
      </c>
      <c r="K3782" s="10">
        <f t="shared" si="297"/>
        <v>2.8372222222387791</v>
      </c>
      <c r="L3782" s="1" t="str">
        <f t="shared" si="298"/>
        <v>OK</v>
      </c>
      <c r="M3782" s="1">
        <f t="shared" si="295"/>
        <v>1</v>
      </c>
      <c r="N3782" s="1">
        <f t="shared" si="296"/>
        <v>138</v>
      </c>
      <c r="O3782" s="10">
        <f t="shared" si="299"/>
        <v>2.8372222222387791</v>
      </c>
    </row>
    <row r="3783" spans="1:15">
      <c r="A3783" s="1" t="s">
        <v>3888</v>
      </c>
      <c r="B3783" s="23">
        <v>45307.053472222222</v>
      </c>
      <c r="C3783" s="1" t="s">
        <v>11</v>
      </c>
      <c r="D3783" s="1" t="s">
        <v>59</v>
      </c>
      <c r="E3783" s="1" t="s">
        <v>33</v>
      </c>
      <c r="F3783" s="1" t="s">
        <v>108</v>
      </c>
      <c r="G3783" s="1">
        <v>396</v>
      </c>
      <c r="H3783" s="23">
        <v>45307.162407407406</v>
      </c>
      <c r="I3783" s="1" t="b">
        <v>0</v>
      </c>
      <c r="K3783" s="10">
        <f t="shared" si="297"/>
        <v>2.6144444444216788</v>
      </c>
      <c r="L3783" s="1" t="str">
        <f t="shared" si="298"/>
        <v>Review</v>
      </c>
      <c r="M3783" s="1">
        <f t="shared" si="295"/>
        <v>1</v>
      </c>
      <c r="N3783" s="1" t="str">
        <f t="shared" si="296"/>
        <v/>
      </c>
      <c r="O3783" s="10" t="str">
        <f t="shared" si="299"/>
        <v/>
      </c>
    </row>
    <row r="3784" spans="1:15">
      <c r="A3784" s="1" t="s">
        <v>3889</v>
      </c>
      <c r="B3784" s="23">
        <v>45307.226388888892</v>
      </c>
      <c r="C3784" s="1" t="s">
        <v>11</v>
      </c>
      <c r="D3784" s="1" t="s">
        <v>21</v>
      </c>
      <c r="E3784" s="1" t="s">
        <v>18</v>
      </c>
      <c r="F3784" s="1" t="s">
        <v>29</v>
      </c>
      <c r="G3784" s="1">
        <v>70</v>
      </c>
      <c r="H3784" s="23">
        <v>45307.645613425928</v>
      </c>
      <c r="I3784" s="1" t="b">
        <v>0</v>
      </c>
      <c r="K3784" s="10">
        <f t="shared" si="297"/>
        <v>10.061388888861984</v>
      </c>
      <c r="L3784" s="1" t="str">
        <f t="shared" si="298"/>
        <v>OK</v>
      </c>
      <c r="M3784" s="1">
        <f t="shared" si="295"/>
        <v>1</v>
      </c>
      <c r="N3784" s="1">
        <f t="shared" si="296"/>
        <v>70</v>
      </c>
      <c r="O3784" s="10">
        <f t="shared" si="299"/>
        <v>10.061388888861984</v>
      </c>
    </row>
    <row r="3785" spans="1:15">
      <c r="A3785" s="1" t="s">
        <v>3890</v>
      </c>
      <c r="B3785" s="23">
        <v>45307.433333333334</v>
      </c>
      <c r="C3785" s="1" t="s">
        <v>25</v>
      </c>
      <c r="D3785" s="1" t="s">
        <v>12</v>
      </c>
      <c r="E3785" s="1" t="s">
        <v>13</v>
      </c>
      <c r="F3785" s="1" t="s">
        <v>74</v>
      </c>
      <c r="G3785" s="1">
        <v>52</v>
      </c>
      <c r="H3785" s="23">
        <v>45307.619120370371</v>
      </c>
      <c r="I3785" s="1" t="b">
        <v>0</v>
      </c>
      <c r="K3785" s="10">
        <f t="shared" si="297"/>
        <v>4.4588888888829388</v>
      </c>
      <c r="L3785" s="1" t="str">
        <f t="shared" si="298"/>
        <v>OK</v>
      </c>
      <c r="M3785" s="1">
        <f t="shared" si="295"/>
        <v>1</v>
      </c>
      <c r="N3785" s="1">
        <f t="shared" si="296"/>
        <v>52</v>
      </c>
      <c r="O3785" s="10">
        <f t="shared" si="299"/>
        <v>4.4588888888829388</v>
      </c>
    </row>
    <row r="3786" spans="1:15">
      <c r="A3786" s="1" t="s">
        <v>3891</v>
      </c>
      <c r="B3786" s="23">
        <v>45307.538194444445</v>
      </c>
      <c r="C3786" s="1" t="s">
        <v>43</v>
      </c>
      <c r="D3786" s="1" t="s">
        <v>26</v>
      </c>
      <c r="E3786" s="1" t="s">
        <v>18</v>
      </c>
      <c r="F3786" s="1" t="s">
        <v>57</v>
      </c>
      <c r="G3786" s="1">
        <v>65</v>
      </c>
      <c r="I3786" s="1" t="b">
        <v>0</v>
      </c>
      <c r="K3786" s="10" t="str">
        <f t="shared" si="297"/>
        <v/>
      </c>
      <c r="L3786" s="1" t="str">
        <f t="shared" si="298"/>
        <v>Cannot check</v>
      </c>
      <c r="M3786" s="1">
        <f t="shared" si="295"/>
        <v>1</v>
      </c>
      <c r="N3786" s="1">
        <f t="shared" si="296"/>
        <v>65</v>
      </c>
      <c r="O3786" s="10" t="str">
        <f t="shared" si="299"/>
        <v/>
      </c>
    </row>
    <row r="3787" spans="1:15">
      <c r="A3787" s="1" t="s">
        <v>3892</v>
      </c>
      <c r="B3787" s="23">
        <v>45307.565972222219</v>
      </c>
      <c r="C3787" s="1" t="s">
        <v>11</v>
      </c>
      <c r="D3787" s="1" t="s">
        <v>12</v>
      </c>
      <c r="E3787" s="1" t="s">
        <v>13</v>
      </c>
      <c r="F3787" s="1" t="s">
        <v>52</v>
      </c>
      <c r="G3787" s="1">
        <v>25</v>
      </c>
      <c r="H3787" s="23">
        <v>45307.755185185182</v>
      </c>
      <c r="I3787" s="1" t="b">
        <v>0</v>
      </c>
      <c r="K3787" s="10">
        <f t="shared" si="297"/>
        <v>4.5411111111170612</v>
      </c>
      <c r="L3787" s="1" t="str">
        <f t="shared" si="298"/>
        <v>OK</v>
      </c>
      <c r="M3787" s="1">
        <f t="shared" si="295"/>
        <v>1</v>
      </c>
      <c r="N3787" s="1">
        <f t="shared" si="296"/>
        <v>25</v>
      </c>
      <c r="O3787" s="10">
        <f t="shared" si="299"/>
        <v>4.5411111111170612</v>
      </c>
    </row>
    <row r="3788" spans="1:15">
      <c r="A3788" s="1" t="s">
        <v>3893</v>
      </c>
      <c r="B3788" s="23">
        <v>45307.773611111108</v>
      </c>
      <c r="C3788" s="1" t="s">
        <v>43</v>
      </c>
      <c r="D3788" s="1" t="s">
        <v>26</v>
      </c>
      <c r="E3788" s="1" t="s">
        <v>18</v>
      </c>
      <c r="F3788" s="1" t="s">
        <v>92</v>
      </c>
      <c r="G3788" s="1">
        <v>179</v>
      </c>
      <c r="H3788" s="23">
        <v>45317.057349537034</v>
      </c>
      <c r="I3788" s="1" t="b">
        <v>0</v>
      </c>
      <c r="K3788" s="10">
        <f t="shared" si="297"/>
        <v>222.80972222221317</v>
      </c>
      <c r="L3788" s="1" t="str">
        <f t="shared" si="298"/>
        <v>OK</v>
      </c>
      <c r="M3788" s="1">
        <f t="shared" si="295"/>
        <v>1</v>
      </c>
      <c r="N3788" s="1">
        <f t="shared" si="296"/>
        <v>179</v>
      </c>
      <c r="O3788" s="10">
        <f t="shared" si="299"/>
        <v>222.80972222221317</v>
      </c>
    </row>
    <row r="3789" spans="1:15">
      <c r="A3789" s="1" t="s">
        <v>3894</v>
      </c>
      <c r="B3789" s="23">
        <v>45307.988888888889</v>
      </c>
      <c r="C3789" s="1" t="s">
        <v>25</v>
      </c>
      <c r="D3789" s="1" t="s">
        <v>21</v>
      </c>
      <c r="E3789" s="1" t="s">
        <v>22</v>
      </c>
      <c r="F3789" s="1" t="s">
        <v>201</v>
      </c>
      <c r="G3789" s="1">
        <v>25</v>
      </c>
      <c r="H3789" s="23">
        <v>45308.228113425925</v>
      </c>
      <c r="I3789" s="1" t="b">
        <v>0</v>
      </c>
      <c r="K3789" s="10">
        <f t="shared" si="297"/>
        <v>5.7413888888549991</v>
      </c>
      <c r="L3789" s="1" t="str">
        <f t="shared" si="298"/>
        <v>OK</v>
      </c>
      <c r="M3789" s="1">
        <f t="shared" si="295"/>
        <v>1</v>
      </c>
      <c r="N3789" s="1">
        <f t="shared" si="296"/>
        <v>25</v>
      </c>
      <c r="O3789" s="10">
        <f t="shared" si="299"/>
        <v>5.7413888888549991</v>
      </c>
    </row>
    <row r="3790" spans="1:15">
      <c r="A3790" s="1" t="s">
        <v>3895</v>
      </c>
      <c r="B3790" s="23">
        <v>45308.157638888886</v>
      </c>
      <c r="C3790" s="1" t="s">
        <v>43</v>
      </c>
      <c r="D3790" s="1" t="s">
        <v>17</v>
      </c>
      <c r="E3790" s="1" t="s">
        <v>33</v>
      </c>
      <c r="F3790" s="1" t="s">
        <v>62</v>
      </c>
      <c r="H3790" s="23">
        <v>45308.976307870369</v>
      </c>
      <c r="I3790" s="1" t="b">
        <v>1</v>
      </c>
      <c r="K3790" s="10">
        <f t="shared" si="297"/>
        <v>19.648055555589963</v>
      </c>
      <c r="L3790" s="1" t="str">
        <f t="shared" si="298"/>
        <v>Cannot check</v>
      </c>
      <c r="M3790" s="1">
        <f t="shared" si="295"/>
        <v>1</v>
      </c>
      <c r="N3790" s="1" t="str">
        <f t="shared" si="296"/>
        <v/>
      </c>
      <c r="O3790" s="10">
        <f t="shared" si="299"/>
        <v>19.648055555589963</v>
      </c>
    </row>
    <row r="3791" spans="1:15">
      <c r="A3791" s="1" t="s">
        <v>3896</v>
      </c>
      <c r="B3791" s="23">
        <v>45308.193749999999</v>
      </c>
      <c r="C3791" s="1" t="s">
        <v>16</v>
      </c>
      <c r="D3791" s="1" t="s">
        <v>21</v>
      </c>
      <c r="E3791" s="1" t="s">
        <v>18</v>
      </c>
      <c r="F3791" s="1" t="s">
        <v>132</v>
      </c>
      <c r="G3791" s="1">
        <v>117</v>
      </c>
      <c r="H3791" s="23">
        <v>45310.693993055553</v>
      </c>
      <c r="I3791" s="1" t="b">
        <v>0</v>
      </c>
      <c r="K3791" s="10">
        <f t="shared" si="297"/>
        <v>60.005833333299961</v>
      </c>
      <c r="L3791" s="1" t="str">
        <f t="shared" si="298"/>
        <v>OK</v>
      </c>
      <c r="M3791" s="1">
        <f t="shared" si="295"/>
        <v>1</v>
      </c>
      <c r="N3791" s="1">
        <f t="shared" si="296"/>
        <v>117</v>
      </c>
      <c r="O3791" s="10">
        <f t="shared" si="299"/>
        <v>60.005833333299961</v>
      </c>
    </row>
    <row r="3792" spans="1:15">
      <c r="A3792" s="1" t="s">
        <v>3897</v>
      </c>
      <c r="B3792" s="23">
        <v>45308.240972222222</v>
      </c>
      <c r="C3792" s="1" t="s">
        <v>11</v>
      </c>
      <c r="D3792" s="1" t="s">
        <v>17</v>
      </c>
      <c r="E3792" s="1" t="s">
        <v>18</v>
      </c>
      <c r="F3792" s="1" t="s">
        <v>167</v>
      </c>
      <c r="G3792" s="1">
        <v>152</v>
      </c>
      <c r="H3792" s="23">
        <v>45310.591412037036</v>
      </c>
      <c r="I3792" s="1" t="b">
        <v>0</v>
      </c>
      <c r="K3792" s="10">
        <f t="shared" si="297"/>
        <v>56.410555555543397</v>
      </c>
      <c r="L3792" s="1" t="str">
        <f t="shared" si="298"/>
        <v>OK</v>
      </c>
      <c r="M3792" s="1">
        <f t="shared" si="295"/>
        <v>1</v>
      </c>
      <c r="N3792" s="1">
        <f t="shared" si="296"/>
        <v>152</v>
      </c>
      <c r="O3792" s="10">
        <f t="shared" si="299"/>
        <v>56.410555555543397</v>
      </c>
    </row>
    <row r="3793" spans="1:15">
      <c r="A3793" s="1" t="s">
        <v>3898</v>
      </c>
      <c r="B3793" s="23">
        <v>45308.27847222222</v>
      </c>
      <c r="C3793" s="1" t="s">
        <v>43</v>
      </c>
      <c r="D3793" s="1" t="s">
        <v>17</v>
      </c>
      <c r="E3793" s="1" t="s">
        <v>18</v>
      </c>
      <c r="F3793" s="1" t="s">
        <v>74</v>
      </c>
      <c r="G3793" s="1">
        <v>96</v>
      </c>
      <c r="H3793" s="23">
        <v>45310.060474537036</v>
      </c>
      <c r="I3793" s="1" t="b">
        <v>0</v>
      </c>
      <c r="K3793" s="10">
        <f t="shared" si="297"/>
        <v>42.768055555585306</v>
      </c>
      <c r="L3793" s="1" t="str">
        <f t="shared" si="298"/>
        <v>OK</v>
      </c>
      <c r="M3793" s="1">
        <f t="shared" si="295"/>
        <v>1</v>
      </c>
      <c r="N3793" s="1">
        <f t="shared" si="296"/>
        <v>96</v>
      </c>
      <c r="O3793" s="10">
        <f t="shared" si="299"/>
        <v>42.768055555585306</v>
      </c>
    </row>
    <row r="3794" spans="1:15">
      <c r="A3794" s="1" t="s">
        <v>3899</v>
      </c>
      <c r="B3794" s="23">
        <v>45308.331250000003</v>
      </c>
      <c r="C3794" s="1" t="s">
        <v>25</v>
      </c>
      <c r="D3794" s="1" t="s">
        <v>17</v>
      </c>
      <c r="E3794" s="1" t="s">
        <v>33</v>
      </c>
      <c r="F3794" s="1" t="s">
        <v>167</v>
      </c>
      <c r="G3794" s="1">
        <v>227</v>
      </c>
      <c r="H3794" s="23">
        <v>45312.21125</v>
      </c>
      <c r="I3794" s="1" t="b">
        <v>0</v>
      </c>
      <c r="K3794" s="10">
        <f t="shared" si="297"/>
        <v>93.119999999937136</v>
      </c>
      <c r="L3794" s="1" t="str">
        <f t="shared" si="298"/>
        <v>OK</v>
      </c>
      <c r="M3794" s="1">
        <f t="shared" si="295"/>
        <v>1</v>
      </c>
      <c r="N3794" s="1">
        <f t="shared" si="296"/>
        <v>227</v>
      </c>
      <c r="O3794" s="10">
        <f t="shared" si="299"/>
        <v>93.119999999937136</v>
      </c>
    </row>
    <row r="3795" spans="1:15">
      <c r="A3795" s="1" t="s">
        <v>3900</v>
      </c>
      <c r="B3795" s="23">
        <v>45308.347916666666</v>
      </c>
      <c r="C3795" s="1" t="s">
        <v>11</v>
      </c>
      <c r="D3795" s="1" t="s">
        <v>17</v>
      </c>
      <c r="E3795" s="1" t="s">
        <v>18</v>
      </c>
      <c r="F3795" s="1" t="s">
        <v>110</v>
      </c>
      <c r="G3795" s="1">
        <v>41</v>
      </c>
      <c r="H3795" s="23">
        <v>45309.905740740738</v>
      </c>
      <c r="I3795" s="1" t="b">
        <v>0</v>
      </c>
      <c r="J3795" s="1">
        <v>4</v>
      </c>
      <c r="K3795" s="10">
        <f t="shared" si="297"/>
        <v>37.387777777737938</v>
      </c>
      <c r="L3795" s="1" t="str">
        <f t="shared" si="298"/>
        <v>OK</v>
      </c>
      <c r="M3795" s="1">
        <f t="shared" si="295"/>
        <v>1</v>
      </c>
      <c r="N3795" s="1">
        <f t="shared" si="296"/>
        <v>41</v>
      </c>
      <c r="O3795" s="10">
        <f t="shared" si="299"/>
        <v>37.387777777737938</v>
      </c>
    </row>
    <row r="3796" spans="1:15">
      <c r="A3796" s="1" t="s">
        <v>3901</v>
      </c>
      <c r="B3796" s="23">
        <v>45308.576388888891</v>
      </c>
      <c r="C3796" s="1" t="s">
        <v>16</v>
      </c>
      <c r="D3796" s="1" t="s">
        <v>26</v>
      </c>
      <c r="E3796" s="1" t="s">
        <v>18</v>
      </c>
      <c r="F3796" s="1" t="s">
        <v>14</v>
      </c>
      <c r="G3796" s="1">
        <v>320</v>
      </c>
      <c r="H3796" s="23">
        <v>45311.969687500001</v>
      </c>
      <c r="I3796" s="1" t="b">
        <v>0</v>
      </c>
      <c r="K3796" s="10">
        <f t="shared" si="297"/>
        <v>81.439166666648816</v>
      </c>
      <c r="L3796" s="1" t="str">
        <f t="shared" si="298"/>
        <v>OK</v>
      </c>
      <c r="M3796" s="1">
        <f t="shared" si="295"/>
        <v>1</v>
      </c>
      <c r="N3796" s="1">
        <f t="shared" si="296"/>
        <v>320</v>
      </c>
      <c r="O3796" s="10">
        <f t="shared" si="299"/>
        <v>81.439166666648816</v>
      </c>
    </row>
    <row r="3797" spans="1:15">
      <c r="A3797" s="1" t="s">
        <v>3902</v>
      </c>
      <c r="B3797" s="23">
        <v>45308.769444444442</v>
      </c>
      <c r="C3797" s="1" t="s">
        <v>16</v>
      </c>
      <c r="D3797" s="1" t="s">
        <v>12</v>
      </c>
      <c r="E3797" s="1" t="s">
        <v>18</v>
      </c>
      <c r="F3797" s="1" t="s">
        <v>317</v>
      </c>
      <c r="G3797" s="1">
        <v>270</v>
      </c>
      <c r="H3797" s="23">
        <v>45309.781354166669</v>
      </c>
      <c r="I3797" s="1" t="b">
        <v>0</v>
      </c>
      <c r="J3797" s="1">
        <v>4</v>
      </c>
      <c r="K3797" s="10">
        <f t="shared" si="297"/>
        <v>24.285833333444316</v>
      </c>
      <c r="L3797" s="1" t="str">
        <f t="shared" si="298"/>
        <v>OK</v>
      </c>
      <c r="M3797" s="1">
        <f t="shared" si="295"/>
        <v>1</v>
      </c>
      <c r="N3797" s="1">
        <f t="shared" si="296"/>
        <v>270</v>
      </c>
      <c r="O3797" s="10">
        <f t="shared" si="299"/>
        <v>24.285833333444316</v>
      </c>
    </row>
    <row r="3798" spans="1:15">
      <c r="A3798" s="1" t="s">
        <v>3903</v>
      </c>
      <c r="B3798" s="23">
        <v>45308.770833333336</v>
      </c>
      <c r="C3798" s="1" t="s">
        <v>16</v>
      </c>
      <c r="D3798" s="1" t="s">
        <v>17</v>
      </c>
      <c r="E3798" s="1" t="s">
        <v>13</v>
      </c>
      <c r="F3798" s="1" t="s">
        <v>88</v>
      </c>
      <c r="G3798" s="1">
        <v>59</v>
      </c>
      <c r="H3798" s="23">
        <v>45312.047013888892</v>
      </c>
      <c r="I3798" s="1" t="b">
        <v>0</v>
      </c>
      <c r="J3798" s="1">
        <v>3</v>
      </c>
      <c r="K3798" s="10">
        <f t="shared" si="297"/>
        <v>78.62833333335584</v>
      </c>
      <c r="L3798" s="1" t="str">
        <f t="shared" si="298"/>
        <v>OK</v>
      </c>
      <c r="M3798" s="1">
        <f t="shared" si="295"/>
        <v>1</v>
      </c>
      <c r="N3798" s="1">
        <f t="shared" si="296"/>
        <v>59</v>
      </c>
      <c r="O3798" s="10">
        <f t="shared" si="299"/>
        <v>78.62833333335584</v>
      </c>
    </row>
    <row r="3799" spans="1:15">
      <c r="A3799" s="1" t="s">
        <v>3904</v>
      </c>
      <c r="B3799" s="23">
        <v>45308.837500000001</v>
      </c>
      <c r="C3799" s="1" t="s">
        <v>43</v>
      </c>
      <c r="D3799" s="1" t="s">
        <v>26</v>
      </c>
      <c r="E3799" s="1" t="s">
        <v>33</v>
      </c>
      <c r="F3799" s="1" t="s">
        <v>198</v>
      </c>
      <c r="G3799" s="1">
        <v>20</v>
      </c>
      <c r="H3799" s="23">
        <v>45309.614189814813</v>
      </c>
      <c r="I3799" s="1" t="b">
        <v>0</v>
      </c>
      <c r="J3799" s="1">
        <v>4</v>
      </c>
      <c r="K3799" s="10">
        <f t="shared" si="297"/>
        <v>18.640555555466563</v>
      </c>
      <c r="L3799" s="1" t="str">
        <f t="shared" si="298"/>
        <v>OK</v>
      </c>
      <c r="M3799" s="1">
        <f t="shared" si="295"/>
        <v>1</v>
      </c>
      <c r="N3799" s="1">
        <f t="shared" si="296"/>
        <v>20</v>
      </c>
      <c r="O3799" s="10">
        <f t="shared" si="299"/>
        <v>18.640555555466563</v>
      </c>
    </row>
    <row r="3800" spans="1:15">
      <c r="A3800" s="1" t="s">
        <v>3905</v>
      </c>
      <c r="B3800" s="23">
        <v>45308.902083333334</v>
      </c>
      <c r="C3800" s="1" t="s">
        <v>16</v>
      </c>
      <c r="D3800" s="1" t="s">
        <v>21</v>
      </c>
      <c r="E3800" s="1" t="s">
        <v>13</v>
      </c>
      <c r="F3800" s="1" t="s">
        <v>60</v>
      </c>
      <c r="G3800" s="1">
        <v>99</v>
      </c>
      <c r="H3800" s="23">
        <v>45308.946666666663</v>
      </c>
      <c r="I3800" s="1" t="b">
        <v>0</v>
      </c>
      <c r="K3800" s="10">
        <f t="shared" si="297"/>
        <v>1.0699999998905696</v>
      </c>
      <c r="L3800" s="1" t="str">
        <f t="shared" si="298"/>
        <v>Review</v>
      </c>
      <c r="M3800" s="1">
        <f t="shared" si="295"/>
        <v>1</v>
      </c>
      <c r="N3800" s="1" t="str">
        <f t="shared" si="296"/>
        <v/>
      </c>
      <c r="O3800" s="10" t="str">
        <f t="shared" si="299"/>
        <v/>
      </c>
    </row>
    <row r="3801" spans="1:15">
      <c r="A3801" s="1" t="s">
        <v>3906</v>
      </c>
      <c r="B3801" s="23">
        <v>45309.09652777778</v>
      </c>
      <c r="C3801" s="1" t="s">
        <v>11</v>
      </c>
      <c r="D3801" s="1" t="s">
        <v>26</v>
      </c>
      <c r="E3801" s="1" t="s">
        <v>18</v>
      </c>
      <c r="F3801" s="1" t="s">
        <v>120</v>
      </c>
      <c r="G3801" s="1">
        <v>85</v>
      </c>
      <c r="H3801" s="23">
        <v>45312.913865740738</v>
      </c>
      <c r="I3801" s="1" t="b">
        <v>0</v>
      </c>
      <c r="J3801" s="1">
        <v>5</v>
      </c>
      <c r="K3801" s="10">
        <f t="shared" si="297"/>
        <v>91.616111111012287</v>
      </c>
      <c r="L3801" s="1" t="str">
        <f t="shared" si="298"/>
        <v>OK</v>
      </c>
      <c r="M3801" s="1">
        <f t="shared" si="295"/>
        <v>1</v>
      </c>
      <c r="N3801" s="1">
        <f t="shared" si="296"/>
        <v>85</v>
      </c>
      <c r="O3801" s="10">
        <f t="shared" si="299"/>
        <v>91.616111111012287</v>
      </c>
    </row>
    <row r="3802" spans="1:15">
      <c r="A3802" s="1" t="s">
        <v>3907</v>
      </c>
      <c r="B3802" s="23">
        <v>45309.12222222222</v>
      </c>
      <c r="C3802" s="1" t="s">
        <v>25</v>
      </c>
      <c r="D3802" s="1" t="s">
        <v>17</v>
      </c>
      <c r="E3802" s="1" t="s">
        <v>13</v>
      </c>
      <c r="F3802" s="1" t="s">
        <v>37</v>
      </c>
      <c r="G3802" s="1">
        <v>48</v>
      </c>
      <c r="H3802" s="23">
        <v>45309.855706018519</v>
      </c>
      <c r="I3802" s="1" t="b">
        <v>0</v>
      </c>
      <c r="K3802" s="10">
        <f t="shared" si="297"/>
        <v>17.603611111175269</v>
      </c>
      <c r="L3802" s="1" t="str">
        <f t="shared" si="298"/>
        <v>OK</v>
      </c>
      <c r="M3802" s="1">
        <f t="shared" si="295"/>
        <v>1</v>
      </c>
      <c r="N3802" s="1">
        <f t="shared" si="296"/>
        <v>48</v>
      </c>
      <c r="O3802" s="10">
        <f t="shared" si="299"/>
        <v>17.603611111175269</v>
      </c>
    </row>
    <row r="3803" spans="1:15">
      <c r="A3803" s="1" t="s">
        <v>3908</v>
      </c>
      <c r="B3803" s="23">
        <v>45309.152083333334</v>
      </c>
      <c r="C3803" s="1" t="s">
        <v>43</v>
      </c>
      <c r="D3803" s="1" t="s">
        <v>21</v>
      </c>
      <c r="E3803" s="1" t="s">
        <v>13</v>
      </c>
      <c r="F3803" s="1" t="s">
        <v>74</v>
      </c>
      <c r="G3803" s="1">
        <v>46</v>
      </c>
      <c r="H3803" s="23">
        <v>45310.130949074075</v>
      </c>
      <c r="I3803" s="1" t="b">
        <v>0</v>
      </c>
      <c r="J3803" s="1">
        <v>3</v>
      </c>
      <c r="K3803" s="10">
        <f t="shared" si="297"/>
        <v>23.492777777777519</v>
      </c>
      <c r="L3803" s="1" t="str">
        <f t="shared" si="298"/>
        <v>OK</v>
      </c>
      <c r="M3803" s="1">
        <f t="shared" si="295"/>
        <v>1</v>
      </c>
      <c r="N3803" s="1">
        <f t="shared" si="296"/>
        <v>46</v>
      </c>
      <c r="O3803" s="10">
        <f t="shared" si="299"/>
        <v>23.492777777777519</v>
      </c>
    </row>
    <row r="3804" spans="1:15">
      <c r="A3804" s="1" t="s">
        <v>3909</v>
      </c>
      <c r="B3804" s="23">
        <v>45309.262499999997</v>
      </c>
      <c r="C3804" s="1" t="s">
        <v>43</v>
      </c>
      <c r="D3804" s="1" t="s">
        <v>17</v>
      </c>
      <c r="E3804" s="1" t="s">
        <v>18</v>
      </c>
      <c r="F3804" s="1" t="s">
        <v>41</v>
      </c>
      <c r="G3804" s="1">
        <v>206</v>
      </c>
      <c r="H3804" s="23">
        <v>45314.468865740739</v>
      </c>
      <c r="I3804" s="1" t="b">
        <v>0</v>
      </c>
      <c r="J3804" s="1">
        <v>4</v>
      </c>
      <c r="K3804" s="10">
        <f t="shared" si="297"/>
        <v>124.95277777779847</v>
      </c>
      <c r="L3804" s="1" t="str">
        <f t="shared" si="298"/>
        <v>OK</v>
      </c>
      <c r="M3804" s="1">
        <f t="shared" si="295"/>
        <v>1</v>
      </c>
      <c r="N3804" s="1">
        <f t="shared" si="296"/>
        <v>206</v>
      </c>
      <c r="O3804" s="10">
        <f t="shared" si="299"/>
        <v>124.95277777779847</v>
      </c>
    </row>
    <row r="3805" spans="1:15">
      <c r="A3805" s="1" t="s">
        <v>3910</v>
      </c>
      <c r="B3805" s="23">
        <v>45309.318055555559</v>
      </c>
      <c r="C3805" s="1" t="s">
        <v>16</v>
      </c>
      <c r="D3805" s="1" t="s">
        <v>12</v>
      </c>
      <c r="E3805" s="1" t="s">
        <v>18</v>
      </c>
      <c r="F3805" s="1" t="s">
        <v>48</v>
      </c>
      <c r="G3805" s="1">
        <v>115</v>
      </c>
      <c r="H3805" s="23">
        <v>45309.759895833333</v>
      </c>
      <c r="I3805" s="1" t="b">
        <v>0</v>
      </c>
      <c r="J3805" s="1">
        <v>5</v>
      </c>
      <c r="K3805" s="10">
        <f t="shared" si="297"/>
        <v>10.604166666569654</v>
      </c>
      <c r="L3805" s="1" t="str">
        <f t="shared" si="298"/>
        <v>OK</v>
      </c>
      <c r="M3805" s="1">
        <f t="shared" si="295"/>
        <v>1</v>
      </c>
      <c r="N3805" s="1">
        <f t="shared" si="296"/>
        <v>115</v>
      </c>
      <c r="O3805" s="10">
        <f t="shared" si="299"/>
        <v>10.604166666569654</v>
      </c>
    </row>
    <row r="3806" spans="1:15">
      <c r="A3806" s="1" t="s">
        <v>3911</v>
      </c>
      <c r="B3806" s="23">
        <v>45309.367361111108</v>
      </c>
      <c r="C3806" s="1" t="s">
        <v>43</v>
      </c>
      <c r="D3806" s="1" t="s">
        <v>17</v>
      </c>
      <c r="E3806" s="1" t="s">
        <v>33</v>
      </c>
      <c r="F3806" s="1" t="s">
        <v>130</v>
      </c>
      <c r="G3806" s="1">
        <v>932</v>
      </c>
      <c r="H3806" s="23">
        <v>45312.88318287037</v>
      </c>
      <c r="I3806" s="1" t="b">
        <v>0</v>
      </c>
      <c r="K3806" s="10">
        <f t="shared" si="297"/>
        <v>84.37972222227836</v>
      </c>
      <c r="L3806" s="1" t="str">
        <f t="shared" si="298"/>
        <v>OK</v>
      </c>
      <c r="M3806" s="1">
        <f t="shared" si="295"/>
        <v>1</v>
      </c>
      <c r="N3806" s="1">
        <f t="shared" si="296"/>
        <v>932</v>
      </c>
      <c r="O3806" s="10">
        <f t="shared" si="299"/>
        <v>84.37972222227836</v>
      </c>
    </row>
    <row r="3807" spans="1:15">
      <c r="A3807" s="1" t="s">
        <v>3912</v>
      </c>
      <c r="B3807" s="23">
        <v>45309.538888888892</v>
      </c>
      <c r="C3807" s="1" t="s">
        <v>11</v>
      </c>
      <c r="D3807" s="1" t="s">
        <v>12</v>
      </c>
      <c r="E3807" s="1" t="s">
        <v>18</v>
      </c>
      <c r="F3807" s="1" t="s">
        <v>215</v>
      </c>
      <c r="G3807" s="1">
        <v>281</v>
      </c>
      <c r="H3807" s="23">
        <v>45312.622847222221</v>
      </c>
      <c r="I3807" s="1" t="b">
        <v>0</v>
      </c>
      <c r="K3807" s="10">
        <f t="shared" si="297"/>
        <v>74.014999999897555</v>
      </c>
      <c r="L3807" s="1" t="str">
        <f t="shared" si="298"/>
        <v>OK</v>
      </c>
      <c r="M3807" s="1">
        <f t="shared" si="295"/>
        <v>1</v>
      </c>
      <c r="N3807" s="1">
        <f t="shared" si="296"/>
        <v>281</v>
      </c>
      <c r="O3807" s="10">
        <f t="shared" si="299"/>
        <v>74.014999999897555</v>
      </c>
    </row>
    <row r="3808" spans="1:15">
      <c r="A3808" s="1" t="s">
        <v>3913</v>
      </c>
      <c r="B3808" s="23">
        <v>45309.617361111108</v>
      </c>
      <c r="C3808" s="1" t="s">
        <v>16</v>
      </c>
      <c r="D3808" s="1" t="s">
        <v>17</v>
      </c>
      <c r="E3808" s="1" t="s">
        <v>13</v>
      </c>
      <c r="F3808" s="1" t="s">
        <v>80</v>
      </c>
      <c r="G3808" s="1">
        <v>18</v>
      </c>
      <c r="H3808" s="23">
        <v>45310.778194444443</v>
      </c>
      <c r="I3808" s="1" t="b">
        <v>0</v>
      </c>
      <c r="K3808" s="10">
        <f t="shared" si="297"/>
        <v>27.860000000044238</v>
      </c>
      <c r="L3808" s="1" t="str">
        <f t="shared" si="298"/>
        <v>OK</v>
      </c>
      <c r="M3808" s="1">
        <f t="shared" si="295"/>
        <v>1</v>
      </c>
      <c r="N3808" s="1">
        <f t="shared" si="296"/>
        <v>18</v>
      </c>
      <c r="O3808" s="10">
        <f t="shared" si="299"/>
        <v>27.860000000044238</v>
      </c>
    </row>
    <row r="3809" spans="1:15">
      <c r="A3809" s="1" t="s">
        <v>3914</v>
      </c>
      <c r="B3809" s="23">
        <v>45309.954861111109</v>
      </c>
      <c r="C3809" s="1" t="s">
        <v>16</v>
      </c>
      <c r="D3809" s="1" t="s">
        <v>12</v>
      </c>
      <c r="E3809" s="1" t="s">
        <v>18</v>
      </c>
      <c r="F3809" s="1" t="s">
        <v>98</v>
      </c>
      <c r="G3809" s="1">
        <v>66</v>
      </c>
      <c r="H3809" s="23">
        <v>45319.859236111108</v>
      </c>
      <c r="I3809" s="1" t="b">
        <v>0</v>
      </c>
      <c r="K3809" s="10">
        <f t="shared" si="297"/>
        <v>237.70499999995809</v>
      </c>
      <c r="L3809" s="1" t="str">
        <f t="shared" si="298"/>
        <v>OK</v>
      </c>
      <c r="M3809" s="1">
        <f t="shared" si="295"/>
        <v>1</v>
      </c>
      <c r="N3809" s="1">
        <f t="shared" si="296"/>
        <v>66</v>
      </c>
      <c r="O3809" s="10">
        <f t="shared" si="299"/>
        <v>237.70499999995809</v>
      </c>
    </row>
    <row r="3810" spans="1:15">
      <c r="A3810" s="1" t="s">
        <v>3915</v>
      </c>
      <c r="B3810" s="23">
        <v>45309.979166666664</v>
      </c>
      <c r="C3810" s="1" t="s">
        <v>16</v>
      </c>
      <c r="D3810" s="1" t="s">
        <v>12</v>
      </c>
      <c r="E3810" s="1" t="s">
        <v>18</v>
      </c>
      <c r="F3810" s="1" t="s">
        <v>35</v>
      </c>
      <c r="G3810" s="1">
        <v>74</v>
      </c>
      <c r="H3810" s="23">
        <v>45310.891261574077</v>
      </c>
      <c r="I3810" s="1" t="b">
        <v>0</v>
      </c>
      <c r="K3810" s="10">
        <f t="shared" si="297"/>
        <v>21.890277777914889</v>
      </c>
      <c r="L3810" s="1" t="str">
        <f t="shared" si="298"/>
        <v>OK</v>
      </c>
      <c r="M3810" s="1">
        <f t="shared" si="295"/>
        <v>1</v>
      </c>
      <c r="N3810" s="1">
        <f t="shared" si="296"/>
        <v>74</v>
      </c>
      <c r="O3810" s="10">
        <f t="shared" si="299"/>
        <v>21.890277777914889</v>
      </c>
    </row>
    <row r="3811" spans="1:15">
      <c r="A3811" s="1" t="s">
        <v>3916</v>
      </c>
      <c r="B3811" s="23">
        <v>45310.013194444444</v>
      </c>
      <c r="C3811" s="1" t="s">
        <v>11</v>
      </c>
      <c r="D3811" s="1" t="s">
        <v>12</v>
      </c>
      <c r="E3811" s="1" t="s">
        <v>22</v>
      </c>
      <c r="F3811" s="1" t="s">
        <v>162</v>
      </c>
      <c r="G3811" s="1">
        <v>21</v>
      </c>
      <c r="H3811" s="23">
        <v>45310.120925925927</v>
      </c>
      <c r="I3811" s="1" t="b">
        <v>0</v>
      </c>
      <c r="K3811" s="10">
        <f t="shared" si="297"/>
        <v>2.5855555555899628</v>
      </c>
      <c r="L3811" s="1" t="str">
        <f t="shared" si="298"/>
        <v>OK</v>
      </c>
      <c r="M3811" s="1">
        <f t="shared" si="295"/>
        <v>1</v>
      </c>
      <c r="N3811" s="1">
        <f t="shared" si="296"/>
        <v>21</v>
      </c>
      <c r="O3811" s="10">
        <f t="shared" si="299"/>
        <v>2.5855555555899628</v>
      </c>
    </row>
    <row r="3812" spans="1:15">
      <c r="A3812" s="1" t="s">
        <v>3917</v>
      </c>
      <c r="B3812" s="23">
        <v>45310.051388888889</v>
      </c>
      <c r="C3812" s="1" t="s">
        <v>11</v>
      </c>
      <c r="D3812" s="1" t="s">
        <v>21</v>
      </c>
      <c r="E3812" s="1" t="s">
        <v>13</v>
      </c>
      <c r="F3812" s="1" t="s">
        <v>100</v>
      </c>
      <c r="G3812" s="1">
        <v>34</v>
      </c>
      <c r="H3812" s="23">
        <v>45311.012372685182</v>
      </c>
      <c r="I3812" s="1" t="b">
        <v>0</v>
      </c>
      <c r="K3812" s="10">
        <f t="shared" si="297"/>
        <v>23.063611111021601</v>
      </c>
      <c r="L3812" s="1" t="str">
        <f t="shared" si="298"/>
        <v>OK</v>
      </c>
      <c r="M3812" s="1">
        <f t="shared" si="295"/>
        <v>1</v>
      </c>
      <c r="N3812" s="1">
        <f t="shared" si="296"/>
        <v>34</v>
      </c>
      <c r="O3812" s="10">
        <f t="shared" si="299"/>
        <v>23.063611111021601</v>
      </c>
    </row>
    <row r="3813" spans="1:15">
      <c r="A3813" s="1" t="s">
        <v>3918</v>
      </c>
      <c r="B3813" s="23">
        <v>45310.138888888891</v>
      </c>
      <c r="C3813" s="1" t="s">
        <v>25</v>
      </c>
      <c r="D3813" s="1" t="s">
        <v>21</v>
      </c>
      <c r="E3813" s="1" t="s">
        <v>13</v>
      </c>
      <c r="F3813" s="1" t="s">
        <v>78</v>
      </c>
      <c r="G3813" s="1">
        <v>18</v>
      </c>
      <c r="H3813" s="23">
        <v>45310.353275462963</v>
      </c>
      <c r="I3813" s="1" t="b">
        <v>0</v>
      </c>
      <c r="J3813" s="1">
        <v>2</v>
      </c>
      <c r="K3813" s="10">
        <f t="shared" si="297"/>
        <v>5.1452777777449228</v>
      </c>
      <c r="L3813" s="1" t="str">
        <f t="shared" si="298"/>
        <v>OK</v>
      </c>
      <c r="M3813" s="1">
        <f t="shared" si="295"/>
        <v>1</v>
      </c>
      <c r="N3813" s="1">
        <f t="shared" si="296"/>
        <v>18</v>
      </c>
      <c r="O3813" s="10">
        <f t="shared" si="299"/>
        <v>5.1452777777449228</v>
      </c>
    </row>
    <row r="3814" spans="1:15">
      <c r="A3814" s="1" t="s">
        <v>3919</v>
      </c>
      <c r="B3814" s="23">
        <v>45310.147916666669</v>
      </c>
      <c r="C3814" s="1" t="s">
        <v>43</v>
      </c>
      <c r="D3814" s="1" t="s">
        <v>26</v>
      </c>
      <c r="E3814" s="1" t="s">
        <v>13</v>
      </c>
      <c r="F3814" s="1" t="s">
        <v>120</v>
      </c>
      <c r="G3814" s="1">
        <v>86</v>
      </c>
      <c r="H3814" s="23">
        <v>45310.351747685185</v>
      </c>
      <c r="I3814" s="1" t="b">
        <v>0</v>
      </c>
      <c r="K3814" s="10">
        <f t="shared" si="297"/>
        <v>4.8919444443890825</v>
      </c>
      <c r="L3814" s="1" t="str">
        <f t="shared" si="298"/>
        <v>OK</v>
      </c>
      <c r="M3814" s="1">
        <f t="shared" si="295"/>
        <v>1</v>
      </c>
      <c r="N3814" s="1">
        <f t="shared" si="296"/>
        <v>86</v>
      </c>
      <c r="O3814" s="10">
        <f t="shared" si="299"/>
        <v>4.8919444443890825</v>
      </c>
    </row>
    <row r="3815" spans="1:15">
      <c r="A3815" s="1" t="s">
        <v>3920</v>
      </c>
      <c r="B3815" s="23">
        <v>45310.359027777777</v>
      </c>
      <c r="C3815" s="1" t="s">
        <v>16</v>
      </c>
      <c r="D3815" s="1" t="s">
        <v>26</v>
      </c>
      <c r="E3815" s="1" t="s">
        <v>18</v>
      </c>
      <c r="F3815" s="1" t="s">
        <v>254</v>
      </c>
      <c r="G3815" s="1">
        <v>163</v>
      </c>
      <c r="H3815" s="23">
        <v>45311.199548611112</v>
      </c>
      <c r="I3815" s="1" t="b">
        <v>0</v>
      </c>
      <c r="K3815" s="10">
        <f t="shared" si="297"/>
        <v>20.172500000044238</v>
      </c>
      <c r="L3815" s="1" t="str">
        <f t="shared" si="298"/>
        <v>OK</v>
      </c>
      <c r="M3815" s="1">
        <f t="shared" si="295"/>
        <v>1</v>
      </c>
      <c r="N3815" s="1">
        <f t="shared" si="296"/>
        <v>163</v>
      </c>
      <c r="O3815" s="10">
        <f t="shared" si="299"/>
        <v>20.172500000044238</v>
      </c>
    </row>
    <row r="3816" spans="1:15">
      <c r="A3816" s="1" t="s">
        <v>3921</v>
      </c>
      <c r="B3816" s="23">
        <v>45310.372916666667</v>
      </c>
      <c r="C3816" s="1" t="s">
        <v>16</v>
      </c>
      <c r="D3816" s="1" t="s">
        <v>59</v>
      </c>
      <c r="E3816" s="1" t="s">
        <v>33</v>
      </c>
      <c r="F3816" s="1" t="s">
        <v>167</v>
      </c>
      <c r="G3816" s="1">
        <v>379</v>
      </c>
      <c r="H3816" s="23">
        <v>45312.579548611109</v>
      </c>
      <c r="I3816" s="1" t="b">
        <v>0</v>
      </c>
      <c r="K3816" s="10">
        <f t="shared" si="297"/>
        <v>52.959166666609235</v>
      </c>
      <c r="L3816" s="1" t="str">
        <f t="shared" si="298"/>
        <v>OK</v>
      </c>
      <c r="M3816" s="1">
        <f t="shared" si="295"/>
        <v>1</v>
      </c>
      <c r="N3816" s="1">
        <f t="shared" si="296"/>
        <v>379</v>
      </c>
      <c r="O3816" s="10">
        <f t="shared" si="299"/>
        <v>52.959166666609235</v>
      </c>
    </row>
    <row r="3817" spans="1:15">
      <c r="A3817" s="1" t="s">
        <v>3922</v>
      </c>
      <c r="B3817" s="23">
        <v>45310.402777777781</v>
      </c>
      <c r="C3817" s="1" t="s">
        <v>25</v>
      </c>
      <c r="D3817" s="1" t="s">
        <v>26</v>
      </c>
      <c r="E3817" s="1" t="s">
        <v>33</v>
      </c>
      <c r="F3817" s="1" t="s">
        <v>317</v>
      </c>
      <c r="G3817" s="1">
        <v>152</v>
      </c>
      <c r="H3817" s="23">
        <v>45313.785173611112</v>
      </c>
      <c r="I3817" s="1" t="b">
        <v>0</v>
      </c>
      <c r="K3817" s="10">
        <f t="shared" si="297"/>
        <v>81.177499999932479</v>
      </c>
      <c r="L3817" s="1" t="str">
        <f t="shared" si="298"/>
        <v>OK</v>
      </c>
      <c r="M3817" s="1">
        <f t="shared" si="295"/>
        <v>1</v>
      </c>
      <c r="N3817" s="1">
        <f t="shared" si="296"/>
        <v>152</v>
      </c>
      <c r="O3817" s="10">
        <f t="shared" si="299"/>
        <v>81.177499999932479</v>
      </c>
    </row>
    <row r="3818" spans="1:15">
      <c r="A3818" s="1" t="s">
        <v>3923</v>
      </c>
      <c r="B3818" s="23">
        <v>45310.574999999997</v>
      </c>
      <c r="C3818" s="1" t="s">
        <v>25</v>
      </c>
      <c r="D3818" s="1" t="s">
        <v>26</v>
      </c>
      <c r="E3818" s="1" t="s">
        <v>13</v>
      </c>
      <c r="F3818" s="1" t="s">
        <v>118</v>
      </c>
      <c r="G3818" s="1">
        <v>63</v>
      </c>
      <c r="H3818" s="23">
        <v>45312.615335648145</v>
      </c>
      <c r="I3818" s="1" t="b">
        <v>0</v>
      </c>
      <c r="K3818" s="10">
        <f t="shared" si="297"/>
        <v>48.96805555553874</v>
      </c>
      <c r="L3818" s="1" t="str">
        <f t="shared" si="298"/>
        <v>OK</v>
      </c>
      <c r="M3818" s="1">
        <f t="shared" si="295"/>
        <v>1</v>
      </c>
      <c r="N3818" s="1">
        <f t="shared" si="296"/>
        <v>63</v>
      </c>
      <c r="O3818" s="10">
        <f t="shared" si="299"/>
        <v>48.96805555553874</v>
      </c>
    </row>
    <row r="3819" spans="1:15">
      <c r="A3819" s="1" t="s">
        <v>3924</v>
      </c>
      <c r="B3819" s="23">
        <v>45310.611805555556</v>
      </c>
      <c r="C3819" s="1" t="s">
        <v>16</v>
      </c>
      <c r="D3819" s="1" t="s">
        <v>12</v>
      </c>
      <c r="E3819" s="1" t="s">
        <v>33</v>
      </c>
      <c r="F3819" s="1" t="s">
        <v>60</v>
      </c>
      <c r="G3819" s="1">
        <v>414</v>
      </c>
      <c r="H3819" s="23">
        <v>45312.143472222226</v>
      </c>
      <c r="I3819" s="1" t="b">
        <v>0</v>
      </c>
      <c r="J3819" s="1">
        <v>3</v>
      </c>
      <c r="K3819" s="10">
        <f t="shared" si="297"/>
        <v>36.760000000067521</v>
      </c>
      <c r="L3819" s="1" t="str">
        <f t="shared" si="298"/>
        <v>OK</v>
      </c>
      <c r="M3819" s="1">
        <f t="shared" si="295"/>
        <v>1</v>
      </c>
      <c r="N3819" s="1">
        <f t="shared" si="296"/>
        <v>414</v>
      </c>
      <c r="O3819" s="10">
        <f t="shared" si="299"/>
        <v>36.760000000067521</v>
      </c>
    </row>
    <row r="3820" spans="1:15">
      <c r="A3820" s="1" t="s">
        <v>3925</v>
      </c>
      <c r="B3820" s="23">
        <v>45310.706944444442</v>
      </c>
      <c r="C3820" s="1" t="s">
        <v>16</v>
      </c>
      <c r="D3820" s="1" t="s">
        <v>12</v>
      </c>
      <c r="E3820" s="1" t="s">
        <v>18</v>
      </c>
      <c r="F3820" s="1" t="s">
        <v>120</v>
      </c>
      <c r="G3820" s="1">
        <v>34</v>
      </c>
      <c r="H3820" s="23">
        <v>45311.282939814817</v>
      </c>
      <c r="I3820" s="1" t="b">
        <v>0</v>
      </c>
      <c r="K3820" s="10">
        <f t="shared" si="297"/>
        <v>13.823888888990041</v>
      </c>
      <c r="L3820" s="1" t="str">
        <f t="shared" si="298"/>
        <v>OK</v>
      </c>
      <c r="M3820" s="1">
        <f t="shared" si="295"/>
        <v>1</v>
      </c>
      <c r="N3820" s="1">
        <f t="shared" si="296"/>
        <v>34</v>
      </c>
      <c r="O3820" s="10">
        <f t="shared" si="299"/>
        <v>13.823888888990041</v>
      </c>
    </row>
    <row r="3821" spans="1:15">
      <c r="A3821" s="1" t="s">
        <v>3926</v>
      </c>
      <c r="B3821" s="23">
        <v>45310.763194444444</v>
      </c>
      <c r="C3821" s="1" t="s">
        <v>11</v>
      </c>
      <c r="D3821" s="1" t="s">
        <v>17</v>
      </c>
      <c r="E3821" s="1" t="s">
        <v>13</v>
      </c>
      <c r="F3821" s="1" t="s">
        <v>259</v>
      </c>
      <c r="G3821" s="1">
        <v>114</v>
      </c>
      <c r="H3821" s="23">
        <v>45311.354837962965</v>
      </c>
      <c r="I3821" s="1" t="b">
        <v>0</v>
      </c>
      <c r="K3821" s="10">
        <f t="shared" si="297"/>
        <v>14.199444444500841</v>
      </c>
      <c r="L3821" s="1" t="str">
        <f t="shared" si="298"/>
        <v>OK</v>
      </c>
      <c r="M3821" s="1">
        <f t="shared" si="295"/>
        <v>1</v>
      </c>
      <c r="N3821" s="1">
        <f t="shared" si="296"/>
        <v>114</v>
      </c>
      <c r="O3821" s="10">
        <f t="shared" si="299"/>
        <v>14.199444444500841</v>
      </c>
    </row>
    <row r="3822" spans="1:15">
      <c r="A3822" s="1" t="s">
        <v>3927</v>
      </c>
      <c r="B3822" s="23">
        <v>45310.777083333334</v>
      </c>
      <c r="C3822" s="1" t="s">
        <v>16</v>
      </c>
      <c r="D3822" s="1" t="s">
        <v>17</v>
      </c>
      <c r="E3822" s="1" t="s">
        <v>33</v>
      </c>
      <c r="F3822" s="1" t="s">
        <v>114</v>
      </c>
      <c r="G3822" s="1">
        <v>160</v>
      </c>
      <c r="H3822" s="23">
        <v>45317.807303240741</v>
      </c>
      <c r="I3822" s="1" t="b">
        <v>0</v>
      </c>
      <c r="J3822" s="1">
        <v>5</v>
      </c>
      <c r="K3822" s="10">
        <f t="shared" si="297"/>
        <v>168.72527777776122</v>
      </c>
      <c r="L3822" s="1" t="str">
        <f t="shared" si="298"/>
        <v>OK</v>
      </c>
      <c r="M3822" s="1">
        <f t="shared" si="295"/>
        <v>1</v>
      </c>
      <c r="N3822" s="1">
        <f t="shared" si="296"/>
        <v>160</v>
      </c>
      <c r="O3822" s="10">
        <f t="shared" si="299"/>
        <v>168.72527777776122</v>
      </c>
    </row>
    <row r="3823" spans="1:15">
      <c r="A3823" s="1" t="s">
        <v>3928</v>
      </c>
      <c r="B3823" s="23">
        <v>45310.863888888889</v>
      </c>
      <c r="C3823" s="1" t="s">
        <v>43</v>
      </c>
      <c r="D3823" s="1" t="s">
        <v>17</v>
      </c>
      <c r="E3823" s="1" t="s">
        <v>33</v>
      </c>
      <c r="F3823" s="1" t="s">
        <v>234</v>
      </c>
      <c r="G3823" s="1">
        <v>322</v>
      </c>
      <c r="H3823" s="23">
        <v>45312.481238425928</v>
      </c>
      <c r="I3823" s="1" t="b">
        <v>0</v>
      </c>
      <c r="K3823" s="10">
        <f t="shared" si="297"/>
        <v>38.816388888924848</v>
      </c>
      <c r="L3823" s="1" t="str">
        <f t="shared" si="298"/>
        <v>OK</v>
      </c>
      <c r="M3823" s="1">
        <f t="shared" si="295"/>
        <v>1</v>
      </c>
      <c r="N3823" s="1">
        <f t="shared" si="296"/>
        <v>322</v>
      </c>
      <c r="O3823" s="10">
        <f t="shared" si="299"/>
        <v>38.816388888924848</v>
      </c>
    </row>
    <row r="3824" spans="1:15">
      <c r="A3824" s="1" t="s">
        <v>3929</v>
      </c>
      <c r="B3824" s="23">
        <v>45310.870138888888</v>
      </c>
      <c r="C3824" s="1" t="s">
        <v>11</v>
      </c>
      <c r="D3824" s="1" t="s">
        <v>59</v>
      </c>
      <c r="E3824" s="1" t="s">
        <v>18</v>
      </c>
      <c r="F3824" s="1" t="s">
        <v>392</v>
      </c>
      <c r="G3824" s="1">
        <v>13</v>
      </c>
      <c r="H3824" s="23">
        <v>45311.839155092595</v>
      </c>
      <c r="I3824" s="1" t="b">
        <v>0</v>
      </c>
      <c r="K3824" s="10">
        <f t="shared" si="297"/>
        <v>23.256388888985384</v>
      </c>
      <c r="L3824" s="1" t="str">
        <f t="shared" si="298"/>
        <v>OK</v>
      </c>
      <c r="M3824" s="1">
        <f t="shared" si="295"/>
        <v>1</v>
      </c>
      <c r="N3824" s="1">
        <f t="shared" si="296"/>
        <v>13</v>
      </c>
      <c r="O3824" s="10">
        <f t="shared" si="299"/>
        <v>23.256388888985384</v>
      </c>
    </row>
    <row r="3825" spans="1:15">
      <c r="A3825" s="1" t="s">
        <v>3930</v>
      </c>
      <c r="B3825" s="23">
        <v>45310.934027777781</v>
      </c>
      <c r="C3825" s="1" t="s">
        <v>11</v>
      </c>
      <c r="D3825" s="1" t="s">
        <v>21</v>
      </c>
      <c r="E3825" s="1" t="s">
        <v>33</v>
      </c>
      <c r="F3825" s="1" t="s">
        <v>116</v>
      </c>
      <c r="G3825" s="1">
        <v>1732</v>
      </c>
      <c r="H3825" s="23">
        <v>45312.051666666666</v>
      </c>
      <c r="I3825" s="1" t="b">
        <v>0</v>
      </c>
      <c r="K3825" s="10">
        <f t="shared" si="297"/>
        <v>26.82333333324641</v>
      </c>
      <c r="L3825" s="1" t="str">
        <f t="shared" si="298"/>
        <v>Review</v>
      </c>
      <c r="M3825" s="1">
        <f t="shared" si="295"/>
        <v>1</v>
      </c>
      <c r="N3825" s="1" t="str">
        <f t="shared" si="296"/>
        <v/>
      </c>
      <c r="O3825" s="10" t="str">
        <f t="shared" si="299"/>
        <v/>
      </c>
    </row>
    <row r="3826" spans="1:15">
      <c r="A3826" s="1" t="s">
        <v>3931</v>
      </c>
      <c r="B3826" s="23">
        <v>45311.14166666667</v>
      </c>
      <c r="C3826" s="1" t="s">
        <v>11</v>
      </c>
      <c r="D3826" s="1" t="s">
        <v>17</v>
      </c>
      <c r="E3826" s="1" t="s">
        <v>33</v>
      </c>
      <c r="F3826" s="1" t="s">
        <v>134</v>
      </c>
      <c r="H3826" s="23">
        <v>45314.105046296296</v>
      </c>
      <c r="I3826" s="1" t="b">
        <v>0</v>
      </c>
      <c r="K3826" s="10">
        <f t="shared" si="297"/>
        <v>71.121111111016944</v>
      </c>
      <c r="L3826" s="1" t="str">
        <f t="shared" si="298"/>
        <v>Cannot check</v>
      </c>
      <c r="M3826" s="1">
        <f t="shared" si="295"/>
        <v>1</v>
      </c>
      <c r="N3826" s="1" t="str">
        <f t="shared" si="296"/>
        <v/>
      </c>
      <c r="O3826" s="10">
        <f t="shared" si="299"/>
        <v>71.121111111016944</v>
      </c>
    </row>
    <row r="3827" spans="1:15">
      <c r="A3827" s="1" t="s">
        <v>3932</v>
      </c>
      <c r="B3827" s="23">
        <v>45311.195833333331</v>
      </c>
      <c r="C3827" s="1" t="s">
        <v>16</v>
      </c>
      <c r="D3827" s="1" t="s">
        <v>17</v>
      </c>
      <c r="E3827" s="1" t="s">
        <v>18</v>
      </c>
      <c r="F3827" s="1" t="s">
        <v>239</v>
      </c>
      <c r="G3827" s="1">
        <v>47</v>
      </c>
      <c r="H3827" s="23">
        <v>45316.094849537039</v>
      </c>
      <c r="I3827" s="1" t="b">
        <v>0</v>
      </c>
      <c r="K3827" s="10">
        <f t="shared" si="297"/>
        <v>117.57638888899237</v>
      </c>
      <c r="L3827" s="1" t="str">
        <f t="shared" si="298"/>
        <v>OK</v>
      </c>
      <c r="M3827" s="1">
        <f t="shared" si="295"/>
        <v>1</v>
      </c>
      <c r="N3827" s="1">
        <f t="shared" si="296"/>
        <v>47</v>
      </c>
      <c r="O3827" s="10">
        <f t="shared" si="299"/>
        <v>117.57638888899237</v>
      </c>
    </row>
    <row r="3828" spans="1:15">
      <c r="A3828" s="1" t="s">
        <v>3933</v>
      </c>
      <c r="B3828" s="23">
        <v>45311.228472222225</v>
      </c>
      <c r="C3828" s="1" t="s">
        <v>11</v>
      </c>
      <c r="D3828" s="1" t="s">
        <v>59</v>
      </c>
      <c r="E3828" s="1" t="s">
        <v>18</v>
      </c>
      <c r="F3828" s="1" t="s">
        <v>186</v>
      </c>
      <c r="G3828" s="1">
        <v>67</v>
      </c>
      <c r="H3828" s="23">
        <v>45313.440092592595</v>
      </c>
      <c r="I3828" s="1" t="b">
        <v>0</v>
      </c>
      <c r="K3828" s="10">
        <f t="shared" si="297"/>
        <v>53.078888888878282</v>
      </c>
      <c r="L3828" s="1" t="str">
        <f t="shared" si="298"/>
        <v>OK</v>
      </c>
      <c r="M3828" s="1">
        <f t="shared" si="295"/>
        <v>1</v>
      </c>
      <c r="N3828" s="1">
        <f t="shared" si="296"/>
        <v>67</v>
      </c>
      <c r="O3828" s="10">
        <f t="shared" si="299"/>
        <v>53.078888888878282</v>
      </c>
    </row>
    <row r="3829" spans="1:15">
      <c r="A3829" s="1" t="s">
        <v>3934</v>
      </c>
      <c r="B3829" s="23">
        <v>45311.234722222223</v>
      </c>
      <c r="C3829" s="1" t="s">
        <v>11</v>
      </c>
      <c r="D3829" s="1" t="s">
        <v>12</v>
      </c>
      <c r="E3829" s="1" t="s">
        <v>13</v>
      </c>
      <c r="F3829" s="1" t="s">
        <v>74</v>
      </c>
      <c r="G3829" s="1">
        <v>23</v>
      </c>
      <c r="H3829" s="23">
        <v>45311.372847222221</v>
      </c>
      <c r="I3829" s="1" t="b">
        <v>0</v>
      </c>
      <c r="K3829" s="10">
        <f t="shared" si="297"/>
        <v>3.3149999999441206</v>
      </c>
      <c r="L3829" s="1" t="str">
        <f t="shared" si="298"/>
        <v>OK</v>
      </c>
      <c r="M3829" s="1">
        <f t="shared" si="295"/>
        <v>1</v>
      </c>
      <c r="N3829" s="1">
        <f t="shared" si="296"/>
        <v>23</v>
      </c>
      <c r="O3829" s="10">
        <f t="shared" si="299"/>
        <v>3.3149999999441206</v>
      </c>
    </row>
    <row r="3830" spans="1:15">
      <c r="A3830" s="1" t="s">
        <v>3935</v>
      </c>
      <c r="B3830" s="23">
        <v>45311.254861111112</v>
      </c>
      <c r="C3830" s="1" t="s">
        <v>16</v>
      </c>
      <c r="D3830" s="1" t="s">
        <v>59</v>
      </c>
      <c r="E3830" s="1" t="s">
        <v>22</v>
      </c>
      <c r="F3830" s="1" t="s">
        <v>70</v>
      </c>
      <c r="G3830" s="1">
        <v>19</v>
      </c>
      <c r="H3830" s="23">
        <v>45311.374050925922</v>
      </c>
      <c r="I3830" s="1" t="b">
        <v>0</v>
      </c>
      <c r="K3830" s="10">
        <f t="shared" si="297"/>
        <v>2.8605555554386228</v>
      </c>
      <c r="L3830" s="1" t="str">
        <f t="shared" si="298"/>
        <v>OK</v>
      </c>
      <c r="M3830" s="1">
        <f t="shared" si="295"/>
        <v>1</v>
      </c>
      <c r="N3830" s="1">
        <f t="shared" si="296"/>
        <v>19</v>
      </c>
      <c r="O3830" s="10">
        <f t="shared" si="299"/>
        <v>2.8605555554386228</v>
      </c>
    </row>
    <row r="3831" spans="1:15">
      <c r="A3831" s="1" t="s">
        <v>3936</v>
      </c>
      <c r="B3831" s="23">
        <v>45311.302083333336</v>
      </c>
      <c r="C3831" s="1" t="s">
        <v>11</v>
      </c>
      <c r="D3831" s="1" t="s">
        <v>17</v>
      </c>
      <c r="E3831" s="1" t="s">
        <v>18</v>
      </c>
      <c r="F3831" s="1" t="s">
        <v>178</v>
      </c>
      <c r="G3831" s="1">
        <v>14</v>
      </c>
      <c r="H3831" s="23">
        <v>45313.406793981485</v>
      </c>
      <c r="I3831" s="1" t="b">
        <v>0</v>
      </c>
      <c r="J3831" s="1">
        <v>4</v>
      </c>
      <c r="K3831" s="10">
        <f t="shared" si="297"/>
        <v>50.51305555558065</v>
      </c>
      <c r="L3831" s="1" t="str">
        <f t="shared" si="298"/>
        <v>OK</v>
      </c>
      <c r="M3831" s="1">
        <f t="shared" si="295"/>
        <v>1</v>
      </c>
      <c r="N3831" s="1">
        <f t="shared" si="296"/>
        <v>14</v>
      </c>
      <c r="O3831" s="10">
        <f t="shared" si="299"/>
        <v>50.51305555558065</v>
      </c>
    </row>
    <row r="3832" spans="1:15">
      <c r="A3832" s="1" t="s">
        <v>3937</v>
      </c>
      <c r="B3832" s="23">
        <v>45311.432638888888</v>
      </c>
      <c r="C3832" s="1" t="s">
        <v>11</v>
      </c>
      <c r="D3832" s="1" t="s">
        <v>17</v>
      </c>
      <c r="E3832" s="1" t="s">
        <v>22</v>
      </c>
      <c r="F3832" s="1" t="s">
        <v>130</v>
      </c>
      <c r="G3832" s="1">
        <v>9</v>
      </c>
      <c r="H3832" s="23">
        <v>45313.871342592596</v>
      </c>
      <c r="I3832" s="1" t="b">
        <v>0</v>
      </c>
      <c r="K3832" s="10">
        <f t="shared" si="297"/>
        <v>58.528888889006339</v>
      </c>
      <c r="L3832" s="1" t="str">
        <f t="shared" si="298"/>
        <v>OK</v>
      </c>
      <c r="M3832" s="1">
        <f t="shared" si="295"/>
        <v>1</v>
      </c>
      <c r="N3832" s="1">
        <f t="shared" si="296"/>
        <v>9</v>
      </c>
      <c r="O3832" s="10">
        <f t="shared" si="299"/>
        <v>58.528888889006339</v>
      </c>
    </row>
    <row r="3833" spans="1:15">
      <c r="A3833" s="1" t="s">
        <v>3938</v>
      </c>
      <c r="B3833" s="23">
        <v>45311.569444444445</v>
      </c>
      <c r="C3833" s="1" t="s">
        <v>16</v>
      </c>
      <c r="D3833" s="1" t="s">
        <v>26</v>
      </c>
      <c r="E3833" s="1" t="s">
        <v>18</v>
      </c>
      <c r="F3833" s="1" t="s">
        <v>486</v>
      </c>
      <c r="G3833" s="1">
        <v>265</v>
      </c>
      <c r="H3833" s="23">
        <v>45311.886817129627</v>
      </c>
      <c r="I3833" s="1" t="b">
        <v>0</v>
      </c>
      <c r="J3833" s="1">
        <v>5</v>
      </c>
      <c r="K3833" s="10">
        <f t="shared" si="297"/>
        <v>7.6169444443657994</v>
      </c>
      <c r="L3833" s="1" t="str">
        <f t="shared" si="298"/>
        <v>OK</v>
      </c>
      <c r="M3833" s="1">
        <f t="shared" si="295"/>
        <v>1</v>
      </c>
      <c r="N3833" s="1">
        <f t="shared" si="296"/>
        <v>265</v>
      </c>
      <c r="O3833" s="10">
        <f t="shared" si="299"/>
        <v>7.6169444443657994</v>
      </c>
    </row>
    <row r="3834" spans="1:15">
      <c r="A3834" s="1" t="s">
        <v>3939</v>
      </c>
      <c r="B3834" s="23">
        <v>45311.603472222225</v>
      </c>
      <c r="C3834" s="1" t="s">
        <v>11</v>
      </c>
      <c r="D3834" s="1" t="s">
        <v>17</v>
      </c>
      <c r="E3834" s="1" t="s">
        <v>18</v>
      </c>
      <c r="F3834" s="1" t="s">
        <v>159</v>
      </c>
      <c r="G3834" s="1">
        <v>90</v>
      </c>
      <c r="H3834" s="23">
        <v>45313.593078703707</v>
      </c>
      <c r="I3834" s="1" t="b">
        <v>0</v>
      </c>
      <c r="K3834" s="10">
        <f t="shared" si="297"/>
        <v>47.750555555569008</v>
      </c>
      <c r="L3834" s="1" t="str">
        <f t="shared" si="298"/>
        <v>OK</v>
      </c>
      <c r="M3834" s="1">
        <f t="shared" si="295"/>
        <v>1</v>
      </c>
      <c r="N3834" s="1">
        <f t="shared" si="296"/>
        <v>90</v>
      </c>
      <c r="O3834" s="10">
        <f t="shared" si="299"/>
        <v>47.750555555569008</v>
      </c>
    </row>
    <row r="3835" spans="1:15">
      <c r="A3835" s="1" t="s">
        <v>3940</v>
      </c>
      <c r="B3835" s="23">
        <v>45311.60833333333</v>
      </c>
      <c r="C3835" s="1" t="s">
        <v>16</v>
      </c>
      <c r="D3835" s="1" t="s">
        <v>59</v>
      </c>
      <c r="E3835" s="1" t="s">
        <v>33</v>
      </c>
      <c r="F3835" s="1" t="s">
        <v>60</v>
      </c>
      <c r="G3835" s="1">
        <v>46</v>
      </c>
      <c r="H3835" s="23">
        <v>45311.672662037039</v>
      </c>
      <c r="I3835" s="1" t="b">
        <v>0</v>
      </c>
      <c r="K3835" s="10">
        <f t="shared" si="297"/>
        <v>1.5438888890203089</v>
      </c>
      <c r="L3835" s="1" t="str">
        <f t="shared" si="298"/>
        <v>OK</v>
      </c>
      <c r="M3835" s="1">
        <f t="shared" si="295"/>
        <v>1</v>
      </c>
      <c r="N3835" s="1">
        <f t="shared" si="296"/>
        <v>46</v>
      </c>
      <c r="O3835" s="10">
        <f t="shared" si="299"/>
        <v>1.5438888890203089</v>
      </c>
    </row>
    <row r="3836" spans="1:15">
      <c r="A3836" s="1" t="s">
        <v>3941</v>
      </c>
      <c r="B3836" s="23">
        <v>45311.654166666667</v>
      </c>
      <c r="C3836" s="1" t="s">
        <v>25</v>
      </c>
      <c r="D3836" s="1" t="s">
        <v>59</v>
      </c>
      <c r="E3836" s="1" t="s">
        <v>33</v>
      </c>
      <c r="F3836" s="1" t="s">
        <v>54</v>
      </c>
      <c r="G3836" s="1">
        <v>125</v>
      </c>
      <c r="H3836" s="23">
        <v>45319.159849537034</v>
      </c>
      <c r="I3836" s="1" t="b">
        <v>0</v>
      </c>
      <c r="K3836" s="10">
        <f t="shared" si="297"/>
        <v>180.13638888881542</v>
      </c>
      <c r="L3836" s="1" t="str">
        <f t="shared" si="298"/>
        <v>OK</v>
      </c>
      <c r="M3836" s="1">
        <f t="shared" si="295"/>
        <v>1</v>
      </c>
      <c r="N3836" s="1">
        <f t="shared" si="296"/>
        <v>125</v>
      </c>
      <c r="O3836" s="10">
        <f t="shared" si="299"/>
        <v>180.13638888881542</v>
      </c>
    </row>
    <row r="3837" spans="1:15">
      <c r="A3837" s="1" t="s">
        <v>3942</v>
      </c>
      <c r="B3837" s="23">
        <v>45311.666666666664</v>
      </c>
      <c r="C3837" s="1" t="s">
        <v>16</v>
      </c>
      <c r="D3837" s="1" t="s">
        <v>21</v>
      </c>
      <c r="E3837" s="1" t="s">
        <v>13</v>
      </c>
      <c r="F3837" s="1" t="s">
        <v>148</v>
      </c>
      <c r="G3837" s="1">
        <v>18</v>
      </c>
      <c r="H3837" s="23">
        <v>45314.493518518517</v>
      </c>
      <c r="I3837" s="1" t="b">
        <v>0</v>
      </c>
      <c r="J3837" s="1">
        <v>5</v>
      </c>
      <c r="K3837" s="10">
        <f t="shared" si="297"/>
        <v>67.84444444446126</v>
      </c>
      <c r="L3837" s="1" t="str">
        <f t="shared" si="298"/>
        <v>OK</v>
      </c>
      <c r="M3837" s="1">
        <f t="shared" si="295"/>
        <v>1</v>
      </c>
      <c r="N3837" s="1">
        <f t="shared" si="296"/>
        <v>18</v>
      </c>
      <c r="O3837" s="10">
        <f t="shared" si="299"/>
        <v>67.84444444446126</v>
      </c>
    </row>
    <row r="3838" spans="1:15">
      <c r="A3838" s="1" t="s">
        <v>3943</v>
      </c>
      <c r="B3838" s="23">
        <v>45311.807638888888</v>
      </c>
      <c r="C3838" s="1" t="s">
        <v>43</v>
      </c>
      <c r="D3838" s="1" t="s">
        <v>17</v>
      </c>
      <c r="E3838" s="1" t="s">
        <v>18</v>
      </c>
      <c r="F3838" s="1" t="s">
        <v>84</v>
      </c>
      <c r="G3838" s="1">
        <v>119</v>
      </c>
      <c r="I3838" s="1" t="b">
        <v>0</v>
      </c>
      <c r="K3838" s="10" t="str">
        <f t="shared" si="297"/>
        <v/>
      </c>
      <c r="L3838" s="1" t="str">
        <f t="shared" si="298"/>
        <v>Cannot check</v>
      </c>
      <c r="M3838" s="1">
        <f t="shared" si="295"/>
        <v>1</v>
      </c>
      <c r="N3838" s="1">
        <f t="shared" si="296"/>
        <v>119</v>
      </c>
      <c r="O3838" s="10" t="str">
        <f t="shared" si="299"/>
        <v/>
      </c>
    </row>
    <row r="3839" spans="1:15">
      <c r="A3839" s="1" t="s">
        <v>3944</v>
      </c>
      <c r="B3839" s="23">
        <v>45311.914583333331</v>
      </c>
      <c r="C3839" s="1" t="s">
        <v>25</v>
      </c>
      <c r="D3839" s="1" t="s">
        <v>59</v>
      </c>
      <c r="E3839" s="1" t="s">
        <v>18</v>
      </c>
      <c r="F3839" s="1" t="s">
        <v>226</v>
      </c>
      <c r="G3839" s="1">
        <v>167</v>
      </c>
      <c r="H3839" s="23">
        <v>45312.329988425925</v>
      </c>
      <c r="I3839" s="1" t="b">
        <v>0</v>
      </c>
      <c r="K3839" s="10">
        <f t="shared" si="297"/>
        <v>9.969722222245764</v>
      </c>
      <c r="L3839" s="1" t="str">
        <f t="shared" si="298"/>
        <v>OK</v>
      </c>
      <c r="M3839" s="1">
        <f t="shared" si="295"/>
        <v>1</v>
      </c>
      <c r="N3839" s="1">
        <f t="shared" si="296"/>
        <v>167</v>
      </c>
      <c r="O3839" s="10">
        <f t="shared" si="299"/>
        <v>9.969722222245764</v>
      </c>
    </row>
    <row r="3840" spans="1:15">
      <c r="A3840" s="1" t="s">
        <v>3945</v>
      </c>
      <c r="B3840" s="23">
        <v>45311.925000000003</v>
      </c>
      <c r="C3840" s="1" t="s">
        <v>11</v>
      </c>
      <c r="D3840" s="1" t="s">
        <v>17</v>
      </c>
      <c r="E3840" s="1" t="s">
        <v>18</v>
      </c>
      <c r="F3840" s="1" t="s">
        <v>118</v>
      </c>
      <c r="G3840" s="1">
        <v>35</v>
      </c>
      <c r="H3840" s="23">
        <v>45313.242303240739</v>
      </c>
      <c r="I3840" s="1" t="b">
        <v>0</v>
      </c>
      <c r="J3840" s="1">
        <v>4</v>
      </c>
      <c r="K3840" s="10">
        <f t="shared" si="297"/>
        <v>31.615277777658775</v>
      </c>
      <c r="L3840" s="1" t="str">
        <f t="shared" si="298"/>
        <v>OK</v>
      </c>
      <c r="M3840" s="1">
        <f t="shared" si="295"/>
        <v>1</v>
      </c>
      <c r="N3840" s="1">
        <f t="shared" si="296"/>
        <v>35</v>
      </c>
      <c r="O3840" s="10">
        <f t="shared" si="299"/>
        <v>31.615277777658775</v>
      </c>
    </row>
    <row r="3841" spans="1:15">
      <c r="A3841" s="1" t="s">
        <v>3946</v>
      </c>
      <c r="B3841" s="23">
        <v>45312.009027777778</v>
      </c>
      <c r="C3841" s="1" t="s">
        <v>11</v>
      </c>
      <c r="D3841" s="1" t="s">
        <v>17</v>
      </c>
      <c r="E3841" s="1" t="s">
        <v>13</v>
      </c>
      <c r="F3841" s="1" t="s">
        <v>54</v>
      </c>
      <c r="G3841" s="1">
        <v>47</v>
      </c>
      <c r="H3841" s="23">
        <v>45312.618483796294</v>
      </c>
      <c r="I3841" s="1" t="b">
        <v>0</v>
      </c>
      <c r="J3841" s="1">
        <v>1</v>
      </c>
      <c r="K3841" s="10">
        <f t="shared" si="297"/>
        <v>14.626944444375113</v>
      </c>
      <c r="L3841" s="1" t="str">
        <f t="shared" si="298"/>
        <v>OK</v>
      </c>
      <c r="M3841" s="1">
        <f t="shared" si="295"/>
        <v>1</v>
      </c>
      <c r="N3841" s="1">
        <f t="shared" si="296"/>
        <v>47</v>
      </c>
      <c r="O3841" s="10">
        <f t="shared" si="299"/>
        <v>14.626944444375113</v>
      </c>
    </row>
    <row r="3842" spans="1:15">
      <c r="A3842" s="1" t="s">
        <v>3947</v>
      </c>
      <c r="B3842" s="23">
        <v>45312.05972222222</v>
      </c>
      <c r="C3842" s="1" t="s">
        <v>25</v>
      </c>
      <c r="D3842" s="1" t="s">
        <v>17</v>
      </c>
      <c r="E3842" s="1" t="s">
        <v>13</v>
      </c>
      <c r="F3842" s="1" t="s">
        <v>237</v>
      </c>
      <c r="G3842" s="1">
        <v>102</v>
      </c>
      <c r="I3842" s="1" t="b">
        <v>0</v>
      </c>
      <c r="K3842" s="10" t="str">
        <f t="shared" si="297"/>
        <v/>
      </c>
      <c r="L3842" s="1" t="str">
        <f t="shared" si="298"/>
        <v>Cannot check</v>
      </c>
      <c r="M3842" s="1">
        <f t="shared" ref="M3842:M3905" si="300">COUNTIF($A$2:$A$4001,A3842)</f>
        <v>1</v>
      </c>
      <c r="N3842" s="1">
        <f t="shared" ref="N3842:N3905" si="301">IF(OR(L3842="Review",G3842=""),"",G3842)</f>
        <v>102</v>
      </c>
      <c r="O3842" s="10" t="str">
        <f t="shared" si="299"/>
        <v/>
      </c>
    </row>
    <row r="3843" spans="1:15">
      <c r="A3843" s="1" t="s">
        <v>3948</v>
      </c>
      <c r="B3843" s="23">
        <v>45312.144444444442</v>
      </c>
      <c r="C3843" s="1" t="s">
        <v>25</v>
      </c>
      <c r="D3843" s="1" t="s">
        <v>59</v>
      </c>
      <c r="E3843" s="1" t="s">
        <v>33</v>
      </c>
      <c r="F3843" s="1" t="s">
        <v>254</v>
      </c>
      <c r="G3843" s="1">
        <v>580</v>
      </c>
      <c r="H3843" s="23">
        <v>45312.394583333335</v>
      </c>
      <c r="I3843" s="1" t="b">
        <v>1</v>
      </c>
      <c r="K3843" s="10">
        <f t="shared" ref="K3843:K3906" si="302">IF(H3843="","",(H3843-B3843)*24)</f>
        <v>6.003333333414048</v>
      </c>
      <c r="L3843" s="1" t="str">
        <f t="shared" ref="L3843:L3906" si="303">IF(OR(G3843="",K3843=""),"Cannot check",IF(G3843&gt;K3843*60,"Review","OK"))</f>
        <v>Review</v>
      </c>
      <c r="M3843" s="1">
        <f t="shared" si="300"/>
        <v>1</v>
      </c>
      <c r="N3843" s="1" t="str">
        <f t="shared" si="301"/>
        <v/>
      </c>
      <c r="O3843" s="10" t="str">
        <f t="shared" ref="O3843:O3906" si="304">IF(OR(L3843="Review",K3843=""),"",K3843)</f>
        <v/>
      </c>
    </row>
    <row r="3844" spans="1:15">
      <c r="A3844" s="1" t="s">
        <v>3949</v>
      </c>
      <c r="B3844" s="23">
        <v>45312.206944444442</v>
      </c>
      <c r="C3844" s="1" t="s">
        <v>16</v>
      </c>
      <c r="D3844" s="1" t="s">
        <v>12</v>
      </c>
      <c r="E3844" s="1" t="s">
        <v>18</v>
      </c>
      <c r="F3844" s="1" t="s">
        <v>392</v>
      </c>
      <c r="G3844" s="1">
        <v>62</v>
      </c>
      <c r="H3844" s="23">
        <v>45312.506620370368</v>
      </c>
      <c r="I3844" s="1" t="b">
        <v>0</v>
      </c>
      <c r="J3844" s="1">
        <v>4</v>
      </c>
      <c r="K3844" s="10">
        <f t="shared" si="302"/>
        <v>7.1922222222201526</v>
      </c>
      <c r="L3844" s="1" t="str">
        <f t="shared" si="303"/>
        <v>OK</v>
      </c>
      <c r="M3844" s="1">
        <f t="shared" si="300"/>
        <v>1</v>
      </c>
      <c r="N3844" s="1">
        <f t="shared" si="301"/>
        <v>62</v>
      </c>
      <c r="O3844" s="10">
        <f t="shared" si="304"/>
        <v>7.1922222222201526</v>
      </c>
    </row>
    <row r="3845" spans="1:15">
      <c r="A3845" s="1" t="s">
        <v>3950</v>
      </c>
      <c r="B3845" s="23">
        <v>45312.210416666669</v>
      </c>
      <c r="C3845" s="1" t="s">
        <v>16</v>
      </c>
      <c r="D3845" s="1" t="s">
        <v>21</v>
      </c>
      <c r="E3845" s="1" t="s">
        <v>18</v>
      </c>
      <c r="F3845" s="1" t="s">
        <v>72</v>
      </c>
      <c r="G3845" s="1">
        <v>110</v>
      </c>
      <c r="H3845" s="23">
        <v>45312.987766203703</v>
      </c>
      <c r="I3845" s="1" t="b">
        <v>0</v>
      </c>
      <c r="K3845" s="10">
        <f t="shared" si="302"/>
        <v>18.656388888834044</v>
      </c>
      <c r="L3845" s="1" t="str">
        <f t="shared" si="303"/>
        <v>OK</v>
      </c>
      <c r="M3845" s="1">
        <f t="shared" si="300"/>
        <v>1</v>
      </c>
      <c r="N3845" s="1">
        <f t="shared" si="301"/>
        <v>110</v>
      </c>
      <c r="O3845" s="10">
        <f t="shared" si="304"/>
        <v>18.656388888834044</v>
      </c>
    </row>
    <row r="3846" spans="1:15">
      <c r="A3846" s="1" t="s">
        <v>3951</v>
      </c>
      <c r="B3846" s="23">
        <v>45312.212500000001</v>
      </c>
      <c r="C3846" s="1" t="s">
        <v>16</v>
      </c>
      <c r="D3846" s="1" t="s">
        <v>26</v>
      </c>
      <c r="E3846" s="1" t="s">
        <v>22</v>
      </c>
      <c r="F3846" s="1" t="s">
        <v>50</v>
      </c>
      <c r="G3846" s="1">
        <v>59</v>
      </c>
      <c r="H3846" s="23">
        <v>45312.446261574078</v>
      </c>
      <c r="I3846" s="1" t="b">
        <v>0</v>
      </c>
      <c r="J3846" s="1">
        <v>5</v>
      </c>
      <c r="K3846" s="10">
        <f t="shared" si="302"/>
        <v>5.6102777778287418</v>
      </c>
      <c r="L3846" s="1" t="str">
        <f t="shared" si="303"/>
        <v>OK</v>
      </c>
      <c r="M3846" s="1">
        <f t="shared" si="300"/>
        <v>1</v>
      </c>
      <c r="N3846" s="1">
        <f t="shared" si="301"/>
        <v>59</v>
      </c>
      <c r="O3846" s="10">
        <f t="shared" si="304"/>
        <v>5.6102777778287418</v>
      </c>
    </row>
    <row r="3847" spans="1:15">
      <c r="A3847" s="1" t="s">
        <v>3952</v>
      </c>
      <c r="B3847" s="23">
        <v>45312.331250000003</v>
      </c>
      <c r="C3847" s="1" t="s">
        <v>25</v>
      </c>
      <c r="D3847" s="1" t="s">
        <v>59</v>
      </c>
      <c r="E3847" s="1" t="s">
        <v>18</v>
      </c>
      <c r="F3847" s="1" t="s">
        <v>254</v>
      </c>
      <c r="G3847" s="1">
        <v>125</v>
      </c>
      <c r="H3847" s="23">
        <v>45312.668854166666</v>
      </c>
      <c r="I3847" s="1" t="b">
        <v>0</v>
      </c>
      <c r="J3847" s="1">
        <v>2</v>
      </c>
      <c r="K3847" s="10">
        <f t="shared" si="302"/>
        <v>8.1024999999208376</v>
      </c>
      <c r="L3847" s="1" t="str">
        <f t="shared" si="303"/>
        <v>OK</v>
      </c>
      <c r="M3847" s="1">
        <f t="shared" si="300"/>
        <v>1</v>
      </c>
      <c r="N3847" s="1">
        <f t="shared" si="301"/>
        <v>125</v>
      </c>
      <c r="O3847" s="10">
        <f t="shared" si="304"/>
        <v>8.1024999999208376</v>
      </c>
    </row>
    <row r="3848" spans="1:15">
      <c r="A3848" s="1" t="s">
        <v>3953</v>
      </c>
      <c r="B3848" s="23">
        <v>45312.362500000003</v>
      </c>
      <c r="C3848" s="1" t="s">
        <v>16</v>
      </c>
      <c r="D3848" s="1" t="s">
        <v>59</v>
      </c>
      <c r="E3848" s="1" t="s">
        <v>18</v>
      </c>
      <c r="F3848" s="1" t="s">
        <v>245</v>
      </c>
      <c r="G3848" s="1">
        <v>123</v>
      </c>
      <c r="H3848" s="23">
        <v>45318.425578703704</v>
      </c>
      <c r="I3848" s="1" t="b">
        <v>0</v>
      </c>
      <c r="J3848" s="1">
        <v>5</v>
      </c>
      <c r="K3848" s="10">
        <f t="shared" si="302"/>
        <v>145.51388888881775</v>
      </c>
      <c r="L3848" s="1" t="str">
        <f t="shared" si="303"/>
        <v>OK</v>
      </c>
      <c r="M3848" s="1">
        <f t="shared" si="300"/>
        <v>1</v>
      </c>
      <c r="N3848" s="1">
        <f t="shared" si="301"/>
        <v>123</v>
      </c>
      <c r="O3848" s="10">
        <f t="shared" si="304"/>
        <v>145.51388888881775</v>
      </c>
    </row>
    <row r="3849" spans="1:15">
      <c r="A3849" s="1" t="s">
        <v>3954</v>
      </c>
      <c r="B3849" s="23">
        <v>45312.509027777778</v>
      </c>
      <c r="C3849" s="1" t="s">
        <v>25</v>
      </c>
      <c r="D3849" s="1" t="s">
        <v>59</v>
      </c>
      <c r="E3849" s="1" t="s">
        <v>13</v>
      </c>
      <c r="F3849" s="1" t="s">
        <v>118</v>
      </c>
      <c r="G3849" s="1">
        <v>93</v>
      </c>
      <c r="H3849" s="23">
        <v>45312.99255787037</v>
      </c>
      <c r="I3849" s="1" t="b">
        <v>0</v>
      </c>
      <c r="J3849" s="1">
        <v>5</v>
      </c>
      <c r="K3849" s="10">
        <f t="shared" si="302"/>
        <v>11.60472222219687</v>
      </c>
      <c r="L3849" s="1" t="str">
        <f t="shared" si="303"/>
        <v>OK</v>
      </c>
      <c r="M3849" s="1">
        <f t="shared" si="300"/>
        <v>1</v>
      </c>
      <c r="N3849" s="1">
        <f t="shared" si="301"/>
        <v>93</v>
      </c>
      <c r="O3849" s="10">
        <f t="shared" si="304"/>
        <v>11.60472222219687</v>
      </c>
    </row>
    <row r="3850" spans="1:15">
      <c r="A3850" s="1" t="s">
        <v>3955</v>
      </c>
      <c r="B3850" s="23">
        <v>45312.590277777781</v>
      </c>
      <c r="C3850" s="1" t="s">
        <v>16</v>
      </c>
      <c r="D3850" s="1" t="s">
        <v>17</v>
      </c>
      <c r="E3850" s="1" t="s">
        <v>33</v>
      </c>
      <c r="F3850" s="1" t="s">
        <v>128</v>
      </c>
      <c r="G3850" s="1">
        <v>1211</v>
      </c>
      <c r="H3850" s="23">
        <v>45313.372523148151</v>
      </c>
      <c r="I3850" s="1" t="b">
        <v>0</v>
      </c>
      <c r="J3850" s="1">
        <v>2</v>
      </c>
      <c r="K3850" s="10">
        <f t="shared" si="302"/>
        <v>18.773888888885267</v>
      </c>
      <c r="L3850" s="1" t="str">
        <f t="shared" si="303"/>
        <v>Review</v>
      </c>
      <c r="M3850" s="1">
        <f t="shared" si="300"/>
        <v>1</v>
      </c>
      <c r="N3850" s="1" t="str">
        <f t="shared" si="301"/>
        <v/>
      </c>
      <c r="O3850" s="10" t="str">
        <f t="shared" si="304"/>
        <v/>
      </c>
    </row>
    <row r="3851" spans="1:15">
      <c r="A3851" s="1" t="s">
        <v>3956</v>
      </c>
      <c r="B3851" s="23">
        <v>45312.6875</v>
      </c>
      <c r="C3851" s="1" t="s">
        <v>25</v>
      </c>
      <c r="D3851" s="1" t="s">
        <v>59</v>
      </c>
      <c r="E3851" s="1" t="s">
        <v>18</v>
      </c>
      <c r="F3851" s="1" t="s">
        <v>98</v>
      </c>
      <c r="G3851" s="1">
        <v>52</v>
      </c>
      <c r="H3851" s="23">
        <v>45314.549293981479</v>
      </c>
      <c r="I3851" s="1" t="b">
        <v>0</v>
      </c>
      <c r="K3851" s="10">
        <f t="shared" si="302"/>
        <v>44.683055555506144</v>
      </c>
      <c r="L3851" s="1" t="str">
        <f t="shared" si="303"/>
        <v>OK</v>
      </c>
      <c r="M3851" s="1">
        <f t="shared" si="300"/>
        <v>1</v>
      </c>
      <c r="N3851" s="1">
        <f t="shared" si="301"/>
        <v>52</v>
      </c>
      <c r="O3851" s="10">
        <f t="shared" si="304"/>
        <v>44.683055555506144</v>
      </c>
    </row>
    <row r="3852" spans="1:15">
      <c r="A3852" s="1" t="s">
        <v>3957</v>
      </c>
      <c r="B3852" s="23">
        <v>45312.730555555558</v>
      </c>
      <c r="C3852" s="1" t="s">
        <v>16</v>
      </c>
      <c r="D3852" s="1" t="s">
        <v>26</v>
      </c>
      <c r="E3852" s="1" t="s">
        <v>13</v>
      </c>
      <c r="F3852" s="1" t="s">
        <v>120</v>
      </c>
      <c r="G3852" s="1">
        <v>20</v>
      </c>
      <c r="H3852" s="23">
        <v>45313.481805555559</v>
      </c>
      <c r="I3852" s="1" t="b">
        <v>0</v>
      </c>
      <c r="K3852" s="10">
        <f t="shared" si="302"/>
        <v>18.03000000002794</v>
      </c>
      <c r="L3852" s="1" t="str">
        <f t="shared" si="303"/>
        <v>OK</v>
      </c>
      <c r="M3852" s="1">
        <f t="shared" si="300"/>
        <v>1</v>
      </c>
      <c r="N3852" s="1">
        <f t="shared" si="301"/>
        <v>20</v>
      </c>
      <c r="O3852" s="10">
        <f t="shared" si="304"/>
        <v>18.03000000002794</v>
      </c>
    </row>
    <row r="3853" spans="1:15">
      <c r="A3853" s="1" t="s">
        <v>3958</v>
      </c>
      <c r="B3853" s="23">
        <v>45312.896527777775</v>
      </c>
      <c r="C3853" s="1" t="s">
        <v>11</v>
      </c>
      <c r="D3853" s="1" t="s">
        <v>59</v>
      </c>
      <c r="E3853" s="1" t="s">
        <v>13</v>
      </c>
      <c r="F3853" s="1" t="s">
        <v>90</v>
      </c>
      <c r="G3853" s="1">
        <v>34</v>
      </c>
      <c r="H3853" s="23">
        <v>45313.252164351848</v>
      </c>
      <c r="I3853" s="1" t="b">
        <v>0</v>
      </c>
      <c r="K3853" s="10">
        <f t="shared" si="302"/>
        <v>8.5352777777588926</v>
      </c>
      <c r="L3853" s="1" t="str">
        <f t="shared" si="303"/>
        <v>OK</v>
      </c>
      <c r="M3853" s="1">
        <f t="shared" si="300"/>
        <v>1</v>
      </c>
      <c r="N3853" s="1">
        <f t="shared" si="301"/>
        <v>34</v>
      </c>
      <c r="O3853" s="10">
        <f t="shared" si="304"/>
        <v>8.5352777777588926</v>
      </c>
    </row>
    <row r="3854" spans="1:15">
      <c r="A3854" s="1" t="s">
        <v>3959</v>
      </c>
      <c r="B3854" s="23">
        <v>45312.939583333333</v>
      </c>
      <c r="C3854" s="1" t="s">
        <v>25</v>
      </c>
      <c r="D3854" s="1" t="s">
        <v>59</v>
      </c>
      <c r="E3854" s="1" t="s">
        <v>13</v>
      </c>
      <c r="F3854" s="1" t="s">
        <v>145</v>
      </c>
      <c r="G3854" s="1">
        <v>173</v>
      </c>
      <c r="H3854" s="23">
        <v>45313.122060185182</v>
      </c>
      <c r="I3854" s="1" t="b">
        <v>0</v>
      </c>
      <c r="K3854" s="10">
        <f t="shared" si="302"/>
        <v>4.379444444377441</v>
      </c>
      <c r="L3854" s="1" t="str">
        <f t="shared" si="303"/>
        <v>OK</v>
      </c>
      <c r="M3854" s="1">
        <f t="shared" si="300"/>
        <v>1</v>
      </c>
      <c r="N3854" s="1">
        <f t="shared" si="301"/>
        <v>173</v>
      </c>
      <c r="O3854" s="10">
        <f t="shared" si="304"/>
        <v>4.379444444377441</v>
      </c>
    </row>
    <row r="3855" spans="1:15">
      <c r="A3855" s="1" t="s">
        <v>3960</v>
      </c>
      <c r="B3855" s="23">
        <v>45313.046527777777</v>
      </c>
      <c r="C3855" s="1" t="s">
        <v>16</v>
      </c>
      <c r="D3855" s="1" t="s">
        <v>17</v>
      </c>
      <c r="E3855" s="1" t="s">
        <v>18</v>
      </c>
      <c r="F3855" s="1" t="s">
        <v>68</v>
      </c>
      <c r="G3855" s="1">
        <v>55</v>
      </c>
      <c r="H3855" s="23">
        <v>45315.504479166666</v>
      </c>
      <c r="I3855" s="1" t="b">
        <v>0</v>
      </c>
      <c r="K3855" s="10">
        <f t="shared" si="302"/>
        <v>58.990833333344199</v>
      </c>
      <c r="L3855" s="1" t="str">
        <f t="shared" si="303"/>
        <v>OK</v>
      </c>
      <c r="M3855" s="1">
        <f t="shared" si="300"/>
        <v>1</v>
      </c>
      <c r="N3855" s="1">
        <f t="shared" si="301"/>
        <v>55</v>
      </c>
      <c r="O3855" s="10">
        <f t="shared" si="304"/>
        <v>58.990833333344199</v>
      </c>
    </row>
    <row r="3856" spans="1:15">
      <c r="A3856" s="1" t="s">
        <v>3961</v>
      </c>
      <c r="B3856" s="23">
        <v>45313.123611111114</v>
      </c>
      <c r="C3856" s="1" t="s">
        <v>25</v>
      </c>
      <c r="D3856" s="1" t="s">
        <v>59</v>
      </c>
      <c r="E3856" s="1" t="s">
        <v>18</v>
      </c>
      <c r="F3856" s="1" t="s">
        <v>62</v>
      </c>
      <c r="G3856" s="1">
        <v>66</v>
      </c>
      <c r="H3856" s="23">
        <v>45313.172418981485</v>
      </c>
      <c r="I3856" s="1" t="b">
        <v>0</v>
      </c>
      <c r="K3856" s="10">
        <f t="shared" si="302"/>
        <v>1.1713888889062218</v>
      </c>
      <c r="L3856" s="1" t="str">
        <f t="shared" si="303"/>
        <v>OK</v>
      </c>
      <c r="M3856" s="1">
        <f t="shared" si="300"/>
        <v>1</v>
      </c>
      <c r="N3856" s="1">
        <f t="shared" si="301"/>
        <v>66</v>
      </c>
      <c r="O3856" s="10">
        <f t="shared" si="304"/>
        <v>1.1713888889062218</v>
      </c>
    </row>
    <row r="3857" spans="1:15">
      <c r="A3857" s="1" t="s">
        <v>3962</v>
      </c>
      <c r="B3857" s="23">
        <v>45313.175000000003</v>
      </c>
      <c r="C3857" s="1" t="s">
        <v>11</v>
      </c>
      <c r="D3857" s="1" t="s">
        <v>12</v>
      </c>
      <c r="E3857" s="1" t="s">
        <v>33</v>
      </c>
      <c r="F3857" s="1" t="s">
        <v>60</v>
      </c>
      <c r="G3857" s="1">
        <v>1296</v>
      </c>
      <c r="H3857" s="23">
        <v>45313.813298611109</v>
      </c>
      <c r="I3857" s="1" t="b">
        <v>0</v>
      </c>
      <c r="K3857" s="10">
        <f t="shared" si="302"/>
        <v>15.319166666537058</v>
      </c>
      <c r="L3857" s="1" t="str">
        <f t="shared" si="303"/>
        <v>Review</v>
      </c>
      <c r="M3857" s="1">
        <f t="shared" si="300"/>
        <v>1</v>
      </c>
      <c r="N3857" s="1" t="str">
        <f t="shared" si="301"/>
        <v/>
      </c>
      <c r="O3857" s="10" t="str">
        <f t="shared" si="304"/>
        <v/>
      </c>
    </row>
    <row r="3858" spans="1:15">
      <c r="A3858" s="1" t="s">
        <v>3963</v>
      </c>
      <c r="B3858" s="23">
        <v>45313.268750000003</v>
      </c>
      <c r="C3858" s="1" t="s">
        <v>11</v>
      </c>
      <c r="D3858" s="1" t="s">
        <v>17</v>
      </c>
      <c r="E3858" s="1" t="s">
        <v>33</v>
      </c>
      <c r="F3858" s="1" t="s">
        <v>94</v>
      </c>
      <c r="G3858" s="1">
        <v>17</v>
      </c>
      <c r="H3858" s="23">
        <v>45320.503333333334</v>
      </c>
      <c r="I3858" s="1" t="b">
        <v>0</v>
      </c>
      <c r="K3858" s="10">
        <f t="shared" si="302"/>
        <v>173.62999999994645</v>
      </c>
      <c r="L3858" s="1" t="str">
        <f t="shared" si="303"/>
        <v>OK</v>
      </c>
      <c r="M3858" s="1">
        <f t="shared" si="300"/>
        <v>1</v>
      </c>
      <c r="N3858" s="1">
        <f t="shared" si="301"/>
        <v>17</v>
      </c>
      <c r="O3858" s="10">
        <f t="shared" si="304"/>
        <v>173.62999999994645</v>
      </c>
    </row>
    <row r="3859" spans="1:15">
      <c r="A3859" s="1" t="s">
        <v>3964</v>
      </c>
      <c r="B3859" s="23">
        <v>45313.277083333334</v>
      </c>
      <c r="C3859" s="1" t="s">
        <v>25</v>
      </c>
      <c r="D3859" s="1" t="s">
        <v>59</v>
      </c>
      <c r="E3859" s="1" t="s">
        <v>13</v>
      </c>
      <c r="F3859" s="1" t="s">
        <v>186</v>
      </c>
      <c r="G3859" s="1">
        <v>89</v>
      </c>
      <c r="H3859" s="23">
        <v>45313.456782407404</v>
      </c>
      <c r="I3859" s="1" t="b">
        <v>0</v>
      </c>
      <c r="J3859" s="1">
        <v>5</v>
      </c>
      <c r="K3859" s="10">
        <f t="shared" si="302"/>
        <v>4.3127777776680887</v>
      </c>
      <c r="L3859" s="1" t="str">
        <f t="shared" si="303"/>
        <v>OK</v>
      </c>
      <c r="M3859" s="1">
        <f t="shared" si="300"/>
        <v>1</v>
      </c>
      <c r="N3859" s="1">
        <f t="shared" si="301"/>
        <v>89</v>
      </c>
      <c r="O3859" s="10">
        <f t="shared" si="304"/>
        <v>4.3127777776680887</v>
      </c>
    </row>
    <row r="3860" spans="1:15">
      <c r="A3860" s="1" t="s">
        <v>3965</v>
      </c>
      <c r="B3860" s="23">
        <v>45313.363194444442</v>
      </c>
      <c r="C3860" s="1" t="s">
        <v>16</v>
      </c>
      <c r="D3860" s="1" t="s">
        <v>26</v>
      </c>
      <c r="E3860" s="1" t="s">
        <v>13</v>
      </c>
      <c r="F3860" s="1" t="s">
        <v>19</v>
      </c>
      <c r="G3860" s="1">
        <v>180</v>
      </c>
      <c r="I3860" s="1" t="b">
        <v>0</v>
      </c>
      <c r="K3860" s="10" t="str">
        <f t="shared" si="302"/>
        <v/>
      </c>
      <c r="L3860" s="1" t="str">
        <f t="shared" si="303"/>
        <v>Cannot check</v>
      </c>
      <c r="M3860" s="1">
        <f t="shared" si="300"/>
        <v>1</v>
      </c>
      <c r="N3860" s="1">
        <f t="shared" si="301"/>
        <v>180</v>
      </c>
      <c r="O3860" s="10" t="str">
        <f t="shared" si="304"/>
        <v/>
      </c>
    </row>
    <row r="3861" spans="1:15">
      <c r="A3861" s="1" t="s">
        <v>3966</v>
      </c>
      <c r="B3861" s="23">
        <v>45313.395833333336</v>
      </c>
      <c r="C3861" s="1" t="s">
        <v>25</v>
      </c>
      <c r="D3861" s="1" t="s">
        <v>59</v>
      </c>
      <c r="E3861" s="1" t="s">
        <v>33</v>
      </c>
      <c r="F3861" s="1" t="s">
        <v>392</v>
      </c>
      <c r="G3861" s="1">
        <v>61</v>
      </c>
      <c r="H3861" s="23">
        <v>45313.758321759262</v>
      </c>
      <c r="I3861" s="1" t="b">
        <v>0</v>
      </c>
      <c r="K3861" s="10">
        <f t="shared" si="302"/>
        <v>8.6997222222271375</v>
      </c>
      <c r="L3861" s="1" t="str">
        <f t="shared" si="303"/>
        <v>OK</v>
      </c>
      <c r="M3861" s="1">
        <f t="shared" si="300"/>
        <v>1</v>
      </c>
      <c r="N3861" s="1">
        <f t="shared" si="301"/>
        <v>61</v>
      </c>
      <c r="O3861" s="10">
        <f t="shared" si="304"/>
        <v>8.6997222222271375</v>
      </c>
    </row>
    <row r="3862" spans="1:15">
      <c r="A3862" s="1" t="s">
        <v>3967</v>
      </c>
      <c r="B3862" s="23">
        <v>45313.400694444441</v>
      </c>
      <c r="C3862" s="1" t="s">
        <v>25</v>
      </c>
      <c r="D3862" s="1" t="s">
        <v>12</v>
      </c>
      <c r="E3862" s="1" t="s">
        <v>13</v>
      </c>
      <c r="F3862" s="1" t="s">
        <v>88</v>
      </c>
      <c r="G3862" s="1">
        <v>114</v>
      </c>
      <c r="H3862" s="23">
        <v>45313.477094907408</v>
      </c>
      <c r="I3862" s="1" t="b">
        <v>0</v>
      </c>
      <c r="K3862" s="10">
        <f t="shared" si="302"/>
        <v>1.8336111112148501</v>
      </c>
      <c r="L3862" s="1" t="str">
        <f t="shared" si="303"/>
        <v>Review</v>
      </c>
      <c r="M3862" s="1">
        <f t="shared" si="300"/>
        <v>1</v>
      </c>
      <c r="N3862" s="1" t="str">
        <f t="shared" si="301"/>
        <v/>
      </c>
      <c r="O3862" s="10" t="str">
        <f t="shared" si="304"/>
        <v/>
      </c>
    </row>
    <row r="3863" spans="1:15">
      <c r="A3863" s="1" t="s">
        <v>3968</v>
      </c>
      <c r="B3863" s="23">
        <v>45313.504166666666</v>
      </c>
      <c r="C3863" s="1" t="s">
        <v>25</v>
      </c>
      <c r="D3863" s="1" t="s">
        <v>26</v>
      </c>
      <c r="E3863" s="1" t="s">
        <v>13</v>
      </c>
      <c r="F3863" s="1" t="s">
        <v>104</v>
      </c>
      <c r="G3863" s="1">
        <v>209</v>
      </c>
      <c r="I3863" s="1" t="b">
        <v>0</v>
      </c>
      <c r="K3863" s="10" t="str">
        <f t="shared" si="302"/>
        <v/>
      </c>
      <c r="L3863" s="1" t="str">
        <f t="shared" si="303"/>
        <v>Cannot check</v>
      </c>
      <c r="M3863" s="1">
        <f t="shared" si="300"/>
        <v>1</v>
      </c>
      <c r="N3863" s="1">
        <f t="shared" si="301"/>
        <v>209</v>
      </c>
      <c r="O3863" s="10" t="str">
        <f t="shared" si="304"/>
        <v/>
      </c>
    </row>
    <row r="3864" spans="1:15">
      <c r="A3864" s="1" t="s">
        <v>3969</v>
      </c>
      <c r="B3864" s="23">
        <v>45313.543055555558</v>
      </c>
      <c r="C3864" s="1" t="s">
        <v>11</v>
      </c>
      <c r="D3864" s="1" t="s">
        <v>21</v>
      </c>
      <c r="E3864" s="1" t="s">
        <v>33</v>
      </c>
      <c r="F3864" s="1" t="s">
        <v>106</v>
      </c>
      <c r="G3864" s="1">
        <v>43</v>
      </c>
      <c r="H3864" s="23">
        <v>45318.151759259257</v>
      </c>
      <c r="I3864" s="1" t="b">
        <v>0</v>
      </c>
      <c r="K3864" s="10">
        <f t="shared" si="302"/>
        <v>110.60888888878981</v>
      </c>
      <c r="L3864" s="1" t="str">
        <f t="shared" si="303"/>
        <v>OK</v>
      </c>
      <c r="M3864" s="1">
        <f t="shared" si="300"/>
        <v>1</v>
      </c>
      <c r="N3864" s="1">
        <f t="shared" si="301"/>
        <v>43</v>
      </c>
      <c r="O3864" s="10">
        <f t="shared" si="304"/>
        <v>110.60888888878981</v>
      </c>
    </row>
    <row r="3865" spans="1:15">
      <c r="A3865" s="1" t="s">
        <v>3970</v>
      </c>
      <c r="B3865" s="23">
        <v>45313.677777777775</v>
      </c>
      <c r="C3865" s="1" t="s">
        <v>11</v>
      </c>
      <c r="D3865" s="1" t="s">
        <v>26</v>
      </c>
      <c r="E3865" s="1" t="s">
        <v>18</v>
      </c>
      <c r="F3865" s="1" t="s">
        <v>62</v>
      </c>
      <c r="G3865" s="1">
        <v>251</v>
      </c>
      <c r="H3865" s="23">
        <v>45313.964409722219</v>
      </c>
      <c r="I3865" s="1" t="b">
        <v>0</v>
      </c>
      <c r="J3865" s="1">
        <v>4</v>
      </c>
      <c r="K3865" s="10">
        <f t="shared" si="302"/>
        <v>6.8791666666511446</v>
      </c>
      <c r="L3865" s="1" t="str">
        <f t="shared" si="303"/>
        <v>OK</v>
      </c>
      <c r="M3865" s="1">
        <f t="shared" si="300"/>
        <v>1</v>
      </c>
      <c r="N3865" s="1">
        <f t="shared" si="301"/>
        <v>251</v>
      </c>
      <c r="O3865" s="10">
        <f t="shared" si="304"/>
        <v>6.8791666666511446</v>
      </c>
    </row>
    <row r="3866" spans="1:15">
      <c r="A3866" s="1" t="s">
        <v>3971</v>
      </c>
      <c r="B3866" s="23">
        <v>45313.708333333336</v>
      </c>
      <c r="C3866" s="1" t="s">
        <v>25</v>
      </c>
      <c r="D3866" s="1" t="s">
        <v>17</v>
      </c>
      <c r="E3866" s="1" t="s">
        <v>33</v>
      </c>
      <c r="F3866" s="1" t="s">
        <v>46</v>
      </c>
      <c r="G3866" s="1">
        <v>44</v>
      </c>
      <c r="H3866" s="23">
        <v>45314.672939814816</v>
      </c>
      <c r="I3866" s="1" t="b">
        <v>0</v>
      </c>
      <c r="J3866" s="1">
        <v>1</v>
      </c>
      <c r="K3866" s="10">
        <f t="shared" si="302"/>
        <v>23.150555555534083</v>
      </c>
      <c r="L3866" s="1" t="str">
        <f t="shared" si="303"/>
        <v>OK</v>
      </c>
      <c r="M3866" s="1">
        <f t="shared" si="300"/>
        <v>1</v>
      </c>
      <c r="N3866" s="1">
        <f t="shared" si="301"/>
        <v>44</v>
      </c>
      <c r="O3866" s="10">
        <f t="shared" si="304"/>
        <v>23.150555555534083</v>
      </c>
    </row>
    <row r="3867" spans="1:15">
      <c r="A3867" s="1" t="s">
        <v>3972</v>
      </c>
      <c r="B3867" s="23">
        <v>45313.819444444445</v>
      </c>
      <c r="C3867" s="1" t="s">
        <v>16</v>
      </c>
      <c r="D3867" s="1" t="s">
        <v>17</v>
      </c>
      <c r="E3867" s="1" t="s">
        <v>18</v>
      </c>
      <c r="F3867" s="1" t="s">
        <v>274</v>
      </c>
      <c r="G3867" s="1">
        <v>513</v>
      </c>
      <c r="H3867" s="23">
        <v>45314.472210648149</v>
      </c>
      <c r="I3867" s="1" t="b">
        <v>1</v>
      </c>
      <c r="J3867" s="1">
        <v>4</v>
      </c>
      <c r="K3867" s="10">
        <f t="shared" si="302"/>
        <v>15.666388888901565</v>
      </c>
      <c r="L3867" s="1" t="str">
        <f t="shared" si="303"/>
        <v>OK</v>
      </c>
      <c r="M3867" s="1">
        <f t="shared" si="300"/>
        <v>1</v>
      </c>
      <c r="N3867" s="1">
        <f t="shared" si="301"/>
        <v>513</v>
      </c>
      <c r="O3867" s="10">
        <f t="shared" si="304"/>
        <v>15.666388888901565</v>
      </c>
    </row>
    <row r="3868" spans="1:15">
      <c r="A3868" s="1" t="s">
        <v>3973</v>
      </c>
      <c r="B3868" s="23">
        <v>45313.876388888886</v>
      </c>
      <c r="C3868" s="1" t="s">
        <v>25</v>
      </c>
      <c r="D3868" s="1" t="s">
        <v>17</v>
      </c>
      <c r="E3868" s="1" t="s">
        <v>18</v>
      </c>
      <c r="F3868" s="1" t="s">
        <v>114</v>
      </c>
      <c r="G3868" s="1">
        <v>161</v>
      </c>
      <c r="H3868" s="23">
        <v>45314.235486111109</v>
      </c>
      <c r="I3868" s="1" t="b">
        <v>0</v>
      </c>
      <c r="J3868" s="1">
        <v>3</v>
      </c>
      <c r="K3868" s="10">
        <f t="shared" si="302"/>
        <v>8.6183333333465271</v>
      </c>
      <c r="L3868" s="1" t="str">
        <f t="shared" si="303"/>
        <v>OK</v>
      </c>
      <c r="M3868" s="1">
        <f t="shared" si="300"/>
        <v>1</v>
      </c>
      <c r="N3868" s="1">
        <f t="shared" si="301"/>
        <v>161</v>
      </c>
      <c r="O3868" s="10">
        <f t="shared" si="304"/>
        <v>8.6183333333465271</v>
      </c>
    </row>
    <row r="3869" spans="1:15">
      <c r="A3869" s="1" t="s">
        <v>3974</v>
      </c>
      <c r="B3869" s="23">
        <v>45313.892361111109</v>
      </c>
      <c r="C3869" s="1" t="s">
        <v>25</v>
      </c>
      <c r="D3869" s="1" t="s">
        <v>21</v>
      </c>
      <c r="E3869" s="1" t="s">
        <v>22</v>
      </c>
      <c r="F3869" s="1" t="s">
        <v>128</v>
      </c>
      <c r="G3869" s="1">
        <v>19</v>
      </c>
      <c r="H3869" s="23">
        <v>45313.967256944445</v>
      </c>
      <c r="I3869" s="1" t="b">
        <v>0</v>
      </c>
      <c r="K3869" s="10">
        <f t="shared" si="302"/>
        <v>1.7975000000442378</v>
      </c>
      <c r="L3869" s="1" t="str">
        <f t="shared" si="303"/>
        <v>OK</v>
      </c>
      <c r="M3869" s="1">
        <f t="shared" si="300"/>
        <v>1</v>
      </c>
      <c r="N3869" s="1">
        <f t="shared" si="301"/>
        <v>19</v>
      </c>
      <c r="O3869" s="10">
        <f t="shared" si="304"/>
        <v>1.7975000000442378</v>
      </c>
    </row>
    <row r="3870" spans="1:15">
      <c r="A3870" s="1" t="s">
        <v>3975</v>
      </c>
      <c r="B3870" s="23">
        <v>45313.912499999999</v>
      </c>
      <c r="C3870" s="1" t="s">
        <v>25</v>
      </c>
      <c r="D3870" s="1" t="s">
        <v>12</v>
      </c>
      <c r="E3870" s="1" t="s">
        <v>22</v>
      </c>
      <c r="F3870" s="1" t="s">
        <v>228</v>
      </c>
      <c r="G3870" s="1">
        <v>14</v>
      </c>
      <c r="H3870" s="23">
        <v>45314.074386574073</v>
      </c>
      <c r="I3870" s="1" t="b">
        <v>0</v>
      </c>
      <c r="K3870" s="10">
        <f t="shared" si="302"/>
        <v>3.8852777777938172</v>
      </c>
      <c r="L3870" s="1" t="str">
        <f t="shared" si="303"/>
        <v>OK</v>
      </c>
      <c r="M3870" s="1">
        <f t="shared" si="300"/>
        <v>1</v>
      </c>
      <c r="N3870" s="1">
        <f t="shared" si="301"/>
        <v>14</v>
      </c>
      <c r="O3870" s="10">
        <f t="shared" si="304"/>
        <v>3.8852777777938172</v>
      </c>
    </row>
    <row r="3871" spans="1:15">
      <c r="A3871" s="1" t="s">
        <v>3976</v>
      </c>
      <c r="B3871" s="23">
        <v>45314.022222222222</v>
      </c>
      <c r="C3871" s="1" t="s">
        <v>25</v>
      </c>
      <c r="D3871" s="1" t="s">
        <v>21</v>
      </c>
      <c r="E3871" s="1" t="s">
        <v>18</v>
      </c>
      <c r="F3871" s="1" t="s">
        <v>709</v>
      </c>
      <c r="G3871" s="1">
        <v>301</v>
      </c>
      <c r="H3871" s="23">
        <v>45314.445879629631</v>
      </c>
      <c r="I3871" s="1" t="b">
        <v>1</v>
      </c>
      <c r="K3871" s="10">
        <f t="shared" si="302"/>
        <v>10.167777777824085</v>
      </c>
      <c r="L3871" s="1" t="str">
        <f t="shared" si="303"/>
        <v>OK</v>
      </c>
      <c r="M3871" s="1">
        <f t="shared" si="300"/>
        <v>1</v>
      </c>
      <c r="N3871" s="1">
        <f t="shared" si="301"/>
        <v>301</v>
      </c>
      <c r="O3871" s="10">
        <f t="shared" si="304"/>
        <v>10.167777777824085</v>
      </c>
    </row>
    <row r="3872" spans="1:15">
      <c r="A3872" s="1" t="s">
        <v>3977</v>
      </c>
      <c r="B3872" s="23">
        <v>45314.044444444444</v>
      </c>
      <c r="C3872" s="1" t="s">
        <v>11</v>
      </c>
      <c r="D3872" s="1" t="s">
        <v>59</v>
      </c>
      <c r="E3872" s="1" t="s">
        <v>13</v>
      </c>
      <c r="F3872" s="1" t="s">
        <v>104</v>
      </c>
      <c r="G3872" s="1">
        <v>21</v>
      </c>
      <c r="H3872" s="23">
        <v>45315.224143518521</v>
      </c>
      <c r="I3872" s="1" t="b">
        <v>0</v>
      </c>
      <c r="K3872" s="10">
        <f t="shared" si="302"/>
        <v>28.312777777842712</v>
      </c>
      <c r="L3872" s="1" t="str">
        <f t="shared" si="303"/>
        <v>OK</v>
      </c>
      <c r="M3872" s="1">
        <f t="shared" si="300"/>
        <v>1</v>
      </c>
      <c r="N3872" s="1">
        <f t="shared" si="301"/>
        <v>21</v>
      </c>
      <c r="O3872" s="10">
        <f t="shared" si="304"/>
        <v>28.312777777842712</v>
      </c>
    </row>
    <row r="3873" spans="1:15">
      <c r="A3873" s="1" t="s">
        <v>3978</v>
      </c>
      <c r="B3873" s="23">
        <v>45314.155555555553</v>
      </c>
      <c r="C3873" s="1" t="s">
        <v>25</v>
      </c>
      <c r="D3873" s="1" t="s">
        <v>21</v>
      </c>
      <c r="E3873" s="1" t="s">
        <v>13</v>
      </c>
      <c r="F3873" s="1" t="s">
        <v>186</v>
      </c>
      <c r="G3873" s="1">
        <v>30</v>
      </c>
      <c r="H3873" s="23">
        <v>45314.598622685182</v>
      </c>
      <c r="I3873" s="1" t="b">
        <v>0</v>
      </c>
      <c r="K3873" s="10">
        <f t="shared" si="302"/>
        <v>10.633611111086793</v>
      </c>
      <c r="L3873" s="1" t="str">
        <f t="shared" si="303"/>
        <v>OK</v>
      </c>
      <c r="M3873" s="1">
        <f t="shared" si="300"/>
        <v>1</v>
      </c>
      <c r="N3873" s="1">
        <f t="shared" si="301"/>
        <v>30</v>
      </c>
      <c r="O3873" s="10">
        <f t="shared" si="304"/>
        <v>10.633611111086793</v>
      </c>
    </row>
    <row r="3874" spans="1:15">
      <c r="A3874" s="1" t="s">
        <v>3979</v>
      </c>
      <c r="B3874" s="23">
        <v>45314.182638888888</v>
      </c>
      <c r="C3874" s="1" t="s">
        <v>11</v>
      </c>
      <c r="D3874" s="1" t="s">
        <v>17</v>
      </c>
      <c r="E3874" s="1" t="s">
        <v>33</v>
      </c>
      <c r="F3874" s="1" t="s">
        <v>66</v>
      </c>
      <c r="G3874" s="1">
        <v>791</v>
      </c>
      <c r="H3874" s="23">
        <v>45315.00986111111</v>
      </c>
      <c r="I3874" s="1" t="b">
        <v>0</v>
      </c>
      <c r="J3874" s="1">
        <v>4</v>
      </c>
      <c r="K3874" s="10">
        <f t="shared" si="302"/>
        <v>19.853333333332557</v>
      </c>
      <c r="L3874" s="1" t="str">
        <f t="shared" si="303"/>
        <v>OK</v>
      </c>
      <c r="M3874" s="1">
        <f t="shared" si="300"/>
        <v>1</v>
      </c>
      <c r="N3874" s="1">
        <f t="shared" si="301"/>
        <v>791</v>
      </c>
      <c r="O3874" s="10">
        <f t="shared" si="304"/>
        <v>19.853333333332557</v>
      </c>
    </row>
    <row r="3875" spans="1:15">
      <c r="A3875" s="1" t="s">
        <v>3980</v>
      </c>
      <c r="B3875" s="23">
        <v>45314.224305555559</v>
      </c>
      <c r="C3875" s="1" t="s">
        <v>16</v>
      </c>
      <c r="D3875" s="1" t="s">
        <v>17</v>
      </c>
      <c r="E3875" s="1" t="s">
        <v>18</v>
      </c>
      <c r="F3875" s="1" t="s">
        <v>46</v>
      </c>
      <c r="G3875" s="1">
        <v>425</v>
      </c>
      <c r="H3875" s="23">
        <v>45322.728229166663</v>
      </c>
      <c r="I3875" s="1" t="b">
        <v>0</v>
      </c>
      <c r="J3875" s="1">
        <v>4</v>
      </c>
      <c r="K3875" s="10">
        <f t="shared" si="302"/>
        <v>204.09416666650213</v>
      </c>
      <c r="L3875" s="1" t="str">
        <f t="shared" si="303"/>
        <v>OK</v>
      </c>
      <c r="M3875" s="1">
        <f t="shared" si="300"/>
        <v>1</v>
      </c>
      <c r="N3875" s="1">
        <f t="shared" si="301"/>
        <v>425</v>
      </c>
      <c r="O3875" s="10">
        <f t="shared" si="304"/>
        <v>204.09416666650213</v>
      </c>
    </row>
    <row r="3876" spans="1:15">
      <c r="A3876" s="1" t="s">
        <v>3981</v>
      </c>
      <c r="B3876" s="23">
        <v>45314.26666666667</v>
      </c>
      <c r="C3876" s="1" t="s">
        <v>25</v>
      </c>
      <c r="D3876" s="1" t="s">
        <v>26</v>
      </c>
      <c r="E3876" s="1" t="s">
        <v>33</v>
      </c>
      <c r="F3876" s="1" t="s">
        <v>29</v>
      </c>
      <c r="G3876" s="1">
        <v>387</v>
      </c>
      <c r="I3876" s="1" t="b">
        <v>0</v>
      </c>
      <c r="K3876" s="10" t="str">
        <f t="shared" si="302"/>
        <v/>
      </c>
      <c r="L3876" s="1" t="str">
        <f t="shared" si="303"/>
        <v>Cannot check</v>
      </c>
      <c r="M3876" s="1">
        <f t="shared" si="300"/>
        <v>1</v>
      </c>
      <c r="N3876" s="1">
        <f t="shared" si="301"/>
        <v>387</v>
      </c>
      <c r="O3876" s="10" t="str">
        <f t="shared" si="304"/>
        <v/>
      </c>
    </row>
    <row r="3877" spans="1:15">
      <c r="A3877" s="1" t="s">
        <v>3982</v>
      </c>
      <c r="B3877" s="23">
        <v>45314.286111111112</v>
      </c>
      <c r="C3877" s="1" t="s">
        <v>43</v>
      </c>
      <c r="D3877" s="1" t="s">
        <v>17</v>
      </c>
      <c r="E3877" s="1" t="s">
        <v>18</v>
      </c>
      <c r="F3877" s="1" t="s">
        <v>98</v>
      </c>
      <c r="G3877" s="1">
        <v>34</v>
      </c>
      <c r="H3877" s="23">
        <v>45315.463865740741</v>
      </c>
      <c r="I3877" s="1" t="b">
        <v>0</v>
      </c>
      <c r="J3877" s="1">
        <v>5</v>
      </c>
      <c r="K3877" s="10">
        <f t="shared" si="302"/>
        <v>28.266111111093778</v>
      </c>
      <c r="L3877" s="1" t="str">
        <f t="shared" si="303"/>
        <v>OK</v>
      </c>
      <c r="M3877" s="1">
        <f t="shared" si="300"/>
        <v>1</v>
      </c>
      <c r="N3877" s="1">
        <f t="shared" si="301"/>
        <v>34</v>
      </c>
      <c r="O3877" s="10">
        <f t="shared" si="304"/>
        <v>28.266111111093778</v>
      </c>
    </row>
    <row r="3878" spans="1:15">
      <c r="A3878" s="1" t="s">
        <v>3983</v>
      </c>
      <c r="B3878" s="23">
        <v>45314.650694444441</v>
      </c>
      <c r="C3878" s="1" t="s">
        <v>16</v>
      </c>
      <c r="D3878" s="1" t="s">
        <v>12</v>
      </c>
      <c r="E3878" s="1" t="s">
        <v>33</v>
      </c>
      <c r="F3878" s="1" t="s">
        <v>70</v>
      </c>
      <c r="G3878" s="1">
        <v>148</v>
      </c>
      <c r="I3878" s="1" t="b">
        <v>0</v>
      </c>
      <c r="K3878" s="10" t="str">
        <f t="shared" si="302"/>
        <v/>
      </c>
      <c r="L3878" s="1" t="str">
        <f t="shared" si="303"/>
        <v>Cannot check</v>
      </c>
      <c r="M3878" s="1">
        <f t="shared" si="300"/>
        <v>1</v>
      </c>
      <c r="N3878" s="1">
        <f t="shared" si="301"/>
        <v>148</v>
      </c>
      <c r="O3878" s="10" t="str">
        <f t="shared" si="304"/>
        <v/>
      </c>
    </row>
    <row r="3879" spans="1:15">
      <c r="A3879" s="1" t="s">
        <v>3984</v>
      </c>
      <c r="B3879" s="23">
        <v>45314.768750000003</v>
      </c>
      <c r="C3879" s="1" t="s">
        <v>11</v>
      </c>
      <c r="D3879" s="1" t="s">
        <v>21</v>
      </c>
      <c r="E3879" s="1" t="s">
        <v>18</v>
      </c>
      <c r="F3879" s="1" t="s">
        <v>120</v>
      </c>
      <c r="G3879" s="1">
        <v>89</v>
      </c>
      <c r="H3879" s="23">
        <v>45314.990185185183</v>
      </c>
      <c r="I3879" s="1" t="b">
        <v>0</v>
      </c>
      <c r="K3879" s="10">
        <f t="shared" si="302"/>
        <v>5.314444444316905</v>
      </c>
      <c r="L3879" s="1" t="str">
        <f t="shared" si="303"/>
        <v>OK</v>
      </c>
      <c r="M3879" s="1">
        <f t="shared" si="300"/>
        <v>1</v>
      </c>
      <c r="N3879" s="1">
        <f t="shared" si="301"/>
        <v>89</v>
      </c>
      <c r="O3879" s="10">
        <f t="shared" si="304"/>
        <v>5.314444444316905</v>
      </c>
    </row>
    <row r="3880" spans="1:15">
      <c r="A3880" s="1" t="s">
        <v>3985</v>
      </c>
      <c r="B3880" s="23">
        <v>45314.84097222222</v>
      </c>
      <c r="C3880" s="1" t="s">
        <v>11</v>
      </c>
      <c r="D3880" s="1" t="s">
        <v>26</v>
      </c>
      <c r="E3880" s="1" t="s">
        <v>18</v>
      </c>
      <c r="F3880" s="1" t="s">
        <v>237</v>
      </c>
      <c r="G3880" s="1">
        <v>27</v>
      </c>
      <c r="H3880" s="23">
        <v>45316.986354166664</v>
      </c>
      <c r="I3880" s="1" t="b">
        <v>0</v>
      </c>
      <c r="K3880" s="10">
        <f t="shared" si="302"/>
        <v>51.489166666637175</v>
      </c>
      <c r="L3880" s="1" t="str">
        <f t="shared" si="303"/>
        <v>OK</v>
      </c>
      <c r="M3880" s="1">
        <f t="shared" si="300"/>
        <v>1</v>
      </c>
      <c r="N3880" s="1">
        <f t="shared" si="301"/>
        <v>27</v>
      </c>
      <c r="O3880" s="10">
        <f t="shared" si="304"/>
        <v>51.489166666637175</v>
      </c>
    </row>
    <row r="3881" spans="1:15">
      <c r="A3881" s="1" t="s">
        <v>3986</v>
      </c>
      <c r="B3881" s="23">
        <v>45314.950694444444</v>
      </c>
      <c r="C3881" s="1" t="s">
        <v>16</v>
      </c>
      <c r="D3881" s="1" t="s">
        <v>21</v>
      </c>
      <c r="E3881" s="1" t="s">
        <v>18</v>
      </c>
      <c r="F3881" s="1" t="s">
        <v>239</v>
      </c>
      <c r="G3881" s="1">
        <v>24</v>
      </c>
      <c r="H3881" s="23">
        <v>45315.974328703705</v>
      </c>
      <c r="I3881" s="1" t="b">
        <v>1</v>
      </c>
      <c r="K3881" s="10">
        <f t="shared" si="302"/>
        <v>24.56722222227836</v>
      </c>
      <c r="L3881" s="1" t="str">
        <f t="shared" si="303"/>
        <v>OK</v>
      </c>
      <c r="M3881" s="1">
        <f t="shared" si="300"/>
        <v>1</v>
      </c>
      <c r="N3881" s="1">
        <f t="shared" si="301"/>
        <v>24</v>
      </c>
      <c r="O3881" s="10">
        <f t="shared" si="304"/>
        <v>24.56722222227836</v>
      </c>
    </row>
    <row r="3882" spans="1:15">
      <c r="A3882" s="1" t="s">
        <v>3987</v>
      </c>
      <c r="B3882" s="23">
        <v>45314.990277777775</v>
      </c>
      <c r="C3882" s="1" t="s">
        <v>43</v>
      </c>
      <c r="D3882" s="1" t="s">
        <v>17</v>
      </c>
      <c r="E3882" s="1" t="s">
        <v>33</v>
      </c>
      <c r="F3882" s="1" t="s">
        <v>96</v>
      </c>
      <c r="G3882" s="1">
        <v>386</v>
      </c>
      <c r="H3882" s="23">
        <v>45323.262569444443</v>
      </c>
      <c r="I3882" s="1" t="b">
        <v>0</v>
      </c>
      <c r="K3882" s="10">
        <f t="shared" si="302"/>
        <v>198.5350000000326</v>
      </c>
      <c r="L3882" s="1" t="str">
        <f t="shared" si="303"/>
        <v>OK</v>
      </c>
      <c r="M3882" s="1">
        <f t="shared" si="300"/>
        <v>1</v>
      </c>
      <c r="N3882" s="1">
        <f t="shared" si="301"/>
        <v>386</v>
      </c>
      <c r="O3882" s="10">
        <f t="shared" si="304"/>
        <v>198.5350000000326</v>
      </c>
    </row>
    <row r="3883" spans="1:15">
      <c r="A3883" s="1" t="s">
        <v>3988</v>
      </c>
      <c r="B3883" s="23">
        <v>45315.090277777781</v>
      </c>
      <c r="C3883" s="1" t="s">
        <v>25</v>
      </c>
      <c r="D3883" s="1" t="s">
        <v>59</v>
      </c>
      <c r="E3883" s="1" t="s">
        <v>33</v>
      </c>
      <c r="F3883" s="1" t="s">
        <v>206</v>
      </c>
      <c r="G3883" s="1">
        <v>711</v>
      </c>
      <c r="H3883" s="23">
        <v>45317.071053240739</v>
      </c>
      <c r="I3883" s="1" t="b">
        <v>0</v>
      </c>
      <c r="K3883" s="10">
        <f t="shared" si="302"/>
        <v>47.538611110998318</v>
      </c>
      <c r="L3883" s="1" t="str">
        <f t="shared" si="303"/>
        <v>OK</v>
      </c>
      <c r="M3883" s="1">
        <f t="shared" si="300"/>
        <v>1</v>
      </c>
      <c r="N3883" s="1">
        <f t="shared" si="301"/>
        <v>711</v>
      </c>
      <c r="O3883" s="10">
        <f t="shared" si="304"/>
        <v>47.538611110998318</v>
      </c>
    </row>
    <row r="3884" spans="1:15">
      <c r="A3884" s="1" t="s">
        <v>3989</v>
      </c>
      <c r="B3884" s="23">
        <v>45315.292361111111</v>
      </c>
      <c r="C3884" s="1" t="s">
        <v>11</v>
      </c>
      <c r="D3884" s="1" t="s">
        <v>12</v>
      </c>
      <c r="E3884" s="1" t="s">
        <v>22</v>
      </c>
      <c r="F3884" s="1" t="s">
        <v>84</v>
      </c>
      <c r="G3884" s="1">
        <v>20</v>
      </c>
      <c r="H3884" s="23">
        <v>45315.342372685183</v>
      </c>
      <c r="I3884" s="1" t="b">
        <v>0</v>
      </c>
      <c r="K3884" s="10">
        <f t="shared" si="302"/>
        <v>1.2002777777379379</v>
      </c>
      <c r="L3884" s="1" t="str">
        <f t="shared" si="303"/>
        <v>OK</v>
      </c>
      <c r="M3884" s="1">
        <f t="shared" si="300"/>
        <v>1</v>
      </c>
      <c r="N3884" s="1">
        <f t="shared" si="301"/>
        <v>20</v>
      </c>
      <c r="O3884" s="10">
        <f t="shared" si="304"/>
        <v>1.2002777777379379</v>
      </c>
    </row>
    <row r="3885" spans="1:15">
      <c r="A3885" s="1" t="s">
        <v>3990</v>
      </c>
      <c r="B3885" s="23">
        <v>45315.372916666667</v>
      </c>
      <c r="C3885" s="1" t="s">
        <v>16</v>
      </c>
      <c r="D3885" s="1" t="s">
        <v>59</v>
      </c>
      <c r="E3885" s="1" t="s">
        <v>18</v>
      </c>
      <c r="F3885" s="1" t="s">
        <v>94</v>
      </c>
      <c r="G3885" s="1">
        <v>213</v>
      </c>
      <c r="H3885" s="23">
        <v>45318.530428240738</v>
      </c>
      <c r="I3885" s="1" t="b">
        <v>0</v>
      </c>
      <c r="K3885" s="10">
        <f t="shared" si="302"/>
        <v>75.780277777696028</v>
      </c>
      <c r="L3885" s="1" t="str">
        <f t="shared" si="303"/>
        <v>OK</v>
      </c>
      <c r="M3885" s="1">
        <f t="shared" si="300"/>
        <v>1</v>
      </c>
      <c r="N3885" s="1">
        <f t="shared" si="301"/>
        <v>213</v>
      </c>
      <c r="O3885" s="10">
        <f t="shared" si="304"/>
        <v>75.780277777696028</v>
      </c>
    </row>
    <row r="3886" spans="1:15">
      <c r="A3886" s="1" t="s">
        <v>3991</v>
      </c>
      <c r="B3886" s="23">
        <v>45315.404166666667</v>
      </c>
      <c r="C3886" s="1" t="s">
        <v>11</v>
      </c>
      <c r="D3886" s="1" t="s">
        <v>17</v>
      </c>
      <c r="E3886" s="1" t="s">
        <v>33</v>
      </c>
      <c r="F3886" s="1" t="s">
        <v>145</v>
      </c>
      <c r="G3886" s="1">
        <v>480</v>
      </c>
      <c r="H3886" s="23">
        <v>45316.841770833336</v>
      </c>
      <c r="I3886" s="1" t="b">
        <v>0</v>
      </c>
      <c r="J3886" s="1">
        <v>2</v>
      </c>
      <c r="K3886" s="10">
        <f t="shared" si="302"/>
        <v>34.502500000060536</v>
      </c>
      <c r="L3886" s="1" t="str">
        <f t="shared" si="303"/>
        <v>OK</v>
      </c>
      <c r="M3886" s="1">
        <f t="shared" si="300"/>
        <v>1</v>
      </c>
      <c r="N3886" s="1">
        <f t="shared" si="301"/>
        <v>480</v>
      </c>
      <c r="O3886" s="10">
        <f t="shared" si="304"/>
        <v>34.502500000060536</v>
      </c>
    </row>
    <row r="3887" spans="1:15">
      <c r="A3887" s="1" t="s">
        <v>3992</v>
      </c>
      <c r="B3887" s="23">
        <v>45315.42083333333</v>
      </c>
      <c r="C3887" s="1" t="s">
        <v>11</v>
      </c>
      <c r="D3887" s="1" t="s">
        <v>26</v>
      </c>
      <c r="E3887" s="1" t="s">
        <v>13</v>
      </c>
      <c r="F3887" s="1" t="s">
        <v>237</v>
      </c>
      <c r="G3887" s="1">
        <v>118</v>
      </c>
      <c r="H3887" s="23">
        <v>45316.015648148146</v>
      </c>
      <c r="I3887" s="1" t="b">
        <v>0</v>
      </c>
      <c r="J3887" s="1">
        <v>5</v>
      </c>
      <c r="K3887" s="10">
        <f t="shared" si="302"/>
        <v>14.275555555592291</v>
      </c>
      <c r="L3887" s="1" t="str">
        <f t="shared" si="303"/>
        <v>OK</v>
      </c>
      <c r="M3887" s="1">
        <f t="shared" si="300"/>
        <v>1</v>
      </c>
      <c r="N3887" s="1">
        <f t="shared" si="301"/>
        <v>118</v>
      </c>
      <c r="O3887" s="10">
        <f t="shared" si="304"/>
        <v>14.275555555592291</v>
      </c>
    </row>
    <row r="3888" spans="1:15">
      <c r="A3888" s="1" t="s">
        <v>3993</v>
      </c>
      <c r="B3888" s="23">
        <v>45315.428472222222</v>
      </c>
      <c r="C3888" s="1" t="s">
        <v>16</v>
      </c>
      <c r="D3888" s="1" t="s">
        <v>12</v>
      </c>
      <c r="E3888" s="1" t="s">
        <v>13</v>
      </c>
      <c r="F3888" s="1" t="s">
        <v>259</v>
      </c>
      <c r="G3888" s="1">
        <v>66</v>
      </c>
      <c r="H3888" s="23">
        <v>45315.949212962965</v>
      </c>
      <c r="I3888" s="1" t="b">
        <v>0</v>
      </c>
      <c r="K3888" s="10">
        <f t="shared" si="302"/>
        <v>12.497777777840383</v>
      </c>
      <c r="L3888" s="1" t="str">
        <f t="shared" si="303"/>
        <v>OK</v>
      </c>
      <c r="M3888" s="1">
        <f t="shared" si="300"/>
        <v>1</v>
      </c>
      <c r="N3888" s="1">
        <f t="shared" si="301"/>
        <v>66</v>
      </c>
      <c r="O3888" s="10">
        <f t="shared" si="304"/>
        <v>12.497777777840383</v>
      </c>
    </row>
    <row r="3889" spans="1:15">
      <c r="A3889" s="1" t="s">
        <v>3994</v>
      </c>
      <c r="B3889" s="23">
        <v>45315.571527777778</v>
      </c>
      <c r="C3889" s="1" t="s">
        <v>16</v>
      </c>
      <c r="D3889" s="1" t="s">
        <v>17</v>
      </c>
      <c r="E3889" s="1" t="s">
        <v>13</v>
      </c>
      <c r="F3889" s="1" t="s">
        <v>19</v>
      </c>
      <c r="G3889" s="1">
        <v>100</v>
      </c>
      <c r="H3889" s="23">
        <v>45316.645474537036</v>
      </c>
      <c r="I3889" s="1" t="b">
        <v>0</v>
      </c>
      <c r="K3889" s="10">
        <f t="shared" si="302"/>
        <v>25.774722222180571</v>
      </c>
      <c r="L3889" s="1" t="str">
        <f t="shared" si="303"/>
        <v>OK</v>
      </c>
      <c r="M3889" s="1">
        <f t="shared" si="300"/>
        <v>1</v>
      </c>
      <c r="N3889" s="1">
        <f t="shared" si="301"/>
        <v>100</v>
      </c>
      <c r="O3889" s="10">
        <f t="shared" si="304"/>
        <v>25.774722222180571</v>
      </c>
    </row>
    <row r="3890" spans="1:15">
      <c r="A3890" s="1" t="s">
        <v>3995</v>
      </c>
      <c r="B3890" s="23">
        <v>45315.617361111108</v>
      </c>
      <c r="C3890" s="1" t="s">
        <v>16</v>
      </c>
      <c r="D3890" s="1" t="s">
        <v>21</v>
      </c>
      <c r="E3890" s="1" t="s">
        <v>18</v>
      </c>
      <c r="F3890" s="1" t="s">
        <v>44</v>
      </c>
      <c r="G3890" s="1">
        <v>86</v>
      </c>
      <c r="H3890" s="23">
        <v>45316.068854166668</v>
      </c>
      <c r="I3890" s="1" t="b">
        <v>0</v>
      </c>
      <c r="J3890" s="1">
        <v>5</v>
      </c>
      <c r="K3890" s="10">
        <f t="shared" si="302"/>
        <v>10.835833333432674</v>
      </c>
      <c r="L3890" s="1" t="str">
        <f t="shared" si="303"/>
        <v>OK</v>
      </c>
      <c r="M3890" s="1">
        <f t="shared" si="300"/>
        <v>1</v>
      </c>
      <c r="N3890" s="1">
        <f t="shared" si="301"/>
        <v>86</v>
      </c>
      <c r="O3890" s="10">
        <f t="shared" si="304"/>
        <v>10.835833333432674</v>
      </c>
    </row>
    <row r="3891" spans="1:15">
      <c r="A3891" s="1" t="s">
        <v>3996</v>
      </c>
      <c r="B3891" s="23">
        <v>45315.649305555555</v>
      </c>
      <c r="C3891" s="1" t="s">
        <v>16</v>
      </c>
      <c r="D3891" s="1" t="s">
        <v>17</v>
      </c>
      <c r="E3891" s="1" t="s">
        <v>18</v>
      </c>
      <c r="F3891" s="1" t="s">
        <v>78</v>
      </c>
      <c r="G3891" s="1">
        <v>51</v>
      </c>
      <c r="H3891" s="23">
        <v>45317.203414351854</v>
      </c>
      <c r="I3891" s="1" t="b">
        <v>0</v>
      </c>
      <c r="J3891" s="1">
        <v>5</v>
      </c>
      <c r="K3891" s="10">
        <f t="shared" si="302"/>
        <v>37.298611111182254</v>
      </c>
      <c r="L3891" s="1" t="str">
        <f t="shared" si="303"/>
        <v>OK</v>
      </c>
      <c r="M3891" s="1">
        <f t="shared" si="300"/>
        <v>1</v>
      </c>
      <c r="N3891" s="1">
        <f t="shared" si="301"/>
        <v>51</v>
      </c>
      <c r="O3891" s="10">
        <f t="shared" si="304"/>
        <v>37.298611111182254</v>
      </c>
    </row>
    <row r="3892" spans="1:15">
      <c r="A3892" s="1" t="s">
        <v>3997</v>
      </c>
      <c r="B3892" s="23">
        <v>45315.668749999997</v>
      </c>
      <c r="C3892" s="1" t="s">
        <v>16</v>
      </c>
      <c r="D3892" s="1" t="s">
        <v>12</v>
      </c>
      <c r="E3892" s="1" t="s">
        <v>18</v>
      </c>
      <c r="F3892" s="1" t="s">
        <v>39</v>
      </c>
      <c r="G3892" s="1">
        <v>25</v>
      </c>
      <c r="I3892" s="1" t="b">
        <v>0</v>
      </c>
      <c r="K3892" s="10" t="str">
        <f t="shared" si="302"/>
        <v/>
      </c>
      <c r="L3892" s="1" t="str">
        <f t="shared" si="303"/>
        <v>Cannot check</v>
      </c>
      <c r="M3892" s="1">
        <f t="shared" si="300"/>
        <v>1</v>
      </c>
      <c r="N3892" s="1">
        <f t="shared" si="301"/>
        <v>25</v>
      </c>
      <c r="O3892" s="10" t="str">
        <f t="shared" si="304"/>
        <v/>
      </c>
    </row>
    <row r="3893" spans="1:15">
      <c r="A3893" s="1" t="s">
        <v>3998</v>
      </c>
      <c r="B3893" s="23">
        <v>45316.215277777781</v>
      </c>
      <c r="C3893" s="1" t="s">
        <v>43</v>
      </c>
      <c r="D3893" s="1" t="s">
        <v>21</v>
      </c>
      <c r="E3893" s="1" t="s">
        <v>18</v>
      </c>
      <c r="F3893" s="1" t="s">
        <v>239</v>
      </c>
      <c r="G3893" s="1">
        <v>209</v>
      </c>
      <c r="H3893" s="23">
        <v>45317.1641087963</v>
      </c>
      <c r="I3893" s="1" t="b">
        <v>0</v>
      </c>
      <c r="K3893" s="10">
        <f t="shared" si="302"/>
        <v>22.771944444451947</v>
      </c>
      <c r="L3893" s="1" t="str">
        <f t="shared" si="303"/>
        <v>OK</v>
      </c>
      <c r="M3893" s="1">
        <f t="shared" si="300"/>
        <v>1</v>
      </c>
      <c r="N3893" s="1">
        <f t="shared" si="301"/>
        <v>209</v>
      </c>
      <c r="O3893" s="10">
        <f t="shared" si="304"/>
        <v>22.771944444451947</v>
      </c>
    </row>
    <row r="3894" spans="1:15">
      <c r="A3894" s="1" t="s">
        <v>3999</v>
      </c>
      <c r="B3894" s="23">
        <v>45316.227777777778</v>
      </c>
      <c r="C3894" s="1" t="s">
        <v>11</v>
      </c>
      <c r="D3894" s="1" t="s">
        <v>17</v>
      </c>
      <c r="E3894" s="1" t="s">
        <v>13</v>
      </c>
      <c r="F3894" s="1" t="s">
        <v>175</v>
      </c>
      <c r="G3894" s="1">
        <v>7</v>
      </c>
      <c r="H3894" s="23">
        <v>45316.643252314818</v>
      </c>
      <c r="I3894" s="1" t="b">
        <v>0</v>
      </c>
      <c r="J3894" s="1">
        <v>5</v>
      </c>
      <c r="K3894" s="10">
        <f t="shared" si="302"/>
        <v>9.971388888952788</v>
      </c>
      <c r="L3894" s="1" t="str">
        <f t="shared" si="303"/>
        <v>OK</v>
      </c>
      <c r="M3894" s="1">
        <f t="shared" si="300"/>
        <v>1</v>
      </c>
      <c r="N3894" s="1">
        <f t="shared" si="301"/>
        <v>7</v>
      </c>
      <c r="O3894" s="10">
        <f t="shared" si="304"/>
        <v>9.971388888952788</v>
      </c>
    </row>
    <row r="3895" spans="1:15">
      <c r="A3895" s="1" t="s">
        <v>4000</v>
      </c>
      <c r="B3895" s="23">
        <v>45316.263194444444</v>
      </c>
      <c r="C3895" s="1" t="s">
        <v>25</v>
      </c>
      <c r="D3895" s="1" t="s">
        <v>26</v>
      </c>
      <c r="E3895" s="1" t="s">
        <v>18</v>
      </c>
      <c r="F3895" s="1" t="s">
        <v>239</v>
      </c>
      <c r="G3895" s="1">
        <v>99</v>
      </c>
      <c r="H3895" s="23">
        <v>45317.800925925927</v>
      </c>
      <c r="I3895" s="1" t="b">
        <v>0</v>
      </c>
      <c r="K3895" s="10">
        <f t="shared" si="302"/>
        <v>36.905555555596948</v>
      </c>
      <c r="L3895" s="1" t="str">
        <f t="shared" si="303"/>
        <v>OK</v>
      </c>
      <c r="M3895" s="1">
        <f t="shared" si="300"/>
        <v>1</v>
      </c>
      <c r="N3895" s="1">
        <f t="shared" si="301"/>
        <v>99</v>
      </c>
      <c r="O3895" s="10">
        <f t="shared" si="304"/>
        <v>36.905555555596948</v>
      </c>
    </row>
    <row r="3896" spans="1:15">
      <c r="A3896" s="1" t="s">
        <v>4001</v>
      </c>
      <c r="B3896" s="23">
        <v>45316.26666666667</v>
      </c>
      <c r="C3896" s="1" t="s">
        <v>11</v>
      </c>
      <c r="D3896" s="1" t="s">
        <v>21</v>
      </c>
      <c r="E3896" s="1" t="s">
        <v>13</v>
      </c>
      <c r="F3896" s="1" t="s">
        <v>224</v>
      </c>
      <c r="H3896" s="23">
        <v>45316.692777777775</v>
      </c>
      <c r="I3896" s="1" t="b">
        <v>0</v>
      </c>
      <c r="K3896" s="10">
        <f t="shared" si="302"/>
        <v>10.226666666509118</v>
      </c>
      <c r="L3896" s="1" t="str">
        <f t="shared" si="303"/>
        <v>Cannot check</v>
      </c>
      <c r="M3896" s="1">
        <f t="shared" si="300"/>
        <v>1</v>
      </c>
      <c r="N3896" s="1" t="str">
        <f t="shared" si="301"/>
        <v/>
      </c>
      <c r="O3896" s="10">
        <f t="shared" si="304"/>
        <v>10.226666666509118</v>
      </c>
    </row>
    <row r="3897" spans="1:15">
      <c r="A3897" s="1" t="s">
        <v>4002</v>
      </c>
      <c r="B3897" s="23">
        <v>45316.517361111109</v>
      </c>
      <c r="C3897" s="1" t="s">
        <v>43</v>
      </c>
      <c r="D3897" s="1" t="s">
        <v>21</v>
      </c>
      <c r="E3897" s="1" t="s">
        <v>33</v>
      </c>
      <c r="F3897" s="1" t="s">
        <v>134</v>
      </c>
      <c r="G3897" s="1">
        <v>123</v>
      </c>
      <c r="H3897" s="23">
        <v>45317.321932870371</v>
      </c>
      <c r="I3897" s="1" t="b">
        <v>0</v>
      </c>
      <c r="J3897" s="1">
        <v>3</v>
      </c>
      <c r="K3897" s="10">
        <f t="shared" si="302"/>
        <v>19.309722222271375</v>
      </c>
      <c r="L3897" s="1" t="str">
        <f t="shared" si="303"/>
        <v>OK</v>
      </c>
      <c r="M3897" s="1">
        <f t="shared" si="300"/>
        <v>1</v>
      </c>
      <c r="N3897" s="1">
        <f t="shared" si="301"/>
        <v>123</v>
      </c>
      <c r="O3897" s="10">
        <f t="shared" si="304"/>
        <v>19.309722222271375</v>
      </c>
    </row>
    <row r="3898" spans="1:15">
      <c r="A3898" s="1" t="s">
        <v>4003</v>
      </c>
      <c r="B3898" s="23">
        <v>45316.522222222222</v>
      </c>
      <c r="C3898" s="1" t="s">
        <v>16</v>
      </c>
      <c r="D3898" s="1" t="s">
        <v>17</v>
      </c>
      <c r="E3898" s="1" t="s">
        <v>33</v>
      </c>
      <c r="F3898" s="1" t="s">
        <v>106</v>
      </c>
      <c r="G3898" s="1">
        <v>42</v>
      </c>
      <c r="H3898" s="23">
        <v>45321.982986111114</v>
      </c>
      <c r="I3898" s="1" t="b">
        <v>0</v>
      </c>
      <c r="K3898" s="10">
        <f t="shared" si="302"/>
        <v>131.05833333340706</v>
      </c>
      <c r="L3898" s="1" t="str">
        <f t="shared" si="303"/>
        <v>OK</v>
      </c>
      <c r="M3898" s="1">
        <f t="shared" si="300"/>
        <v>1</v>
      </c>
      <c r="N3898" s="1">
        <f t="shared" si="301"/>
        <v>42</v>
      </c>
      <c r="O3898" s="10">
        <f t="shared" si="304"/>
        <v>131.05833333340706</v>
      </c>
    </row>
    <row r="3899" spans="1:15">
      <c r="A3899" s="1" t="s">
        <v>4004</v>
      </c>
      <c r="B3899" s="23">
        <v>45316.559027777781</v>
      </c>
      <c r="C3899" s="1" t="s">
        <v>43</v>
      </c>
      <c r="D3899" s="1" t="s">
        <v>17</v>
      </c>
      <c r="E3899" s="1" t="s">
        <v>13</v>
      </c>
      <c r="F3899" s="1" t="s">
        <v>74</v>
      </c>
      <c r="G3899" s="1">
        <v>25</v>
      </c>
      <c r="H3899" s="23">
        <v>45316.668043981481</v>
      </c>
      <c r="I3899" s="1" t="b">
        <v>0</v>
      </c>
      <c r="K3899" s="10">
        <f t="shared" si="302"/>
        <v>2.6163888887967914</v>
      </c>
      <c r="L3899" s="1" t="str">
        <f t="shared" si="303"/>
        <v>OK</v>
      </c>
      <c r="M3899" s="1">
        <f t="shared" si="300"/>
        <v>1</v>
      </c>
      <c r="N3899" s="1">
        <f t="shared" si="301"/>
        <v>25</v>
      </c>
      <c r="O3899" s="10">
        <f t="shared" si="304"/>
        <v>2.6163888887967914</v>
      </c>
    </row>
    <row r="3900" spans="1:15">
      <c r="A3900" s="1" t="s">
        <v>4005</v>
      </c>
      <c r="B3900" s="23">
        <v>45316.63958333333</v>
      </c>
      <c r="C3900" s="1" t="s">
        <v>16</v>
      </c>
      <c r="D3900" s="1" t="s">
        <v>59</v>
      </c>
      <c r="E3900" s="1" t="s">
        <v>18</v>
      </c>
      <c r="F3900" s="1" t="s">
        <v>44</v>
      </c>
      <c r="G3900" s="1">
        <v>110</v>
      </c>
      <c r="H3900" s="23">
        <v>45316.897685185184</v>
      </c>
      <c r="I3900" s="1" t="b">
        <v>0</v>
      </c>
      <c r="K3900" s="10">
        <f t="shared" si="302"/>
        <v>6.1944444444961846</v>
      </c>
      <c r="L3900" s="1" t="str">
        <f t="shared" si="303"/>
        <v>OK</v>
      </c>
      <c r="M3900" s="1">
        <f t="shared" si="300"/>
        <v>1</v>
      </c>
      <c r="N3900" s="1">
        <f t="shared" si="301"/>
        <v>110</v>
      </c>
      <c r="O3900" s="10">
        <f t="shared" si="304"/>
        <v>6.1944444444961846</v>
      </c>
    </row>
    <row r="3901" spans="1:15">
      <c r="A3901" s="1" t="s">
        <v>4006</v>
      </c>
      <c r="B3901" s="23">
        <v>45316.680555555555</v>
      </c>
      <c r="C3901" s="1" t="s">
        <v>16</v>
      </c>
      <c r="D3901" s="1" t="s">
        <v>21</v>
      </c>
      <c r="E3901" s="1" t="s">
        <v>33</v>
      </c>
      <c r="F3901" s="1" t="s">
        <v>92</v>
      </c>
      <c r="G3901" s="1">
        <v>59</v>
      </c>
      <c r="H3901" s="23">
        <v>45318.281087962961</v>
      </c>
      <c r="I3901" s="1" t="b">
        <v>0</v>
      </c>
      <c r="J3901" s="1">
        <v>1</v>
      </c>
      <c r="K3901" s="10">
        <f t="shared" si="302"/>
        <v>38.412777777761221</v>
      </c>
      <c r="L3901" s="1" t="str">
        <f t="shared" si="303"/>
        <v>OK</v>
      </c>
      <c r="M3901" s="1">
        <f t="shared" si="300"/>
        <v>1</v>
      </c>
      <c r="N3901" s="1">
        <f t="shared" si="301"/>
        <v>59</v>
      </c>
      <c r="O3901" s="10">
        <f t="shared" si="304"/>
        <v>38.412777777761221</v>
      </c>
    </row>
    <row r="3902" spans="1:15">
      <c r="A3902" s="1" t="s">
        <v>4007</v>
      </c>
      <c r="B3902" s="23">
        <v>45316.836805555555</v>
      </c>
      <c r="C3902" s="1" t="s">
        <v>16</v>
      </c>
      <c r="D3902" s="1" t="s">
        <v>17</v>
      </c>
      <c r="E3902" s="1" t="s">
        <v>33</v>
      </c>
      <c r="F3902" s="1" t="s">
        <v>68</v>
      </c>
      <c r="G3902" s="1">
        <v>129</v>
      </c>
      <c r="H3902" s="23">
        <v>45317.560370370367</v>
      </c>
      <c r="I3902" s="1" t="b">
        <v>0</v>
      </c>
      <c r="K3902" s="10">
        <f t="shared" si="302"/>
        <v>17.365555555501487</v>
      </c>
      <c r="L3902" s="1" t="str">
        <f t="shared" si="303"/>
        <v>OK</v>
      </c>
      <c r="M3902" s="1">
        <f t="shared" si="300"/>
        <v>1</v>
      </c>
      <c r="N3902" s="1">
        <f t="shared" si="301"/>
        <v>129</v>
      </c>
      <c r="O3902" s="10">
        <f t="shared" si="304"/>
        <v>17.365555555501487</v>
      </c>
    </row>
    <row r="3903" spans="1:15">
      <c r="A3903" s="1" t="s">
        <v>4008</v>
      </c>
      <c r="B3903" s="23">
        <v>45316.859722222223</v>
      </c>
      <c r="C3903" s="1" t="s">
        <v>16</v>
      </c>
      <c r="D3903" s="1" t="s">
        <v>12</v>
      </c>
      <c r="E3903" s="1" t="s">
        <v>33</v>
      </c>
      <c r="F3903" s="1" t="s">
        <v>52</v>
      </c>
      <c r="G3903" s="1">
        <v>308</v>
      </c>
      <c r="H3903" s="23">
        <v>45317.665613425925</v>
      </c>
      <c r="I3903" s="1" t="b">
        <v>0</v>
      </c>
      <c r="J3903" s="1">
        <v>3</v>
      </c>
      <c r="K3903" s="10">
        <f t="shared" si="302"/>
        <v>19.341388888831716</v>
      </c>
      <c r="L3903" s="1" t="str">
        <f t="shared" si="303"/>
        <v>OK</v>
      </c>
      <c r="M3903" s="1">
        <f t="shared" si="300"/>
        <v>1</v>
      </c>
      <c r="N3903" s="1">
        <f t="shared" si="301"/>
        <v>308</v>
      </c>
      <c r="O3903" s="10">
        <f t="shared" si="304"/>
        <v>19.341388888831716</v>
      </c>
    </row>
    <row r="3904" spans="1:15">
      <c r="A3904" s="1" t="s">
        <v>4009</v>
      </c>
      <c r="B3904" s="23">
        <v>45316.876388888886</v>
      </c>
      <c r="C3904" s="1" t="s">
        <v>16</v>
      </c>
      <c r="D3904" s="1" t="s">
        <v>21</v>
      </c>
      <c r="E3904" s="1" t="s">
        <v>18</v>
      </c>
      <c r="F3904" s="1" t="s">
        <v>215</v>
      </c>
      <c r="G3904" s="1">
        <v>34</v>
      </c>
      <c r="H3904" s="23">
        <v>45317.439108796294</v>
      </c>
      <c r="I3904" s="1" t="b">
        <v>0</v>
      </c>
      <c r="K3904" s="10">
        <f t="shared" si="302"/>
        <v>13.505277777789161</v>
      </c>
      <c r="L3904" s="1" t="str">
        <f t="shared" si="303"/>
        <v>OK</v>
      </c>
      <c r="M3904" s="1">
        <f t="shared" si="300"/>
        <v>1</v>
      </c>
      <c r="N3904" s="1">
        <f t="shared" si="301"/>
        <v>34</v>
      </c>
      <c r="O3904" s="10">
        <f t="shared" si="304"/>
        <v>13.505277777789161</v>
      </c>
    </row>
    <row r="3905" spans="1:15">
      <c r="A3905" s="1" t="s">
        <v>4010</v>
      </c>
      <c r="B3905" s="23">
        <v>45316.949305555558</v>
      </c>
      <c r="C3905" s="1" t="s">
        <v>11</v>
      </c>
      <c r="D3905" s="1" t="s">
        <v>26</v>
      </c>
      <c r="E3905" s="1" t="s">
        <v>18</v>
      </c>
      <c r="F3905" s="1" t="s">
        <v>29</v>
      </c>
      <c r="G3905" s="1">
        <v>120</v>
      </c>
      <c r="I3905" s="1" t="b">
        <v>0</v>
      </c>
      <c r="K3905" s="10" t="str">
        <f t="shared" si="302"/>
        <v/>
      </c>
      <c r="L3905" s="1" t="str">
        <f t="shared" si="303"/>
        <v>Cannot check</v>
      </c>
      <c r="M3905" s="1">
        <f t="shared" si="300"/>
        <v>1</v>
      </c>
      <c r="N3905" s="1">
        <f t="shared" si="301"/>
        <v>120</v>
      </c>
      <c r="O3905" s="10" t="str">
        <f t="shared" si="304"/>
        <v/>
      </c>
    </row>
    <row r="3906" spans="1:15">
      <c r="A3906" s="1" t="s">
        <v>4011</v>
      </c>
      <c r="B3906" s="23">
        <v>45317.052083333336</v>
      </c>
      <c r="C3906" s="1" t="s">
        <v>16</v>
      </c>
      <c r="D3906" s="1" t="s">
        <v>21</v>
      </c>
      <c r="E3906" s="1" t="s">
        <v>33</v>
      </c>
      <c r="F3906" s="1" t="s">
        <v>302</v>
      </c>
      <c r="G3906" s="1">
        <v>683</v>
      </c>
      <c r="H3906" s="23">
        <v>45318.207696759258</v>
      </c>
      <c r="I3906" s="1" t="b">
        <v>0</v>
      </c>
      <c r="K3906" s="10">
        <f t="shared" si="302"/>
        <v>27.734722222143319</v>
      </c>
      <c r="L3906" s="1" t="str">
        <f t="shared" si="303"/>
        <v>OK</v>
      </c>
      <c r="M3906" s="1">
        <f t="shared" ref="M3906:M3969" si="305">COUNTIF($A$2:$A$4001,A3906)</f>
        <v>1</v>
      </c>
      <c r="N3906" s="1">
        <f t="shared" ref="N3906:N3969" si="306">IF(OR(L3906="Review",G3906=""),"",G3906)</f>
        <v>683</v>
      </c>
      <c r="O3906" s="10">
        <f t="shared" si="304"/>
        <v>27.734722222143319</v>
      </c>
    </row>
    <row r="3907" spans="1:15">
      <c r="A3907" s="1" t="s">
        <v>4012</v>
      </c>
      <c r="B3907" s="23">
        <v>45317.109722222223</v>
      </c>
      <c r="C3907" s="1" t="s">
        <v>25</v>
      </c>
      <c r="D3907" s="1" t="s">
        <v>59</v>
      </c>
      <c r="E3907" s="1" t="s">
        <v>18</v>
      </c>
      <c r="F3907" s="1" t="s">
        <v>134</v>
      </c>
      <c r="G3907" s="1">
        <v>155</v>
      </c>
      <c r="H3907" s="23">
        <v>45317.633020833331</v>
      </c>
      <c r="I3907" s="1" t="b">
        <v>0</v>
      </c>
      <c r="K3907" s="10">
        <f t="shared" ref="K3907:K3970" si="307">IF(H3907="","",(H3907-B3907)*24)</f>
        <v>12.559166666585952</v>
      </c>
      <c r="L3907" s="1" t="str">
        <f t="shared" ref="L3907:L3970" si="308">IF(OR(G3907="",K3907=""),"Cannot check",IF(G3907&gt;K3907*60,"Review","OK"))</f>
        <v>OK</v>
      </c>
      <c r="M3907" s="1">
        <f t="shared" si="305"/>
        <v>1</v>
      </c>
      <c r="N3907" s="1">
        <f t="shared" si="306"/>
        <v>155</v>
      </c>
      <c r="O3907" s="10">
        <f t="shared" ref="O3907:O3970" si="309">IF(OR(L3907="Review",K3907=""),"",K3907)</f>
        <v>12.559166666585952</v>
      </c>
    </row>
    <row r="3908" spans="1:15">
      <c r="A3908" s="1" t="s">
        <v>4013</v>
      </c>
      <c r="B3908" s="23">
        <v>45317.181250000001</v>
      </c>
      <c r="C3908" s="1" t="s">
        <v>11</v>
      </c>
      <c r="D3908" s="1" t="s">
        <v>12</v>
      </c>
      <c r="E3908" s="1" t="s">
        <v>13</v>
      </c>
      <c r="F3908" s="1" t="s">
        <v>239</v>
      </c>
      <c r="G3908" s="1">
        <v>53</v>
      </c>
      <c r="H3908" s="23">
        <v>45318.1016087963</v>
      </c>
      <c r="I3908" s="1" t="b">
        <v>0</v>
      </c>
      <c r="J3908" s="1">
        <v>5</v>
      </c>
      <c r="K3908" s="10">
        <f t="shared" si="307"/>
        <v>22.088611111161299</v>
      </c>
      <c r="L3908" s="1" t="str">
        <f t="shared" si="308"/>
        <v>OK</v>
      </c>
      <c r="M3908" s="1">
        <f t="shared" si="305"/>
        <v>1</v>
      </c>
      <c r="N3908" s="1">
        <f t="shared" si="306"/>
        <v>53</v>
      </c>
      <c r="O3908" s="10">
        <f t="shared" si="309"/>
        <v>22.088611111161299</v>
      </c>
    </row>
    <row r="3909" spans="1:15">
      <c r="A3909" s="1" t="s">
        <v>4014</v>
      </c>
      <c r="B3909" s="23">
        <v>45317.425694444442</v>
      </c>
      <c r="C3909" s="1" t="s">
        <v>16</v>
      </c>
      <c r="D3909" s="1" t="s">
        <v>59</v>
      </c>
      <c r="E3909" s="1" t="s">
        <v>18</v>
      </c>
      <c r="F3909" s="1" t="s">
        <v>64</v>
      </c>
      <c r="G3909" s="1">
        <v>113</v>
      </c>
      <c r="H3909" s="23">
        <v>45317.720312500001</v>
      </c>
      <c r="I3909" s="1" t="b">
        <v>0</v>
      </c>
      <c r="J3909" s="1">
        <v>5</v>
      </c>
      <c r="K3909" s="10">
        <f t="shared" si="307"/>
        <v>7.0708333334187046</v>
      </c>
      <c r="L3909" s="1" t="str">
        <f t="shared" si="308"/>
        <v>OK</v>
      </c>
      <c r="M3909" s="1">
        <f t="shared" si="305"/>
        <v>1</v>
      </c>
      <c r="N3909" s="1">
        <f t="shared" si="306"/>
        <v>113</v>
      </c>
      <c r="O3909" s="10">
        <f t="shared" si="309"/>
        <v>7.0708333334187046</v>
      </c>
    </row>
    <row r="3910" spans="1:15">
      <c r="A3910" s="1" t="s">
        <v>4015</v>
      </c>
      <c r="B3910" s="23">
        <v>45317.455555555556</v>
      </c>
      <c r="C3910" s="1" t="s">
        <v>16</v>
      </c>
      <c r="D3910" s="1" t="s">
        <v>12</v>
      </c>
      <c r="E3910" s="1" t="s">
        <v>13</v>
      </c>
      <c r="F3910" s="1" t="s">
        <v>66</v>
      </c>
      <c r="G3910" s="1">
        <v>29</v>
      </c>
      <c r="H3910" s="23">
        <v>45317.539293981485</v>
      </c>
      <c r="I3910" s="1" t="b">
        <v>0</v>
      </c>
      <c r="J3910" s="1">
        <v>1</v>
      </c>
      <c r="K3910" s="10">
        <f t="shared" si="307"/>
        <v>2.0097222222830169</v>
      </c>
      <c r="L3910" s="1" t="str">
        <f t="shared" si="308"/>
        <v>OK</v>
      </c>
      <c r="M3910" s="1">
        <f t="shared" si="305"/>
        <v>1</v>
      </c>
      <c r="N3910" s="1">
        <f t="shared" si="306"/>
        <v>29</v>
      </c>
      <c r="O3910" s="10">
        <f t="shared" si="309"/>
        <v>2.0097222222830169</v>
      </c>
    </row>
    <row r="3911" spans="1:15">
      <c r="A3911" s="1" t="s">
        <v>4016</v>
      </c>
      <c r="B3911" s="23">
        <v>45317.82708333333</v>
      </c>
      <c r="C3911" s="1" t="s">
        <v>16</v>
      </c>
      <c r="D3911" s="1" t="s">
        <v>21</v>
      </c>
      <c r="E3911" s="1" t="s">
        <v>18</v>
      </c>
      <c r="F3911" s="1" t="s">
        <v>239</v>
      </c>
      <c r="G3911" s="1">
        <v>87</v>
      </c>
      <c r="H3911" s="23">
        <v>45319.470543981479</v>
      </c>
      <c r="I3911" s="1" t="b">
        <v>0</v>
      </c>
      <c r="K3911" s="10">
        <f t="shared" si="307"/>
        <v>39.443055555573665</v>
      </c>
      <c r="L3911" s="1" t="str">
        <f t="shared" si="308"/>
        <v>OK</v>
      </c>
      <c r="M3911" s="1">
        <f t="shared" si="305"/>
        <v>1</v>
      </c>
      <c r="N3911" s="1">
        <f t="shared" si="306"/>
        <v>87</v>
      </c>
      <c r="O3911" s="10">
        <f t="shared" si="309"/>
        <v>39.443055555573665</v>
      </c>
    </row>
    <row r="3912" spans="1:15">
      <c r="A3912" s="1" t="s">
        <v>4017</v>
      </c>
      <c r="B3912" s="23">
        <v>45317.870138888888</v>
      </c>
      <c r="C3912" s="1" t="s">
        <v>25</v>
      </c>
      <c r="D3912" s="1" t="s">
        <v>59</v>
      </c>
      <c r="E3912" s="1" t="s">
        <v>18</v>
      </c>
      <c r="F3912" s="1" t="s">
        <v>215</v>
      </c>
      <c r="G3912" s="1">
        <v>287</v>
      </c>
      <c r="H3912" s="23">
        <v>45319.049942129626</v>
      </c>
      <c r="I3912" s="1" t="b">
        <v>1</v>
      </c>
      <c r="K3912" s="10">
        <f t="shared" si="307"/>
        <v>28.315277777728625</v>
      </c>
      <c r="L3912" s="1" t="str">
        <f t="shared" si="308"/>
        <v>OK</v>
      </c>
      <c r="M3912" s="1">
        <f t="shared" si="305"/>
        <v>1</v>
      </c>
      <c r="N3912" s="1">
        <f t="shared" si="306"/>
        <v>287</v>
      </c>
      <c r="O3912" s="10">
        <f t="shared" si="309"/>
        <v>28.315277777728625</v>
      </c>
    </row>
    <row r="3913" spans="1:15">
      <c r="A3913" s="1" t="s">
        <v>4018</v>
      </c>
      <c r="B3913" s="23">
        <v>45317.912499999999</v>
      </c>
      <c r="C3913" s="1" t="s">
        <v>16</v>
      </c>
      <c r="D3913" s="1" t="s">
        <v>17</v>
      </c>
      <c r="E3913" s="1" t="s">
        <v>33</v>
      </c>
      <c r="F3913" s="1" t="s">
        <v>52</v>
      </c>
      <c r="G3913" s="1">
        <v>393</v>
      </c>
      <c r="H3913" s="23">
        <v>45320.998807870368</v>
      </c>
      <c r="I3913" s="1" t="b">
        <v>0</v>
      </c>
      <c r="K3913" s="10">
        <f t="shared" si="307"/>
        <v>74.071388888871297</v>
      </c>
      <c r="L3913" s="1" t="str">
        <f t="shared" si="308"/>
        <v>OK</v>
      </c>
      <c r="M3913" s="1">
        <f t="shared" si="305"/>
        <v>1</v>
      </c>
      <c r="N3913" s="1">
        <f t="shared" si="306"/>
        <v>393</v>
      </c>
      <c r="O3913" s="10">
        <f t="shared" si="309"/>
        <v>74.071388888871297</v>
      </c>
    </row>
    <row r="3914" spans="1:15">
      <c r="A3914" s="1" t="s">
        <v>4019</v>
      </c>
      <c r="B3914" s="23">
        <v>45318.025000000001</v>
      </c>
      <c r="C3914" s="1" t="s">
        <v>16</v>
      </c>
      <c r="D3914" s="1" t="s">
        <v>21</v>
      </c>
      <c r="E3914" s="1" t="s">
        <v>18</v>
      </c>
      <c r="F3914" s="1" t="s">
        <v>128</v>
      </c>
      <c r="G3914" s="1">
        <v>53</v>
      </c>
      <c r="H3914" s="23">
        <v>45320.311747685184</v>
      </c>
      <c r="I3914" s="1" t="b">
        <v>0</v>
      </c>
      <c r="K3914" s="10">
        <f t="shared" si="307"/>
        <v>54.881944444379769</v>
      </c>
      <c r="L3914" s="1" t="str">
        <f t="shared" si="308"/>
        <v>OK</v>
      </c>
      <c r="M3914" s="1">
        <f t="shared" si="305"/>
        <v>1</v>
      </c>
      <c r="N3914" s="1">
        <f t="shared" si="306"/>
        <v>53</v>
      </c>
      <c r="O3914" s="10">
        <f t="shared" si="309"/>
        <v>54.881944444379769</v>
      </c>
    </row>
    <row r="3915" spans="1:15">
      <c r="A3915" s="1" t="s">
        <v>4020</v>
      </c>
      <c r="B3915" s="23">
        <v>45318.290277777778</v>
      </c>
      <c r="C3915" s="1" t="s">
        <v>16</v>
      </c>
      <c r="D3915" s="1" t="s">
        <v>26</v>
      </c>
      <c r="E3915" s="1" t="s">
        <v>13</v>
      </c>
      <c r="F3915" s="1" t="s">
        <v>80</v>
      </c>
      <c r="G3915" s="1">
        <v>217</v>
      </c>
      <c r="H3915" s="23">
        <v>45319.229386574072</v>
      </c>
      <c r="I3915" s="1" t="b">
        <v>0</v>
      </c>
      <c r="K3915" s="10">
        <f t="shared" si="307"/>
        <v>22.538611111056525</v>
      </c>
      <c r="L3915" s="1" t="str">
        <f t="shared" si="308"/>
        <v>OK</v>
      </c>
      <c r="M3915" s="1">
        <f t="shared" si="305"/>
        <v>1</v>
      </c>
      <c r="N3915" s="1">
        <f t="shared" si="306"/>
        <v>217</v>
      </c>
      <c r="O3915" s="10">
        <f t="shared" si="309"/>
        <v>22.538611111056525</v>
      </c>
    </row>
    <row r="3916" spans="1:15">
      <c r="A3916" s="1" t="s">
        <v>4021</v>
      </c>
      <c r="B3916" s="23">
        <v>45318.460416666669</v>
      </c>
      <c r="C3916" s="1" t="s">
        <v>25</v>
      </c>
      <c r="D3916" s="1" t="s">
        <v>21</v>
      </c>
      <c r="E3916" s="1" t="s">
        <v>13</v>
      </c>
      <c r="F3916" s="1" t="s">
        <v>29</v>
      </c>
      <c r="G3916" s="1">
        <v>44</v>
      </c>
      <c r="H3916" s="23">
        <v>45319.10796296296</v>
      </c>
      <c r="I3916" s="1" t="b">
        <v>0</v>
      </c>
      <c r="K3916" s="10">
        <f t="shared" si="307"/>
        <v>15.541111111000646</v>
      </c>
      <c r="L3916" s="1" t="str">
        <f t="shared" si="308"/>
        <v>OK</v>
      </c>
      <c r="M3916" s="1">
        <f t="shared" si="305"/>
        <v>1</v>
      </c>
      <c r="N3916" s="1">
        <f t="shared" si="306"/>
        <v>44</v>
      </c>
      <c r="O3916" s="10">
        <f t="shared" si="309"/>
        <v>15.541111111000646</v>
      </c>
    </row>
    <row r="3917" spans="1:15">
      <c r="A3917" s="1" t="s">
        <v>4022</v>
      </c>
      <c r="B3917" s="23">
        <v>45318.465277777781</v>
      </c>
      <c r="C3917" s="1" t="s">
        <v>16</v>
      </c>
      <c r="D3917" s="1" t="s">
        <v>59</v>
      </c>
      <c r="E3917" s="1" t="s">
        <v>18</v>
      </c>
      <c r="F3917" s="1" t="s">
        <v>486</v>
      </c>
      <c r="G3917" s="1">
        <v>27</v>
      </c>
      <c r="I3917" s="1" t="b">
        <v>0</v>
      </c>
      <c r="K3917" s="10" t="str">
        <f t="shared" si="307"/>
        <v/>
      </c>
      <c r="L3917" s="1" t="str">
        <f t="shared" si="308"/>
        <v>Cannot check</v>
      </c>
      <c r="M3917" s="1">
        <f t="shared" si="305"/>
        <v>1</v>
      </c>
      <c r="N3917" s="1">
        <f t="shared" si="306"/>
        <v>27</v>
      </c>
      <c r="O3917" s="10" t="str">
        <f t="shared" si="309"/>
        <v/>
      </c>
    </row>
    <row r="3918" spans="1:15">
      <c r="A3918" s="1" t="s">
        <v>4023</v>
      </c>
      <c r="B3918" s="23">
        <v>45318.73333333333</v>
      </c>
      <c r="C3918" s="1" t="s">
        <v>11</v>
      </c>
      <c r="D3918" s="1" t="s">
        <v>21</v>
      </c>
      <c r="E3918" s="1" t="s">
        <v>33</v>
      </c>
      <c r="F3918" s="1" t="s">
        <v>486</v>
      </c>
      <c r="G3918" s="1">
        <v>44</v>
      </c>
      <c r="I3918" s="1" t="b">
        <v>0</v>
      </c>
      <c r="K3918" s="10" t="str">
        <f t="shared" si="307"/>
        <v/>
      </c>
      <c r="L3918" s="1" t="str">
        <f t="shared" si="308"/>
        <v>Cannot check</v>
      </c>
      <c r="M3918" s="1">
        <f t="shared" si="305"/>
        <v>1</v>
      </c>
      <c r="N3918" s="1">
        <f t="shared" si="306"/>
        <v>44</v>
      </c>
      <c r="O3918" s="10" t="str">
        <f t="shared" si="309"/>
        <v/>
      </c>
    </row>
    <row r="3919" spans="1:15">
      <c r="A3919" s="1" t="s">
        <v>4024</v>
      </c>
      <c r="B3919" s="23">
        <v>45318.777083333334</v>
      </c>
      <c r="C3919" s="1" t="s">
        <v>16</v>
      </c>
      <c r="D3919" s="1" t="s">
        <v>59</v>
      </c>
      <c r="E3919" s="1" t="s">
        <v>33</v>
      </c>
      <c r="F3919" s="1" t="s">
        <v>96</v>
      </c>
      <c r="G3919" s="1">
        <v>28</v>
      </c>
      <c r="H3919" s="23">
        <v>45319.197615740741</v>
      </c>
      <c r="I3919" s="1" t="b">
        <v>0</v>
      </c>
      <c r="J3919" s="1">
        <v>5</v>
      </c>
      <c r="K3919" s="10">
        <f t="shared" si="307"/>
        <v>10.092777777754236</v>
      </c>
      <c r="L3919" s="1" t="str">
        <f t="shared" si="308"/>
        <v>OK</v>
      </c>
      <c r="M3919" s="1">
        <f t="shared" si="305"/>
        <v>1</v>
      </c>
      <c r="N3919" s="1">
        <f t="shared" si="306"/>
        <v>28</v>
      </c>
      <c r="O3919" s="10">
        <f t="shared" si="309"/>
        <v>10.092777777754236</v>
      </c>
    </row>
    <row r="3920" spans="1:15">
      <c r="A3920" s="1" t="s">
        <v>4025</v>
      </c>
      <c r="B3920" s="23">
        <v>45318.811111111114</v>
      </c>
      <c r="C3920" s="1" t="s">
        <v>43</v>
      </c>
      <c r="D3920" s="1" t="s">
        <v>59</v>
      </c>
      <c r="E3920" s="1" t="s">
        <v>33</v>
      </c>
      <c r="F3920" s="1" t="s">
        <v>198</v>
      </c>
      <c r="G3920" s="1">
        <v>390</v>
      </c>
      <c r="H3920" s="23">
        <v>45319.074456018519</v>
      </c>
      <c r="I3920" s="1" t="b">
        <v>0</v>
      </c>
      <c r="J3920" s="1">
        <v>1</v>
      </c>
      <c r="K3920" s="10">
        <f t="shared" si="307"/>
        <v>6.3202777777332813</v>
      </c>
      <c r="L3920" s="1" t="str">
        <f t="shared" si="308"/>
        <v>Review</v>
      </c>
      <c r="M3920" s="1">
        <f t="shared" si="305"/>
        <v>1</v>
      </c>
      <c r="N3920" s="1" t="str">
        <f t="shared" si="306"/>
        <v/>
      </c>
      <c r="O3920" s="10" t="str">
        <f t="shared" si="309"/>
        <v/>
      </c>
    </row>
    <row r="3921" spans="1:15">
      <c r="A3921" s="1" t="s">
        <v>4026</v>
      </c>
      <c r="B3921" s="23">
        <v>45318.910416666666</v>
      </c>
      <c r="C3921" s="1" t="s">
        <v>25</v>
      </c>
      <c r="D3921" s="1" t="s">
        <v>17</v>
      </c>
      <c r="E3921" s="1" t="s">
        <v>18</v>
      </c>
      <c r="F3921" s="1" t="s">
        <v>228</v>
      </c>
      <c r="G3921" s="1">
        <v>33</v>
      </c>
      <c r="H3921" s="23">
        <v>45320.291168981479</v>
      </c>
      <c r="I3921" s="1" t="b">
        <v>0</v>
      </c>
      <c r="K3921" s="10">
        <f t="shared" si="307"/>
        <v>33.138055555522442</v>
      </c>
      <c r="L3921" s="1" t="str">
        <f t="shared" si="308"/>
        <v>OK</v>
      </c>
      <c r="M3921" s="1">
        <f t="shared" si="305"/>
        <v>1</v>
      </c>
      <c r="N3921" s="1">
        <f t="shared" si="306"/>
        <v>33</v>
      </c>
      <c r="O3921" s="10">
        <f t="shared" si="309"/>
        <v>33.138055555522442</v>
      </c>
    </row>
    <row r="3922" spans="1:15">
      <c r="A3922" s="1" t="s">
        <v>4027</v>
      </c>
      <c r="B3922" s="23">
        <v>45319.006249999999</v>
      </c>
      <c r="C3922" s="1" t="s">
        <v>16</v>
      </c>
      <c r="D3922" s="1" t="s">
        <v>21</v>
      </c>
      <c r="E3922" s="1" t="s">
        <v>13</v>
      </c>
      <c r="F3922" s="1" t="s">
        <v>226</v>
      </c>
      <c r="G3922" s="1">
        <v>49</v>
      </c>
      <c r="H3922" s="23">
        <v>45319.470937500002</v>
      </c>
      <c r="I3922" s="1" t="b">
        <v>0</v>
      </c>
      <c r="J3922" s="1">
        <v>5</v>
      </c>
      <c r="K3922" s="10">
        <f t="shared" si="307"/>
        <v>11.152500000083819</v>
      </c>
      <c r="L3922" s="1" t="str">
        <f t="shared" si="308"/>
        <v>OK</v>
      </c>
      <c r="M3922" s="1">
        <f t="shared" si="305"/>
        <v>1</v>
      </c>
      <c r="N3922" s="1">
        <f t="shared" si="306"/>
        <v>49</v>
      </c>
      <c r="O3922" s="10">
        <f t="shared" si="309"/>
        <v>11.152500000083819</v>
      </c>
    </row>
    <row r="3923" spans="1:15">
      <c r="A3923" s="1" t="s">
        <v>4028</v>
      </c>
      <c r="B3923" s="23">
        <v>45319.086111111108</v>
      </c>
      <c r="C3923" s="1" t="s">
        <v>43</v>
      </c>
      <c r="D3923" s="1" t="s">
        <v>59</v>
      </c>
      <c r="E3923" s="1" t="s">
        <v>13</v>
      </c>
      <c r="F3923" s="1" t="s">
        <v>148</v>
      </c>
      <c r="G3923" s="1">
        <v>36</v>
      </c>
      <c r="H3923" s="23">
        <v>45319.321111111109</v>
      </c>
      <c r="I3923" s="1" t="b">
        <v>0</v>
      </c>
      <c r="K3923" s="10">
        <f t="shared" si="307"/>
        <v>5.6400000000139698</v>
      </c>
      <c r="L3923" s="1" t="str">
        <f t="shared" si="308"/>
        <v>OK</v>
      </c>
      <c r="M3923" s="1">
        <f t="shared" si="305"/>
        <v>1</v>
      </c>
      <c r="N3923" s="1">
        <f t="shared" si="306"/>
        <v>36</v>
      </c>
      <c r="O3923" s="10">
        <f t="shared" si="309"/>
        <v>5.6400000000139698</v>
      </c>
    </row>
    <row r="3924" spans="1:15">
      <c r="A3924" s="1" t="s">
        <v>4029</v>
      </c>
      <c r="B3924" s="23">
        <v>45319.206944444442</v>
      </c>
      <c r="C3924" s="1" t="s">
        <v>25</v>
      </c>
      <c r="D3924" s="1" t="s">
        <v>26</v>
      </c>
      <c r="E3924" s="1" t="s">
        <v>33</v>
      </c>
      <c r="F3924" s="1" t="s">
        <v>326</v>
      </c>
      <c r="G3924" s="1">
        <v>111</v>
      </c>
      <c r="H3924" s="23">
        <v>45323.242777777778</v>
      </c>
      <c r="I3924" s="1" t="b">
        <v>0</v>
      </c>
      <c r="J3924" s="1">
        <v>5</v>
      </c>
      <c r="K3924" s="10">
        <f t="shared" si="307"/>
        <v>96.860000000044238</v>
      </c>
      <c r="L3924" s="1" t="str">
        <f t="shared" si="308"/>
        <v>OK</v>
      </c>
      <c r="M3924" s="1">
        <f t="shared" si="305"/>
        <v>1</v>
      </c>
      <c r="N3924" s="1">
        <f t="shared" si="306"/>
        <v>111</v>
      </c>
      <c r="O3924" s="10">
        <f t="shared" si="309"/>
        <v>96.860000000044238</v>
      </c>
    </row>
    <row r="3925" spans="1:15">
      <c r="A3925" s="1" t="s">
        <v>4030</v>
      </c>
      <c r="B3925" s="23">
        <v>45319.21875</v>
      </c>
      <c r="C3925" s="1" t="s">
        <v>11</v>
      </c>
      <c r="D3925" s="1" t="s">
        <v>26</v>
      </c>
      <c r="E3925" s="1" t="s">
        <v>13</v>
      </c>
      <c r="F3925" s="1" t="s">
        <v>120</v>
      </c>
      <c r="G3925" s="1">
        <v>14</v>
      </c>
      <c r="H3925" s="23">
        <v>45323.960682870369</v>
      </c>
      <c r="I3925" s="1" t="b">
        <v>0</v>
      </c>
      <c r="K3925" s="10">
        <f t="shared" si="307"/>
        <v>113.80638888885733</v>
      </c>
      <c r="L3925" s="1" t="str">
        <f t="shared" si="308"/>
        <v>OK</v>
      </c>
      <c r="M3925" s="1">
        <f t="shared" si="305"/>
        <v>1</v>
      </c>
      <c r="N3925" s="1">
        <f t="shared" si="306"/>
        <v>14</v>
      </c>
      <c r="O3925" s="10">
        <f t="shared" si="309"/>
        <v>113.80638888885733</v>
      </c>
    </row>
    <row r="3926" spans="1:15">
      <c r="A3926" s="1" t="s">
        <v>4031</v>
      </c>
      <c r="B3926" s="23">
        <v>45319.457638888889</v>
      </c>
      <c r="C3926" s="1" t="s">
        <v>25</v>
      </c>
      <c r="D3926" s="1" t="s">
        <v>17</v>
      </c>
      <c r="E3926" s="1" t="s">
        <v>18</v>
      </c>
      <c r="F3926" s="1" t="s">
        <v>48</v>
      </c>
      <c r="H3926" s="23">
        <v>45319.604270833333</v>
      </c>
      <c r="I3926" s="1" t="b">
        <v>0</v>
      </c>
      <c r="K3926" s="10">
        <f t="shared" si="307"/>
        <v>3.5191666666651145</v>
      </c>
      <c r="L3926" s="1" t="str">
        <f t="shared" si="308"/>
        <v>Cannot check</v>
      </c>
      <c r="M3926" s="1">
        <f t="shared" si="305"/>
        <v>1</v>
      </c>
      <c r="N3926" s="1" t="str">
        <f t="shared" si="306"/>
        <v/>
      </c>
      <c r="O3926" s="10">
        <f t="shared" si="309"/>
        <v>3.5191666666651145</v>
      </c>
    </row>
    <row r="3927" spans="1:15">
      <c r="A3927" s="1" t="s">
        <v>4032</v>
      </c>
      <c r="B3927" s="23">
        <v>45319.46875</v>
      </c>
      <c r="C3927" s="1" t="s">
        <v>25</v>
      </c>
      <c r="D3927" s="1" t="s">
        <v>21</v>
      </c>
      <c r="E3927" s="1" t="s">
        <v>18</v>
      </c>
      <c r="F3927" s="1" t="s">
        <v>35</v>
      </c>
      <c r="G3927" s="1">
        <v>41</v>
      </c>
      <c r="H3927" s="23">
        <v>45323.29828703704</v>
      </c>
      <c r="I3927" s="1" t="b">
        <v>0</v>
      </c>
      <c r="J3927" s="1">
        <v>5</v>
      </c>
      <c r="K3927" s="10">
        <f t="shared" si="307"/>
        <v>91.908888888952788</v>
      </c>
      <c r="L3927" s="1" t="str">
        <f t="shared" si="308"/>
        <v>OK</v>
      </c>
      <c r="M3927" s="1">
        <f t="shared" si="305"/>
        <v>1</v>
      </c>
      <c r="N3927" s="1">
        <f t="shared" si="306"/>
        <v>41</v>
      </c>
      <c r="O3927" s="10">
        <f t="shared" si="309"/>
        <v>91.908888888952788</v>
      </c>
    </row>
    <row r="3928" spans="1:15">
      <c r="A3928" s="1" t="s">
        <v>4033</v>
      </c>
      <c r="B3928" s="23">
        <v>45319.478472222225</v>
      </c>
      <c r="C3928" s="1" t="s">
        <v>16</v>
      </c>
      <c r="D3928" s="1" t="s">
        <v>17</v>
      </c>
      <c r="E3928" s="1" t="s">
        <v>18</v>
      </c>
      <c r="F3928" s="1" t="s">
        <v>114</v>
      </c>
      <c r="G3928" s="1">
        <v>35</v>
      </c>
      <c r="H3928" s="23">
        <v>45323.264699074076</v>
      </c>
      <c r="I3928" s="1" t="b">
        <v>0</v>
      </c>
      <c r="K3928" s="10">
        <f t="shared" si="307"/>
        <v>90.869444444426335</v>
      </c>
      <c r="L3928" s="1" t="str">
        <f t="shared" si="308"/>
        <v>OK</v>
      </c>
      <c r="M3928" s="1">
        <f t="shared" si="305"/>
        <v>1</v>
      </c>
      <c r="N3928" s="1">
        <f t="shared" si="306"/>
        <v>35</v>
      </c>
      <c r="O3928" s="10">
        <f t="shared" si="309"/>
        <v>90.869444444426335</v>
      </c>
    </row>
    <row r="3929" spans="1:15">
      <c r="A3929" s="1" t="s">
        <v>4034</v>
      </c>
      <c r="B3929" s="23">
        <v>45319.547222222223</v>
      </c>
      <c r="C3929" s="1" t="s">
        <v>16</v>
      </c>
      <c r="D3929" s="1" t="s">
        <v>26</v>
      </c>
      <c r="E3929" s="1" t="s">
        <v>18</v>
      </c>
      <c r="F3929" s="1" t="s">
        <v>239</v>
      </c>
      <c r="G3929" s="1">
        <v>82</v>
      </c>
      <c r="H3929" s="23">
        <v>45325.73510416667</v>
      </c>
      <c r="I3929" s="1" t="b">
        <v>0</v>
      </c>
      <c r="K3929" s="10">
        <f t="shared" si="307"/>
        <v>148.50916666671401</v>
      </c>
      <c r="L3929" s="1" t="str">
        <f t="shared" si="308"/>
        <v>OK</v>
      </c>
      <c r="M3929" s="1">
        <f t="shared" si="305"/>
        <v>1</v>
      </c>
      <c r="N3929" s="1">
        <f t="shared" si="306"/>
        <v>82</v>
      </c>
      <c r="O3929" s="10">
        <f t="shared" si="309"/>
        <v>148.50916666671401</v>
      </c>
    </row>
    <row r="3930" spans="1:15">
      <c r="A3930" s="1" t="s">
        <v>4035</v>
      </c>
      <c r="B3930" s="23">
        <v>45319.555555555555</v>
      </c>
      <c r="C3930" s="1" t="s">
        <v>25</v>
      </c>
      <c r="D3930" s="1" t="s">
        <v>17</v>
      </c>
      <c r="E3930" s="1" t="s">
        <v>13</v>
      </c>
      <c r="F3930" s="1" t="s">
        <v>228</v>
      </c>
      <c r="G3930" s="1">
        <v>14</v>
      </c>
      <c r="H3930" s="23">
        <v>45320.20857638889</v>
      </c>
      <c r="I3930" s="1" t="b">
        <v>0</v>
      </c>
      <c r="J3930" s="1">
        <v>5</v>
      </c>
      <c r="K3930" s="10">
        <f t="shared" si="307"/>
        <v>15.672500000044238</v>
      </c>
      <c r="L3930" s="1" t="str">
        <f t="shared" si="308"/>
        <v>OK</v>
      </c>
      <c r="M3930" s="1">
        <f t="shared" si="305"/>
        <v>1</v>
      </c>
      <c r="N3930" s="1">
        <f t="shared" si="306"/>
        <v>14</v>
      </c>
      <c r="O3930" s="10">
        <f t="shared" si="309"/>
        <v>15.672500000044238</v>
      </c>
    </row>
    <row r="3931" spans="1:15">
      <c r="A3931" s="1" t="s">
        <v>4036</v>
      </c>
      <c r="B3931" s="23">
        <v>45319.556944444441</v>
      </c>
      <c r="C3931" s="1" t="s">
        <v>25</v>
      </c>
      <c r="D3931" s="1" t="s">
        <v>12</v>
      </c>
      <c r="E3931" s="1" t="s">
        <v>33</v>
      </c>
      <c r="F3931" s="1" t="s">
        <v>88</v>
      </c>
      <c r="G3931" s="1">
        <v>254</v>
      </c>
      <c r="I3931" s="1" t="b">
        <v>0</v>
      </c>
      <c r="K3931" s="10" t="str">
        <f t="shared" si="307"/>
        <v/>
      </c>
      <c r="L3931" s="1" t="str">
        <f t="shared" si="308"/>
        <v>Cannot check</v>
      </c>
      <c r="M3931" s="1">
        <f t="shared" si="305"/>
        <v>1</v>
      </c>
      <c r="N3931" s="1">
        <f t="shared" si="306"/>
        <v>254</v>
      </c>
      <c r="O3931" s="10" t="str">
        <f t="shared" si="309"/>
        <v/>
      </c>
    </row>
    <row r="3932" spans="1:15">
      <c r="A3932" s="1" t="s">
        <v>4037</v>
      </c>
      <c r="B3932" s="23">
        <v>45319.747916666667</v>
      </c>
      <c r="C3932" s="1" t="s">
        <v>16</v>
      </c>
      <c r="D3932" s="1" t="s">
        <v>59</v>
      </c>
      <c r="E3932" s="1" t="s">
        <v>18</v>
      </c>
      <c r="F3932" s="1" t="s">
        <v>60</v>
      </c>
      <c r="G3932" s="1">
        <v>174</v>
      </c>
      <c r="H3932" s="23">
        <v>45324.027337962965</v>
      </c>
      <c r="I3932" s="1" t="b">
        <v>0</v>
      </c>
      <c r="K3932" s="10">
        <f t="shared" si="307"/>
        <v>102.70611111115431</v>
      </c>
      <c r="L3932" s="1" t="str">
        <f t="shared" si="308"/>
        <v>OK</v>
      </c>
      <c r="M3932" s="1">
        <f t="shared" si="305"/>
        <v>1</v>
      </c>
      <c r="N3932" s="1">
        <f t="shared" si="306"/>
        <v>174</v>
      </c>
      <c r="O3932" s="10">
        <f t="shared" si="309"/>
        <v>102.70611111115431</v>
      </c>
    </row>
    <row r="3933" spans="1:15">
      <c r="A3933" s="1" t="s">
        <v>4038</v>
      </c>
      <c r="B3933" s="23">
        <v>45320.037499999999</v>
      </c>
      <c r="C3933" s="1" t="s">
        <v>11</v>
      </c>
      <c r="D3933" s="1" t="s">
        <v>17</v>
      </c>
      <c r="E3933" s="1" t="s">
        <v>13</v>
      </c>
      <c r="F3933" s="1" t="s">
        <v>31</v>
      </c>
      <c r="G3933" s="1">
        <v>17</v>
      </c>
      <c r="H3933" s="23">
        <v>45320.372893518521</v>
      </c>
      <c r="I3933" s="1" t="b">
        <v>0</v>
      </c>
      <c r="K3933" s="10">
        <f t="shared" si="307"/>
        <v>8.0494444445357658</v>
      </c>
      <c r="L3933" s="1" t="str">
        <f t="shared" si="308"/>
        <v>OK</v>
      </c>
      <c r="M3933" s="1">
        <f t="shared" si="305"/>
        <v>1</v>
      </c>
      <c r="N3933" s="1">
        <f t="shared" si="306"/>
        <v>17</v>
      </c>
      <c r="O3933" s="10">
        <f t="shared" si="309"/>
        <v>8.0494444445357658</v>
      </c>
    </row>
    <row r="3934" spans="1:15">
      <c r="A3934" s="1" t="s">
        <v>4039</v>
      </c>
      <c r="B3934" s="23">
        <v>45320.138888888891</v>
      </c>
      <c r="C3934" s="1" t="s">
        <v>25</v>
      </c>
      <c r="D3934" s="1" t="s">
        <v>26</v>
      </c>
      <c r="E3934" s="1" t="s">
        <v>33</v>
      </c>
      <c r="F3934" s="1" t="s">
        <v>118</v>
      </c>
      <c r="G3934" s="1">
        <v>88</v>
      </c>
      <c r="I3934" s="1" t="b">
        <v>0</v>
      </c>
      <c r="K3934" s="10" t="str">
        <f t="shared" si="307"/>
        <v/>
      </c>
      <c r="L3934" s="1" t="str">
        <f t="shared" si="308"/>
        <v>Cannot check</v>
      </c>
      <c r="M3934" s="1">
        <f t="shared" si="305"/>
        <v>1</v>
      </c>
      <c r="N3934" s="1">
        <f t="shared" si="306"/>
        <v>88</v>
      </c>
      <c r="O3934" s="10" t="str">
        <f t="shared" si="309"/>
        <v/>
      </c>
    </row>
    <row r="3935" spans="1:15">
      <c r="A3935" s="1" t="s">
        <v>4040</v>
      </c>
      <c r="B3935" s="23">
        <v>45320.15902777778</v>
      </c>
      <c r="C3935" s="1" t="s">
        <v>11</v>
      </c>
      <c r="D3935" s="1" t="s">
        <v>21</v>
      </c>
      <c r="E3935" s="1" t="s">
        <v>18</v>
      </c>
      <c r="F3935" s="1" t="s">
        <v>70</v>
      </c>
      <c r="G3935" s="1">
        <v>20</v>
      </c>
      <c r="H3935" s="23">
        <v>45320.739074074074</v>
      </c>
      <c r="I3935" s="1" t="b">
        <v>0</v>
      </c>
      <c r="J3935" s="1">
        <v>3</v>
      </c>
      <c r="K3935" s="10">
        <f t="shared" si="307"/>
        <v>13.92111111106351</v>
      </c>
      <c r="L3935" s="1" t="str">
        <f t="shared" si="308"/>
        <v>OK</v>
      </c>
      <c r="M3935" s="1">
        <f t="shared" si="305"/>
        <v>1</v>
      </c>
      <c r="N3935" s="1">
        <f t="shared" si="306"/>
        <v>20</v>
      </c>
      <c r="O3935" s="10">
        <f t="shared" si="309"/>
        <v>13.92111111106351</v>
      </c>
    </row>
    <row r="3936" spans="1:15">
      <c r="A3936" s="1" t="s">
        <v>4041</v>
      </c>
      <c r="B3936" s="23">
        <v>45320.195833333331</v>
      </c>
      <c r="C3936" s="1" t="s">
        <v>25</v>
      </c>
      <c r="D3936" s="1" t="s">
        <v>59</v>
      </c>
      <c r="E3936" s="1" t="s">
        <v>18</v>
      </c>
      <c r="F3936" s="1" t="s">
        <v>14</v>
      </c>
      <c r="G3936" s="1">
        <v>99</v>
      </c>
      <c r="H3936" s="23">
        <v>45320.802939814814</v>
      </c>
      <c r="I3936" s="1" t="b">
        <v>1</v>
      </c>
      <c r="K3936" s="10">
        <f t="shared" si="307"/>
        <v>14.570555555575993</v>
      </c>
      <c r="L3936" s="1" t="str">
        <f t="shared" si="308"/>
        <v>OK</v>
      </c>
      <c r="M3936" s="1">
        <f t="shared" si="305"/>
        <v>1</v>
      </c>
      <c r="N3936" s="1">
        <f t="shared" si="306"/>
        <v>99</v>
      </c>
      <c r="O3936" s="10">
        <f t="shared" si="309"/>
        <v>14.570555555575993</v>
      </c>
    </row>
    <row r="3937" spans="1:15">
      <c r="A3937" s="1" t="s">
        <v>4042</v>
      </c>
      <c r="B3937" s="23">
        <v>45320.338194444441</v>
      </c>
      <c r="C3937" s="1" t="s">
        <v>43</v>
      </c>
      <c r="D3937" s="1" t="s">
        <v>21</v>
      </c>
      <c r="E3937" s="1" t="s">
        <v>18</v>
      </c>
      <c r="F3937" s="1" t="s">
        <v>37</v>
      </c>
      <c r="G3937" s="1">
        <v>219</v>
      </c>
      <c r="H3937" s="23">
        <v>45321.058888888889</v>
      </c>
      <c r="I3937" s="1" t="b">
        <v>0</v>
      </c>
      <c r="K3937" s="10">
        <f t="shared" si="307"/>
        <v>17.296666666748933</v>
      </c>
      <c r="L3937" s="1" t="str">
        <f t="shared" si="308"/>
        <v>OK</v>
      </c>
      <c r="M3937" s="1">
        <f t="shared" si="305"/>
        <v>1</v>
      </c>
      <c r="N3937" s="1">
        <f t="shared" si="306"/>
        <v>219</v>
      </c>
      <c r="O3937" s="10">
        <f t="shared" si="309"/>
        <v>17.296666666748933</v>
      </c>
    </row>
    <row r="3938" spans="1:15">
      <c r="A3938" s="1" t="s">
        <v>4043</v>
      </c>
      <c r="B3938" s="23">
        <v>45320.496527777781</v>
      </c>
      <c r="C3938" s="1" t="s">
        <v>16</v>
      </c>
      <c r="D3938" s="1" t="s">
        <v>21</v>
      </c>
      <c r="E3938" s="1" t="s">
        <v>22</v>
      </c>
      <c r="F3938" s="1" t="s">
        <v>145</v>
      </c>
      <c r="G3938" s="1">
        <v>6</v>
      </c>
      <c r="H3938" s="23">
        <v>45320.552627314813</v>
      </c>
      <c r="I3938" s="1" t="b">
        <v>0</v>
      </c>
      <c r="J3938" s="1">
        <v>5</v>
      </c>
      <c r="K3938" s="10">
        <f t="shared" si="307"/>
        <v>1.346388888778165</v>
      </c>
      <c r="L3938" s="1" t="str">
        <f t="shared" si="308"/>
        <v>OK</v>
      </c>
      <c r="M3938" s="1">
        <f t="shared" si="305"/>
        <v>1</v>
      </c>
      <c r="N3938" s="1">
        <f t="shared" si="306"/>
        <v>6</v>
      </c>
      <c r="O3938" s="10">
        <f t="shared" si="309"/>
        <v>1.346388888778165</v>
      </c>
    </row>
    <row r="3939" spans="1:15">
      <c r="A3939" s="1" t="s">
        <v>4044</v>
      </c>
      <c r="B3939" s="23">
        <v>45320.658333333333</v>
      </c>
      <c r="C3939" s="1" t="s">
        <v>16</v>
      </c>
      <c r="D3939" s="1" t="s">
        <v>21</v>
      </c>
      <c r="E3939" s="1" t="s">
        <v>33</v>
      </c>
      <c r="F3939" s="1" t="s">
        <v>64</v>
      </c>
      <c r="G3939" s="1">
        <v>844</v>
      </c>
      <c r="H3939" s="23">
        <v>45321.645104166666</v>
      </c>
      <c r="I3939" s="1" t="b">
        <v>0</v>
      </c>
      <c r="K3939" s="10">
        <f t="shared" si="307"/>
        <v>23.682499999995343</v>
      </c>
      <c r="L3939" s="1" t="str">
        <f t="shared" si="308"/>
        <v>OK</v>
      </c>
      <c r="M3939" s="1">
        <f t="shared" si="305"/>
        <v>1</v>
      </c>
      <c r="N3939" s="1">
        <f t="shared" si="306"/>
        <v>844</v>
      </c>
      <c r="O3939" s="10">
        <f t="shared" si="309"/>
        <v>23.682499999995343</v>
      </c>
    </row>
    <row r="3940" spans="1:15">
      <c r="A3940" s="1" t="s">
        <v>4045</v>
      </c>
      <c r="B3940" s="23">
        <v>45320.745138888888</v>
      </c>
      <c r="C3940" s="1" t="s">
        <v>11</v>
      </c>
      <c r="D3940" s="1" t="s">
        <v>21</v>
      </c>
      <c r="E3940" s="1" t="s">
        <v>18</v>
      </c>
      <c r="F3940" s="1" t="s">
        <v>88</v>
      </c>
      <c r="G3940" s="1">
        <v>234</v>
      </c>
      <c r="H3940" s="23">
        <v>45321.707557870373</v>
      </c>
      <c r="I3940" s="1" t="b">
        <v>0</v>
      </c>
      <c r="K3940" s="10">
        <f t="shared" si="307"/>
        <v>23.098055555659812</v>
      </c>
      <c r="L3940" s="1" t="str">
        <f t="shared" si="308"/>
        <v>OK</v>
      </c>
      <c r="M3940" s="1">
        <f t="shared" si="305"/>
        <v>1</v>
      </c>
      <c r="N3940" s="1">
        <f t="shared" si="306"/>
        <v>234</v>
      </c>
      <c r="O3940" s="10">
        <f t="shared" si="309"/>
        <v>23.098055555659812</v>
      </c>
    </row>
    <row r="3941" spans="1:15">
      <c r="A3941" s="1" t="s">
        <v>4046</v>
      </c>
      <c r="B3941" s="23">
        <v>45320.777777777781</v>
      </c>
      <c r="C3941" s="1" t="s">
        <v>11</v>
      </c>
      <c r="D3941" s="1" t="s">
        <v>17</v>
      </c>
      <c r="E3941" s="1" t="s">
        <v>18</v>
      </c>
      <c r="F3941" s="1" t="s">
        <v>415</v>
      </c>
      <c r="G3941" s="1">
        <v>84</v>
      </c>
      <c r="H3941" s="23">
        <v>45324.278263888889</v>
      </c>
      <c r="I3941" s="1" t="b">
        <v>0</v>
      </c>
      <c r="J3941" s="1">
        <v>5</v>
      </c>
      <c r="K3941" s="10">
        <f t="shared" si="307"/>
        <v>84.011666666599922</v>
      </c>
      <c r="L3941" s="1" t="str">
        <f t="shared" si="308"/>
        <v>OK</v>
      </c>
      <c r="M3941" s="1">
        <f t="shared" si="305"/>
        <v>1</v>
      </c>
      <c r="N3941" s="1">
        <f t="shared" si="306"/>
        <v>84</v>
      </c>
      <c r="O3941" s="10">
        <f t="shared" si="309"/>
        <v>84.011666666599922</v>
      </c>
    </row>
    <row r="3942" spans="1:15">
      <c r="A3942" s="1" t="s">
        <v>4047</v>
      </c>
      <c r="B3942" s="23">
        <v>45320.882638888892</v>
      </c>
      <c r="C3942" s="1" t="s">
        <v>16</v>
      </c>
      <c r="D3942" s="1" t="s">
        <v>21</v>
      </c>
      <c r="E3942" s="1" t="s">
        <v>33</v>
      </c>
      <c r="F3942" s="1" t="s">
        <v>29</v>
      </c>
      <c r="G3942" s="1">
        <v>63</v>
      </c>
      <c r="H3942" s="23">
        <v>45321.65834490741</v>
      </c>
      <c r="I3942" s="1" t="b">
        <v>0</v>
      </c>
      <c r="J3942" s="1">
        <v>2</v>
      </c>
      <c r="K3942" s="10">
        <f t="shared" si="307"/>
        <v>18.616944444424007</v>
      </c>
      <c r="L3942" s="1" t="str">
        <f t="shared" si="308"/>
        <v>OK</v>
      </c>
      <c r="M3942" s="1">
        <f t="shared" si="305"/>
        <v>1</v>
      </c>
      <c r="N3942" s="1">
        <f t="shared" si="306"/>
        <v>63</v>
      </c>
      <c r="O3942" s="10">
        <f t="shared" si="309"/>
        <v>18.616944444424007</v>
      </c>
    </row>
    <row r="3943" spans="1:15">
      <c r="A3943" s="1" t="s">
        <v>4048</v>
      </c>
      <c r="B3943" s="23">
        <v>45320.902083333334</v>
      </c>
      <c r="C3943" s="1" t="s">
        <v>11</v>
      </c>
      <c r="D3943" s="1" t="s">
        <v>21</v>
      </c>
      <c r="E3943" s="1" t="s">
        <v>18</v>
      </c>
      <c r="F3943" s="1" t="s">
        <v>256</v>
      </c>
      <c r="G3943" s="1">
        <v>148</v>
      </c>
      <c r="H3943" s="23">
        <v>45321.356608796297</v>
      </c>
      <c r="I3943" s="1" t="b">
        <v>0</v>
      </c>
      <c r="J3943" s="1">
        <v>4</v>
      </c>
      <c r="K3943" s="10">
        <f t="shared" si="307"/>
        <v>10.908611111110076</v>
      </c>
      <c r="L3943" s="1" t="str">
        <f t="shared" si="308"/>
        <v>OK</v>
      </c>
      <c r="M3943" s="1">
        <f t="shared" si="305"/>
        <v>1</v>
      </c>
      <c r="N3943" s="1">
        <f t="shared" si="306"/>
        <v>148</v>
      </c>
      <c r="O3943" s="10">
        <f t="shared" si="309"/>
        <v>10.908611111110076</v>
      </c>
    </row>
    <row r="3944" spans="1:15">
      <c r="A3944" s="1" t="s">
        <v>4049</v>
      </c>
      <c r="B3944" s="23">
        <v>45321.154166666667</v>
      </c>
      <c r="C3944" s="1" t="s">
        <v>16</v>
      </c>
      <c r="D3944" s="1" t="s">
        <v>21</v>
      </c>
      <c r="E3944" s="1" t="s">
        <v>13</v>
      </c>
      <c r="F3944" s="1" t="s">
        <v>50</v>
      </c>
      <c r="G3944" s="1">
        <v>253</v>
      </c>
      <c r="H3944" s="23">
        <v>45322.476875</v>
      </c>
      <c r="I3944" s="1" t="b">
        <v>1</v>
      </c>
      <c r="J3944" s="1">
        <v>5</v>
      </c>
      <c r="K3944" s="10">
        <f t="shared" si="307"/>
        <v>31.744999999995343</v>
      </c>
      <c r="L3944" s="1" t="str">
        <f t="shared" si="308"/>
        <v>OK</v>
      </c>
      <c r="M3944" s="1">
        <f t="shared" si="305"/>
        <v>1</v>
      </c>
      <c r="N3944" s="1">
        <f t="shared" si="306"/>
        <v>253</v>
      </c>
      <c r="O3944" s="10">
        <f t="shared" si="309"/>
        <v>31.744999999995343</v>
      </c>
    </row>
    <row r="3945" spans="1:15">
      <c r="A3945" s="1" t="s">
        <v>4050</v>
      </c>
      <c r="B3945" s="23">
        <v>45321.491666666669</v>
      </c>
      <c r="C3945" s="1" t="s">
        <v>25</v>
      </c>
      <c r="D3945" s="1" t="s">
        <v>12</v>
      </c>
      <c r="E3945" s="1" t="s">
        <v>13</v>
      </c>
      <c r="F3945" s="1" t="s">
        <v>201</v>
      </c>
      <c r="G3945" s="1">
        <v>24</v>
      </c>
      <c r="H3945" s="23">
        <v>45321.710636574076</v>
      </c>
      <c r="I3945" s="1" t="b">
        <v>0</v>
      </c>
      <c r="K3945" s="10">
        <f t="shared" si="307"/>
        <v>5.2552777777891606</v>
      </c>
      <c r="L3945" s="1" t="str">
        <f t="shared" si="308"/>
        <v>OK</v>
      </c>
      <c r="M3945" s="1">
        <f t="shared" si="305"/>
        <v>1</v>
      </c>
      <c r="N3945" s="1">
        <f t="shared" si="306"/>
        <v>24</v>
      </c>
      <c r="O3945" s="10">
        <f t="shared" si="309"/>
        <v>5.2552777777891606</v>
      </c>
    </row>
    <row r="3946" spans="1:15">
      <c r="A3946" s="1" t="s">
        <v>4051</v>
      </c>
      <c r="B3946" s="23">
        <v>45321.495138888888</v>
      </c>
      <c r="C3946" s="1" t="s">
        <v>25</v>
      </c>
      <c r="D3946" s="1" t="s">
        <v>26</v>
      </c>
      <c r="E3946" s="1" t="s">
        <v>22</v>
      </c>
      <c r="F3946" s="1" t="s">
        <v>106</v>
      </c>
      <c r="G3946" s="1">
        <v>60</v>
      </c>
      <c r="H3946" s="23">
        <v>45322.593854166669</v>
      </c>
      <c r="I3946" s="1" t="b">
        <v>0</v>
      </c>
      <c r="J3946" s="1">
        <v>1</v>
      </c>
      <c r="K3946" s="10">
        <f t="shared" si="307"/>
        <v>26.369166666758247</v>
      </c>
      <c r="L3946" s="1" t="str">
        <f t="shared" si="308"/>
        <v>OK</v>
      </c>
      <c r="M3946" s="1">
        <f t="shared" si="305"/>
        <v>1</v>
      </c>
      <c r="N3946" s="1">
        <f t="shared" si="306"/>
        <v>60</v>
      </c>
      <c r="O3946" s="10">
        <f t="shared" si="309"/>
        <v>26.369166666758247</v>
      </c>
    </row>
    <row r="3947" spans="1:15">
      <c r="A3947" s="1" t="s">
        <v>4052</v>
      </c>
      <c r="B3947" s="23">
        <v>45321.523611111108</v>
      </c>
      <c r="C3947" s="1" t="s">
        <v>25</v>
      </c>
      <c r="D3947" s="1" t="s">
        <v>21</v>
      </c>
      <c r="E3947" s="1" t="s">
        <v>33</v>
      </c>
      <c r="F3947" s="1" t="s">
        <v>74</v>
      </c>
      <c r="G3947" s="1">
        <v>404</v>
      </c>
      <c r="H3947" s="23">
        <v>45321.802245370367</v>
      </c>
      <c r="I3947" s="1" t="b">
        <v>0</v>
      </c>
      <c r="K3947" s="10">
        <f t="shared" si="307"/>
        <v>6.687222222215496</v>
      </c>
      <c r="L3947" s="1" t="str">
        <f t="shared" si="308"/>
        <v>Review</v>
      </c>
      <c r="M3947" s="1">
        <f t="shared" si="305"/>
        <v>1</v>
      </c>
      <c r="N3947" s="1" t="str">
        <f t="shared" si="306"/>
        <v/>
      </c>
      <c r="O3947" s="10" t="str">
        <f t="shared" si="309"/>
        <v/>
      </c>
    </row>
    <row r="3948" spans="1:15">
      <c r="A3948" s="1" t="s">
        <v>4053</v>
      </c>
      <c r="B3948" s="23">
        <v>45321.600694444445</v>
      </c>
      <c r="C3948" s="1" t="s">
        <v>11</v>
      </c>
      <c r="D3948" s="1" t="s">
        <v>17</v>
      </c>
      <c r="E3948" s="1" t="s">
        <v>13</v>
      </c>
      <c r="F3948" s="1" t="s">
        <v>245</v>
      </c>
      <c r="G3948" s="1">
        <v>26</v>
      </c>
      <c r="H3948" s="23">
        <v>45323.454525462963</v>
      </c>
      <c r="I3948" s="1" t="b">
        <v>0</v>
      </c>
      <c r="J3948" s="1">
        <v>3</v>
      </c>
      <c r="K3948" s="10">
        <f t="shared" si="307"/>
        <v>44.491944444424007</v>
      </c>
      <c r="L3948" s="1" t="str">
        <f t="shared" si="308"/>
        <v>OK</v>
      </c>
      <c r="M3948" s="1">
        <f t="shared" si="305"/>
        <v>1</v>
      </c>
      <c r="N3948" s="1">
        <f t="shared" si="306"/>
        <v>26</v>
      </c>
      <c r="O3948" s="10">
        <f t="shared" si="309"/>
        <v>44.491944444424007</v>
      </c>
    </row>
    <row r="3949" spans="1:15">
      <c r="A3949" s="1" t="s">
        <v>4054</v>
      </c>
      <c r="B3949" s="23">
        <v>45321.624305555553</v>
      </c>
      <c r="C3949" s="1" t="s">
        <v>25</v>
      </c>
      <c r="D3949" s="1" t="s">
        <v>17</v>
      </c>
      <c r="E3949" s="1" t="s">
        <v>18</v>
      </c>
      <c r="F3949" s="1" t="s">
        <v>76</v>
      </c>
      <c r="G3949" s="1">
        <v>552</v>
      </c>
      <c r="H3949" s="23">
        <v>45321.749548611115</v>
      </c>
      <c r="I3949" s="1" t="b">
        <v>0</v>
      </c>
      <c r="J3949" s="1">
        <v>5</v>
      </c>
      <c r="K3949" s="10">
        <f t="shared" si="307"/>
        <v>3.0058333334745839</v>
      </c>
      <c r="L3949" s="1" t="str">
        <f t="shared" si="308"/>
        <v>Review</v>
      </c>
      <c r="M3949" s="1">
        <f t="shared" si="305"/>
        <v>1</v>
      </c>
      <c r="N3949" s="1" t="str">
        <f t="shared" si="306"/>
        <v/>
      </c>
      <c r="O3949" s="10" t="str">
        <f t="shared" si="309"/>
        <v/>
      </c>
    </row>
    <row r="3950" spans="1:15">
      <c r="A3950" s="1" t="s">
        <v>4055</v>
      </c>
      <c r="B3950" s="23">
        <v>45321.808333333334</v>
      </c>
      <c r="C3950" s="1" t="s">
        <v>16</v>
      </c>
      <c r="D3950" s="1" t="s">
        <v>12</v>
      </c>
      <c r="E3950" s="1" t="s">
        <v>18</v>
      </c>
      <c r="F3950" s="1" t="s">
        <v>70</v>
      </c>
      <c r="G3950" s="1">
        <v>13</v>
      </c>
      <c r="H3950" s="23">
        <v>45323.875416666669</v>
      </c>
      <c r="I3950" s="1" t="b">
        <v>0</v>
      </c>
      <c r="K3950" s="10">
        <f t="shared" si="307"/>
        <v>49.610000000044238</v>
      </c>
      <c r="L3950" s="1" t="str">
        <f t="shared" si="308"/>
        <v>OK</v>
      </c>
      <c r="M3950" s="1">
        <f t="shared" si="305"/>
        <v>1</v>
      </c>
      <c r="N3950" s="1">
        <f t="shared" si="306"/>
        <v>13</v>
      </c>
      <c r="O3950" s="10">
        <f t="shared" si="309"/>
        <v>49.610000000044238</v>
      </c>
    </row>
    <row r="3951" spans="1:15">
      <c r="A3951" s="1" t="s">
        <v>4056</v>
      </c>
      <c r="B3951" s="23">
        <v>45321.852777777778</v>
      </c>
      <c r="C3951" s="1" t="s">
        <v>16</v>
      </c>
      <c r="D3951" s="1" t="s">
        <v>17</v>
      </c>
      <c r="E3951" s="1" t="s">
        <v>18</v>
      </c>
      <c r="F3951" s="1" t="s">
        <v>96</v>
      </c>
      <c r="G3951" s="1">
        <v>195</v>
      </c>
      <c r="I3951" s="1" t="b">
        <v>0</v>
      </c>
      <c r="K3951" s="10" t="str">
        <f t="shared" si="307"/>
        <v/>
      </c>
      <c r="L3951" s="1" t="str">
        <f t="shared" si="308"/>
        <v>Cannot check</v>
      </c>
      <c r="M3951" s="1">
        <f t="shared" si="305"/>
        <v>1</v>
      </c>
      <c r="N3951" s="1">
        <f t="shared" si="306"/>
        <v>195</v>
      </c>
      <c r="O3951" s="10" t="str">
        <f t="shared" si="309"/>
        <v/>
      </c>
    </row>
    <row r="3952" spans="1:15">
      <c r="A3952" s="1" t="s">
        <v>4057</v>
      </c>
      <c r="B3952" s="23">
        <v>45322.00277777778</v>
      </c>
      <c r="C3952" s="1" t="s">
        <v>25</v>
      </c>
      <c r="D3952" s="1" t="s">
        <v>12</v>
      </c>
      <c r="E3952" s="1" t="s">
        <v>22</v>
      </c>
      <c r="F3952" s="1" t="s">
        <v>29</v>
      </c>
      <c r="G3952" s="1">
        <v>5</v>
      </c>
      <c r="H3952" s="23">
        <v>45322.196284722224</v>
      </c>
      <c r="I3952" s="1" t="b">
        <v>0</v>
      </c>
      <c r="K3952" s="10">
        <f t="shared" si="307"/>
        <v>4.6441666666651145</v>
      </c>
      <c r="L3952" s="1" t="str">
        <f t="shared" si="308"/>
        <v>OK</v>
      </c>
      <c r="M3952" s="1">
        <f t="shared" si="305"/>
        <v>1</v>
      </c>
      <c r="N3952" s="1">
        <f t="shared" si="306"/>
        <v>5</v>
      </c>
      <c r="O3952" s="10">
        <f t="shared" si="309"/>
        <v>4.6441666666651145</v>
      </c>
    </row>
    <row r="3953" spans="1:15">
      <c r="A3953" s="1" t="s">
        <v>4058</v>
      </c>
      <c r="B3953" s="23">
        <v>45322.084027777775</v>
      </c>
      <c r="C3953" s="1" t="s">
        <v>16</v>
      </c>
      <c r="D3953" s="1" t="s">
        <v>17</v>
      </c>
      <c r="E3953" s="1" t="s">
        <v>22</v>
      </c>
      <c r="F3953" s="1" t="s">
        <v>100</v>
      </c>
      <c r="G3953" s="1">
        <v>48</v>
      </c>
      <c r="H3953" s="23">
        <v>45322.25880787037</v>
      </c>
      <c r="I3953" s="1" t="b">
        <v>1</v>
      </c>
      <c r="K3953" s="10">
        <f t="shared" si="307"/>
        <v>4.1947222222806886</v>
      </c>
      <c r="L3953" s="1" t="str">
        <f t="shared" si="308"/>
        <v>OK</v>
      </c>
      <c r="M3953" s="1">
        <f t="shared" si="305"/>
        <v>1</v>
      </c>
      <c r="N3953" s="1">
        <f t="shared" si="306"/>
        <v>48</v>
      </c>
      <c r="O3953" s="10">
        <f t="shared" si="309"/>
        <v>4.1947222222806886</v>
      </c>
    </row>
    <row r="3954" spans="1:15">
      <c r="A3954" s="1" t="s">
        <v>4059</v>
      </c>
      <c r="B3954" s="23">
        <v>45322.417361111111</v>
      </c>
      <c r="C3954" s="1" t="s">
        <v>25</v>
      </c>
      <c r="D3954" s="1" t="s">
        <v>21</v>
      </c>
      <c r="E3954" s="1" t="s">
        <v>33</v>
      </c>
      <c r="F3954" s="1" t="s">
        <v>198</v>
      </c>
      <c r="G3954" s="1">
        <v>162</v>
      </c>
      <c r="H3954" s="23">
        <v>45323.14025462963</v>
      </c>
      <c r="I3954" s="1" t="b">
        <v>0</v>
      </c>
      <c r="K3954" s="10">
        <f t="shared" si="307"/>
        <v>17.349444444465917</v>
      </c>
      <c r="L3954" s="1" t="str">
        <f t="shared" si="308"/>
        <v>OK</v>
      </c>
      <c r="M3954" s="1">
        <f t="shared" si="305"/>
        <v>1</v>
      </c>
      <c r="N3954" s="1">
        <f t="shared" si="306"/>
        <v>162</v>
      </c>
      <c r="O3954" s="10">
        <f t="shared" si="309"/>
        <v>17.349444444465917</v>
      </c>
    </row>
    <row r="3955" spans="1:15">
      <c r="A3955" s="1" t="s">
        <v>4060</v>
      </c>
      <c r="B3955" s="23">
        <v>45322.628472222219</v>
      </c>
      <c r="C3955" s="1" t="s">
        <v>16</v>
      </c>
      <c r="D3955" s="1" t="s">
        <v>17</v>
      </c>
      <c r="E3955" s="1" t="s">
        <v>18</v>
      </c>
      <c r="F3955" s="1" t="s">
        <v>367</v>
      </c>
      <c r="G3955" s="1">
        <v>428</v>
      </c>
      <c r="H3955" s="23">
        <v>45325.685844907406</v>
      </c>
      <c r="I3955" s="1" t="b">
        <v>0</v>
      </c>
      <c r="J3955" s="1">
        <v>2</v>
      </c>
      <c r="K3955" s="10">
        <f t="shared" si="307"/>
        <v>73.376944444491528</v>
      </c>
      <c r="L3955" s="1" t="str">
        <f t="shared" si="308"/>
        <v>OK</v>
      </c>
      <c r="M3955" s="1">
        <f t="shared" si="305"/>
        <v>1</v>
      </c>
      <c r="N3955" s="1">
        <f t="shared" si="306"/>
        <v>428</v>
      </c>
      <c r="O3955" s="10">
        <f t="shared" si="309"/>
        <v>73.376944444491528</v>
      </c>
    </row>
    <row r="3956" spans="1:15">
      <c r="A3956" s="1" t="s">
        <v>4061</v>
      </c>
      <c r="B3956" s="23">
        <v>45322.652083333334</v>
      </c>
      <c r="C3956" s="1" t="s">
        <v>25</v>
      </c>
      <c r="D3956" s="1" t="s">
        <v>17</v>
      </c>
      <c r="E3956" s="1" t="s">
        <v>18</v>
      </c>
      <c r="F3956" s="1" t="s">
        <v>256</v>
      </c>
      <c r="G3956" s="1">
        <v>137</v>
      </c>
      <c r="H3956" s="23">
        <v>45325.920995370368</v>
      </c>
      <c r="I3956" s="1" t="b">
        <v>0</v>
      </c>
      <c r="K3956" s="10">
        <f t="shared" si="307"/>
        <v>78.453888888820074</v>
      </c>
      <c r="L3956" s="1" t="str">
        <f t="shared" si="308"/>
        <v>OK</v>
      </c>
      <c r="M3956" s="1">
        <f t="shared" si="305"/>
        <v>1</v>
      </c>
      <c r="N3956" s="1">
        <f t="shared" si="306"/>
        <v>137</v>
      </c>
      <c r="O3956" s="10">
        <f t="shared" si="309"/>
        <v>78.453888888820074</v>
      </c>
    </row>
    <row r="3957" spans="1:15">
      <c r="A3957" s="1" t="s">
        <v>4062</v>
      </c>
      <c r="B3957" s="23">
        <v>45322.709722222222</v>
      </c>
      <c r="C3957" s="1" t="s">
        <v>11</v>
      </c>
      <c r="D3957" s="1" t="s">
        <v>21</v>
      </c>
      <c r="E3957" s="1" t="s">
        <v>18</v>
      </c>
      <c r="F3957" s="1" t="s">
        <v>94</v>
      </c>
      <c r="G3957" s="1">
        <v>265</v>
      </c>
      <c r="H3957" s="23">
        <v>45323.198946759258</v>
      </c>
      <c r="I3957" s="1" t="b">
        <v>1</v>
      </c>
      <c r="K3957" s="10">
        <f t="shared" si="307"/>
        <v>11.741388888854999</v>
      </c>
      <c r="L3957" s="1" t="str">
        <f t="shared" si="308"/>
        <v>OK</v>
      </c>
      <c r="M3957" s="1">
        <f t="shared" si="305"/>
        <v>1</v>
      </c>
      <c r="N3957" s="1">
        <f t="shared" si="306"/>
        <v>265</v>
      </c>
      <c r="O3957" s="10">
        <f t="shared" si="309"/>
        <v>11.741388888854999</v>
      </c>
    </row>
    <row r="3958" spans="1:15">
      <c r="A3958" s="1" t="s">
        <v>4063</v>
      </c>
      <c r="B3958" s="23">
        <v>45322.781944444447</v>
      </c>
      <c r="C3958" s="1" t="s">
        <v>43</v>
      </c>
      <c r="D3958" s="1" t="s">
        <v>21</v>
      </c>
      <c r="E3958" s="1" t="s">
        <v>18</v>
      </c>
      <c r="F3958" s="1" t="s">
        <v>228</v>
      </c>
      <c r="G3958" s="1">
        <v>24</v>
      </c>
      <c r="H3958" s="23">
        <v>45323.211759259262</v>
      </c>
      <c r="I3958" s="1" t="b">
        <v>0</v>
      </c>
      <c r="K3958" s="10">
        <f t="shared" si="307"/>
        <v>10.315555555571336</v>
      </c>
      <c r="L3958" s="1" t="str">
        <f t="shared" si="308"/>
        <v>OK</v>
      </c>
      <c r="M3958" s="1">
        <f t="shared" si="305"/>
        <v>1</v>
      </c>
      <c r="N3958" s="1">
        <f t="shared" si="306"/>
        <v>24</v>
      </c>
      <c r="O3958" s="10">
        <f t="shared" si="309"/>
        <v>10.315555555571336</v>
      </c>
    </row>
    <row r="3959" spans="1:15">
      <c r="A3959" s="1" t="s">
        <v>4064</v>
      </c>
      <c r="B3959" s="23">
        <v>45322.852083333331</v>
      </c>
      <c r="C3959" s="1" t="s">
        <v>16</v>
      </c>
      <c r="D3959" s="1" t="s">
        <v>12</v>
      </c>
      <c r="E3959" s="1" t="s">
        <v>18</v>
      </c>
      <c r="F3959" s="1" t="s">
        <v>35</v>
      </c>
      <c r="G3959" s="1">
        <v>102</v>
      </c>
      <c r="H3959" s="23">
        <v>45323.003240740742</v>
      </c>
      <c r="I3959" s="1" t="b">
        <v>0</v>
      </c>
      <c r="K3959" s="10">
        <f t="shared" si="307"/>
        <v>3.62777777784504</v>
      </c>
      <c r="L3959" s="1" t="str">
        <f t="shared" si="308"/>
        <v>OK</v>
      </c>
      <c r="M3959" s="1">
        <f t="shared" si="305"/>
        <v>1</v>
      </c>
      <c r="N3959" s="1">
        <f t="shared" si="306"/>
        <v>102</v>
      </c>
      <c r="O3959" s="10">
        <f t="shared" si="309"/>
        <v>3.62777777784504</v>
      </c>
    </row>
    <row r="3960" spans="1:15">
      <c r="A3960" s="1" t="s">
        <v>4065</v>
      </c>
      <c r="B3960" s="23">
        <v>45322.945833333331</v>
      </c>
      <c r="C3960" s="1" t="s">
        <v>11</v>
      </c>
      <c r="D3960" s="1" t="s">
        <v>21</v>
      </c>
      <c r="E3960" s="1" t="s">
        <v>18</v>
      </c>
      <c r="F3960" s="1" t="s">
        <v>415</v>
      </c>
      <c r="G3960" s="1">
        <v>57</v>
      </c>
      <c r="H3960" s="23">
        <v>45326.817928240744</v>
      </c>
      <c r="I3960" s="1" t="b">
        <v>1</v>
      </c>
      <c r="K3960" s="10">
        <f t="shared" si="307"/>
        <v>92.930277777893934</v>
      </c>
      <c r="L3960" s="1" t="str">
        <f t="shared" si="308"/>
        <v>OK</v>
      </c>
      <c r="M3960" s="1">
        <f t="shared" si="305"/>
        <v>1</v>
      </c>
      <c r="N3960" s="1">
        <f t="shared" si="306"/>
        <v>57</v>
      </c>
      <c r="O3960" s="10">
        <f t="shared" si="309"/>
        <v>92.930277777893934</v>
      </c>
    </row>
    <row r="3961" spans="1:15">
      <c r="A3961" s="1" t="s">
        <v>4066</v>
      </c>
      <c r="B3961" s="23">
        <v>45323.007638888892</v>
      </c>
      <c r="C3961" s="1" t="s">
        <v>25</v>
      </c>
      <c r="D3961" s="1" t="s">
        <v>21</v>
      </c>
      <c r="E3961" s="1" t="s">
        <v>18</v>
      </c>
      <c r="F3961" s="1" t="s">
        <v>239</v>
      </c>
      <c r="G3961" s="1">
        <v>28</v>
      </c>
      <c r="I3961" s="1" t="b">
        <v>0</v>
      </c>
      <c r="K3961" s="10" t="str">
        <f t="shared" si="307"/>
        <v/>
      </c>
      <c r="L3961" s="1" t="str">
        <f t="shared" si="308"/>
        <v>Cannot check</v>
      </c>
      <c r="M3961" s="1">
        <f t="shared" si="305"/>
        <v>1</v>
      </c>
      <c r="N3961" s="1">
        <f t="shared" si="306"/>
        <v>28</v>
      </c>
      <c r="O3961" s="10" t="str">
        <f t="shared" si="309"/>
        <v/>
      </c>
    </row>
    <row r="3962" spans="1:15">
      <c r="A3962" s="1" t="s">
        <v>4067</v>
      </c>
      <c r="B3962" s="23">
        <v>45323.067361111112</v>
      </c>
      <c r="C3962" s="1" t="s">
        <v>16</v>
      </c>
      <c r="D3962" s="1" t="s">
        <v>26</v>
      </c>
      <c r="E3962" s="1" t="s">
        <v>18</v>
      </c>
      <c r="F3962" s="1" t="s">
        <v>57</v>
      </c>
      <c r="G3962" s="1">
        <v>85</v>
      </c>
      <c r="H3962" s="23">
        <v>45323.611666666664</v>
      </c>
      <c r="I3962" s="1" t="b">
        <v>0</v>
      </c>
      <c r="K3962" s="10">
        <f t="shared" si="307"/>
        <v>13.063333333237097</v>
      </c>
      <c r="L3962" s="1" t="str">
        <f t="shared" si="308"/>
        <v>OK</v>
      </c>
      <c r="M3962" s="1">
        <f t="shared" si="305"/>
        <v>1</v>
      </c>
      <c r="N3962" s="1">
        <f t="shared" si="306"/>
        <v>85</v>
      </c>
      <c r="O3962" s="10">
        <f t="shared" si="309"/>
        <v>13.063333333237097</v>
      </c>
    </row>
    <row r="3963" spans="1:15">
      <c r="A3963" s="1" t="s">
        <v>4068</v>
      </c>
      <c r="B3963" s="23">
        <v>45323.295138888891</v>
      </c>
      <c r="C3963" s="1" t="s">
        <v>43</v>
      </c>
      <c r="D3963" s="1" t="s">
        <v>21</v>
      </c>
      <c r="E3963" s="1" t="s">
        <v>18</v>
      </c>
      <c r="F3963" s="1" t="s">
        <v>80</v>
      </c>
      <c r="G3963" s="1">
        <v>27</v>
      </c>
      <c r="H3963" s="23">
        <v>45323.971782407411</v>
      </c>
      <c r="I3963" s="1" t="b">
        <v>0</v>
      </c>
      <c r="K3963" s="10">
        <f t="shared" si="307"/>
        <v>16.239444444479886</v>
      </c>
      <c r="L3963" s="1" t="str">
        <f t="shared" si="308"/>
        <v>OK</v>
      </c>
      <c r="M3963" s="1">
        <f t="shared" si="305"/>
        <v>1</v>
      </c>
      <c r="N3963" s="1">
        <f t="shared" si="306"/>
        <v>27</v>
      </c>
      <c r="O3963" s="10">
        <f t="shared" si="309"/>
        <v>16.239444444479886</v>
      </c>
    </row>
    <row r="3964" spans="1:15">
      <c r="A3964" s="1" t="s">
        <v>4069</v>
      </c>
      <c r="B3964" s="23">
        <v>45323.356944444444</v>
      </c>
      <c r="C3964" s="1" t="s">
        <v>11</v>
      </c>
      <c r="D3964" s="1" t="s">
        <v>59</v>
      </c>
      <c r="E3964" s="1" t="s">
        <v>33</v>
      </c>
      <c r="F3964" s="1" t="s">
        <v>35</v>
      </c>
      <c r="G3964" s="1">
        <v>43</v>
      </c>
      <c r="H3964" s="23">
        <v>45324.301990740743</v>
      </c>
      <c r="I3964" s="1" t="b">
        <v>0</v>
      </c>
      <c r="K3964" s="10">
        <f t="shared" si="307"/>
        <v>22.681111111189239</v>
      </c>
      <c r="L3964" s="1" t="str">
        <f t="shared" si="308"/>
        <v>OK</v>
      </c>
      <c r="M3964" s="1">
        <f t="shared" si="305"/>
        <v>1</v>
      </c>
      <c r="N3964" s="1">
        <f t="shared" si="306"/>
        <v>43</v>
      </c>
      <c r="O3964" s="10">
        <f t="shared" si="309"/>
        <v>22.681111111189239</v>
      </c>
    </row>
    <row r="3965" spans="1:15">
      <c r="A3965" s="1" t="s">
        <v>4070</v>
      </c>
      <c r="B3965" s="23">
        <v>45323.4</v>
      </c>
      <c r="C3965" s="1" t="s">
        <v>25</v>
      </c>
      <c r="D3965" s="1" t="s">
        <v>59</v>
      </c>
      <c r="E3965" s="1" t="s">
        <v>13</v>
      </c>
      <c r="F3965" s="1" t="s">
        <v>78</v>
      </c>
      <c r="G3965" s="1">
        <v>148</v>
      </c>
      <c r="H3965" s="23">
        <v>45323.489675925928</v>
      </c>
      <c r="I3965" s="1" t="b">
        <v>0</v>
      </c>
      <c r="K3965" s="10">
        <f t="shared" si="307"/>
        <v>2.1522222222411074</v>
      </c>
      <c r="L3965" s="1" t="str">
        <f t="shared" si="308"/>
        <v>Review</v>
      </c>
      <c r="M3965" s="1">
        <f t="shared" si="305"/>
        <v>1</v>
      </c>
      <c r="N3965" s="1" t="str">
        <f t="shared" si="306"/>
        <v/>
      </c>
      <c r="O3965" s="10" t="str">
        <f t="shared" si="309"/>
        <v/>
      </c>
    </row>
    <row r="3966" spans="1:15">
      <c r="A3966" s="1" t="s">
        <v>4071</v>
      </c>
      <c r="B3966" s="23">
        <v>45323.668749999997</v>
      </c>
      <c r="C3966" s="1" t="s">
        <v>25</v>
      </c>
      <c r="D3966" s="1" t="s">
        <v>26</v>
      </c>
      <c r="E3966" s="1" t="s">
        <v>18</v>
      </c>
      <c r="F3966" s="1" t="s">
        <v>167</v>
      </c>
      <c r="G3966" s="1">
        <v>303</v>
      </c>
      <c r="H3966" s="23">
        <v>45326.490648148145</v>
      </c>
      <c r="I3966" s="1" t="b">
        <v>0</v>
      </c>
      <c r="K3966" s="10">
        <f t="shared" si="307"/>
        <v>67.725555555545725</v>
      </c>
      <c r="L3966" s="1" t="str">
        <f t="shared" si="308"/>
        <v>OK</v>
      </c>
      <c r="M3966" s="1">
        <f t="shared" si="305"/>
        <v>1</v>
      </c>
      <c r="N3966" s="1">
        <f t="shared" si="306"/>
        <v>303</v>
      </c>
      <c r="O3966" s="10">
        <f t="shared" si="309"/>
        <v>67.725555555545725</v>
      </c>
    </row>
    <row r="3967" spans="1:15">
      <c r="A3967" s="1" t="s">
        <v>4072</v>
      </c>
      <c r="B3967" s="23">
        <v>45323.838194444441</v>
      </c>
      <c r="C3967" s="1" t="s">
        <v>25</v>
      </c>
      <c r="D3967" s="1" t="s">
        <v>21</v>
      </c>
      <c r="E3967" s="1" t="s">
        <v>18</v>
      </c>
      <c r="F3967" s="1" t="s">
        <v>84</v>
      </c>
      <c r="G3967" s="1">
        <v>71</v>
      </c>
      <c r="H3967" s="23">
        <v>45324.463553240741</v>
      </c>
      <c r="I3967" s="1" t="b">
        <v>0</v>
      </c>
      <c r="J3967" s="1">
        <v>4</v>
      </c>
      <c r="K3967" s="10">
        <f t="shared" si="307"/>
        <v>15.008611111203209</v>
      </c>
      <c r="L3967" s="1" t="str">
        <f t="shared" si="308"/>
        <v>OK</v>
      </c>
      <c r="M3967" s="1">
        <f t="shared" si="305"/>
        <v>1</v>
      </c>
      <c r="N3967" s="1">
        <f t="shared" si="306"/>
        <v>71</v>
      </c>
      <c r="O3967" s="10">
        <f t="shared" si="309"/>
        <v>15.008611111203209</v>
      </c>
    </row>
    <row r="3968" spans="1:15">
      <c r="A3968" s="1" t="s">
        <v>4073</v>
      </c>
      <c r="B3968" s="23">
        <v>45323.944444444445</v>
      </c>
      <c r="C3968" s="1" t="s">
        <v>11</v>
      </c>
      <c r="D3968" s="1" t="s">
        <v>21</v>
      </c>
      <c r="E3968" s="1" t="s">
        <v>33</v>
      </c>
      <c r="F3968" s="1" t="s">
        <v>72</v>
      </c>
      <c r="G3968" s="1">
        <v>121</v>
      </c>
      <c r="H3968" s="23">
        <v>45324.791875000003</v>
      </c>
      <c r="I3968" s="1" t="b">
        <v>0</v>
      </c>
      <c r="K3968" s="10">
        <f t="shared" si="307"/>
        <v>20.338333333376795</v>
      </c>
      <c r="L3968" s="1" t="str">
        <f t="shared" si="308"/>
        <v>OK</v>
      </c>
      <c r="M3968" s="1">
        <f t="shared" si="305"/>
        <v>1</v>
      </c>
      <c r="N3968" s="1">
        <f t="shared" si="306"/>
        <v>121</v>
      </c>
      <c r="O3968" s="10">
        <f t="shared" si="309"/>
        <v>20.338333333376795</v>
      </c>
    </row>
    <row r="3969" spans="1:15">
      <c r="A3969" s="1" t="s">
        <v>4074</v>
      </c>
      <c r="B3969" s="23">
        <v>45324.1</v>
      </c>
      <c r="C3969" s="1" t="s">
        <v>11</v>
      </c>
      <c r="D3969" s="1" t="s">
        <v>21</v>
      </c>
      <c r="E3969" s="1" t="s">
        <v>13</v>
      </c>
      <c r="F3969" s="1" t="s">
        <v>23</v>
      </c>
      <c r="G3969" s="1">
        <v>190</v>
      </c>
      <c r="H3969" s="23">
        <v>45324.222256944442</v>
      </c>
      <c r="I3969" s="1" t="b">
        <v>0</v>
      </c>
      <c r="J3969" s="1">
        <v>5</v>
      </c>
      <c r="K3969" s="10">
        <f t="shared" si="307"/>
        <v>2.9341666666441597</v>
      </c>
      <c r="L3969" s="1" t="str">
        <f t="shared" si="308"/>
        <v>Review</v>
      </c>
      <c r="M3969" s="1">
        <f t="shared" si="305"/>
        <v>1</v>
      </c>
      <c r="N3969" s="1" t="str">
        <f t="shared" si="306"/>
        <v/>
      </c>
      <c r="O3969" s="10" t="str">
        <f t="shared" si="309"/>
        <v/>
      </c>
    </row>
    <row r="3970" spans="1:15">
      <c r="A3970" s="1" t="s">
        <v>4075</v>
      </c>
      <c r="B3970" s="23">
        <v>45324.20208333333</v>
      </c>
      <c r="C3970" s="1" t="s">
        <v>11</v>
      </c>
      <c r="D3970" s="1" t="s">
        <v>26</v>
      </c>
      <c r="E3970" s="1" t="s">
        <v>13</v>
      </c>
      <c r="F3970" s="1" t="s">
        <v>167</v>
      </c>
      <c r="G3970" s="1">
        <v>23</v>
      </c>
      <c r="H3970" s="23">
        <v>45326.039988425924</v>
      </c>
      <c r="I3970" s="1" t="b">
        <v>0</v>
      </c>
      <c r="K3970" s="10">
        <f t="shared" si="307"/>
        <v>44.109722222259734</v>
      </c>
      <c r="L3970" s="1" t="str">
        <f t="shared" si="308"/>
        <v>OK</v>
      </c>
      <c r="M3970" s="1">
        <f t="shared" ref="M3970:M4001" si="310">COUNTIF($A$2:$A$4001,A3970)</f>
        <v>1</v>
      </c>
      <c r="N3970" s="1">
        <f t="shared" ref="N3970:N4001" si="311">IF(OR(L3970="Review",G3970=""),"",G3970)</f>
        <v>23</v>
      </c>
      <c r="O3970" s="10">
        <f t="shared" si="309"/>
        <v>44.109722222259734</v>
      </c>
    </row>
    <row r="3971" spans="1:15">
      <c r="A3971" s="1" t="s">
        <v>4076</v>
      </c>
      <c r="B3971" s="23">
        <v>45324.22152777778</v>
      </c>
      <c r="C3971" s="1" t="s">
        <v>25</v>
      </c>
      <c r="D3971" s="1" t="s">
        <v>59</v>
      </c>
      <c r="E3971" s="1" t="s">
        <v>18</v>
      </c>
      <c r="F3971" s="1" t="s">
        <v>128</v>
      </c>
      <c r="G3971" s="1">
        <v>59</v>
      </c>
      <c r="H3971" s="23">
        <v>45324.296053240738</v>
      </c>
      <c r="I3971" s="1" t="b">
        <v>0</v>
      </c>
      <c r="K3971" s="10">
        <f t="shared" ref="K3971:K4001" si="312">IF(H3971="","",(H3971-B3971)*24)</f>
        <v>1.7886111109983176</v>
      </c>
      <c r="L3971" s="1" t="str">
        <f t="shared" ref="L3971:L4001" si="313">IF(OR(G3971="",K3971=""),"Cannot check",IF(G3971&gt;K3971*60,"Review","OK"))</f>
        <v>OK</v>
      </c>
      <c r="M3971" s="1">
        <f t="shared" si="310"/>
        <v>1</v>
      </c>
      <c r="N3971" s="1">
        <f t="shared" si="311"/>
        <v>59</v>
      </c>
      <c r="O3971" s="10">
        <f t="shared" ref="O3971:O4001" si="314">IF(OR(L3971="Review",K3971=""),"",K3971)</f>
        <v>1.7886111109983176</v>
      </c>
    </row>
    <row r="3972" spans="1:15">
      <c r="A3972" s="1" t="s">
        <v>4077</v>
      </c>
      <c r="B3972" s="23">
        <v>45324.39166666667</v>
      </c>
      <c r="C3972" s="1" t="s">
        <v>16</v>
      </c>
      <c r="D3972" s="1" t="s">
        <v>26</v>
      </c>
      <c r="E3972" s="1" t="s">
        <v>18</v>
      </c>
      <c r="F3972" s="1" t="s">
        <v>50</v>
      </c>
      <c r="G3972" s="1">
        <v>103</v>
      </c>
      <c r="H3972" s="23">
        <v>45324.818391203706</v>
      </c>
      <c r="I3972" s="1" t="b">
        <v>0</v>
      </c>
      <c r="K3972" s="10">
        <f t="shared" si="312"/>
        <v>10.241388888854999</v>
      </c>
      <c r="L3972" s="1" t="str">
        <f t="shared" si="313"/>
        <v>OK</v>
      </c>
      <c r="M3972" s="1">
        <f t="shared" si="310"/>
        <v>1</v>
      </c>
      <c r="N3972" s="1">
        <f t="shared" si="311"/>
        <v>103</v>
      </c>
      <c r="O3972" s="10">
        <f t="shared" si="314"/>
        <v>10.241388888854999</v>
      </c>
    </row>
    <row r="3973" spans="1:15">
      <c r="A3973" s="1" t="s">
        <v>4078</v>
      </c>
      <c r="B3973" s="23">
        <v>45324.525000000001</v>
      </c>
      <c r="C3973" s="1" t="s">
        <v>25</v>
      </c>
      <c r="D3973" s="1" t="s">
        <v>26</v>
      </c>
      <c r="E3973" s="1" t="s">
        <v>18</v>
      </c>
      <c r="F3973" s="1" t="s">
        <v>709</v>
      </c>
      <c r="G3973" s="1">
        <v>288</v>
      </c>
      <c r="I3973" s="1" t="b">
        <v>0</v>
      </c>
      <c r="K3973" s="10" t="str">
        <f t="shared" si="312"/>
        <v/>
      </c>
      <c r="L3973" s="1" t="str">
        <f t="shared" si="313"/>
        <v>Cannot check</v>
      </c>
      <c r="M3973" s="1">
        <f t="shared" si="310"/>
        <v>1</v>
      </c>
      <c r="N3973" s="1">
        <f t="shared" si="311"/>
        <v>288</v>
      </c>
      <c r="O3973" s="10" t="str">
        <f t="shared" si="314"/>
        <v/>
      </c>
    </row>
    <row r="3974" spans="1:15">
      <c r="A3974" s="1" t="s">
        <v>4079</v>
      </c>
      <c r="B3974" s="23">
        <v>45324.564583333333</v>
      </c>
      <c r="C3974" s="1" t="s">
        <v>11</v>
      </c>
      <c r="D3974" s="1" t="s">
        <v>12</v>
      </c>
      <c r="E3974" s="1" t="s">
        <v>13</v>
      </c>
      <c r="F3974" s="1" t="s">
        <v>215</v>
      </c>
      <c r="G3974" s="1">
        <v>12</v>
      </c>
      <c r="H3974" s="23">
        <v>45324.912060185183</v>
      </c>
      <c r="I3974" s="1" t="b">
        <v>0</v>
      </c>
      <c r="K3974" s="10">
        <f t="shared" si="312"/>
        <v>8.3394444443983957</v>
      </c>
      <c r="L3974" s="1" t="str">
        <f t="shared" si="313"/>
        <v>OK</v>
      </c>
      <c r="M3974" s="1">
        <f t="shared" si="310"/>
        <v>1</v>
      </c>
      <c r="N3974" s="1">
        <f t="shared" si="311"/>
        <v>12</v>
      </c>
      <c r="O3974" s="10">
        <f t="shared" si="314"/>
        <v>8.3394444443983957</v>
      </c>
    </row>
    <row r="3975" spans="1:15">
      <c r="A3975" s="1" t="s">
        <v>4080</v>
      </c>
      <c r="B3975" s="23">
        <v>45324.836805555555</v>
      </c>
      <c r="C3975" s="1" t="s">
        <v>11</v>
      </c>
      <c r="D3975" s="1" t="s">
        <v>21</v>
      </c>
      <c r="E3975" s="1" t="s">
        <v>18</v>
      </c>
      <c r="F3975" s="1" t="s">
        <v>345</v>
      </c>
      <c r="G3975" s="1">
        <v>339</v>
      </c>
      <c r="H3975" s="23">
        <v>45325.081365740742</v>
      </c>
      <c r="I3975" s="1" t="b">
        <v>0</v>
      </c>
      <c r="J3975" s="1">
        <v>4</v>
      </c>
      <c r="K3975" s="10">
        <f t="shared" si="312"/>
        <v>5.8694444444845431</v>
      </c>
      <c r="L3975" s="1" t="str">
        <f t="shared" si="313"/>
        <v>OK</v>
      </c>
      <c r="M3975" s="1">
        <f t="shared" si="310"/>
        <v>1</v>
      </c>
      <c r="N3975" s="1">
        <f t="shared" si="311"/>
        <v>339</v>
      </c>
      <c r="O3975" s="10">
        <f t="shared" si="314"/>
        <v>5.8694444444845431</v>
      </c>
    </row>
    <row r="3976" spans="1:15">
      <c r="A3976" s="1" t="s">
        <v>4081</v>
      </c>
      <c r="B3976" s="23">
        <v>45324.975694444445</v>
      </c>
      <c r="C3976" s="1" t="s">
        <v>25</v>
      </c>
      <c r="D3976" s="1" t="s">
        <v>21</v>
      </c>
      <c r="E3976" s="1" t="s">
        <v>13</v>
      </c>
      <c r="F3976" s="1" t="s">
        <v>62</v>
      </c>
      <c r="G3976" s="1">
        <v>29</v>
      </c>
      <c r="H3976" s="23">
        <v>45325.094525462962</v>
      </c>
      <c r="I3976" s="1" t="b">
        <v>0</v>
      </c>
      <c r="K3976" s="10">
        <f t="shared" si="312"/>
        <v>2.8519444444100372</v>
      </c>
      <c r="L3976" s="1" t="str">
        <f t="shared" si="313"/>
        <v>OK</v>
      </c>
      <c r="M3976" s="1">
        <f t="shared" si="310"/>
        <v>1</v>
      </c>
      <c r="N3976" s="1">
        <f t="shared" si="311"/>
        <v>29</v>
      </c>
      <c r="O3976" s="10">
        <f t="shared" si="314"/>
        <v>2.8519444444100372</v>
      </c>
    </row>
    <row r="3977" spans="1:15">
      <c r="A3977" s="1" t="s">
        <v>4082</v>
      </c>
      <c r="B3977" s="23">
        <v>45324.989583333336</v>
      </c>
      <c r="C3977" s="1" t="s">
        <v>25</v>
      </c>
      <c r="D3977" s="1" t="s">
        <v>59</v>
      </c>
      <c r="E3977" s="1" t="s">
        <v>18</v>
      </c>
      <c r="F3977" s="1" t="s">
        <v>35</v>
      </c>
      <c r="H3977" s="23">
        <v>45325.090046296296</v>
      </c>
      <c r="I3977" s="1" t="b">
        <v>0</v>
      </c>
      <c r="J3977" s="1">
        <v>5</v>
      </c>
      <c r="K3977" s="10">
        <f t="shared" si="312"/>
        <v>2.411111111054197</v>
      </c>
      <c r="L3977" s="1" t="str">
        <f t="shared" si="313"/>
        <v>Cannot check</v>
      </c>
      <c r="M3977" s="1">
        <f t="shared" si="310"/>
        <v>1</v>
      </c>
      <c r="N3977" s="1" t="str">
        <f t="shared" si="311"/>
        <v/>
      </c>
      <c r="O3977" s="10">
        <f t="shared" si="314"/>
        <v>2.411111111054197</v>
      </c>
    </row>
    <row r="3978" spans="1:15">
      <c r="A3978" s="1" t="s">
        <v>4083</v>
      </c>
      <c r="B3978" s="23">
        <v>45325.036111111112</v>
      </c>
      <c r="C3978" s="1" t="s">
        <v>16</v>
      </c>
      <c r="D3978" s="1" t="s">
        <v>26</v>
      </c>
      <c r="E3978" s="1" t="s">
        <v>18</v>
      </c>
      <c r="F3978" s="1" t="s">
        <v>57</v>
      </c>
      <c r="G3978" s="1">
        <v>221</v>
      </c>
      <c r="H3978" s="23">
        <v>45326.18141203704</v>
      </c>
      <c r="I3978" s="1" t="b">
        <v>0</v>
      </c>
      <c r="K3978" s="10">
        <f t="shared" si="312"/>
        <v>27.487222222262062</v>
      </c>
      <c r="L3978" s="1" t="str">
        <f t="shared" si="313"/>
        <v>OK</v>
      </c>
      <c r="M3978" s="1">
        <f t="shared" si="310"/>
        <v>1</v>
      </c>
      <c r="N3978" s="1">
        <f t="shared" si="311"/>
        <v>221</v>
      </c>
      <c r="O3978" s="10">
        <f t="shared" si="314"/>
        <v>27.487222222262062</v>
      </c>
    </row>
    <row r="3979" spans="1:15">
      <c r="A3979" s="1" t="s">
        <v>4084</v>
      </c>
      <c r="B3979" s="23">
        <v>45325.054166666669</v>
      </c>
      <c r="C3979" s="1" t="s">
        <v>11</v>
      </c>
      <c r="D3979" s="1" t="s">
        <v>21</v>
      </c>
      <c r="E3979" s="1" t="s">
        <v>18</v>
      </c>
      <c r="F3979" s="1" t="s">
        <v>39</v>
      </c>
      <c r="G3979" s="1">
        <v>59</v>
      </c>
      <c r="H3979" s="23">
        <v>45325.579930555556</v>
      </c>
      <c r="I3979" s="1" t="b">
        <v>0</v>
      </c>
      <c r="J3979" s="1">
        <v>5</v>
      </c>
      <c r="K3979" s="10">
        <f t="shared" si="312"/>
        <v>12.618333333288319</v>
      </c>
      <c r="L3979" s="1" t="str">
        <f t="shared" si="313"/>
        <v>OK</v>
      </c>
      <c r="M3979" s="1">
        <f t="shared" si="310"/>
        <v>1</v>
      </c>
      <c r="N3979" s="1">
        <f t="shared" si="311"/>
        <v>59</v>
      </c>
      <c r="O3979" s="10">
        <f t="shared" si="314"/>
        <v>12.618333333288319</v>
      </c>
    </row>
    <row r="3980" spans="1:15">
      <c r="A3980" s="1" t="s">
        <v>4085</v>
      </c>
      <c r="B3980" s="23">
        <v>45325.104166666664</v>
      </c>
      <c r="C3980" s="1" t="s">
        <v>11</v>
      </c>
      <c r="D3980" s="1" t="s">
        <v>59</v>
      </c>
      <c r="E3980" s="1" t="s">
        <v>18</v>
      </c>
      <c r="F3980" s="1" t="s">
        <v>31</v>
      </c>
      <c r="G3980" s="1">
        <v>103</v>
      </c>
      <c r="I3980" s="1" t="b">
        <v>0</v>
      </c>
      <c r="K3980" s="10" t="str">
        <f t="shared" si="312"/>
        <v/>
      </c>
      <c r="L3980" s="1" t="str">
        <f t="shared" si="313"/>
        <v>Cannot check</v>
      </c>
      <c r="M3980" s="1">
        <f t="shared" si="310"/>
        <v>1</v>
      </c>
      <c r="N3980" s="1">
        <f t="shared" si="311"/>
        <v>103</v>
      </c>
      <c r="O3980" s="10" t="str">
        <f t="shared" si="314"/>
        <v/>
      </c>
    </row>
    <row r="3981" spans="1:15">
      <c r="A3981" s="1" t="s">
        <v>4086</v>
      </c>
      <c r="B3981" s="23">
        <v>45325.157638888886</v>
      </c>
      <c r="C3981" s="1" t="s">
        <v>11</v>
      </c>
      <c r="D3981" s="1" t="s">
        <v>12</v>
      </c>
      <c r="E3981" s="1" t="s">
        <v>33</v>
      </c>
      <c r="F3981" s="1" t="s">
        <v>186</v>
      </c>
      <c r="G3981" s="1">
        <v>14</v>
      </c>
      <c r="H3981" s="23">
        <v>45325.31287037037</v>
      </c>
      <c r="I3981" s="1" t="b">
        <v>0</v>
      </c>
      <c r="K3981" s="10">
        <f t="shared" si="312"/>
        <v>3.7255555556039326</v>
      </c>
      <c r="L3981" s="1" t="str">
        <f t="shared" si="313"/>
        <v>OK</v>
      </c>
      <c r="M3981" s="1">
        <f t="shared" si="310"/>
        <v>1</v>
      </c>
      <c r="N3981" s="1">
        <f t="shared" si="311"/>
        <v>14</v>
      </c>
      <c r="O3981" s="10">
        <f t="shared" si="314"/>
        <v>3.7255555556039326</v>
      </c>
    </row>
    <row r="3982" spans="1:15">
      <c r="A3982" s="1" t="s">
        <v>4087</v>
      </c>
      <c r="B3982" s="23">
        <v>45325.163194444445</v>
      </c>
      <c r="C3982" s="1" t="s">
        <v>43</v>
      </c>
      <c r="D3982" s="1" t="s">
        <v>21</v>
      </c>
      <c r="E3982" s="1" t="s">
        <v>22</v>
      </c>
      <c r="F3982" s="1" t="s">
        <v>80</v>
      </c>
      <c r="G3982" s="1">
        <v>22</v>
      </c>
      <c r="H3982" s="23">
        <v>45326.137511574074</v>
      </c>
      <c r="I3982" s="1" t="b">
        <v>0</v>
      </c>
      <c r="K3982" s="10">
        <f t="shared" si="312"/>
        <v>23.383611111086793</v>
      </c>
      <c r="L3982" s="1" t="str">
        <f t="shared" si="313"/>
        <v>OK</v>
      </c>
      <c r="M3982" s="1">
        <f t="shared" si="310"/>
        <v>1</v>
      </c>
      <c r="N3982" s="1">
        <f t="shared" si="311"/>
        <v>22</v>
      </c>
      <c r="O3982" s="10">
        <f t="shared" si="314"/>
        <v>23.383611111086793</v>
      </c>
    </row>
    <row r="3983" spans="1:15">
      <c r="A3983" s="1" t="s">
        <v>4088</v>
      </c>
      <c r="B3983" s="23">
        <v>45325.368055555555</v>
      </c>
      <c r="C3983" s="1" t="s">
        <v>25</v>
      </c>
      <c r="D3983" s="1" t="s">
        <v>21</v>
      </c>
      <c r="E3983" s="1" t="s">
        <v>13</v>
      </c>
      <c r="F3983" s="1" t="s">
        <v>178</v>
      </c>
      <c r="G3983" s="1">
        <v>18</v>
      </c>
      <c r="H3983" s="23">
        <v>45325.770578703705</v>
      </c>
      <c r="I3983" s="1" t="b">
        <v>0</v>
      </c>
      <c r="K3983" s="10">
        <f t="shared" si="312"/>
        <v>9.6605555556016043</v>
      </c>
      <c r="L3983" s="1" t="str">
        <f t="shared" si="313"/>
        <v>OK</v>
      </c>
      <c r="M3983" s="1">
        <f t="shared" si="310"/>
        <v>1</v>
      </c>
      <c r="N3983" s="1">
        <f t="shared" si="311"/>
        <v>18</v>
      </c>
      <c r="O3983" s="10">
        <f t="shared" si="314"/>
        <v>9.6605555556016043</v>
      </c>
    </row>
    <row r="3984" spans="1:15">
      <c r="A3984" s="1" t="s">
        <v>4089</v>
      </c>
      <c r="B3984" s="23">
        <v>45325.568055555559</v>
      </c>
      <c r="C3984" s="1" t="s">
        <v>25</v>
      </c>
      <c r="D3984" s="1" t="s">
        <v>21</v>
      </c>
      <c r="E3984" s="1" t="s">
        <v>18</v>
      </c>
      <c r="F3984" s="1" t="s">
        <v>153</v>
      </c>
      <c r="G3984" s="1">
        <v>880</v>
      </c>
      <c r="H3984" s="23">
        <v>45325.776759259257</v>
      </c>
      <c r="I3984" s="1" t="b">
        <v>0</v>
      </c>
      <c r="J3984" s="1">
        <v>5</v>
      </c>
      <c r="K3984" s="10">
        <f t="shared" si="312"/>
        <v>5.0088888887548819</v>
      </c>
      <c r="L3984" s="1" t="str">
        <f t="shared" si="313"/>
        <v>Review</v>
      </c>
      <c r="M3984" s="1">
        <f t="shared" si="310"/>
        <v>1</v>
      </c>
      <c r="N3984" s="1" t="str">
        <f t="shared" si="311"/>
        <v/>
      </c>
      <c r="O3984" s="10" t="str">
        <f t="shared" si="314"/>
        <v/>
      </c>
    </row>
    <row r="3985" spans="1:15">
      <c r="A3985" s="1" t="s">
        <v>4090</v>
      </c>
      <c r="B3985" s="23">
        <v>45325.620138888888</v>
      </c>
      <c r="C3985" s="1" t="s">
        <v>16</v>
      </c>
      <c r="D3985" s="1" t="s">
        <v>12</v>
      </c>
      <c r="E3985" s="1" t="s">
        <v>18</v>
      </c>
      <c r="F3985" s="1" t="s">
        <v>392</v>
      </c>
      <c r="G3985" s="1">
        <v>44</v>
      </c>
      <c r="I3985" s="1" t="b">
        <v>0</v>
      </c>
      <c r="K3985" s="10" t="str">
        <f t="shared" si="312"/>
        <v/>
      </c>
      <c r="L3985" s="1" t="str">
        <f t="shared" si="313"/>
        <v>Cannot check</v>
      </c>
      <c r="M3985" s="1">
        <f t="shared" si="310"/>
        <v>1</v>
      </c>
      <c r="N3985" s="1">
        <f t="shared" si="311"/>
        <v>44</v>
      </c>
      <c r="O3985" s="10" t="str">
        <f t="shared" si="314"/>
        <v/>
      </c>
    </row>
    <row r="3986" spans="1:15">
      <c r="A3986" s="1" t="s">
        <v>4091</v>
      </c>
      <c r="B3986" s="23">
        <v>45325.62777777778</v>
      </c>
      <c r="C3986" s="1" t="s">
        <v>25</v>
      </c>
      <c r="D3986" s="1" t="s">
        <v>12</v>
      </c>
      <c r="E3986" s="1" t="s">
        <v>18</v>
      </c>
      <c r="F3986" s="1" t="s">
        <v>153</v>
      </c>
      <c r="G3986" s="1">
        <v>339</v>
      </c>
      <c r="H3986" s="23">
        <v>45326.225671296299</v>
      </c>
      <c r="I3986" s="1" t="b">
        <v>0</v>
      </c>
      <c r="J3986" s="1">
        <v>4</v>
      </c>
      <c r="K3986" s="10">
        <f t="shared" si="312"/>
        <v>14.349444444465917</v>
      </c>
      <c r="L3986" s="1" t="str">
        <f t="shared" si="313"/>
        <v>OK</v>
      </c>
      <c r="M3986" s="1">
        <f t="shared" si="310"/>
        <v>1</v>
      </c>
      <c r="N3986" s="1">
        <f t="shared" si="311"/>
        <v>339</v>
      </c>
      <c r="O3986" s="10">
        <f t="shared" si="314"/>
        <v>14.349444444465917</v>
      </c>
    </row>
    <row r="3987" spans="1:15">
      <c r="A3987" s="1" t="s">
        <v>4092</v>
      </c>
      <c r="B3987" s="23">
        <v>45325.684027777781</v>
      </c>
      <c r="C3987" s="1" t="s">
        <v>11</v>
      </c>
      <c r="D3987" s="1" t="s">
        <v>59</v>
      </c>
      <c r="E3987" s="1" t="s">
        <v>13</v>
      </c>
      <c r="F3987" s="1" t="s">
        <v>29</v>
      </c>
      <c r="G3987" s="1">
        <v>32</v>
      </c>
      <c r="H3987" s="23">
        <v>45325.857997685183</v>
      </c>
      <c r="I3987" s="1" t="b">
        <v>0</v>
      </c>
      <c r="K3987" s="10">
        <f t="shared" si="312"/>
        <v>4.1752777776564471</v>
      </c>
      <c r="L3987" s="1" t="str">
        <f t="shared" si="313"/>
        <v>OK</v>
      </c>
      <c r="M3987" s="1">
        <f t="shared" si="310"/>
        <v>1</v>
      </c>
      <c r="N3987" s="1">
        <f t="shared" si="311"/>
        <v>32</v>
      </c>
      <c r="O3987" s="10">
        <f t="shared" si="314"/>
        <v>4.1752777776564471</v>
      </c>
    </row>
    <row r="3988" spans="1:15">
      <c r="A3988" s="1" t="s">
        <v>4093</v>
      </c>
      <c r="B3988" s="23">
        <v>45325.750694444447</v>
      </c>
      <c r="C3988" s="1" t="s">
        <v>11</v>
      </c>
      <c r="D3988" s="1" t="s">
        <v>17</v>
      </c>
      <c r="E3988" s="1" t="s">
        <v>33</v>
      </c>
      <c r="F3988" s="1" t="s">
        <v>415</v>
      </c>
      <c r="G3988" s="1">
        <v>4444</v>
      </c>
      <c r="I3988" s="1" t="b">
        <v>0</v>
      </c>
      <c r="K3988" s="10" t="str">
        <f t="shared" si="312"/>
        <v/>
      </c>
      <c r="L3988" s="1" t="str">
        <f t="shared" si="313"/>
        <v>Cannot check</v>
      </c>
      <c r="M3988" s="1">
        <f t="shared" si="310"/>
        <v>1</v>
      </c>
      <c r="N3988" s="1">
        <f t="shared" si="311"/>
        <v>4444</v>
      </c>
      <c r="O3988" s="10" t="str">
        <f t="shared" si="314"/>
        <v/>
      </c>
    </row>
    <row r="3989" spans="1:15">
      <c r="A3989" s="1" t="s">
        <v>4094</v>
      </c>
      <c r="B3989" s="23">
        <v>45326.006249999999</v>
      </c>
      <c r="C3989" s="1" t="s">
        <v>16</v>
      </c>
      <c r="D3989" s="1" t="s">
        <v>17</v>
      </c>
      <c r="E3989" s="1" t="s">
        <v>13</v>
      </c>
      <c r="F3989" s="1" t="s">
        <v>145</v>
      </c>
      <c r="G3989" s="1">
        <v>21</v>
      </c>
      <c r="I3989" s="1" t="b">
        <v>0</v>
      </c>
      <c r="K3989" s="10" t="str">
        <f t="shared" si="312"/>
        <v/>
      </c>
      <c r="L3989" s="1" t="str">
        <f t="shared" si="313"/>
        <v>Cannot check</v>
      </c>
      <c r="M3989" s="1">
        <f t="shared" si="310"/>
        <v>1</v>
      </c>
      <c r="N3989" s="1">
        <f t="shared" si="311"/>
        <v>21</v>
      </c>
      <c r="O3989" s="10" t="str">
        <f t="shared" si="314"/>
        <v/>
      </c>
    </row>
    <row r="3990" spans="1:15">
      <c r="A3990" s="1" t="s">
        <v>4095</v>
      </c>
      <c r="B3990" s="23">
        <v>45326.061805555553</v>
      </c>
      <c r="C3990" s="1" t="s">
        <v>25</v>
      </c>
      <c r="D3990" s="1" t="s">
        <v>17</v>
      </c>
      <c r="E3990" s="1" t="s">
        <v>18</v>
      </c>
      <c r="F3990" s="1" t="s">
        <v>48</v>
      </c>
      <c r="G3990" s="1">
        <v>232</v>
      </c>
      <c r="I3990" s="1" t="b">
        <v>0</v>
      </c>
      <c r="K3990" s="10" t="str">
        <f t="shared" si="312"/>
        <v/>
      </c>
      <c r="L3990" s="1" t="str">
        <f t="shared" si="313"/>
        <v>Cannot check</v>
      </c>
      <c r="M3990" s="1">
        <f t="shared" si="310"/>
        <v>1</v>
      </c>
      <c r="N3990" s="1">
        <f t="shared" si="311"/>
        <v>232</v>
      </c>
      <c r="O3990" s="10" t="str">
        <f t="shared" si="314"/>
        <v/>
      </c>
    </row>
    <row r="3991" spans="1:15">
      <c r="A3991" s="1" t="s">
        <v>4096</v>
      </c>
      <c r="B3991" s="23">
        <v>45326.085416666669</v>
      </c>
      <c r="C3991" s="1" t="s">
        <v>11</v>
      </c>
      <c r="D3991" s="1" t="s">
        <v>17</v>
      </c>
      <c r="E3991" s="1" t="s">
        <v>13</v>
      </c>
      <c r="F3991" s="1" t="s">
        <v>94</v>
      </c>
      <c r="G3991" s="1">
        <v>17</v>
      </c>
      <c r="I3991" s="1" t="b">
        <v>0</v>
      </c>
      <c r="K3991" s="10" t="str">
        <f t="shared" si="312"/>
        <v/>
      </c>
      <c r="L3991" s="1" t="str">
        <f t="shared" si="313"/>
        <v>Cannot check</v>
      </c>
      <c r="M3991" s="1">
        <f t="shared" si="310"/>
        <v>1</v>
      </c>
      <c r="N3991" s="1">
        <f t="shared" si="311"/>
        <v>17</v>
      </c>
      <c r="O3991" s="10" t="str">
        <f t="shared" si="314"/>
        <v/>
      </c>
    </row>
    <row r="3992" spans="1:15">
      <c r="A3992" s="1" t="s">
        <v>4097</v>
      </c>
      <c r="B3992" s="23">
        <v>45326.091666666667</v>
      </c>
      <c r="C3992" s="1" t="s">
        <v>11</v>
      </c>
      <c r="D3992" s="1" t="s">
        <v>21</v>
      </c>
      <c r="E3992" s="1" t="s">
        <v>18</v>
      </c>
      <c r="F3992" s="1" t="s">
        <v>29</v>
      </c>
      <c r="G3992" s="1">
        <v>1774</v>
      </c>
      <c r="H3992" s="23">
        <v>45326.17863425926</v>
      </c>
      <c r="I3992" s="1" t="b">
        <v>0</v>
      </c>
      <c r="K3992" s="10">
        <f t="shared" si="312"/>
        <v>2.0872222222387791</v>
      </c>
      <c r="L3992" s="1" t="str">
        <f t="shared" si="313"/>
        <v>Review</v>
      </c>
      <c r="M3992" s="1">
        <f t="shared" si="310"/>
        <v>1</v>
      </c>
      <c r="N3992" s="1" t="str">
        <f t="shared" si="311"/>
        <v/>
      </c>
      <c r="O3992" s="10" t="str">
        <f t="shared" si="314"/>
        <v/>
      </c>
    </row>
    <row r="3993" spans="1:15">
      <c r="A3993" s="1" t="s">
        <v>4098</v>
      </c>
      <c r="B3993" s="23">
        <v>45326.218055555553</v>
      </c>
      <c r="C3993" s="1" t="s">
        <v>16</v>
      </c>
      <c r="D3993" s="1" t="s">
        <v>21</v>
      </c>
      <c r="E3993" s="1" t="s">
        <v>22</v>
      </c>
      <c r="F3993" s="1" t="s">
        <v>167</v>
      </c>
      <c r="G3993" s="1">
        <v>15</v>
      </c>
      <c r="H3993" s="23">
        <v>45326.249618055554</v>
      </c>
      <c r="I3993" s="1" t="b">
        <v>0</v>
      </c>
      <c r="J3993" s="1">
        <v>4</v>
      </c>
      <c r="K3993" s="10">
        <f t="shared" si="312"/>
        <v>0.75750000000698492</v>
      </c>
      <c r="L3993" s="1" t="str">
        <f t="shared" si="313"/>
        <v>OK</v>
      </c>
      <c r="M3993" s="1">
        <f t="shared" si="310"/>
        <v>1</v>
      </c>
      <c r="N3993" s="1">
        <f t="shared" si="311"/>
        <v>15</v>
      </c>
      <c r="O3993" s="10">
        <f t="shared" si="314"/>
        <v>0.75750000000698492</v>
      </c>
    </row>
    <row r="3994" spans="1:15">
      <c r="A3994" s="1" t="s">
        <v>4099</v>
      </c>
      <c r="B3994" s="23">
        <v>45326.418055555558</v>
      </c>
      <c r="C3994" s="1" t="s">
        <v>16</v>
      </c>
      <c r="D3994" s="1" t="s">
        <v>12</v>
      </c>
      <c r="E3994" s="1" t="s">
        <v>22</v>
      </c>
      <c r="F3994" s="1" t="s">
        <v>326</v>
      </c>
      <c r="G3994" s="1">
        <v>17</v>
      </c>
      <c r="H3994" s="23">
        <v>45326.432685185187</v>
      </c>
      <c r="I3994" s="1" t="b">
        <v>0</v>
      </c>
      <c r="K3994" s="10">
        <f t="shared" si="312"/>
        <v>0.35111111111473292</v>
      </c>
      <c r="L3994" s="1" t="str">
        <f t="shared" si="313"/>
        <v>OK</v>
      </c>
      <c r="M3994" s="1">
        <f t="shared" si="310"/>
        <v>1</v>
      </c>
      <c r="N3994" s="1">
        <f t="shared" si="311"/>
        <v>17</v>
      </c>
      <c r="O3994" s="10">
        <f t="shared" si="314"/>
        <v>0.35111111111473292</v>
      </c>
    </row>
    <row r="3995" spans="1:15">
      <c r="A3995" s="1" t="s">
        <v>4100</v>
      </c>
      <c r="B3995" s="23">
        <v>45326.431944444441</v>
      </c>
      <c r="C3995" s="1" t="s">
        <v>11</v>
      </c>
      <c r="D3995" s="1" t="s">
        <v>12</v>
      </c>
      <c r="E3995" s="1" t="s">
        <v>18</v>
      </c>
      <c r="F3995" s="1" t="s">
        <v>35</v>
      </c>
      <c r="G3995" s="1">
        <v>410</v>
      </c>
      <c r="H3995" s="23">
        <v>45326.947581018518</v>
      </c>
      <c r="I3995" s="1" t="b">
        <v>0</v>
      </c>
      <c r="K3995" s="10">
        <f t="shared" si="312"/>
        <v>12.375277777842712</v>
      </c>
      <c r="L3995" s="1" t="str">
        <f t="shared" si="313"/>
        <v>OK</v>
      </c>
      <c r="M3995" s="1">
        <f t="shared" si="310"/>
        <v>1</v>
      </c>
      <c r="N3995" s="1">
        <f t="shared" si="311"/>
        <v>410</v>
      </c>
      <c r="O3995" s="10">
        <f t="shared" si="314"/>
        <v>12.375277777842712</v>
      </c>
    </row>
    <row r="3996" spans="1:15">
      <c r="A3996" s="1" t="s">
        <v>4101</v>
      </c>
      <c r="B3996" s="23">
        <v>45326.449305555558</v>
      </c>
      <c r="C3996" s="1" t="s">
        <v>16</v>
      </c>
      <c r="D3996" s="1" t="s">
        <v>21</v>
      </c>
      <c r="E3996" s="1" t="s">
        <v>18</v>
      </c>
      <c r="F3996" s="1" t="s">
        <v>206</v>
      </c>
      <c r="G3996" s="1">
        <v>271</v>
      </c>
      <c r="I3996" s="1" t="b">
        <v>0</v>
      </c>
      <c r="K3996" s="10" t="str">
        <f t="shared" si="312"/>
        <v/>
      </c>
      <c r="L3996" s="1" t="str">
        <f t="shared" si="313"/>
        <v>Cannot check</v>
      </c>
      <c r="M3996" s="1">
        <f t="shared" si="310"/>
        <v>1</v>
      </c>
      <c r="N3996" s="1">
        <f t="shared" si="311"/>
        <v>271</v>
      </c>
      <c r="O3996" s="10" t="str">
        <f t="shared" si="314"/>
        <v/>
      </c>
    </row>
    <row r="3997" spans="1:15">
      <c r="A3997" s="1" t="s">
        <v>4102</v>
      </c>
      <c r="B3997" s="23">
        <v>45326.45</v>
      </c>
      <c r="C3997" s="1" t="s">
        <v>43</v>
      </c>
      <c r="D3997" s="1" t="s">
        <v>26</v>
      </c>
      <c r="E3997" s="1" t="s">
        <v>18</v>
      </c>
      <c r="F3997" s="1" t="s">
        <v>46</v>
      </c>
      <c r="G3997" s="1">
        <v>30</v>
      </c>
      <c r="I3997" s="1" t="b">
        <v>0</v>
      </c>
      <c r="K3997" s="10" t="str">
        <f t="shared" si="312"/>
        <v/>
      </c>
      <c r="L3997" s="1" t="str">
        <f t="shared" si="313"/>
        <v>Cannot check</v>
      </c>
      <c r="M3997" s="1">
        <f t="shared" si="310"/>
        <v>1</v>
      </c>
      <c r="N3997" s="1">
        <f t="shared" si="311"/>
        <v>30</v>
      </c>
      <c r="O3997" s="10" t="str">
        <f t="shared" si="314"/>
        <v/>
      </c>
    </row>
    <row r="3998" spans="1:15">
      <c r="A3998" s="1" t="s">
        <v>4103</v>
      </c>
      <c r="B3998" s="23">
        <v>45326.539583333331</v>
      </c>
      <c r="C3998" s="1" t="s">
        <v>11</v>
      </c>
      <c r="D3998" s="1" t="s">
        <v>17</v>
      </c>
      <c r="E3998" s="1" t="s">
        <v>13</v>
      </c>
      <c r="F3998" s="1" t="s">
        <v>92</v>
      </c>
      <c r="G3998" s="1">
        <v>57</v>
      </c>
      <c r="I3998" s="1" t="b">
        <v>0</v>
      </c>
      <c r="K3998" s="10" t="str">
        <f t="shared" si="312"/>
        <v/>
      </c>
      <c r="L3998" s="1" t="str">
        <f t="shared" si="313"/>
        <v>Cannot check</v>
      </c>
      <c r="M3998" s="1">
        <f t="shared" si="310"/>
        <v>1</v>
      </c>
      <c r="N3998" s="1">
        <f t="shared" si="311"/>
        <v>57</v>
      </c>
      <c r="O3998" s="10" t="str">
        <f t="shared" si="314"/>
        <v/>
      </c>
    </row>
    <row r="3999" spans="1:15">
      <c r="A3999" s="1" t="s">
        <v>4104</v>
      </c>
      <c r="B3999" s="23">
        <v>45326.551388888889</v>
      </c>
      <c r="C3999" s="1" t="s">
        <v>16</v>
      </c>
      <c r="D3999" s="1" t="s">
        <v>21</v>
      </c>
      <c r="E3999" s="1" t="s">
        <v>18</v>
      </c>
      <c r="F3999" s="1" t="s">
        <v>114</v>
      </c>
      <c r="G3999" s="1">
        <v>44</v>
      </c>
      <c r="I3999" s="1" t="b">
        <v>0</v>
      </c>
      <c r="K3999" s="10" t="str">
        <f t="shared" si="312"/>
        <v/>
      </c>
      <c r="L3999" s="1" t="str">
        <f t="shared" si="313"/>
        <v>Cannot check</v>
      </c>
      <c r="M3999" s="1">
        <f t="shared" si="310"/>
        <v>1</v>
      </c>
      <c r="N3999" s="1">
        <f t="shared" si="311"/>
        <v>44</v>
      </c>
      <c r="O3999" s="10" t="str">
        <f t="shared" si="314"/>
        <v/>
      </c>
    </row>
    <row r="4000" spans="1:15">
      <c r="A4000" s="1" t="s">
        <v>4105</v>
      </c>
      <c r="B4000" s="23">
        <v>45326.631249999999</v>
      </c>
      <c r="C4000" s="1" t="s">
        <v>16</v>
      </c>
      <c r="D4000" s="1" t="s">
        <v>17</v>
      </c>
      <c r="E4000" s="1" t="s">
        <v>33</v>
      </c>
      <c r="F4000" s="1" t="s">
        <v>90</v>
      </c>
      <c r="G4000" s="1">
        <v>158</v>
      </c>
      <c r="I4000" s="1" t="b">
        <v>0</v>
      </c>
      <c r="K4000" s="10" t="str">
        <f t="shared" si="312"/>
        <v/>
      </c>
      <c r="L4000" s="1" t="str">
        <f t="shared" si="313"/>
        <v>Cannot check</v>
      </c>
      <c r="M4000" s="1">
        <f t="shared" si="310"/>
        <v>1</v>
      </c>
      <c r="N4000" s="1">
        <f t="shared" si="311"/>
        <v>158</v>
      </c>
      <c r="O4000" s="10" t="str">
        <f t="shared" si="314"/>
        <v/>
      </c>
    </row>
    <row r="4001" spans="1:15">
      <c r="A4001" s="1" t="s">
        <v>4106</v>
      </c>
      <c r="B4001" s="23">
        <v>45326.727083333331</v>
      </c>
      <c r="C4001" s="1" t="s">
        <v>11</v>
      </c>
      <c r="D4001" s="1" t="s">
        <v>21</v>
      </c>
      <c r="E4001" s="1" t="s">
        <v>18</v>
      </c>
      <c r="F4001" s="1" t="s">
        <v>148</v>
      </c>
      <c r="G4001" s="1">
        <v>71</v>
      </c>
      <c r="I4001" s="1" t="b">
        <v>0</v>
      </c>
      <c r="K4001" s="10" t="str">
        <f t="shared" si="312"/>
        <v/>
      </c>
      <c r="L4001" s="1" t="str">
        <f t="shared" si="313"/>
        <v>Cannot check</v>
      </c>
      <c r="M4001" s="1">
        <f t="shared" si="310"/>
        <v>1</v>
      </c>
      <c r="N4001" s="1">
        <f t="shared" si="311"/>
        <v>71</v>
      </c>
      <c r="O4001" s="10" t="str">
        <f t="shared" si="314"/>
        <v/>
      </c>
    </row>
  </sheetData>
  <phoneticPr fontId="18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2B48A-8AAE-4D05-B94C-66C040FC482E}">
  <dimension ref="A3:C8005"/>
  <sheetViews>
    <sheetView workbookViewId="0">
      <selection activeCell="A3" sqref="A3:C9"/>
    </sheetView>
  </sheetViews>
  <sheetFormatPr defaultRowHeight="14.4"/>
  <cols>
    <col min="1" max="1" width="12.44140625" bestFit="1" customWidth="1"/>
    <col min="2" max="2" width="15.5546875" bestFit="1" customWidth="1"/>
    <col min="3" max="3" width="16.5546875" bestFit="1" customWidth="1"/>
  </cols>
  <sheetData>
    <row r="3" spans="1:3">
      <c r="A3" s="2" t="s">
        <v>4107</v>
      </c>
      <c r="B3" t="s">
        <v>4109</v>
      </c>
      <c r="C3" t="s">
        <v>4110</v>
      </c>
    </row>
    <row r="4" spans="1:3">
      <c r="A4" s="3" t="s">
        <v>17</v>
      </c>
      <c r="B4">
        <v>1282</v>
      </c>
      <c r="C4" s="4">
        <v>0.32050000000000001</v>
      </c>
    </row>
    <row r="5" spans="1:3">
      <c r="A5" s="3" t="s">
        <v>21</v>
      </c>
      <c r="B5">
        <v>960</v>
      </c>
      <c r="C5" s="4">
        <v>0.24</v>
      </c>
    </row>
    <row r="6" spans="1:3">
      <c r="A6" s="3" t="s">
        <v>59</v>
      </c>
      <c r="B6">
        <v>647</v>
      </c>
      <c r="C6" s="4">
        <v>0.16175</v>
      </c>
    </row>
    <row r="7" spans="1:3">
      <c r="A7" s="3" t="s">
        <v>12</v>
      </c>
      <c r="B7">
        <v>586</v>
      </c>
      <c r="C7" s="4">
        <v>0.14649999999999999</v>
      </c>
    </row>
    <row r="8" spans="1:3">
      <c r="A8" s="3" t="s">
        <v>26</v>
      </c>
      <c r="B8">
        <v>525</v>
      </c>
      <c r="C8" s="4">
        <v>0.13125000000000001</v>
      </c>
    </row>
    <row r="9" spans="1:3">
      <c r="A9" s="3" t="s">
        <v>4108</v>
      </c>
      <c r="B9">
        <v>4000</v>
      </c>
      <c r="C9" s="4">
        <v>1</v>
      </c>
    </row>
    <row r="8005" spans="1:1">
      <c r="A8005">
        <f ca="1">SUM(A3:A8005)</f>
        <v>0</v>
      </c>
    </row>
  </sheetData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E83FF-B918-4902-A911-C18DD20CFE60}">
  <dimension ref="A1:C12"/>
  <sheetViews>
    <sheetView workbookViewId="0">
      <selection activeCell="B6" sqref="B6"/>
    </sheetView>
  </sheetViews>
  <sheetFormatPr defaultRowHeight="14.4"/>
  <cols>
    <col min="1" max="1" width="30" customWidth="1"/>
    <col min="2" max="2" width="41.6640625" customWidth="1"/>
  </cols>
  <sheetData>
    <row r="1" spans="1:3">
      <c r="A1" s="12" t="s">
        <v>4127</v>
      </c>
      <c r="B1" s="12" t="s">
        <v>4128</v>
      </c>
    </row>
    <row r="2" spans="1:3" ht="28.8">
      <c r="A2" s="11" t="s">
        <v>4132</v>
      </c>
      <c r="B2" s="11" t="s">
        <v>4129</v>
      </c>
      <c r="C2" s="11"/>
    </row>
    <row r="3" spans="1:3" ht="28.8">
      <c r="A3" s="11" t="s">
        <v>4133</v>
      </c>
      <c r="B3" s="11" t="s">
        <v>4130</v>
      </c>
    </row>
    <row r="4" spans="1:3" ht="28.8">
      <c r="A4" s="11" t="s">
        <v>4134</v>
      </c>
      <c r="B4" s="11" t="s">
        <v>4131</v>
      </c>
    </row>
    <row r="5" spans="1:3" ht="86.4">
      <c r="A5" s="11" t="s">
        <v>4135</v>
      </c>
      <c r="B5" s="11" t="s">
        <v>4158</v>
      </c>
    </row>
    <row r="6" spans="1:3">
      <c r="A6" s="11"/>
      <c r="B6" s="11"/>
    </row>
    <row r="7" spans="1:3">
      <c r="A7" s="8" t="s">
        <v>4136</v>
      </c>
      <c r="B7" s="8" t="s">
        <v>4137</v>
      </c>
    </row>
    <row r="8" spans="1:3">
      <c r="A8" s="11" t="s">
        <v>4138</v>
      </c>
      <c r="B8" s="11" t="s">
        <v>4139</v>
      </c>
    </row>
    <row r="9" spans="1:3" ht="28.8">
      <c r="A9" s="11" t="s">
        <v>4140</v>
      </c>
      <c r="B9" s="11" t="s">
        <v>4141</v>
      </c>
    </row>
    <row r="10" spans="1:3" ht="28.8">
      <c r="A10" s="11" t="s">
        <v>4142</v>
      </c>
      <c r="B10" s="11" t="s">
        <v>4143</v>
      </c>
    </row>
    <row r="11" spans="1:3" ht="43.2">
      <c r="A11" s="11" t="s">
        <v>4144</v>
      </c>
      <c r="B11" s="11" t="s">
        <v>4145</v>
      </c>
    </row>
    <row r="12" spans="1:3" ht="43.2">
      <c r="A12" s="11" t="s">
        <v>4146</v>
      </c>
      <c r="B12" s="11" t="s">
        <v>4147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08C18-DD26-4AB2-B24B-2E8DF4B30436}">
  <dimension ref="A1:B6"/>
  <sheetViews>
    <sheetView workbookViewId="0">
      <selection activeCell="E24" sqref="E24"/>
    </sheetView>
  </sheetViews>
  <sheetFormatPr defaultRowHeight="14.4"/>
  <cols>
    <col min="1" max="1" width="10.44140625" bestFit="1" customWidth="1"/>
    <col min="2" max="2" width="13" customWidth="1"/>
  </cols>
  <sheetData>
    <row r="1" spans="1:2">
      <c r="A1" t="s">
        <v>4149</v>
      </c>
      <c r="B1" t="s">
        <v>4150</v>
      </c>
    </row>
    <row r="2" spans="1:2">
      <c r="A2" t="s">
        <v>17</v>
      </c>
      <c r="B2">
        <v>1282</v>
      </c>
    </row>
    <row r="3" spans="1:2">
      <c r="A3" t="s">
        <v>21</v>
      </c>
      <c r="B3">
        <v>960</v>
      </c>
    </row>
    <row r="4" spans="1:2">
      <c r="A4" t="s">
        <v>59</v>
      </c>
      <c r="B4">
        <v>647</v>
      </c>
    </row>
    <row r="5" spans="1:2">
      <c r="A5" t="s">
        <v>12</v>
      </c>
      <c r="B5">
        <v>586</v>
      </c>
    </row>
    <row r="6" spans="1:2">
      <c r="A6" t="s">
        <v>26</v>
      </c>
      <c r="B6">
        <v>525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Queue_Priority_1</vt:lpstr>
      <vt:lpstr>Data_Checks</vt:lpstr>
      <vt:lpstr>support-tickets</vt:lpstr>
      <vt:lpstr>Queue_Summary</vt:lpstr>
      <vt:lpstr>Cleaning_Notes</vt:lpstr>
      <vt:lpstr>Charts</vt:lpstr>
      <vt:lpstr>timing_check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</dc:creator>
  <cp:lastModifiedBy>DEEPAK DEEPU</cp:lastModifiedBy>
  <dcterms:created xsi:type="dcterms:W3CDTF">2026-10-09T12:57:26Z</dcterms:created>
  <dcterms:modified xsi:type="dcterms:W3CDTF">2026-10-09T18:34:08Z</dcterms:modified>
</cp:coreProperties>
</file>